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-76-KAMPALA-JINJA HWAY\MCC\"/>
    </mc:Choice>
  </mc:AlternateContent>
  <xr:revisionPtr revIDLastSave="0" documentId="13_ncr:1_{8F1E5516-D61A-4343-B956-AE867777FB5D}" xr6:coauthVersionLast="45" xr6:coauthVersionMax="45" xr10:uidLastSave="{00000000-0000-0000-0000-000000000000}"/>
  <bookViews>
    <workbookView xWindow="-120" yWindow="-120" windowWidth="20730" windowHeight="11160" tabRatio="922" firstSheet="14" activeTab="16" xr2:uid="{00000000-000D-0000-FFFF-FFFF00000000}"/>
  </bookViews>
  <sheets>
    <sheet name="29.10 Mukono-Mbalala" sheetId="93" r:id="rId1"/>
    <sheet name="29.10 Mbalala-Mukono" sheetId="94" r:id="rId2"/>
    <sheet name="30.10.Mukono-Mbalala" sheetId="95" r:id="rId3"/>
    <sheet name="30.10 Mbalala-Mukono" sheetId="96" r:id="rId4"/>
    <sheet name="31.10 Mukono-Mbalala" sheetId="97" r:id="rId5"/>
    <sheet name="31.10 Mbalala-Mukono" sheetId="98" r:id="rId6"/>
    <sheet name="1.11 Mukono-Mbalala-24h" sheetId="101" r:id="rId7"/>
    <sheet name="1.11 Mbalala-Mukono-24h" sheetId="109" r:id="rId8"/>
    <sheet name="2.11 Mukono-Mbalala-24h" sheetId="105" r:id="rId9"/>
    <sheet name="2.11 Mbalala-Mukono-24h" sheetId="110" r:id="rId10"/>
    <sheet name="3.11 Mukono-Mbalala" sheetId="99" r:id="rId11"/>
    <sheet name="3.11 Mbalala-Mukono" sheetId="100" r:id="rId12"/>
    <sheet name="4.11 Mukono-Mbalala " sheetId="103" r:id="rId13"/>
    <sheet name="4.11 Mbalala-Mukono" sheetId="104" r:id="rId14"/>
    <sheet name="Avg Week Mukono-Mbalala" sheetId="107" r:id="rId15"/>
    <sheet name="Avg Week Mbalala-Mukono" sheetId="108" r:id="rId16"/>
    <sheet name="Avg Week Mukono-Mbalala2Dir" sheetId="111" r:id="rId17"/>
  </sheets>
  <definedNames>
    <definedName name="_xlnm.Print_Area" localSheetId="7">'1.11 Mbalala-Mukono-24h'!$A$1:$AF$108</definedName>
    <definedName name="_xlnm.Print_Area" localSheetId="6">'1.11 Mukono-Mbalala-24h'!$A$1:$AF$108</definedName>
    <definedName name="_xlnm.Print_Area" localSheetId="9">'2.11 Mbalala-Mukono-24h'!$A$1:$AF$108</definedName>
    <definedName name="_xlnm.Print_Area" localSheetId="8">'2.11 Mukono-Mbalala-24h'!$A$1:$AF$108</definedName>
    <definedName name="_xlnm.Print_Area" localSheetId="1">'29.10 Mbalala-Mukono'!$A$1:$AF$60</definedName>
    <definedName name="_xlnm.Print_Area" localSheetId="0">'29.10 Mukono-Mbalala'!$A$1:$AF$60</definedName>
    <definedName name="_xlnm.Print_Area" localSheetId="11">'3.11 Mbalala-Mukono'!$A$1:$AF$60</definedName>
    <definedName name="_xlnm.Print_Area" localSheetId="10">'3.11 Mukono-Mbalala'!$A$1:$AF$60</definedName>
    <definedName name="_xlnm.Print_Area" localSheetId="3">'30.10 Mbalala-Mukono'!$A$1:$AF$60</definedName>
    <definedName name="_xlnm.Print_Area" localSheetId="2">'30.10.Mukono-Mbalala'!$A$1:$AF$60</definedName>
    <definedName name="_xlnm.Print_Area" localSheetId="5">'31.10 Mbalala-Mukono'!$A$1:$AF$60</definedName>
    <definedName name="_xlnm.Print_Area" localSheetId="4">'31.10 Mukono-Mbalala'!$A$1:$AF$60</definedName>
    <definedName name="_xlnm.Print_Area" localSheetId="13">'4.11 Mbalala-Mukono'!$A$1:$AF$60</definedName>
    <definedName name="_xlnm.Print_Area" localSheetId="12">'4.11 Mukono-Mbalala '!$A$1:$AF$60</definedName>
    <definedName name="_xlnm.Print_Area" localSheetId="15">'Avg Week Mbalala-Mukono'!$A$1:$AF$108</definedName>
    <definedName name="_xlnm.Print_Area" localSheetId="14">'Avg Week Mukono-Mbalala'!$A$1:$AF$108</definedName>
    <definedName name="_xlnm.Print_Area" localSheetId="16">'Avg Week Mukono-Mbalala2Dir'!$A$1:$AF$108</definedName>
    <definedName name="_xlnm.Print_Titles" localSheetId="7">'1.11 Mbalala-Mukono-24h'!$1:$8</definedName>
    <definedName name="_xlnm.Print_Titles" localSheetId="6">'1.11 Mukono-Mbalala-24h'!$1:$8</definedName>
    <definedName name="_xlnm.Print_Titles" localSheetId="9">'2.11 Mbalala-Mukono-24h'!$1:$8</definedName>
    <definedName name="_xlnm.Print_Titles" localSheetId="8">'2.11 Mukono-Mbalala-24h'!$1:$8</definedName>
    <definedName name="_xlnm.Print_Titles" localSheetId="1">'29.10 Mbalala-Mukono'!$1:$8</definedName>
    <definedName name="_xlnm.Print_Titles" localSheetId="0">'29.10 Mukono-Mbalala'!$1:$8</definedName>
    <definedName name="_xlnm.Print_Titles" localSheetId="11">'3.11 Mbalala-Mukono'!$1:$8</definedName>
    <definedName name="_xlnm.Print_Titles" localSheetId="10">'3.11 Mukono-Mbalala'!$1:$8</definedName>
    <definedName name="_xlnm.Print_Titles" localSheetId="3">'30.10 Mbalala-Mukono'!$1:$8</definedName>
    <definedName name="_xlnm.Print_Titles" localSheetId="2">'30.10.Mukono-Mbalala'!$1:$8</definedName>
    <definedName name="_xlnm.Print_Titles" localSheetId="5">'31.10 Mbalala-Mukono'!$1:$8</definedName>
    <definedName name="_xlnm.Print_Titles" localSheetId="4">'31.10 Mukono-Mbalala'!$1:$8</definedName>
    <definedName name="_xlnm.Print_Titles" localSheetId="13">'4.11 Mbalala-Mukono'!$1:$8</definedName>
    <definedName name="_xlnm.Print_Titles" localSheetId="12">'4.11 Mukono-Mbalala '!$1:$8</definedName>
    <definedName name="_xlnm.Print_Titles" localSheetId="15">'Avg Week Mbalala-Mukono'!$1:$8</definedName>
    <definedName name="_xlnm.Print_Titles" localSheetId="14">'Avg Week Mukono-Mbalala'!$1:$8</definedName>
    <definedName name="_xlnm.Print_Titles" localSheetId="16">'Avg Week Mukono-Mbalala2Dir'!$1:$8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8" i="111" l="1"/>
  <c r="I58" i="111"/>
  <c r="M58" i="111"/>
  <c r="F59" i="111"/>
  <c r="J59" i="111"/>
  <c r="N59" i="111"/>
  <c r="G60" i="111"/>
  <c r="K60" i="111"/>
  <c r="D61" i="111"/>
  <c r="H61" i="111"/>
  <c r="L61" i="111"/>
  <c r="E62" i="111"/>
  <c r="I62" i="111"/>
  <c r="M62" i="111"/>
  <c r="F63" i="111"/>
  <c r="J63" i="111"/>
  <c r="N63" i="111"/>
  <c r="G64" i="111"/>
  <c r="K64" i="111"/>
  <c r="D65" i="111"/>
  <c r="H65" i="111"/>
  <c r="L65" i="111"/>
  <c r="E66" i="111"/>
  <c r="I66" i="111"/>
  <c r="M66" i="111"/>
  <c r="F67" i="111"/>
  <c r="J67" i="111"/>
  <c r="N67" i="111"/>
  <c r="G68" i="111"/>
  <c r="K68" i="111"/>
  <c r="D69" i="111"/>
  <c r="H69" i="111"/>
  <c r="L69" i="111"/>
  <c r="E70" i="111"/>
  <c r="I70" i="111"/>
  <c r="M70" i="111"/>
  <c r="F71" i="111"/>
  <c r="J71" i="111"/>
  <c r="N71" i="111"/>
  <c r="G72" i="111"/>
  <c r="K72" i="111"/>
  <c r="D73" i="111"/>
  <c r="H73" i="111"/>
  <c r="L73" i="111"/>
  <c r="E74" i="111"/>
  <c r="I74" i="111"/>
  <c r="M74" i="111"/>
  <c r="F75" i="111"/>
  <c r="J75" i="111"/>
  <c r="N75" i="111"/>
  <c r="G76" i="111"/>
  <c r="K76" i="111"/>
  <c r="D77" i="111"/>
  <c r="H77" i="111"/>
  <c r="L77" i="111"/>
  <c r="E78" i="111"/>
  <c r="I78" i="111"/>
  <c r="M78" i="111"/>
  <c r="N78" i="111"/>
  <c r="F79" i="111"/>
  <c r="J79" i="111"/>
  <c r="K79" i="111"/>
  <c r="N79" i="111"/>
  <c r="G80" i="111"/>
  <c r="H80" i="111"/>
  <c r="K80" i="111"/>
  <c r="D81" i="111"/>
  <c r="E81" i="111"/>
  <c r="H81" i="111"/>
  <c r="L81" i="111"/>
  <c r="M81" i="111"/>
  <c r="E82" i="111"/>
  <c r="I82" i="111"/>
  <c r="J82" i="111"/>
  <c r="M82" i="111"/>
  <c r="F83" i="111"/>
  <c r="G83" i="111"/>
  <c r="J83" i="111"/>
  <c r="N83" i="111"/>
  <c r="D84" i="111"/>
  <c r="G84" i="111"/>
  <c r="K84" i="111"/>
  <c r="L84" i="111"/>
  <c r="D85" i="111"/>
  <c r="H85" i="111"/>
  <c r="I85" i="111"/>
  <c r="L85" i="111"/>
  <c r="E86" i="111"/>
  <c r="F86" i="111"/>
  <c r="I86" i="111"/>
  <c r="M86" i="111"/>
  <c r="N86" i="111"/>
  <c r="F87" i="111"/>
  <c r="J87" i="111"/>
  <c r="K87" i="111"/>
  <c r="N87" i="111"/>
  <c r="G88" i="111"/>
  <c r="H88" i="111"/>
  <c r="K88" i="111"/>
  <c r="D89" i="111"/>
  <c r="E89" i="111"/>
  <c r="H89" i="111"/>
  <c r="L89" i="111"/>
  <c r="M89" i="111"/>
  <c r="E90" i="111"/>
  <c r="I90" i="111"/>
  <c r="J90" i="111"/>
  <c r="M90" i="111"/>
  <c r="F91" i="111"/>
  <c r="G91" i="111"/>
  <c r="J91" i="111"/>
  <c r="N91" i="111"/>
  <c r="D92" i="111"/>
  <c r="G92" i="111"/>
  <c r="K92" i="111"/>
  <c r="L92" i="111"/>
  <c r="D93" i="111"/>
  <c r="H93" i="111"/>
  <c r="I93" i="111"/>
  <c r="L93" i="111"/>
  <c r="E94" i="111"/>
  <c r="F94" i="111"/>
  <c r="I94" i="111"/>
  <c r="M94" i="111"/>
  <c r="N94" i="111"/>
  <c r="F95" i="111"/>
  <c r="J95" i="111"/>
  <c r="K95" i="111"/>
  <c r="N95" i="111"/>
  <c r="G96" i="111"/>
  <c r="H96" i="111"/>
  <c r="K96" i="111"/>
  <c r="D97" i="111"/>
  <c r="E97" i="111"/>
  <c r="H97" i="111"/>
  <c r="L97" i="111"/>
  <c r="M97" i="111"/>
  <c r="E98" i="111"/>
  <c r="I98" i="111"/>
  <c r="J98" i="111"/>
  <c r="M98" i="111"/>
  <c r="F99" i="111"/>
  <c r="G99" i="111"/>
  <c r="J99" i="111"/>
  <c r="N99" i="111"/>
  <c r="D100" i="111"/>
  <c r="G100" i="111"/>
  <c r="K100" i="111"/>
  <c r="L100" i="111"/>
  <c r="D101" i="111"/>
  <c r="H101" i="111"/>
  <c r="I101" i="111"/>
  <c r="L101" i="111"/>
  <c r="E102" i="111"/>
  <c r="F102" i="111"/>
  <c r="I102" i="111"/>
  <c r="M102" i="111"/>
  <c r="N102" i="111"/>
  <c r="F103" i="111"/>
  <c r="J103" i="111"/>
  <c r="K103" i="111"/>
  <c r="N103" i="111"/>
  <c r="G104" i="111"/>
  <c r="H104" i="111"/>
  <c r="K104" i="111"/>
  <c r="D105" i="111"/>
  <c r="E105" i="111"/>
  <c r="H105" i="111"/>
  <c r="L105" i="111"/>
  <c r="M105" i="111"/>
  <c r="C60" i="111"/>
  <c r="C64" i="111"/>
  <c r="C65" i="111"/>
  <c r="C68" i="111"/>
  <c r="C72" i="111"/>
  <c r="C73" i="111"/>
  <c r="C76" i="111"/>
  <c r="C80" i="111"/>
  <c r="C81" i="111"/>
  <c r="C84" i="111"/>
  <c r="C88" i="111"/>
  <c r="C89" i="111"/>
  <c r="C92" i="111"/>
  <c r="C96" i="111"/>
  <c r="C97" i="111"/>
  <c r="C100" i="111"/>
  <c r="C104" i="111"/>
  <c r="C105" i="111"/>
  <c r="D58" i="108"/>
  <c r="E58" i="108"/>
  <c r="F58" i="108"/>
  <c r="G58" i="108"/>
  <c r="W22" i="108" s="1"/>
  <c r="H58" i="108"/>
  <c r="I58" i="108"/>
  <c r="J58" i="108"/>
  <c r="K58" i="108"/>
  <c r="AA22" i="108" s="1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P60" i="108" s="1"/>
  <c r="E60" i="108"/>
  <c r="O60" i="108" s="1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W23" i="108" s="1"/>
  <c r="H62" i="108"/>
  <c r="I62" i="108"/>
  <c r="J62" i="108"/>
  <c r="K62" i="108"/>
  <c r="AA23" i="108" s="1"/>
  <c r="L62" i="108"/>
  <c r="M62" i="108"/>
  <c r="N62" i="108"/>
  <c r="D63" i="108"/>
  <c r="T23" i="108" s="1"/>
  <c r="E63" i="108"/>
  <c r="F63" i="108"/>
  <c r="G63" i="108"/>
  <c r="H63" i="108"/>
  <c r="I63" i="108"/>
  <c r="J63" i="108"/>
  <c r="K63" i="108"/>
  <c r="L63" i="108"/>
  <c r="M63" i="108"/>
  <c r="N63" i="108"/>
  <c r="D64" i="108"/>
  <c r="P64" i="108" s="1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W24" i="108" s="1"/>
  <c r="H66" i="108"/>
  <c r="I66" i="108"/>
  <c r="J66" i="108"/>
  <c r="K66" i="108"/>
  <c r="AA24" i="108" s="1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P68" i="108" s="1"/>
  <c r="E68" i="108"/>
  <c r="O68" i="108" s="1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W25" i="108" s="1"/>
  <c r="H70" i="108"/>
  <c r="I70" i="108"/>
  <c r="J70" i="108"/>
  <c r="K70" i="108"/>
  <c r="AA25" i="108" s="1"/>
  <c r="L70" i="108"/>
  <c r="M70" i="108"/>
  <c r="N70" i="108"/>
  <c r="D71" i="108"/>
  <c r="E71" i="108"/>
  <c r="F71" i="108"/>
  <c r="G71" i="108"/>
  <c r="H71" i="108"/>
  <c r="X25" i="108" s="1"/>
  <c r="I71" i="108"/>
  <c r="J71" i="108"/>
  <c r="K71" i="108"/>
  <c r="L71" i="108"/>
  <c r="M71" i="108"/>
  <c r="N71" i="108"/>
  <c r="D72" i="108"/>
  <c r="P72" i="108" s="1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W26" i="108" s="1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P76" i="108" s="1"/>
  <c r="E76" i="108"/>
  <c r="O76" i="108" s="1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W27" i="108" s="1"/>
  <c r="H78" i="108"/>
  <c r="I78" i="108"/>
  <c r="J78" i="108"/>
  <c r="K78" i="108"/>
  <c r="AA27" i="108" s="1"/>
  <c r="L78" i="108"/>
  <c r="M78" i="108"/>
  <c r="N78" i="108"/>
  <c r="D79" i="108"/>
  <c r="E79" i="108"/>
  <c r="F79" i="108"/>
  <c r="G79" i="108"/>
  <c r="G79" i="111" s="1"/>
  <c r="H79" i="108"/>
  <c r="I79" i="108"/>
  <c r="J79" i="108"/>
  <c r="K79" i="108"/>
  <c r="L79" i="108"/>
  <c r="AB27" i="108" s="1"/>
  <c r="M79" i="108"/>
  <c r="N79" i="108"/>
  <c r="D80" i="108"/>
  <c r="P80" i="108" s="1"/>
  <c r="E80" i="108"/>
  <c r="F80" i="108"/>
  <c r="G80" i="108"/>
  <c r="H80" i="108"/>
  <c r="I80" i="108"/>
  <c r="J80" i="108"/>
  <c r="K80" i="108"/>
  <c r="L80" i="108"/>
  <c r="L80" i="111" s="1"/>
  <c r="M80" i="108"/>
  <c r="N80" i="108"/>
  <c r="D81" i="108"/>
  <c r="E81" i="108"/>
  <c r="F81" i="108"/>
  <c r="G81" i="108"/>
  <c r="H81" i="108"/>
  <c r="I81" i="108"/>
  <c r="I81" i="111" s="1"/>
  <c r="J81" i="108"/>
  <c r="K81" i="108"/>
  <c r="L81" i="108"/>
  <c r="M81" i="108"/>
  <c r="N81" i="108"/>
  <c r="D82" i="108"/>
  <c r="E82" i="108"/>
  <c r="F82" i="108"/>
  <c r="F82" i="111" s="1"/>
  <c r="G82" i="108"/>
  <c r="W28" i="108" s="1"/>
  <c r="H82" i="108"/>
  <c r="I82" i="108"/>
  <c r="J82" i="108"/>
  <c r="K82" i="108"/>
  <c r="AA28" i="108" s="1"/>
  <c r="L82" i="108"/>
  <c r="M82" i="108"/>
  <c r="N82" i="108"/>
  <c r="N82" i="111" s="1"/>
  <c r="D83" i="108"/>
  <c r="E83" i="108"/>
  <c r="F83" i="108"/>
  <c r="G83" i="108"/>
  <c r="H83" i="108"/>
  <c r="I83" i="108"/>
  <c r="J83" i="108"/>
  <c r="K83" i="108"/>
  <c r="K83" i="111" s="1"/>
  <c r="L83" i="108"/>
  <c r="M83" i="108"/>
  <c r="N83" i="108"/>
  <c r="D84" i="108"/>
  <c r="P84" i="108" s="1"/>
  <c r="E84" i="108"/>
  <c r="O84" i="108" s="1"/>
  <c r="F84" i="108"/>
  <c r="G84" i="108"/>
  <c r="H84" i="108"/>
  <c r="H84" i="111" s="1"/>
  <c r="I84" i="108"/>
  <c r="J84" i="108"/>
  <c r="K84" i="108"/>
  <c r="L84" i="108"/>
  <c r="M84" i="108"/>
  <c r="N84" i="108"/>
  <c r="D85" i="108"/>
  <c r="E85" i="108"/>
  <c r="E85" i="111" s="1"/>
  <c r="F85" i="108"/>
  <c r="G85" i="108"/>
  <c r="H85" i="108"/>
  <c r="I85" i="108"/>
  <c r="J85" i="108"/>
  <c r="K85" i="108"/>
  <c r="L85" i="108"/>
  <c r="M85" i="108"/>
  <c r="M85" i="111" s="1"/>
  <c r="N85" i="108"/>
  <c r="D86" i="108"/>
  <c r="E86" i="108"/>
  <c r="F86" i="108"/>
  <c r="G86" i="108"/>
  <c r="W29" i="108" s="1"/>
  <c r="H86" i="108"/>
  <c r="I86" i="108"/>
  <c r="J86" i="108"/>
  <c r="J86" i="111" s="1"/>
  <c r="K86" i="108"/>
  <c r="AA29" i="108" s="1"/>
  <c r="L86" i="108"/>
  <c r="M86" i="108"/>
  <c r="N86" i="108"/>
  <c r="D87" i="108"/>
  <c r="E87" i="108"/>
  <c r="F87" i="108"/>
  <c r="G87" i="108"/>
  <c r="G87" i="111" s="1"/>
  <c r="H87" i="108"/>
  <c r="I87" i="108"/>
  <c r="J87" i="108"/>
  <c r="K87" i="108"/>
  <c r="L87" i="108"/>
  <c r="M87" i="108"/>
  <c r="N87" i="108"/>
  <c r="D88" i="108"/>
  <c r="P88" i="108" s="1"/>
  <c r="E88" i="108"/>
  <c r="F88" i="108"/>
  <c r="G88" i="108"/>
  <c r="H88" i="108"/>
  <c r="I88" i="108"/>
  <c r="J88" i="108"/>
  <c r="K88" i="108"/>
  <c r="L88" i="108"/>
  <c r="L88" i="111" s="1"/>
  <c r="M88" i="108"/>
  <c r="N88" i="108"/>
  <c r="D89" i="108"/>
  <c r="E89" i="108"/>
  <c r="F89" i="108"/>
  <c r="G89" i="108"/>
  <c r="H89" i="108"/>
  <c r="I89" i="108"/>
  <c r="I89" i="111" s="1"/>
  <c r="J89" i="108"/>
  <c r="K89" i="108"/>
  <c r="L89" i="108"/>
  <c r="M89" i="108"/>
  <c r="N89" i="108"/>
  <c r="D90" i="108"/>
  <c r="E90" i="108"/>
  <c r="F90" i="108"/>
  <c r="G90" i="108"/>
  <c r="W30" i="108" s="1"/>
  <c r="H90" i="108"/>
  <c r="I90" i="108"/>
  <c r="J90" i="108"/>
  <c r="K90" i="108"/>
  <c r="AA30" i="108" s="1"/>
  <c r="L90" i="108"/>
  <c r="M90" i="108"/>
  <c r="N90" i="108"/>
  <c r="D91" i="108"/>
  <c r="E91" i="108"/>
  <c r="F91" i="108"/>
  <c r="G91" i="108"/>
  <c r="H91" i="108"/>
  <c r="I91" i="108"/>
  <c r="J91" i="108"/>
  <c r="K91" i="108"/>
  <c r="K91" i="111" s="1"/>
  <c r="L91" i="108"/>
  <c r="M91" i="108"/>
  <c r="N91" i="108"/>
  <c r="D92" i="108"/>
  <c r="P92" i="108" s="1"/>
  <c r="E92" i="108"/>
  <c r="O92" i="108" s="1"/>
  <c r="F92" i="108"/>
  <c r="G92" i="108"/>
  <c r="H92" i="108"/>
  <c r="H92" i="111" s="1"/>
  <c r="I92" i="108"/>
  <c r="J92" i="108"/>
  <c r="K92" i="108"/>
  <c r="L92" i="108"/>
  <c r="M92" i="108"/>
  <c r="N92" i="108"/>
  <c r="D93" i="108"/>
  <c r="E93" i="108"/>
  <c r="E93" i="111" s="1"/>
  <c r="F93" i="108"/>
  <c r="G93" i="108"/>
  <c r="H93" i="108"/>
  <c r="I93" i="108"/>
  <c r="J93" i="108"/>
  <c r="K93" i="108"/>
  <c r="L93" i="108"/>
  <c r="M93" i="108"/>
  <c r="M93" i="111" s="1"/>
  <c r="N93" i="108"/>
  <c r="D94" i="108"/>
  <c r="E94" i="108"/>
  <c r="F94" i="108"/>
  <c r="G94" i="108"/>
  <c r="W31" i="108" s="1"/>
  <c r="H94" i="108"/>
  <c r="I94" i="108"/>
  <c r="J94" i="108"/>
  <c r="K94" i="108"/>
  <c r="AA31" i="108" s="1"/>
  <c r="L94" i="108"/>
  <c r="M94" i="108"/>
  <c r="N94" i="108"/>
  <c r="D95" i="108"/>
  <c r="E95" i="108"/>
  <c r="F95" i="108"/>
  <c r="G95" i="108"/>
  <c r="G95" i="111" s="1"/>
  <c r="H95" i="108"/>
  <c r="I95" i="108"/>
  <c r="J95" i="108"/>
  <c r="K95" i="108"/>
  <c r="L95" i="108"/>
  <c r="M95" i="108"/>
  <c r="N95" i="108"/>
  <c r="D96" i="108"/>
  <c r="P96" i="108" s="1"/>
  <c r="E96" i="108"/>
  <c r="F96" i="108"/>
  <c r="G96" i="108"/>
  <c r="H96" i="108"/>
  <c r="I96" i="108"/>
  <c r="J96" i="108"/>
  <c r="K96" i="108"/>
  <c r="L96" i="108"/>
  <c r="L96" i="111" s="1"/>
  <c r="M96" i="108"/>
  <c r="N96" i="108"/>
  <c r="D97" i="108"/>
  <c r="E97" i="108"/>
  <c r="F97" i="108"/>
  <c r="G97" i="108"/>
  <c r="H97" i="108"/>
  <c r="I97" i="108"/>
  <c r="I97" i="111" s="1"/>
  <c r="J97" i="108"/>
  <c r="K97" i="108"/>
  <c r="L97" i="108"/>
  <c r="M97" i="108"/>
  <c r="N97" i="108"/>
  <c r="D98" i="108"/>
  <c r="E98" i="108"/>
  <c r="F98" i="108"/>
  <c r="G98" i="108"/>
  <c r="W32" i="108" s="1"/>
  <c r="H98" i="108"/>
  <c r="I98" i="108"/>
  <c r="J98" i="108"/>
  <c r="K98" i="108"/>
  <c r="AA32" i="108" s="1"/>
  <c r="L98" i="108"/>
  <c r="M98" i="108"/>
  <c r="N98" i="108"/>
  <c r="D99" i="108"/>
  <c r="E99" i="108"/>
  <c r="F99" i="108"/>
  <c r="G99" i="108"/>
  <c r="H99" i="108"/>
  <c r="I99" i="108"/>
  <c r="J99" i="108"/>
  <c r="K99" i="108"/>
  <c r="K99" i="111" s="1"/>
  <c r="L99" i="108"/>
  <c r="M99" i="108"/>
  <c r="N99" i="108"/>
  <c r="D100" i="108"/>
  <c r="P100" i="108" s="1"/>
  <c r="E100" i="108"/>
  <c r="U32" i="108" s="1"/>
  <c r="F100" i="108"/>
  <c r="G100" i="108"/>
  <c r="H100" i="108"/>
  <c r="H100" i="111" s="1"/>
  <c r="I100" i="108"/>
  <c r="J100" i="108"/>
  <c r="K100" i="108"/>
  <c r="L100" i="108"/>
  <c r="M100" i="108"/>
  <c r="N100" i="108"/>
  <c r="D101" i="108"/>
  <c r="E101" i="108"/>
  <c r="E101" i="111" s="1"/>
  <c r="F101" i="108"/>
  <c r="G101" i="108"/>
  <c r="H101" i="108"/>
  <c r="I101" i="108"/>
  <c r="J101" i="108"/>
  <c r="K101" i="108"/>
  <c r="L101" i="108"/>
  <c r="M101" i="108"/>
  <c r="M101" i="111" s="1"/>
  <c r="N101" i="108"/>
  <c r="D102" i="108"/>
  <c r="E102" i="108"/>
  <c r="F102" i="108"/>
  <c r="G102" i="108"/>
  <c r="W33" i="108" s="1"/>
  <c r="H102" i="108"/>
  <c r="I102" i="108"/>
  <c r="J102" i="108"/>
  <c r="J102" i="111" s="1"/>
  <c r="K102" i="108"/>
  <c r="AA33" i="108" s="1"/>
  <c r="L102" i="108"/>
  <c r="M102" i="108"/>
  <c r="N102" i="108"/>
  <c r="D103" i="108"/>
  <c r="E103" i="108"/>
  <c r="F103" i="108"/>
  <c r="G103" i="108"/>
  <c r="G103" i="111" s="1"/>
  <c r="H103" i="108"/>
  <c r="I103" i="108"/>
  <c r="J103" i="108"/>
  <c r="K103" i="108"/>
  <c r="L103" i="108"/>
  <c r="M103" i="108"/>
  <c r="N103" i="108"/>
  <c r="D104" i="108"/>
  <c r="P104" i="108" s="1"/>
  <c r="E104" i="108"/>
  <c r="F104" i="108"/>
  <c r="G104" i="108"/>
  <c r="H104" i="108"/>
  <c r="I104" i="108"/>
  <c r="J104" i="108"/>
  <c r="K104" i="108"/>
  <c r="L104" i="108"/>
  <c r="L104" i="111" s="1"/>
  <c r="M104" i="108"/>
  <c r="N104" i="108"/>
  <c r="D105" i="108"/>
  <c r="E105" i="108"/>
  <c r="F105" i="108"/>
  <c r="G105" i="108"/>
  <c r="H105" i="108"/>
  <c r="I105" i="108"/>
  <c r="I105" i="111" s="1"/>
  <c r="J105" i="108"/>
  <c r="K105" i="108"/>
  <c r="L105" i="108"/>
  <c r="M105" i="108"/>
  <c r="N105" i="108"/>
  <c r="C59" i="108"/>
  <c r="C60" i="108"/>
  <c r="C61" i="108"/>
  <c r="C62" i="108"/>
  <c r="S23" i="108" s="1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D58" i="107"/>
  <c r="T22" i="107" s="1"/>
  <c r="E58" i="107"/>
  <c r="F58" i="107"/>
  <c r="G58" i="107"/>
  <c r="H58" i="107"/>
  <c r="X22" i="107" s="1"/>
  <c r="I58" i="107"/>
  <c r="J58" i="107"/>
  <c r="K58" i="107"/>
  <c r="L58" i="107"/>
  <c r="AB22" i="107" s="1"/>
  <c r="M58" i="107"/>
  <c r="N58" i="107"/>
  <c r="D59" i="107"/>
  <c r="E59" i="107"/>
  <c r="E59" i="111" s="1"/>
  <c r="F59" i="107"/>
  <c r="G59" i="107"/>
  <c r="H59" i="107"/>
  <c r="I59" i="107"/>
  <c r="I59" i="111" s="1"/>
  <c r="J59" i="107"/>
  <c r="K59" i="107"/>
  <c r="L59" i="107"/>
  <c r="M59" i="107"/>
  <c r="M59" i="111" s="1"/>
  <c r="N59" i="107"/>
  <c r="D60" i="107"/>
  <c r="E60" i="107"/>
  <c r="O60" i="107" s="1"/>
  <c r="F60" i="107"/>
  <c r="F60" i="111" s="1"/>
  <c r="G60" i="107"/>
  <c r="H60" i="107"/>
  <c r="I60" i="107"/>
  <c r="J60" i="107"/>
  <c r="J60" i="111" s="1"/>
  <c r="K60" i="107"/>
  <c r="L60" i="107"/>
  <c r="M60" i="107"/>
  <c r="N60" i="107"/>
  <c r="N60" i="111" s="1"/>
  <c r="D61" i="107"/>
  <c r="E61" i="107"/>
  <c r="F61" i="107"/>
  <c r="G61" i="107"/>
  <c r="G61" i="111" s="1"/>
  <c r="H61" i="107"/>
  <c r="I61" i="107"/>
  <c r="J61" i="107"/>
  <c r="K61" i="107"/>
  <c r="K61" i="111" s="1"/>
  <c r="L61" i="107"/>
  <c r="M61" i="107"/>
  <c r="N61" i="107"/>
  <c r="D62" i="107"/>
  <c r="T23" i="107" s="1"/>
  <c r="E62" i="107"/>
  <c r="F62" i="107"/>
  <c r="G62" i="107"/>
  <c r="H62" i="107"/>
  <c r="X23" i="107" s="1"/>
  <c r="I62" i="107"/>
  <c r="J62" i="107"/>
  <c r="K62" i="107"/>
  <c r="L62" i="107"/>
  <c r="AB23" i="107" s="1"/>
  <c r="M62" i="107"/>
  <c r="N62" i="107"/>
  <c r="D63" i="107"/>
  <c r="E63" i="107"/>
  <c r="U23" i="107" s="1"/>
  <c r="F63" i="107"/>
  <c r="G63" i="107"/>
  <c r="H63" i="107"/>
  <c r="I63" i="107"/>
  <c r="I63" i="111" s="1"/>
  <c r="J63" i="107"/>
  <c r="K63" i="107"/>
  <c r="L63" i="107"/>
  <c r="M63" i="107"/>
  <c r="M63" i="111" s="1"/>
  <c r="N63" i="107"/>
  <c r="D64" i="107"/>
  <c r="E64" i="107"/>
  <c r="F64" i="107"/>
  <c r="F64" i="111" s="1"/>
  <c r="G64" i="107"/>
  <c r="H64" i="107"/>
  <c r="I64" i="107"/>
  <c r="J64" i="107"/>
  <c r="J64" i="111" s="1"/>
  <c r="K64" i="107"/>
  <c r="L64" i="107"/>
  <c r="M64" i="107"/>
  <c r="N64" i="107"/>
  <c r="AD23" i="107" s="1"/>
  <c r="D65" i="107"/>
  <c r="E65" i="107"/>
  <c r="F65" i="107"/>
  <c r="O65" i="107" s="1"/>
  <c r="G65" i="107"/>
  <c r="G65" i="111" s="1"/>
  <c r="H65" i="107"/>
  <c r="I65" i="107"/>
  <c r="J65" i="107"/>
  <c r="K65" i="107"/>
  <c r="K65" i="111" s="1"/>
  <c r="L65" i="107"/>
  <c r="M65" i="107"/>
  <c r="N65" i="107"/>
  <c r="D66" i="107"/>
  <c r="T24" i="107" s="1"/>
  <c r="E66" i="107"/>
  <c r="F66" i="107"/>
  <c r="G66" i="107"/>
  <c r="H66" i="107"/>
  <c r="X24" i="107" s="1"/>
  <c r="I66" i="107"/>
  <c r="J66" i="107"/>
  <c r="K66" i="107"/>
  <c r="L66" i="107"/>
  <c r="AB24" i="107" s="1"/>
  <c r="M66" i="107"/>
  <c r="N66" i="107"/>
  <c r="D67" i="107"/>
  <c r="E67" i="107"/>
  <c r="E67" i="111" s="1"/>
  <c r="F67" i="107"/>
  <c r="G67" i="107"/>
  <c r="H67" i="107"/>
  <c r="I67" i="107"/>
  <c r="I67" i="111" s="1"/>
  <c r="J67" i="107"/>
  <c r="K67" i="107"/>
  <c r="L67" i="107"/>
  <c r="M67" i="107"/>
  <c r="M67" i="111" s="1"/>
  <c r="N67" i="107"/>
  <c r="D68" i="107"/>
  <c r="E68" i="107"/>
  <c r="F68" i="107"/>
  <c r="F68" i="111" s="1"/>
  <c r="G68" i="107"/>
  <c r="H68" i="107"/>
  <c r="I68" i="107"/>
  <c r="J68" i="107"/>
  <c r="J68" i="111" s="1"/>
  <c r="K68" i="107"/>
  <c r="L68" i="107"/>
  <c r="M68" i="107"/>
  <c r="N68" i="107"/>
  <c r="N68" i="111" s="1"/>
  <c r="D69" i="107"/>
  <c r="E69" i="107"/>
  <c r="F69" i="107"/>
  <c r="G69" i="107"/>
  <c r="G69" i="111" s="1"/>
  <c r="H69" i="107"/>
  <c r="I69" i="107"/>
  <c r="J69" i="107"/>
  <c r="K69" i="107"/>
  <c r="K69" i="111" s="1"/>
  <c r="L69" i="107"/>
  <c r="M69" i="107"/>
  <c r="N69" i="107"/>
  <c r="D70" i="107"/>
  <c r="T25" i="107" s="1"/>
  <c r="E70" i="107"/>
  <c r="F70" i="107"/>
  <c r="G70" i="107"/>
  <c r="H70" i="107"/>
  <c r="X25" i="107" s="1"/>
  <c r="I70" i="107"/>
  <c r="J70" i="107"/>
  <c r="K70" i="107"/>
  <c r="L70" i="107"/>
  <c r="AB25" i="107" s="1"/>
  <c r="M70" i="107"/>
  <c r="N70" i="107"/>
  <c r="D71" i="107"/>
  <c r="E71" i="107"/>
  <c r="E71" i="111" s="1"/>
  <c r="F71" i="107"/>
  <c r="G71" i="107"/>
  <c r="H71" i="107"/>
  <c r="I71" i="107"/>
  <c r="Y25" i="107" s="1"/>
  <c r="J71" i="107"/>
  <c r="K71" i="107"/>
  <c r="L71" i="107"/>
  <c r="M71" i="107"/>
  <c r="M71" i="111" s="1"/>
  <c r="N71" i="107"/>
  <c r="D72" i="107"/>
  <c r="E72" i="107"/>
  <c r="O72" i="107" s="1"/>
  <c r="F72" i="107"/>
  <c r="F72" i="111" s="1"/>
  <c r="G72" i="107"/>
  <c r="H72" i="107"/>
  <c r="I72" i="107"/>
  <c r="J72" i="107"/>
  <c r="J72" i="111" s="1"/>
  <c r="K72" i="107"/>
  <c r="L72" i="107"/>
  <c r="M72" i="107"/>
  <c r="N72" i="107"/>
  <c r="N72" i="111" s="1"/>
  <c r="D73" i="107"/>
  <c r="E73" i="107"/>
  <c r="F73" i="107"/>
  <c r="G73" i="107"/>
  <c r="G73" i="111" s="1"/>
  <c r="H73" i="107"/>
  <c r="I73" i="107"/>
  <c r="J73" i="107"/>
  <c r="K73" i="107"/>
  <c r="K73" i="111" s="1"/>
  <c r="L73" i="107"/>
  <c r="M73" i="107"/>
  <c r="N73" i="107"/>
  <c r="D74" i="107"/>
  <c r="D74" i="111" s="1"/>
  <c r="E74" i="107"/>
  <c r="F74" i="107"/>
  <c r="G74" i="107"/>
  <c r="H74" i="107"/>
  <c r="X26" i="107" s="1"/>
  <c r="I74" i="107"/>
  <c r="J74" i="107"/>
  <c r="K74" i="107"/>
  <c r="L74" i="107"/>
  <c r="AB26" i="107" s="1"/>
  <c r="M74" i="107"/>
  <c r="N74" i="107"/>
  <c r="D75" i="107"/>
  <c r="E75" i="107"/>
  <c r="U26" i="107" s="1"/>
  <c r="F75" i="107"/>
  <c r="G75" i="107"/>
  <c r="H75" i="107"/>
  <c r="I75" i="107"/>
  <c r="I75" i="111" s="1"/>
  <c r="J75" i="107"/>
  <c r="K75" i="107"/>
  <c r="L75" i="107"/>
  <c r="M75" i="107"/>
  <c r="M75" i="111" s="1"/>
  <c r="N75" i="107"/>
  <c r="D76" i="107"/>
  <c r="E76" i="107"/>
  <c r="F76" i="107"/>
  <c r="F76" i="111" s="1"/>
  <c r="G76" i="107"/>
  <c r="H76" i="107"/>
  <c r="I76" i="107"/>
  <c r="J76" i="107"/>
  <c r="J76" i="111" s="1"/>
  <c r="K76" i="107"/>
  <c r="L76" i="107"/>
  <c r="M76" i="107"/>
  <c r="N76" i="107"/>
  <c r="N76" i="111" s="1"/>
  <c r="D77" i="107"/>
  <c r="E77" i="107"/>
  <c r="F77" i="107"/>
  <c r="G77" i="107"/>
  <c r="G77" i="111" s="1"/>
  <c r="H77" i="107"/>
  <c r="I77" i="107"/>
  <c r="J77" i="107"/>
  <c r="K77" i="107"/>
  <c r="K77" i="111" s="1"/>
  <c r="L77" i="107"/>
  <c r="M77" i="107"/>
  <c r="N77" i="107"/>
  <c r="D78" i="107"/>
  <c r="T27" i="107" s="1"/>
  <c r="E78" i="107"/>
  <c r="F78" i="107"/>
  <c r="G78" i="107"/>
  <c r="H78" i="107"/>
  <c r="X27" i="107" s="1"/>
  <c r="I78" i="107"/>
  <c r="J78" i="107"/>
  <c r="K78" i="107"/>
  <c r="L78" i="107"/>
  <c r="M78" i="107"/>
  <c r="N78" i="107"/>
  <c r="D79" i="107"/>
  <c r="E79" i="107"/>
  <c r="E79" i="111" s="1"/>
  <c r="F79" i="107"/>
  <c r="G79" i="107"/>
  <c r="H79" i="107"/>
  <c r="I79" i="107"/>
  <c r="I79" i="111" s="1"/>
  <c r="J79" i="107"/>
  <c r="K79" i="107"/>
  <c r="L79" i="107"/>
  <c r="M79" i="107"/>
  <c r="N79" i="107"/>
  <c r="D80" i="107"/>
  <c r="E80" i="107"/>
  <c r="F80" i="107"/>
  <c r="F80" i="111" s="1"/>
  <c r="G80" i="107"/>
  <c r="H80" i="107"/>
  <c r="I80" i="107"/>
  <c r="J80" i="107"/>
  <c r="J80" i="111" s="1"/>
  <c r="K80" i="107"/>
  <c r="L80" i="107"/>
  <c r="M80" i="107"/>
  <c r="N80" i="107"/>
  <c r="N80" i="111" s="1"/>
  <c r="D81" i="107"/>
  <c r="E81" i="107"/>
  <c r="F81" i="107"/>
  <c r="G81" i="107"/>
  <c r="G81" i="111" s="1"/>
  <c r="H81" i="107"/>
  <c r="I81" i="107"/>
  <c r="J81" i="107"/>
  <c r="K81" i="107"/>
  <c r="K81" i="111" s="1"/>
  <c r="L81" i="107"/>
  <c r="M81" i="107"/>
  <c r="N81" i="107"/>
  <c r="D82" i="107"/>
  <c r="E82" i="107"/>
  <c r="F82" i="107"/>
  <c r="G82" i="107"/>
  <c r="H82" i="107"/>
  <c r="H82" i="111" s="1"/>
  <c r="I82" i="107"/>
  <c r="J82" i="107"/>
  <c r="K82" i="107"/>
  <c r="L82" i="107"/>
  <c r="M82" i="107"/>
  <c r="N82" i="107"/>
  <c r="D83" i="107"/>
  <c r="E83" i="107"/>
  <c r="E83" i="111" s="1"/>
  <c r="F83" i="107"/>
  <c r="G83" i="107"/>
  <c r="H83" i="107"/>
  <c r="I83" i="107"/>
  <c r="J83" i="107"/>
  <c r="K83" i="107"/>
  <c r="L83" i="107"/>
  <c r="M83" i="107"/>
  <c r="M83" i="111" s="1"/>
  <c r="N83" i="107"/>
  <c r="D84" i="107"/>
  <c r="E84" i="107"/>
  <c r="F84" i="107"/>
  <c r="F84" i="111" s="1"/>
  <c r="G84" i="107"/>
  <c r="H84" i="107"/>
  <c r="I84" i="107"/>
  <c r="J84" i="107"/>
  <c r="J84" i="111" s="1"/>
  <c r="K84" i="107"/>
  <c r="L84" i="107"/>
  <c r="M84" i="107"/>
  <c r="N84" i="107"/>
  <c r="N84" i="111" s="1"/>
  <c r="D85" i="107"/>
  <c r="E85" i="107"/>
  <c r="F85" i="107"/>
  <c r="G85" i="107"/>
  <c r="G85" i="111" s="1"/>
  <c r="H85" i="107"/>
  <c r="I85" i="107"/>
  <c r="J85" i="107"/>
  <c r="K85" i="107"/>
  <c r="K85" i="111" s="1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E87" i="111" s="1"/>
  <c r="F87" i="107"/>
  <c r="G87" i="107"/>
  <c r="H87" i="107"/>
  <c r="I87" i="107"/>
  <c r="I87" i="111" s="1"/>
  <c r="J87" i="107"/>
  <c r="K87" i="107"/>
  <c r="L87" i="107"/>
  <c r="M87" i="107"/>
  <c r="M87" i="111" s="1"/>
  <c r="N87" i="107"/>
  <c r="D88" i="107"/>
  <c r="E88" i="107"/>
  <c r="O88" i="107" s="1"/>
  <c r="F88" i="107"/>
  <c r="F88" i="111" s="1"/>
  <c r="G88" i="107"/>
  <c r="H88" i="107"/>
  <c r="I88" i="107"/>
  <c r="J88" i="107"/>
  <c r="K88" i="107"/>
  <c r="L88" i="107"/>
  <c r="M88" i="107"/>
  <c r="N88" i="107"/>
  <c r="N88" i="111" s="1"/>
  <c r="D89" i="107"/>
  <c r="E89" i="107"/>
  <c r="F89" i="107"/>
  <c r="G89" i="107"/>
  <c r="G89" i="111" s="1"/>
  <c r="H89" i="107"/>
  <c r="I89" i="107"/>
  <c r="J89" i="107"/>
  <c r="K89" i="107"/>
  <c r="K89" i="111" s="1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E91" i="111" s="1"/>
  <c r="F91" i="107"/>
  <c r="G91" i="107"/>
  <c r="H91" i="107"/>
  <c r="I91" i="107"/>
  <c r="I91" i="111" s="1"/>
  <c r="J91" i="107"/>
  <c r="K91" i="107"/>
  <c r="L91" i="107"/>
  <c r="M91" i="107"/>
  <c r="M91" i="111" s="1"/>
  <c r="N91" i="107"/>
  <c r="D92" i="107"/>
  <c r="E92" i="107"/>
  <c r="P92" i="107" s="1"/>
  <c r="F92" i="107"/>
  <c r="F92" i="111" s="1"/>
  <c r="G92" i="107"/>
  <c r="H92" i="107"/>
  <c r="I92" i="107"/>
  <c r="J92" i="107"/>
  <c r="J92" i="111" s="1"/>
  <c r="K92" i="107"/>
  <c r="L92" i="107"/>
  <c r="M92" i="107"/>
  <c r="N92" i="107"/>
  <c r="N92" i="111" s="1"/>
  <c r="D93" i="107"/>
  <c r="E93" i="107"/>
  <c r="F93" i="107"/>
  <c r="G93" i="107"/>
  <c r="G93" i="111" s="1"/>
  <c r="H93" i="107"/>
  <c r="I93" i="107"/>
  <c r="J93" i="107"/>
  <c r="K93" i="107"/>
  <c r="K93" i="111" s="1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E95" i="111" s="1"/>
  <c r="F95" i="107"/>
  <c r="G95" i="107"/>
  <c r="H95" i="107"/>
  <c r="I95" i="107"/>
  <c r="I95" i="111" s="1"/>
  <c r="J95" i="107"/>
  <c r="K95" i="107"/>
  <c r="L95" i="107"/>
  <c r="M95" i="107"/>
  <c r="M95" i="111" s="1"/>
  <c r="N95" i="107"/>
  <c r="D96" i="107"/>
  <c r="E96" i="107"/>
  <c r="F96" i="107"/>
  <c r="F96" i="111" s="1"/>
  <c r="G96" i="107"/>
  <c r="H96" i="107"/>
  <c r="I96" i="107"/>
  <c r="J96" i="107"/>
  <c r="J96" i="111" s="1"/>
  <c r="K96" i="107"/>
  <c r="L96" i="107"/>
  <c r="M96" i="107"/>
  <c r="N96" i="107"/>
  <c r="D97" i="107"/>
  <c r="E97" i="107"/>
  <c r="F97" i="107"/>
  <c r="G97" i="107"/>
  <c r="G97" i="111" s="1"/>
  <c r="H97" i="107"/>
  <c r="I97" i="107"/>
  <c r="J97" i="107"/>
  <c r="K97" i="107"/>
  <c r="K97" i="111" s="1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E99" i="111" s="1"/>
  <c r="F99" i="107"/>
  <c r="G99" i="107"/>
  <c r="H99" i="107"/>
  <c r="I99" i="107"/>
  <c r="I99" i="111" s="1"/>
  <c r="J99" i="107"/>
  <c r="K99" i="107"/>
  <c r="L99" i="107"/>
  <c r="M99" i="107"/>
  <c r="M99" i="111" s="1"/>
  <c r="N99" i="107"/>
  <c r="D100" i="107"/>
  <c r="E100" i="107"/>
  <c r="F100" i="107"/>
  <c r="F100" i="111" s="1"/>
  <c r="G100" i="107"/>
  <c r="H100" i="107"/>
  <c r="I100" i="107"/>
  <c r="J100" i="107"/>
  <c r="J100" i="111" s="1"/>
  <c r="K100" i="107"/>
  <c r="L100" i="107"/>
  <c r="M100" i="107"/>
  <c r="N100" i="107"/>
  <c r="N100" i="111" s="1"/>
  <c r="D101" i="107"/>
  <c r="E101" i="107"/>
  <c r="F101" i="107"/>
  <c r="G101" i="107"/>
  <c r="G101" i="111" s="1"/>
  <c r="H101" i="107"/>
  <c r="I101" i="107"/>
  <c r="J101" i="107"/>
  <c r="K101" i="107"/>
  <c r="K101" i="111" s="1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E103" i="111" s="1"/>
  <c r="F103" i="107"/>
  <c r="G103" i="107"/>
  <c r="H103" i="107"/>
  <c r="I103" i="107"/>
  <c r="I103" i="111" s="1"/>
  <c r="J103" i="107"/>
  <c r="K103" i="107"/>
  <c r="L103" i="107"/>
  <c r="M103" i="107"/>
  <c r="M103" i="111" s="1"/>
  <c r="N103" i="107"/>
  <c r="D104" i="107"/>
  <c r="E104" i="107"/>
  <c r="F104" i="107"/>
  <c r="F104" i="111" s="1"/>
  <c r="G104" i="107"/>
  <c r="H104" i="107"/>
  <c r="I104" i="107"/>
  <c r="J104" i="107"/>
  <c r="J104" i="111" s="1"/>
  <c r="K104" i="107"/>
  <c r="L104" i="107"/>
  <c r="M104" i="107"/>
  <c r="N104" i="107"/>
  <c r="N104" i="111" s="1"/>
  <c r="D105" i="107"/>
  <c r="E105" i="107"/>
  <c r="F105" i="107"/>
  <c r="G105" i="107"/>
  <c r="G105" i="111" s="1"/>
  <c r="H105" i="107"/>
  <c r="I105" i="107"/>
  <c r="J105" i="107"/>
  <c r="K105" i="107"/>
  <c r="K105" i="111" s="1"/>
  <c r="L105" i="107"/>
  <c r="M105" i="107"/>
  <c r="N105" i="107"/>
  <c r="C59" i="107"/>
  <c r="C60" i="107"/>
  <c r="C61" i="107"/>
  <c r="C62" i="107"/>
  <c r="S23" i="107" s="1"/>
  <c r="C63" i="107"/>
  <c r="O63" i="107" s="1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8"/>
  <c r="C58" i="107"/>
  <c r="AD28" i="111" l="1"/>
  <c r="P103" i="107"/>
  <c r="O103" i="107"/>
  <c r="C103" i="111"/>
  <c r="P91" i="107"/>
  <c r="O91" i="107"/>
  <c r="C91" i="111"/>
  <c r="P83" i="107"/>
  <c r="O83" i="107"/>
  <c r="C83" i="111"/>
  <c r="P75" i="107"/>
  <c r="O75" i="107"/>
  <c r="C75" i="111"/>
  <c r="P67" i="107"/>
  <c r="O67" i="107"/>
  <c r="C67" i="111"/>
  <c r="P59" i="107"/>
  <c r="O59" i="107"/>
  <c r="C59" i="111"/>
  <c r="X33" i="107"/>
  <c r="H102" i="111"/>
  <c r="X32" i="107"/>
  <c r="H98" i="111"/>
  <c r="T32" i="107"/>
  <c r="D98" i="111"/>
  <c r="X31" i="107"/>
  <c r="H94" i="111"/>
  <c r="X31" i="111" s="1"/>
  <c r="T31" i="107"/>
  <c r="D94" i="111"/>
  <c r="X30" i="107"/>
  <c r="H90" i="111"/>
  <c r="X30" i="111" s="1"/>
  <c r="AB29" i="107"/>
  <c r="L86" i="111"/>
  <c r="T29" i="107"/>
  <c r="D86" i="111"/>
  <c r="AB28" i="107"/>
  <c r="L82" i="111"/>
  <c r="AB27" i="107"/>
  <c r="L78" i="111"/>
  <c r="S33" i="108"/>
  <c r="P102" i="108"/>
  <c r="O102" i="108"/>
  <c r="S32" i="108"/>
  <c r="P98" i="108"/>
  <c r="O98" i="108"/>
  <c r="S30" i="108"/>
  <c r="P90" i="108"/>
  <c r="AF30" i="108" s="1"/>
  <c r="O90" i="108"/>
  <c r="S28" i="108"/>
  <c r="P82" i="108"/>
  <c r="O82" i="108"/>
  <c r="AE28" i="108" s="1"/>
  <c r="S26" i="108"/>
  <c r="P74" i="108"/>
  <c r="O74" i="108"/>
  <c r="S24" i="108"/>
  <c r="P66" i="108"/>
  <c r="O66" i="108"/>
  <c r="O105" i="111"/>
  <c r="O73" i="111"/>
  <c r="AD29" i="111"/>
  <c r="Y22" i="111"/>
  <c r="O58" i="107"/>
  <c r="O68" i="107"/>
  <c r="O84" i="107"/>
  <c r="O100" i="107"/>
  <c r="O100" i="108"/>
  <c r="AA27" i="107"/>
  <c r="AC31" i="107"/>
  <c r="S33" i="107"/>
  <c r="P102" i="107"/>
  <c r="C102" i="111"/>
  <c r="O102" i="107"/>
  <c r="S31" i="107"/>
  <c r="P94" i="107"/>
  <c r="C94" i="111"/>
  <c r="O94" i="107"/>
  <c r="P90" i="107"/>
  <c r="C90" i="111"/>
  <c r="S30" i="107"/>
  <c r="O90" i="107"/>
  <c r="P82" i="107"/>
  <c r="C82" i="111"/>
  <c r="S28" i="107"/>
  <c r="O82" i="107"/>
  <c r="S26" i="107"/>
  <c r="P74" i="107"/>
  <c r="C74" i="111"/>
  <c r="O74" i="107"/>
  <c r="S24" i="107"/>
  <c r="C66" i="111"/>
  <c r="P66" i="107"/>
  <c r="N105" i="111"/>
  <c r="AD33" i="111" s="1"/>
  <c r="F105" i="111"/>
  <c r="I104" i="111"/>
  <c r="Y33" i="111" s="1"/>
  <c r="E104" i="111"/>
  <c r="O104" i="111" s="1"/>
  <c r="H103" i="111"/>
  <c r="W33" i="107"/>
  <c r="G102" i="111"/>
  <c r="W33" i="111" s="1"/>
  <c r="N101" i="111"/>
  <c r="F101" i="111"/>
  <c r="I100" i="111"/>
  <c r="L99" i="111"/>
  <c r="D99" i="111"/>
  <c r="G98" i="111"/>
  <c r="W32" i="111" s="1"/>
  <c r="W32" i="107"/>
  <c r="J97" i="111"/>
  <c r="M96" i="111"/>
  <c r="E96" i="111"/>
  <c r="H95" i="111"/>
  <c r="AA31" i="107"/>
  <c r="K94" i="111"/>
  <c r="AA31" i="111" s="1"/>
  <c r="N93" i="111"/>
  <c r="F93" i="111"/>
  <c r="I92" i="111"/>
  <c r="L91" i="111"/>
  <c r="D91" i="111"/>
  <c r="N89" i="111"/>
  <c r="F89" i="111"/>
  <c r="P89" i="111" s="1"/>
  <c r="I88" i="111"/>
  <c r="Y29" i="111" s="1"/>
  <c r="L87" i="111"/>
  <c r="D87" i="111"/>
  <c r="W29" i="107"/>
  <c r="G86" i="111"/>
  <c r="W29" i="111" s="1"/>
  <c r="J85" i="111"/>
  <c r="M84" i="111"/>
  <c r="E84" i="111"/>
  <c r="U28" i="111" s="1"/>
  <c r="H83" i="111"/>
  <c r="AA28" i="107"/>
  <c r="K82" i="111"/>
  <c r="AA28" i="111" s="1"/>
  <c r="W28" i="107"/>
  <c r="G82" i="111"/>
  <c r="W28" i="111" s="1"/>
  <c r="J81" i="111"/>
  <c r="M80" i="111"/>
  <c r="E80" i="111"/>
  <c r="U27" i="111" s="1"/>
  <c r="L79" i="111"/>
  <c r="D79" i="111"/>
  <c r="K78" i="111"/>
  <c r="AA27" i="111" s="1"/>
  <c r="W27" i="107"/>
  <c r="G78" i="111"/>
  <c r="W27" i="111" s="1"/>
  <c r="J77" i="111"/>
  <c r="F77" i="111"/>
  <c r="I76" i="111"/>
  <c r="E76" i="111"/>
  <c r="L75" i="111"/>
  <c r="D75" i="111"/>
  <c r="T26" i="111" s="1"/>
  <c r="AA26" i="107"/>
  <c r="K74" i="111"/>
  <c r="AA26" i="111" s="1"/>
  <c r="N73" i="111"/>
  <c r="F73" i="111"/>
  <c r="I72" i="111"/>
  <c r="Y25" i="111" s="1"/>
  <c r="L71" i="111"/>
  <c r="D71" i="111"/>
  <c r="AA25" i="107"/>
  <c r="K70" i="111"/>
  <c r="N69" i="111"/>
  <c r="F69" i="111"/>
  <c r="I68" i="111"/>
  <c r="L67" i="111"/>
  <c r="D67" i="111"/>
  <c r="W24" i="107"/>
  <c r="G66" i="111"/>
  <c r="J65" i="111"/>
  <c r="M64" i="111"/>
  <c r="P64" i="111" s="1"/>
  <c r="E64" i="111"/>
  <c r="H63" i="111"/>
  <c r="AA23" i="107"/>
  <c r="K62" i="111"/>
  <c r="W23" i="107"/>
  <c r="G62" i="111"/>
  <c r="J61" i="111"/>
  <c r="M60" i="111"/>
  <c r="AC22" i="111" s="1"/>
  <c r="L59" i="111"/>
  <c r="D59" i="111"/>
  <c r="G58" i="111"/>
  <c r="P101" i="108"/>
  <c r="O101" i="108"/>
  <c r="P93" i="108"/>
  <c r="O93" i="108"/>
  <c r="P85" i="108"/>
  <c r="O85" i="108"/>
  <c r="P77" i="108"/>
  <c r="O77" i="108"/>
  <c r="P69" i="108"/>
  <c r="O69" i="108"/>
  <c r="P65" i="108"/>
  <c r="O65" i="108"/>
  <c r="P61" i="108"/>
  <c r="O61" i="108"/>
  <c r="AD33" i="108"/>
  <c r="V33" i="108"/>
  <c r="AD32" i="108"/>
  <c r="V32" i="108"/>
  <c r="Z31" i="108"/>
  <c r="AD30" i="108"/>
  <c r="V30" i="108"/>
  <c r="AD29" i="108"/>
  <c r="V29" i="108"/>
  <c r="Z28" i="108"/>
  <c r="V27" i="108"/>
  <c r="Z26" i="108"/>
  <c r="Z25" i="108"/>
  <c r="Z24" i="108"/>
  <c r="Z23" i="108"/>
  <c r="AD22" i="108"/>
  <c r="Z22" i="108"/>
  <c r="AC31" i="111"/>
  <c r="D78" i="111"/>
  <c r="T27" i="111" s="1"/>
  <c r="H74" i="111"/>
  <c r="X26" i="111" s="1"/>
  <c r="I71" i="111"/>
  <c r="D70" i="111"/>
  <c r="L62" i="111"/>
  <c r="AB23" i="111" s="1"/>
  <c r="H58" i="111"/>
  <c r="P76" i="107"/>
  <c r="W22" i="107"/>
  <c r="X28" i="107"/>
  <c r="V31" i="107"/>
  <c r="F78" i="111"/>
  <c r="I77" i="111"/>
  <c r="E77" i="111"/>
  <c r="L76" i="111"/>
  <c r="H76" i="111"/>
  <c r="D76" i="111"/>
  <c r="K75" i="111"/>
  <c r="G75" i="111"/>
  <c r="M73" i="111"/>
  <c r="I73" i="111"/>
  <c r="E73" i="111"/>
  <c r="P73" i="111" s="1"/>
  <c r="L72" i="111"/>
  <c r="P72" i="111" s="1"/>
  <c r="H72" i="111"/>
  <c r="D72" i="111"/>
  <c r="K71" i="111"/>
  <c r="G71" i="111"/>
  <c r="AD25" i="107"/>
  <c r="M69" i="111"/>
  <c r="I69" i="111"/>
  <c r="Y24" i="111" s="1"/>
  <c r="E69" i="111"/>
  <c r="L68" i="111"/>
  <c r="H68" i="111"/>
  <c r="D68" i="111"/>
  <c r="K67" i="111"/>
  <c r="G67" i="111"/>
  <c r="M65" i="111"/>
  <c r="I65" i="111"/>
  <c r="E65" i="111"/>
  <c r="P65" i="111" s="1"/>
  <c r="L64" i="111"/>
  <c r="H64" i="111"/>
  <c r="D64" i="111"/>
  <c r="K63" i="111"/>
  <c r="G63" i="111"/>
  <c r="N62" i="111"/>
  <c r="Z23" i="107"/>
  <c r="M61" i="111"/>
  <c r="I61" i="111"/>
  <c r="E61" i="111"/>
  <c r="L60" i="111"/>
  <c r="H60" i="111"/>
  <c r="D60" i="111"/>
  <c r="K59" i="111"/>
  <c r="G59" i="111"/>
  <c r="AC28" i="108"/>
  <c r="Y26" i="108"/>
  <c r="U24" i="108"/>
  <c r="C101" i="111"/>
  <c r="C93" i="111"/>
  <c r="C85" i="111"/>
  <c r="C77" i="111"/>
  <c r="C69" i="111"/>
  <c r="C61" i="111"/>
  <c r="D104" i="111"/>
  <c r="P104" i="111" s="1"/>
  <c r="N98" i="111"/>
  <c r="F98" i="111"/>
  <c r="V32" i="111" s="1"/>
  <c r="D96" i="111"/>
  <c r="P96" i="111" s="1"/>
  <c r="J94" i="111"/>
  <c r="N90" i="111"/>
  <c r="AD30" i="111" s="1"/>
  <c r="F90" i="111"/>
  <c r="V30" i="111" s="1"/>
  <c r="D88" i="111"/>
  <c r="P88" i="111" s="1"/>
  <c r="D80" i="111"/>
  <c r="P80" i="111" s="1"/>
  <c r="AC26" i="111"/>
  <c r="U26" i="111"/>
  <c r="Y23" i="111"/>
  <c r="O80" i="107"/>
  <c r="O96" i="107"/>
  <c r="O104" i="107"/>
  <c r="O64" i="108"/>
  <c r="O72" i="108"/>
  <c r="O80" i="108"/>
  <c r="O88" i="108"/>
  <c r="O96" i="108"/>
  <c r="O104" i="108"/>
  <c r="O64" i="111"/>
  <c r="O96" i="111"/>
  <c r="T26" i="107"/>
  <c r="Y29" i="107"/>
  <c r="S22" i="108"/>
  <c r="P58" i="108"/>
  <c r="O58" i="108"/>
  <c r="P99" i="107"/>
  <c r="O99" i="107"/>
  <c r="C99" i="111"/>
  <c r="P95" i="107"/>
  <c r="O95" i="107"/>
  <c r="C95" i="111"/>
  <c r="P87" i="107"/>
  <c r="O87" i="107"/>
  <c r="C87" i="111"/>
  <c r="P79" i="107"/>
  <c r="O79" i="107"/>
  <c r="C79" i="111"/>
  <c r="P71" i="107"/>
  <c r="O71" i="107"/>
  <c r="C71" i="111"/>
  <c r="P63" i="107"/>
  <c r="C63" i="111"/>
  <c r="AB33" i="107"/>
  <c r="L102" i="111"/>
  <c r="T33" i="107"/>
  <c r="D102" i="111"/>
  <c r="T33" i="111" s="1"/>
  <c r="AB32" i="107"/>
  <c r="L98" i="111"/>
  <c r="N96" i="111"/>
  <c r="AD31" i="107"/>
  <c r="AB31" i="107"/>
  <c r="L94" i="111"/>
  <c r="L90" i="111"/>
  <c r="AB30" i="107"/>
  <c r="T30" i="107"/>
  <c r="D90" i="111"/>
  <c r="T30" i="111" s="1"/>
  <c r="Z29" i="107"/>
  <c r="J88" i="111"/>
  <c r="Z29" i="111" s="1"/>
  <c r="X29" i="107"/>
  <c r="H86" i="111"/>
  <c r="I83" i="111"/>
  <c r="Y28" i="111" s="1"/>
  <c r="Y28" i="107"/>
  <c r="X28" i="111"/>
  <c r="T28" i="107"/>
  <c r="D82" i="111"/>
  <c r="AC27" i="107"/>
  <c r="M79" i="111"/>
  <c r="AC27" i="111" s="1"/>
  <c r="P94" i="108"/>
  <c r="S31" i="108"/>
  <c r="O94" i="108"/>
  <c r="S29" i="108"/>
  <c r="P86" i="108"/>
  <c r="O86" i="108"/>
  <c r="S27" i="108"/>
  <c r="P78" i="108"/>
  <c r="AF27" i="108" s="1"/>
  <c r="O78" i="108"/>
  <c r="S25" i="108"/>
  <c r="P70" i="108"/>
  <c r="O70" i="108"/>
  <c r="P62" i="108"/>
  <c r="O62" i="108"/>
  <c r="V33" i="111"/>
  <c r="Z30" i="111"/>
  <c r="V29" i="111"/>
  <c r="Z28" i="111"/>
  <c r="Y26" i="111"/>
  <c r="U25" i="111"/>
  <c r="P62" i="107"/>
  <c r="O76" i="107"/>
  <c r="O92" i="107"/>
  <c r="AA24" i="107"/>
  <c r="C58" i="111"/>
  <c r="S32" i="107"/>
  <c r="P98" i="107"/>
  <c r="C98" i="111"/>
  <c r="O98" i="107"/>
  <c r="AE32" i="107" s="1"/>
  <c r="S29" i="107"/>
  <c r="P86" i="107"/>
  <c r="C86" i="111"/>
  <c r="O86" i="107"/>
  <c r="S27" i="107"/>
  <c r="P78" i="107"/>
  <c r="C78" i="111"/>
  <c r="O78" i="107"/>
  <c r="S25" i="107"/>
  <c r="P70" i="107"/>
  <c r="C70" i="111"/>
  <c r="O70" i="107"/>
  <c r="O62" i="107"/>
  <c r="C62" i="111"/>
  <c r="J105" i="111"/>
  <c r="Z33" i="111" s="1"/>
  <c r="M104" i="111"/>
  <c r="AC33" i="111" s="1"/>
  <c r="L103" i="111"/>
  <c r="D103" i="111"/>
  <c r="AA33" i="107"/>
  <c r="K102" i="111"/>
  <c r="AA33" i="111" s="1"/>
  <c r="J101" i="111"/>
  <c r="Z32" i="111" s="1"/>
  <c r="M100" i="111"/>
  <c r="E100" i="111"/>
  <c r="P100" i="111" s="1"/>
  <c r="H99" i="111"/>
  <c r="AA32" i="107"/>
  <c r="K98" i="111"/>
  <c r="AA32" i="111" s="1"/>
  <c r="N97" i="111"/>
  <c r="AD31" i="111" s="1"/>
  <c r="F97" i="111"/>
  <c r="O97" i="111" s="1"/>
  <c r="I96" i="111"/>
  <c r="L95" i="111"/>
  <c r="D95" i="111"/>
  <c r="W31" i="107"/>
  <c r="G94" i="111"/>
  <c r="W31" i="111" s="1"/>
  <c r="J93" i="111"/>
  <c r="M92" i="111"/>
  <c r="AC30" i="111" s="1"/>
  <c r="E92" i="111"/>
  <c r="O92" i="111" s="1"/>
  <c r="H91" i="111"/>
  <c r="K90" i="111"/>
  <c r="AA30" i="111" s="1"/>
  <c r="W30" i="107"/>
  <c r="G90" i="111"/>
  <c r="W30" i="111" s="1"/>
  <c r="J89" i="111"/>
  <c r="M88" i="111"/>
  <c r="AC29" i="111" s="1"/>
  <c r="E88" i="111"/>
  <c r="H87" i="111"/>
  <c r="AA29" i="107"/>
  <c r="K86" i="111"/>
  <c r="AA29" i="111" s="1"/>
  <c r="N85" i="111"/>
  <c r="F85" i="111"/>
  <c r="V28" i="111" s="1"/>
  <c r="I84" i="111"/>
  <c r="L83" i="111"/>
  <c r="D83" i="111"/>
  <c r="N81" i="111"/>
  <c r="AD27" i="111" s="1"/>
  <c r="F81" i="111"/>
  <c r="P81" i="111" s="1"/>
  <c r="I80" i="111"/>
  <c r="Y27" i="111" s="1"/>
  <c r="H79" i="111"/>
  <c r="N77" i="111"/>
  <c r="M76" i="111"/>
  <c r="H75" i="111"/>
  <c r="W26" i="107"/>
  <c r="G74" i="111"/>
  <c r="W26" i="111" s="1"/>
  <c r="J73" i="111"/>
  <c r="M72" i="111"/>
  <c r="AC25" i="111" s="1"/>
  <c r="E72" i="111"/>
  <c r="O72" i="111" s="1"/>
  <c r="H71" i="111"/>
  <c r="G70" i="111"/>
  <c r="J69" i="111"/>
  <c r="M68" i="111"/>
  <c r="AC24" i="111" s="1"/>
  <c r="E68" i="111"/>
  <c r="U24" i="111" s="1"/>
  <c r="H67" i="111"/>
  <c r="K66" i="111"/>
  <c r="N65" i="111"/>
  <c r="F65" i="111"/>
  <c r="O65" i="111" s="1"/>
  <c r="I64" i="111"/>
  <c r="L63" i="111"/>
  <c r="D63" i="111"/>
  <c r="N61" i="111"/>
  <c r="F61" i="111"/>
  <c r="I60" i="111"/>
  <c r="E60" i="111"/>
  <c r="U22" i="111" s="1"/>
  <c r="H59" i="111"/>
  <c r="AA22" i="107"/>
  <c r="K58" i="111"/>
  <c r="AA22" i="111" s="1"/>
  <c r="P105" i="108"/>
  <c r="O105" i="108"/>
  <c r="P97" i="108"/>
  <c r="O97" i="108"/>
  <c r="P89" i="108"/>
  <c r="O89" i="108"/>
  <c r="P81" i="108"/>
  <c r="O81" i="108"/>
  <c r="P73" i="108"/>
  <c r="O73" i="108"/>
  <c r="Z33" i="108"/>
  <c r="Z32" i="108"/>
  <c r="AD31" i="108"/>
  <c r="V31" i="108"/>
  <c r="Z30" i="108"/>
  <c r="Z29" i="108"/>
  <c r="AD28" i="108"/>
  <c r="V28" i="108"/>
  <c r="AD27" i="108"/>
  <c r="Z27" i="108"/>
  <c r="AD26" i="108"/>
  <c r="V26" i="108"/>
  <c r="AD25" i="108"/>
  <c r="V25" i="108"/>
  <c r="AD24" i="108"/>
  <c r="V24" i="108"/>
  <c r="AD23" i="108"/>
  <c r="V23" i="108"/>
  <c r="V22" i="108"/>
  <c r="U33" i="111"/>
  <c r="Y32" i="111"/>
  <c r="U31" i="111"/>
  <c r="Y30" i="111"/>
  <c r="U29" i="111"/>
  <c r="E75" i="111"/>
  <c r="L70" i="111"/>
  <c r="H66" i="111"/>
  <c r="X24" i="111" s="1"/>
  <c r="N64" i="111"/>
  <c r="D62" i="111"/>
  <c r="P58" i="107"/>
  <c r="P68" i="107"/>
  <c r="P84" i="107"/>
  <c r="P100" i="107"/>
  <c r="W25" i="107"/>
  <c r="Z33" i="107"/>
  <c r="M77" i="111"/>
  <c r="S22" i="107"/>
  <c r="P64" i="107"/>
  <c r="Y33" i="107"/>
  <c r="U31" i="107"/>
  <c r="Y26" i="107"/>
  <c r="AC25" i="107"/>
  <c r="U24" i="107"/>
  <c r="Y23" i="107"/>
  <c r="AC22" i="107"/>
  <c r="X33" i="108"/>
  <c r="T31" i="108"/>
  <c r="AC32" i="111"/>
  <c r="U32" i="111"/>
  <c r="Y31" i="111"/>
  <c r="AC28" i="111"/>
  <c r="H78" i="111"/>
  <c r="L74" i="111"/>
  <c r="H70" i="111"/>
  <c r="X25" i="111" s="1"/>
  <c r="L66" i="111"/>
  <c r="D66" i="111"/>
  <c r="E63" i="111"/>
  <c r="U23" i="111" s="1"/>
  <c r="H62" i="111"/>
  <c r="X23" i="111" s="1"/>
  <c r="L58" i="111"/>
  <c r="D58" i="111"/>
  <c r="T22" i="111" s="1"/>
  <c r="P60" i="107"/>
  <c r="O66" i="107"/>
  <c r="AE24" i="107" s="1"/>
  <c r="P72" i="107"/>
  <c r="P80" i="107"/>
  <c r="P88" i="107"/>
  <c r="P96" i="107"/>
  <c r="P104" i="107"/>
  <c r="AA30" i="107"/>
  <c r="P105" i="107"/>
  <c r="O105" i="107"/>
  <c r="P101" i="107"/>
  <c r="O101" i="107"/>
  <c r="P97" i="107"/>
  <c r="O97" i="107"/>
  <c r="P93" i="107"/>
  <c r="O93" i="107"/>
  <c r="P89" i="107"/>
  <c r="O89" i="107"/>
  <c r="P85" i="107"/>
  <c r="O85" i="107"/>
  <c r="P81" i="107"/>
  <c r="O81" i="107"/>
  <c r="P77" i="107"/>
  <c r="O77" i="107"/>
  <c r="P73" i="107"/>
  <c r="O73" i="107"/>
  <c r="P69" i="107"/>
  <c r="O69" i="107"/>
  <c r="P65" i="107"/>
  <c r="P61" i="107"/>
  <c r="AD33" i="107"/>
  <c r="V33" i="107"/>
  <c r="AD32" i="107"/>
  <c r="Z32" i="107"/>
  <c r="V32" i="107"/>
  <c r="Z31" i="107"/>
  <c r="AD30" i="107"/>
  <c r="Z30" i="107"/>
  <c r="V30" i="107"/>
  <c r="AD29" i="107"/>
  <c r="V29" i="107"/>
  <c r="AD28" i="107"/>
  <c r="Z28" i="107"/>
  <c r="V28" i="107"/>
  <c r="AD27" i="107"/>
  <c r="Z27" i="107"/>
  <c r="AD26" i="107"/>
  <c r="Z26" i="107"/>
  <c r="V26" i="107"/>
  <c r="Z25" i="107"/>
  <c r="V25" i="107"/>
  <c r="AD24" i="107"/>
  <c r="Z24" i="107"/>
  <c r="V24" i="107"/>
  <c r="V23" i="107"/>
  <c r="AD22" i="107"/>
  <c r="Z22" i="107"/>
  <c r="V22" i="107"/>
  <c r="AC33" i="108"/>
  <c r="Y33" i="108"/>
  <c r="U33" i="108"/>
  <c r="AC32" i="108"/>
  <c r="Y32" i="108"/>
  <c r="AC31" i="108"/>
  <c r="Y31" i="108"/>
  <c r="U31" i="108"/>
  <c r="AC30" i="108"/>
  <c r="Y30" i="108"/>
  <c r="U30" i="108"/>
  <c r="AC29" i="108"/>
  <c r="Y29" i="108"/>
  <c r="U29" i="108"/>
  <c r="Y28" i="108"/>
  <c r="U28" i="108"/>
  <c r="AC27" i="108"/>
  <c r="Y27" i="108"/>
  <c r="U27" i="108"/>
  <c r="AC26" i="108"/>
  <c r="U26" i="108"/>
  <c r="AC25" i="108"/>
  <c r="Y25" i="108"/>
  <c r="U25" i="108"/>
  <c r="AC24" i="108"/>
  <c r="Y24" i="108"/>
  <c r="AC23" i="108"/>
  <c r="Y23" i="108"/>
  <c r="U23" i="108"/>
  <c r="AC22" i="108"/>
  <c r="Y22" i="108"/>
  <c r="U22" i="108"/>
  <c r="O61" i="107"/>
  <c r="O64" i="107"/>
  <c r="J78" i="111"/>
  <c r="Z27" i="111" s="1"/>
  <c r="V27" i="107"/>
  <c r="AC33" i="107"/>
  <c r="U33" i="107"/>
  <c r="AC32" i="107"/>
  <c r="Y32" i="107"/>
  <c r="U32" i="107"/>
  <c r="Y31" i="107"/>
  <c r="AC30" i="107"/>
  <c r="Y30" i="107"/>
  <c r="U30" i="107"/>
  <c r="AC29" i="107"/>
  <c r="U29" i="107"/>
  <c r="AC28" i="107"/>
  <c r="U28" i="107"/>
  <c r="Y27" i="107"/>
  <c r="U27" i="107"/>
  <c r="AC26" i="107"/>
  <c r="U25" i="107"/>
  <c r="AC24" i="107"/>
  <c r="Y24" i="107"/>
  <c r="AC23" i="107"/>
  <c r="Y22" i="107"/>
  <c r="U22" i="107"/>
  <c r="P103" i="108"/>
  <c r="O103" i="108"/>
  <c r="P99" i="108"/>
  <c r="O99" i="108"/>
  <c r="P95" i="108"/>
  <c r="O95" i="108"/>
  <c r="P91" i="108"/>
  <c r="O91" i="108"/>
  <c r="P87" i="108"/>
  <c r="O87" i="108"/>
  <c r="P83" i="108"/>
  <c r="O83" i="108"/>
  <c r="P79" i="108"/>
  <c r="O79" i="108"/>
  <c r="P75" i="108"/>
  <c r="O75" i="108"/>
  <c r="P71" i="108"/>
  <c r="O71" i="108"/>
  <c r="P67" i="108"/>
  <c r="O67" i="108"/>
  <c r="P63" i="108"/>
  <c r="O63" i="108"/>
  <c r="P59" i="108"/>
  <c r="O59" i="108"/>
  <c r="AB33" i="108"/>
  <c r="T33" i="108"/>
  <c r="AB32" i="108"/>
  <c r="X32" i="108"/>
  <c r="T32" i="108"/>
  <c r="AB31" i="108"/>
  <c r="X31" i="108"/>
  <c r="AB30" i="108"/>
  <c r="X30" i="108"/>
  <c r="T30" i="108"/>
  <c r="AB29" i="108"/>
  <c r="X29" i="108"/>
  <c r="T29" i="108"/>
  <c r="AB28" i="108"/>
  <c r="X28" i="108"/>
  <c r="T28" i="108"/>
  <c r="X27" i="108"/>
  <c r="T27" i="108"/>
  <c r="AB26" i="108"/>
  <c r="X26" i="108"/>
  <c r="T26" i="108"/>
  <c r="AB25" i="108"/>
  <c r="T25" i="108"/>
  <c r="AB24" i="108"/>
  <c r="X24" i="108"/>
  <c r="T24" i="108"/>
  <c r="AB23" i="108"/>
  <c r="X23" i="108"/>
  <c r="AB22" i="108"/>
  <c r="X22" i="108"/>
  <c r="T22" i="108"/>
  <c r="N74" i="111"/>
  <c r="J74" i="111"/>
  <c r="Z26" i="111" s="1"/>
  <c r="F74" i="111"/>
  <c r="V26" i="111" s="1"/>
  <c r="N70" i="111"/>
  <c r="AD25" i="111" s="1"/>
  <c r="J70" i="111"/>
  <c r="Z25" i="111" s="1"/>
  <c r="F70" i="111"/>
  <c r="V25" i="111" s="1"/>
  <c r="N66" i="111"/>
  <c r="AD24" i="111" s="1"/>
  <c r="J66" i="111"/>
  <c r="Z24" i="111" s="1"/>
  <c r="F66" i="111"/>
  <c r="V24" i="111" s="1"/>
  <c r="J62" i="111"/>
  <c r="Z23" i="111" s="1"/>
  <c r="F62" i="111"/>
  <c r="V23" i="111" s="1"/>
  <c r="N58" i="111"/>
  <c r="J58" i="111"/>
  <c r="F58" i="111"/>
  <c r="V22" i="111" s="1"/>
  <c r="K5" i="103"/>
  <c r="AE27" i="107" l="1"/>
  <c r="AE25" i="108"/>
  <c r="P95" i="111"/>
  <c r="O95" i="111"/>
  <c r="P93" i="111"/>
  <c r="O93" i="111"/>
  <c r="AA23" i="111"/>
  <c r="S26" i="111"/>
  <c r="P74" i="111"/>
  <c r="O74" i="111"/>
  <c r="S33" i="111"/>
  <c r="P102" i="111"/>
  <c r="AF33" i="111" s="1"/>
  <c r="O102" i="111"/>
  <c r="T29" i="111"/>
  <c r="P91" i="111"/>
  <c r="O91" i="111"/>
  <c r="AB25" i="111"/>
  <c r="S29" i="111"/>
  <c r="P86" i="111"/>
  <c r="AF29" i="111" s="1"/>
  <c r="O86" i="111"/>
  <c r="AF23" i="107"/>
  <c r="P97" i="111"/>
  <c r="AE31" i="108"/>
  <c r="P63" i="111"/>
  <c r="O63" i="111"/>
  <c r="P87" i="111"/>
  <c r="O87" i="111"/>
  <c r="P69" i="111"/>
  <c r="O69" i="111"/>
  <c r="P68" i="111"/>
  <c r="O68" i="111"/>
  <c r="AF26" i="107"/>
  <c r="S30" i="111"/>
  <c r="P90" i="111"/>
  <c r="O90" i="111"/>
  <c r="AF33" i="107"/>
  <c r="V31" i="111"/>
  <c r="AE26" i="108"/>
  <c r="AE33" i="108"/>
  <c r="P83" i="111"/>
  <c r="O83" i="111"/>
  <c r="P84" i="111"/>
  <c r="Z22" i="111"/>
  <c r="AD26" i="111"/>
  <c r="T24" i="111"/>
  <c r="X27" i="111"/>
  <c r="U30" i="111"/>
  <c r="T23" i="111"/>
  <c r="AA24" i="111"/>
  <c r="S23" i="111"/>
  <c r="P62" i="111"/>
  <c r="O62" i="111"/>
  <c r="AE23" i="111" s="1"/>
  <c r="AF25" i="107"/>
  <c r="AF27" i="107"/>
  <c r="AF29" i="107"/>
  <c r="AF32" i="107"/>
  <c r="O100" i="111"/>
  <c r="AC23" i="111"/>
  <c r="O81" i="111"/>
  <c r="AE23" i="108"/>
  <c r="AE29" i="108"/>
  <c r="T28" i="111"/>
  <c r="AB30" i="111"/>
  <c r="P79" i="111"/>
  <c r="O79" i="111"/>
  <c r="AE22" i="108"/>
  <c r="O80" i="111"/>
  <c r="AD32" i="111"/>
  <c r="P77" i="111"/>
  <c r="O77" i="111"/>
  <c r="AD23" i="111"/>
  <c r="O76" i="111"/>
  <c r="P76" i="111"/>
  <c r="T25" i="111"/>
  <c r="W23" i="111"/>
  <c r="W24" i="111"/>
  <c r="AF28" i="107"/>
  <c r="AF30" i="107"/>
  <c r="O84" i="111"/>
  <c r="O89" i="111"/>
  <c r="AE24" i="108"/>
  <c r="AF26" i="108"/>
  <c r="AE32" i="108"/>
  <c r="AF33" i="108"/>
  <c r="AB28" i="111"/>
  <c r="AB29" i="111"/>
  <c r="T31" i="111"/>
  <c r="T32" i="111"/>
  <c r="X33" i="111"/>
  <c r="P75" i="111"/>
  <c r="O75" i="111"/>
  <c r="P92" i="111"/>
  <c r="AE25" i="107"/>
  <c r="AE29" i="107"/>
  <c r="S22" i="111"/>
  <c r="P58" i="111"/>
  <c r="AF22" i="111" s="1"/>
  <c r="O58" i="111"/>
  <c r="P61" i="111"/>
  <c r="O61" i="111"/>
  <c r="X22" i="111"/>
  <c r="AF24" i="107"/>
  <c r="S31" i="111"/>
  <c r="P94" i="111"/>
  <c r="AF31" i="111" s="1"/>
  <c r="O94" i="111"/>
  <c r="AE31" i="111" s="1"/>
  <c r="AB27" i="111"/>
  <c r="X32" i="111"/>
  <c r="P59" i="111"/>
  <c r="O59" i="111"/>
  <c r="AB26" i="111"/>
  <c r="AF22" i="107"/>
  <c r="S25" i="111"/>
  <c r="P70" i="111"/>
  <c r="O70" i="111"/>
  <c r="S27" i="111"/>
  <c r="P78" i="111"/>
  <c r="O78" i="111"/>
  <c r="AE27" i="111" s="1"/>
  <c r="S32" i="111"/>
  <c r="P98" i="111"/>
  <c r="O98" i="111"/>
  <c r="AF25" i="108"/>
  <c r="O88" i="111"/>
  <c r="P101" i="111"/>
  <c r="O101" i="111"/>
  <c r="W22" i="111"/>
  <c r="AA25" i="111"/>
  <c r="S24" i="111"/>
  <c r="P66" i="111"/>
  <c r="O66" i="111"/>
  <c r="AE24" i="111" s="1"/>
  <c r="S28" i="111"/>
  <c r="P82" i="111"/>
  <c r="O82" i="111"/>
  <c r="AF31" i="107"/>
  <c r="P105" i="111"/>
  <c r="AF28" i="108"/>
  <c r="AD22" i="111"/>
  <c r="AB22" i="111"/>
  <c r="AB24" i="111"/>
  <c r="W25" i="111"/>
  <c r="AE23" i="107"/>
  <c r="AF23" i="108"/>
  <c r="AE27" i="108"/>
  <c r="AF29" i="108"/>
  <c r="AF31" i="108"/>
  <c r="X29" i="111"/>
  <c r="AB31" i="111"/>
  <c r="AB32" i="111"/>
  <c r="AB33" i="111"/>
  <c r="P71" i="111"/>
  <c r="O71" i="111"/>
  <c r="P99" i="111"/>
  <c r="O99" i="111"/>
  <c r="AF22" i="108"/>
  <c r="Z31" i="111"/>
  <c r="P85" i="111"/>
  <c r="O85" i="111"/>
  <c r="O60" i="111"/>
  <c r="P60" i="111"/>
  <c r="V27" i="111"/>
  <c r="AE26" i="107"/>
  <c r="AE28" i="107"/>
  <c r="AE30" i="107"/>
  <c r="AE31" i="107"/>
  <c r="AE33" i="107"/>
  <c r="AE22" i="107"/>
  <c r="AF24" i="108"/>
  <c r="AE30" i="108"/>
  <c r="AF32" i="108"/>
  <c r="P67" i="111"/>
  <c r="O67" i="111"/>
  <c r="P103" i="111"/>
  <c r="O103" i="111"/>
  <c r="O43" i="98"/>
  <c r="P43" i="98"/>
  <c r="O17" i="98"/>
  <c r="P17" i="98"/>
  <c r="K6" i="97"/>
  <c r="C3" i="94"/>
  <c r="AE28" i="111" l="1"/>
  <c r="AF27" i="111"/>
  <c r="AF32" i="111"/>
  <c r="AF25" i="111"/>
  <c r="AE29" i="111"/>
  <c r="AF24" i="111"/>
  <c r="AE32" i="111"/>
  <c r="AF23" i="111"/>
  <c r="AE30" i="111"/>
  <c r="AF28" i="111"/>
  <c r="AF30" i="111"/>
  <c r="AE26" i="111"/>
  <c r="AE25" i="111"/>
  <c r="AE22" i="111"/>
  <c r="AE33" i="111"/>
  <c r="AF26" i="111"/>
  <c r="K6" i="98"/>
  <c r="K6" i="99" s="1"/>
  <c r="K6" i="100" s="1"/>
  <c r="K6" i="101" s="1"/>
  <c r="K6" i="109" s="1"/>
  <c r="K6" i="105" s="1"/>
  <c r="K6" i="110" s="1"/>
  <c r="K6" i="103" s="1"/>
  <c r="G5" i="98"/>
  <c r="G5" i="99" s="1"/>
  <c r="G5" i="100" s="1"/>
  <c r="G5" i="101" s="1"/>
  <c r="G5" i="109" s="1"/>
  <c r="G5" i="105" s="1"/>
  <c r="G5" i="110" s="1"/>
  <c r="G5" i="103" s="1"/>
  <c r="G5" i="97"/>
  <c r="K6" i="96"/>
  <c r="G5" i="96"/>
  <c r="K6" i="95"/>
  <c r="K5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08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7" i="99" l="1"/>
  <c r="AA39" i="101"/>
  <c r="X39" i="105"/>
  <c r="AD38" i="101"/>
  <c r="Y39" i="109"/>
  <c r="X26" i="98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W16" i="108" s="1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W18" i="108" s="1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5" i="108" s="1"/>
  <c r="AA16" i="94"/>
  <c r="K34" i="108"/>
  <c r="AA18" i="94"/>
  <c r="K42" i="108"/>
  <c r="AA18" i="108" s="1"/>
  <c r="M54" i="108"/>
  <c r="AC21" i="108" s="1"/>
  <c r="M50" i="108"/>
  <c r="M46" i="108"/>
  <c r="C42" i="108"/>
  <c r="S18" i="108" s="1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W13" i="108" s="1"/>
  <c r="I22" i="108"/>
  <c r="Y13" i="108" s="1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W20" i="108" s="1"/>
  <c r="C50" i="108"/>
  <c r="K46" i="108"/>
  <c r="G46" i="108"/>
  <c r="G38" i="108"/>
  <c r="W17" i="108" s="1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AB13" i="108" s="1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U10" i="107" l="1"/>
  <c r="E106" i="107"/>
  <c r="AB21" i="107"/>
  <c r="T20" i="107"/>
  <c r="T19" i="107"/>
  <c r="X18" i="107"/>
  <c r="X17" i="107"/>
  <c r="X16" i="107"/>
  <c r="AB15" i="107"/>
  <c r="AB14" i="107"/>
  <c r="X13" i="107"/>
  <c r="X12" i="107"/>
  <c r="T11" i="107"/>
  <c r="X10" i="108"/>
  <c r="H106" i="108"/>
  <c r="AB17" i="108"/>
  <c r="AB16" i="108"/>
  <c r="T15" i="108"/>
  <c r="AB14" i="108"/>
  <c r="AC15" i="108"/>
  <c r="T21" i="108"/>
  <c r="T20" i="108"/>
  <c r="T36" i="108" s="1"/>
  <c r="X10" i="107"/>
  <c r="H106" i="107"/>
  <c r="W21" i="107"/>
  <c r="W20" i="107"/>
  <c r="S19" i="107"/>
  <c r="AA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AB10" i="108"/>
  <c r="L106" i="108"/>
  <c r="Z18" i="108"/>
  <c r="Z17" i="108"/>
  <c r="Z16" i="108"/>
  <c r="Z15" i="108"/>
  <c r="Z14" i="108"/>
  <c r="AB12" i="108"/>
  <c r="AB11" i="108"/>
  <c r="V13" i="108"/>
  <c r="W19" i="108"/>
  <c r="AA20" i="108"/>
  <c r="Y21" i="108"/>
  <c r="AA21" i="108"/>
  <c r="Z10" i="108"/>
  <c r="J106" i="108"/>
  <c r="U18" i="108"/>
  <c r="AA17" i="108"/>
  <c r="U16" i="108"/>
  <c r="Y15" i="108"/>
  <c r="AC14" i="108"/>
  <c r="AA12" i="108"/>
  <c r="S12" i="108"/>
  <c r="AA11" i="108"/>
  <c r="S11" i="108"/>
  <c r="W10" i="108"/>
  <c r="G106" i="108"/>
  <c r="Z21" i="108"/>
  <c r="Z20" i="108"/>
  <c r="Z19" i="108"/>
  <c r="AD12" i="108"/>
  <c r="Z11" i="108"/>
  <c r="Y10" i="107"/>
  <c r="I106" i="107"/>
  <c r="X21" i="107"/>
  <c r="X20" i="107"/>
  <c r="AB19" i="107"/>
  <c r="AB18" i="107"/>
  <c r="T18" i="107"/>
  <c r="AB17" i="107"/>
  <c r="T17" i="107"/>
  <c r="T16" i="107"/>
  <c r="X15" i="107"/>
  <c r="T14" i="107"/>
  <c r="T13" i="107"/>
  <c r="AB12" i="107"/>
  <c r="X11" i="107"/>
  <c r="AB18" i="108"/>
  <c r="AB38" i="108" s="1"/>
  <c r="T17" i="108"/>
  <c r="T16" i="108"/>
  <c r="AB15" i="108"/>
  <c r="AB35" i="108" s="1"/>
  <c r="T14" i="108"/>
  <c r="AD10" i="108"/>
  <c r="N106" i="108"/>
  <c r="AC17" i="108"/>
  <c r="U12" i="108"/>
  <c r="U11" i="108"/>
  <c r="AB21" i="108"/>
  <c r="AB19" i="108"/>
  <c r="AD11" i="108"/>
  <c r="AB10" i="107"/>
  <c r="L106" i="107"/>
  <c r="AA21" i="107"/>
  <c r="AA20" i="107"/>
  <c r="AA19" i="107"/>
  <c r="W18" i="107"/>
  <c r="S10" i="107"/>
  <c r="C106" i="107"/>
  <c r="W10" i="107"/>
  <c r="G106" i="107"/>
  <c r="AD21" i="107"/>
  <c r="Z21" i="107"/>
  <c r="V21" i="107"/>
  <c r="AD20" i="107"/>
  <c r="Z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AF25" i="101"/>
  <c r="AF28" i="101"/>
  <c r="S35" i="110"/>
  <c r="S10" i="108"/>
  <c r="C106" i="108"/>
  <c r="X18" i="108"/>
  <c r="X17" i="108"/>
  <c r="X16" i="108"/>
  <c r="X15" i="108"/>
  <c r="X14" i="108"/>
  <c r="X13" i="108"/>
  <c r="X12" i="108"/>
  <c r="X11" i="108"/>
  <c r="W14" i="108"/>
  <c r="W38" i="108" s="1"/>
  <c r="AA19" i="108"/>
  <c r="S21" i="108"/>
  <c r="AC13" i="108"/>
  <c r="U13" i="108"/>
  <c r="V11" i="108"/>
  <c r="S19" i="108"/>
  <c r="V10" i="108"/>
  <c r="F106" i="108"/>
  <c r="AC19" i="108"/>
  <c r="Y19" i="108"/>
  <c r="AC18" i="108"/>
  <c r="Y17" i="108"/>
  <c r="AC16" i="108"/>
  <c r="U15" i="108"/>
  <c r="Y14" i="108"/>
  <c r="Y38" i="108" s="1"/>
  <c r="Y12" i="108"/>
  <c r="Y11" i="108"/>
  <c r="AC10" i="108"/>
  <c r="M106" i="108"/>
  <c r="U10" i="108"/>
  <c r="E106" i="108"/>
  <c r="X21" i="108"/>
  <c r="X20" i="108"/>
  <c r="X19" i="108"/>
  <c r="AD13" i="108"/>
  <c r="Z12" i="108"/>
  <c r="AC10" i="107"/>
  <c r="M106" i="107"/>
  <c r="T21" i="107"/>
  <c r="AB20" i="107"/>
  <c r="X19" i="107"/>
  <c r="AB16" i="107"/>
  <c r="T15" i="107"/>
  <c r="X14" i="107"/>
  <c r="AB13" i="107"/>
  <c r="T12" i="107"/>
  <c r="AB11" i="107"/>
  <c r="T18" i="108"/>
  <c r="AC12" i="108"/>
  <c r="AC11" i="108"/>
  <c r="Y10" i="108"/>
  <c r="I106" i="108"/>
  <c r="AB20" i="108"/>
  <c r="T10" i="107"/>
  <c r="D106" i="107"/>
  <c r="S21" i="107"/>
  <c r="S20" i="107"/>
  <c r="W19" i="107"/>
  <c r="AA10" i="107"/>
  <c r="K106" i="107"/>
  <c r="AD10" i="107"/>
  <c r="N106" i="107"/>
  <c r="Z10" i="107"/>
  <c r="J106" i="107"/>
  <c r="F106" i="107"/>
  <c r="V10" i="107"/>
  <c r="AC21" i="107"/>
  <c r="Y21" i="107"/>
  <c r="U21" i="107"/>
  <c r="AC20" i="107"/>
  <c r="Y20" i="107"/>
  <c r="U20" i="107"/>
  <c r="AC19" i="107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U13" i="107"/>
  <c r="AC12" i="107"/>
  <c r="Y12" i="107"/>
  <c r="U12" i="107"/>
  <c r="AC11" i="107"/>
  <c r="Y11" i="107"/>
  <c r="U11" i="107"/>
  <c r="Y38" i="105"/>
  <c r="U38" i="109"/>
  <c r="T10" i="108"/>
  <c r="D106" i="108"/>
  <c r="V36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W15" i="108"/>
  <c r="W35" i="108" s="1"/>
  <c r="S20" i="108"/>
  <c r="W21" i="108"/>
  <c r="AA13" i="108"/>
  <c r="S13" i="108"/>
  <c r="V12" i="108"/>
  <c r="U20" i="108"/>
  <c r="S14" i="108"/>
  <c r="AC20" i="108"/>
  <c r="AA16" i="108"/>
  <c r="AA14" i="108"/>
  <c r="U19" i="108"/>
  <c r="Y18" i="108"/>
  <c r="Y35" i="108" s="1"/>
  <c r="U17" i="108"/>
  <c r="Y16" i="108"/>
  <c r="U14" i="108"/>
  <c r="W12" i="108"/>
  <c r="W11" i="108"/>
  <c r="AA10" i="108"/>
  <c r="K106" i="108"/>
  <c r="AD21" i="108"/>
  <c r="V21" i="108"/>
  <c r="AD20" i="108"/>
  <c r="V20" i="108"/>
  <c r="V39" i="108" s="1"/>
  <c r="AD19" i="108"/>
  <c r="Z13" i="108"/>
  <c r="AB26" i="98"/>
  <c r="Z26" i="95"/>
  <c r="S38" i="105"/>
  <c r="AF33" i="101"/>
  <c r="AF32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Y21" i="111" s="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U20" i="111" s="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W19" i="111" s="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Y18" i="111" s="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AA17" i="111" s="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AD11" i="111" s="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K26" i="111"/>
  <c r="AA14" i="111" s="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AA13" i="111" s="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AA12" i="111" s="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AA11" i="111" s="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U21" i="111" s="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Y20" i="111" s="1"/>
  <c r="G50" i="111"/>
  <c r="W20" i="111" s="1"/>
  <c r="G49" i="111"/>
  <c r="E49" i="111"/>
  <c r="K48" i="111"/>
  <c r="E48" i="111"/>
  <c r="C48" i="111"/>
  <c r="M47" i="111"/>
  <c r="I47" i="111"/>
  <c r="G47" i="111"/>
  <c r="M46" i="111"/>
  <c r="K46" i="111"/>
  <c r="I46" i="111"/>
  <c r="Y19" i="111" s="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AC16" i="111" s="1"/>
  <c r="G34" i="111"/>
  <c r="W16" i="111" s="1"/>
  <c r="C34" i="111"/>
  <c r="M33" i="111"/>
  <c r="I33" i="111"/>
  <c r="E33" i="111"/>
  <c r="M32" i="111"/>
  <c r="I32" i="111"/>
  <c r="E32" i="111"/>
  <c r="M31" i="111"/>
  <c r="I31" i="111"/>
  <c r="E31" i="111"/>
  <c r="M30" i="111"/>
  <c r="AC15" i="111" s="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Y13" i="111" s="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Y12" i="111" s="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Y11" i="111" s="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AF11" i="108" s="1"/>
  <c r="O41" i="108"/>
  <c r="O33" i="108"/>
  <c r="O25" i="108"/>
  <c r="O23" i="108"/>
  <c r="O19" i="108"/>
  <c r="O15" i="108"/>
  <c r="P50" i="108"/>
  <c r="AF20" i="108" s="1"/>
  <c r="P42" i="108"/>
  <c r="AF18" i="108" s="1"/>
  <c r="P34" i="108"/>
  <c r="O54" i="108"/>
  <c r="O42" i="108"/>
  <c r="O34" i="108"/>
  <c r="AE16" i="108" s="1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AF12" i="107" s="1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AE21" i="107" s="1"/>
  <c r="P53" i="107"/>
  <c r="O53" i="107"/>
  <c r="O52" i="107"/>
  <c r="P52" i="107"/>
  <c r="O51" i="107"/>
  <c r="P51" i="107"/>
  <c r="O50" i="107"/>
  <c r="AE20" i="107" s="1"/>
  <c r="P50" i="107"/>
  <c r="AF20" i="107" s="1"/>
  <c r="P49" i="107"/>
  <c r="O49" i="107"/>
  <c r="P48" i="107"/>
  <c r="O48" i="107"/>
  <c r="P47" i="107"/>
  <c r="O47" i="107"/>
  <c r="O46" i="107"/>
  <c r="P46" i="107"/>
  <c r="AF19" i="107" s="1"/>
  <c r="P45" i="107"/>
  <c r="O45" i="107"/>
  <c r="O44" i="107"/>
  <c r="P44" i="107"/>
  <c r="O43" i="107"/>
  <c r="P43" i="107"/>
  <c r="O42" i="107"/>
  <c r="AE18" i="107" s="1"/>
  <c r="P42" i="107"/>
  <c r="AF18" i="107" s="1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AE12" i="107" s="1"/>
  <c r="O16" i="107"/>
  <c r="O14" i="107"/>
  <c r="AE11" i="107" s="1"/>
  <c r="O12" i="107"/>
  <c r="P26" i="107"/>
  <c r="AF14" i="107" s="1"/>
  <c r="P38" i="107"/>
  <c r="P30" i="107"/>
  <c r="P34" i="107"/>
  <c r="AF16" i="107" s="1"/>
  <c r="O30" i="107"/>
  <c r="AE15" i="107" s="1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39" i="107" l="1"/>
  <c r="AF36" i="107"/>
  <c r="AE13" i="108"/>
  <c r="Y16" i="111"/>
  <c r="AC35" i="107"/>
  <c r="AC38" i="107"/>
  <c r="U39" i="107"/>
  <c r="U36" i="107"/>
  <c r="AA37" i="107"/>
  <c r="AA40" i="107"/>
  <c r="AA41" i="107"/>
  <c r="AA42" i="107" s="1"/>
  <c r="AA34" i="107"/>
  <c r="Y34" i="108"/>
  <c r="Y41" i="108"/>
  <c r="Y37" i="108"/>
  <c r="Y40" i="108"/>
  <c r="X39" i="107"/>
  <c r="X36" i="107"/>
  <c r="AA38" i="107"/>
  <c r="AA35" i="107"/>
  <c r="T39" i="108"/>
  <c r="P106" i="107"/>
  <c r="AF10" i="107"/>
  <c r="AE19" i="107"/>
  <c r="AF11" i="107"/>
  <c r="AE18" i="108"/>
  <c r="AF15" i="108"/>
  <c r="AE20" i="108"/>
  <c r="AE14" i="108"/>
  <c r="AF10" i="108"/>
  <c r="P106" i="108"/>
  <c r="AC11" i="111"/>
  <c r="AC12" i="111"/>
  <c r="AC13" i="111"/>
  <c r="Y17" i="111"/>
  <c r="AC18" i="111"/>
  <c r="AA19" i="111"/>
  <c r="AD10" i="111"/>
  <c r="N106" i="111"/>
  <c r="Z11" i="111"/>
  <c r="V12" i="111"/>
  <c r="V13" i="111"/>
  <c r="V14" i="111"/>
  <c r="V15" i="111"/>
  <c r="V16" i="111"/>
  <c r="V17" i="111"/>
  <c r="V18" i="111"/>
  <c r="V19" i="111"/>
  <c r="V20" i="111"/>
  <c r="V21" i="111"/>
  <c r="AC14" i="111"/>
  <c r="AA15" i="111"/>
  <c r="AA38" i="111" s="1"/>
  <c r="AA16" i="111"/>
  <c r="T14" i="111"/>
  <c r="T15" i="111"/>
  <c r="T16" i="111"/>
  <c r="T35" i="111" s="1"/>
  <c r="T17" i="111"/>
  <c r="T18" i="111"/>
  <c r="T19" i="111"/>
  <c r="T20" i="111"/>
  <c r="T21" i="111"/>
  <c r="U10" i="111"/>
  <c r="E106" i="111"/>
  <c r="AA18" i="111"/>
  <c r="AA20" i="111"/>
  <c r="AA21" i="111"/>
  <c r="AB10" i="111"/>
  <c r="L106" i="111"/>
  <c r="U39" i="108"/>
  <c r="U36" i="108"/>
  <c r="AA38" i="108"/>
  <c r="AA35" i="108"/>
  <c r="T41" i="108"/>
  <c r="T34" i="108"/>
  <c r="T40" i="108"/>
  <c r="T42" i="108" s="1"/>
  <c r="T37" i="108"/>
  <c r="Y39" i="107"/>
  <c r="Y36" i="107"/>
  <c r="V41" i="107"/>
  <c r="V42" i="107" s="1"/>
  <c r="V37" i="107"/>
  <c r="V34" i="107"/>
  <c r="V40" i="107"/>
  <c r="W36" i="107"/>
  <c r="W39" i="107"/>
  <c r="T41" i="107"/>
  <c r="T34" i="107"/>
  <c r="T40" i="107"/>
  <c r="T42" i="107" s="1"/>
  <c r="T37" i="107"/>
  <c r="AC34" i="108"/>
  <c r="AC41" i="108"/>
  <c r="AC37" i="108"/>
  <c r="AC40" i="108"/>
  <c r="Y39" i="108"/>
  <c r="Y36" i="108"/>
  <c r="S36" i="108"/>
  <c r="S39" i="108"/>
  <c r="S37" i="108"/>
  <c r="S34" i="108"/>
  <c r="S41" i="108"/>
  <c r="S40" i="108"/>
  <c r="AD38" i="107"/>
  <c r="AD35" i="107"/>
  <c r="V39" i="107"/>
  <c r="V36" i="107"/>
  <c r="S37" i="107"/>
  <c r="S34" i="107"/>
  <c r="S40" i="107"/>
  <c r="S41" i="107"/>
  <c r="S42" i="107" s="1"/>
  <c r="AB39" i="108"/>
  <c r="AB36" i="108"/>
  <c r="Z41" i="108"/>
  <c r="Z42" i="108" s="1"/>
  <c r="Z37" i="108"/>
  <c r="Z40" i="108"/>
  <c r="Z34" i="108"/>
  <c r="X38" i="107"/>
  <c r="X35" i="107"/>
  <c r="O106" i="107"/>
  <c r="AE10" i="107"/>
  <c r="AA10" i="111"/>
  <c r="K106" i="111"/>
  <c r="AA35" i="111"/>
  <c r="S10" i="111"/>
  <c r="C106" i="111"/>
  <c r="AD39" i="108"/>
  <c r="AD36" i="108"/>
  <c r="S38" i="108"/>
  <c r="S35" i="108"/>
  <c r="Z41" i="107"/>
  <c r="Z42" i="107" s="1"/>
  <c r="Z37" i="107"/>
  <c r="Z40" i="107"/>
  <c r="Z34" i="107"/>
  <c r="AB38" i="107"/>
  <c r="AB35" i="107"/>
  <c r="AC34" i="107"/>
  <c r="AC41" i="107"/>
  <c r="AC40" i="107"/>
  <c r="AC37" i="107"/>
  <c r="AC35" i="108"/>
  <c r="AC38" i="108"/>
  <c r="V38" i="108"/>
  <c r="V35" i="108"/>
  <c r="AF15" i="107"/>
  <c r="AE13" i="107"/>
  <c r="AE21" i="108"/>
  <c r="AF21" i="108"/>
  <c r="AF14" i="108"/>
  <c r="AE11" i="108"/>
  <c r="AE15" i="108"/>
  <c r="AE17" i="108"/>
  <c r="AF13" i="108"/>
  <c r="S15" i="111"/>
  <c r="S16" i="111"/>
  <c r="AC17" i="111"/>
  <c r="AC19" i="111"/>
  <c r="AB11" i="111"/>
  <c r="AB12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Y10" i="111"/>
  <c r="I106" i="111"/>
  <c r="S17" i="111"/>
  <c r="S18" i="111"/>
  <c r="AC20" i="111"/>
  <c r="AA37" i="108"/>
  <c r="AA41" i="108"/>
  <c r="AA34" i="108"/>
  <c r="AA40" i="108"/>
  <c r="U35" i="107"/>
  <c r="U38" i="107"/>
  <c r="AC39" i="107"/>
  <c r="AC36" i="107"/>
  <c r="AD41" i="107"/>
  <c r="AD34" i="107"/>
  <c r="AD40" i="107"/>
  <c r="AD37" i="107"/>
  <c r="AD38" i="108"/>
  <c r="AD35" i="108"/>
  <c r="AC39" i="108"/>
  <c r="AC36" i="108"/>
  <c r="AA36" i="108"/>
  <c r="AA39" i="108"/>
  <c r="X38" i="108"/>
  <c r="X35" i="108"/>
  <c r="Z39" i="107"/>
  <c r="Z36" i="107"/>
  <c r="Z39" i="108"/>
  <c r="Z36" i="108"/>
  <c r="W37" i="108"/>
  <c r="W41" i="108"/>
  <c r="W40" i="108"/>
  <c r="W34" i="108"/>
  <c r="S38" i="107"/>
  <c r="S35" i="107"/>
  <c r="X41" i="108"/>
  <c r="X37" i="108"/>
  <c r="X34" i="108"/>
  <c r="X40" i="108"/>
  <c r="AF17" i="108"/>
  <c r="Y39" i="111"/>
  <c r="Y36" i="111"/>
  <c r="X10" i="111"/>
  <c r="H106" i="111"/>
  <c r="T38" i="111"/>
  <c r="Y15" i="111"/>
  <c r="Y35" i="111" s="1"/>
  <c r="W39" i="111"/>
  <c r="Z10" i="111"/>
  <c r="J106" i="111"/>
  <c r="V41" i="108"/>
  <c r="V42" i="108" s="1"/>
  <c r="V37" i="108"/>
  <c r="V34" i="108"/>
  <c r="V40" i="108"/>
  <c r="Z38" i="107"/>
  <c r="Z35" i="107"/>
  <c r="AF17" i="107"/>
  <c r="AE14" i="107"/>
  <c r="AE16" i="107"/>
  <c r="AE17" i="107"/>
  <c r="AF13" i="107"/>
  <c r="AF12" i="108"/>
  <c r="AF16" i="108"/>
  <c r="AE19" i="108"/>
  <c r="AE12" i="108"/>
  <c r="AF19" i="108"/>
  <c r="O106" i="108"/>
  <c r="AE10" i="108"/>
  <c r="W10" i="111"/>
  <c r="G106" i="111"/>
  <c r="U11" i="111"/>
  <c r="U12" i="111"/>
  <c r="U13" i="111"/>
  <c r="W14" i="111"/>
  <c r="U15" i="111"/>
  <c r="S21" i="111"/>
  <c r="V10" i="111"/>
  <c r="F106" i="111"/>
  <c r="AD12" i="111"/>
  <c r="AB13" i="111"/>
  <c r="AD14" i="111"/>
  <c r="AD15" i="111"/>
  <c r="AD16" i="111"/>
  <c r="AD17" i="111"/>
  <c r="AD18" i="111"/>
  <c r="AD19" i="111"/>
  <c r="AD20" i="111"/>
  <c r="AD21" i="111"/>
  <c r="W11" i="111"/>
  <c r="W12" i="111"/>
  <c r="W13" i="111"/>
  <c r="U14" i="111"/>
  <c r="U16" i="111"/>
  <c r="X11" i="111"/>
  <c r="Z12" i="111"/>
  <c r="AD13" i="111"/>
  <c r="AB14" i="111"/>
  <c r="AB15" i="111"/>
  <c r="AB16" i="111"/>
  <c r="AB17" i="111"/>
  <c r="AB18" i="111"/>
  <c r="AB19" i="111"/>
  <c r="AB20" i="111"/>
  <c r="AB21" i="111"/>
  <c r="AC10" i="111"/>
  <c r="M106" i="111"/>
  <c r="U17" i="111"/>
  <c r="U18" i="111"/>
  <c r="U19" i="111"/>
  <c r="S20" i="111"/>
  <c r="S39" i="111" s="1"/>
  <c r="W21" i="111"/>
  <c r="W36" i="111" s="1"/>
  <c r="T10" i="111"/>
  <c r="D106" i="111"/>
  <c r="Z38" i="108"/>
  <c r="Z35" i="108"/>
  <c r="T38" i="108"/>
  <c r="T35" i="108"/>
  <c r="Y35" i="107"/>
  <c r="Y38" i="107"/>
  <c r="X39" i="108"/>
  <c r="X36" i="108"/>
  <c r="U34" i="108"/>
  <c r="U41" i="108"/>
  <c r="U40" i="108"/>
  <c r="U37" i="108"/>
  <c r="U35" i="108"/>
  <c r="U38" i="108"/>
  <c r="V38" i="107"/>
  <c r="V35" i="107"/>
  <c r="AD39" i="107"/>
  <c r="AD36" i="107"/>
  <c r="W37" i="107"/>
  <c r="W41" i="107"/>
  <c r="W42" i="107" s="1"/>
  <c r="W34" i="107"/>
  <c r="W40" i="107"/>
  <c r="AA36" i="107"/>
  <c r="AA39" i="107"/>
  <c r="AB41" i="107"/>
  <c r="AB34" i="107"/>
  <c r="AB40" i="107"/>
  <c r="AB37" i="107"/>
  <c r="AD41" i="108"/>
  <c r="AD42" i="108" s="1"/>
  <c r="AD34" i="108"/>
  <c r="AD40" i="108"/>
  <c r="AD37" i="108"/>
  <c r="T38" i="107"/>
  <c r="T35" i="107"/>
  <c r="AB39" i="107"/>
  <c r="AB36" i="107"/>
  <c r="Y34" i="107"/>
  <c r="Y41" i="107"/>
  <c r="Y37" i="107"/>
  <c r="Y40" i="107"/>
  <c r="W36" i="108"/>
  <c r="W39" i="108"/>
  <c r="AB41" i="108"/>
  <c r="AB34" i="108"/>
  <c r="AB40" i="108"/>
  <c r="AB42" i="108" s="1"/>
  <c r="AB37" i="108"/>
  <c r="W38" i="107"/>
  <c r="W35" i="107"/>
  <c r="S36" i="107"/>
  <c r="S39" i="107"/>
  <c r="X41" i="107"/>
  <c r="X40" i="107"/>
  <c r="X42" i="107" s="1"/>
  <c r="X37" i="107"/>
  <c r="X34" i="107"/>
  <c r="T39" i="107"/>
  <c r="T36" i="107"/>
  <c r="U34" i="107"/>
  <c r="U41" i="107"/>
  <c r="U40" i="107"/>
  <c r="U37" i="107"/>
  <c r="X42" i="109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AE15" i="111" s="1"/>
  <c r="O33" i="111"/>
  <c r="P34" i="111"/>
  <c r="P35" i="111"/>
  <c r="O36" i="111"/>
  <c r="P37" i="111"/>
  <c r="O38" i="111"/>
  <c r="O41" i="111"/>
  <c r="P42" i="111"/>
  <c r="AF18" i="111" s="1"/>
  <c r="P45" i="111"/>
  <c r="O46" i="111"/>
  <c r="O48" i="111"/>
  <c r="O50" i="111"/>
  <c r="AE20" i="111" s="1"/>
  <c r="O51" i="111"/>
  <c r="O53" i="111"/>
  <c r="P55" i="111"/>
  <c r="O56" i="111"/>
  <c r="P57" i="111"/>
  <c r="P14" i="11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B39" i="111" l="1"/>
  <c r="AB36" i="111"/>
  <c r="AD39" i="111"/>
  <c r="AD36" i="111"/>
  <c r="AE39" i="108"/>
  <c r="AE36" i="108"/>
  <c r="Y34" i="111"/>
  <c r="Y41" i="111"/>
  <c r="Y42" i="111" s="1"/>
  <c r="Y37" i="111"/>
  <c r="Y40" i="111"/>
  <c r="Z38" i="111"/>
  <c r="Z35" i="111"/>
  <c r="AE10" i="111"/>
  <c r="O106" i="111"/>
  <c r="AF21" i="111"/>
  <c r="AE14" i="111"/>
  <c r="AE13" i="111"/>
  <c r="U39" i="111"/>
  <c r="U36" i="111"/>
  <c r="AC34" i="111"/>
  <c r="AC41" i="111"/>
  <c r="AC37" i="111"/>
  <c r="AC40" i="111"/>
  <c r="V41" i="111"/>
  <c r="V42" i="111" s="1"/>
  <c r="V37" i="111"/>
  <c r="V34" i="111"/>
  <c r="V40" i="111"/>
  <c r="X38" i="111"/>
  <c r="X35" i="111"/>
  <c r="S38" i="111"/>
  <c r="S35" i="111"/>
  <c r="AA37" i="111"/>
  <c r="AA40" i="111"/>
  <c r="AA41" i="111"/>
  <c r="AA42" i="111" s="1"/>
  <c r="AA34" i="111"/>
  <c r="S42" i="108"/>
  <c r="AB41" i="111"/>
  <c r="AB34" i="111"/>
  <c r="AB40" i="111"/>
  <c r="AB42" i="111" s="1"/>
  <c r="AB37" i="111"/>
  <c r="T39" i="111"/>
  <c r="T36" i="111"/>
  <c r="AF41" i="107"/>
  <c r="AF34" i="107"/>
  <c r="AF40" i="107"/>
  <c r="AF37" i="107"/>
  <c r="AE38" i="108"/>
  <c r="AE35" i="108"/>
  <c r="AF17" i="111"/>
  <c r="AE37" i="108"/>
  <c r="AE41" i="108"/>
  <c r="AE40" i="108"/>
  <c r="AE34" i="108"/>
  <c r="V39" i="111"/>
  <c r="V36" i="111"/>
  <c r="AE39" i="107"/>
  <c r="AE36" i="107"/>
  <c r="AF11" i="111"/>
  <c r="AE19" i="111"/>
  <c r="AE17" i="111"/>
  <c r="AF16" i="111"/>
  <c r="AE21" i="111"/>
  <c r="AE18" i="111"/>
  <c r="AF10" i="111"/>
  <c r="P106" i="111"/>
  <c r="AB42" i="107"/>
  <c r="T41" i="111"/>
  <c r="T34" i="111"/>
  <c r="T40" i="111"/>
  <c r="T37" i="111"/>
  <c r="AD38" i="111"/>
  <c r="AD35" i="111"/>
  <c r="AB38" i="111"/>
  <c r="AB35" i="111"/>
  <c r="AF39" i="108"/>
  <c r="AF36" i="108"/>
  <c r="X41" i="111"/>
  <c r="X34" i="111"/>
  <c r="X40" i="111"/>
  <c r="X42" i="111" s="1"/>
  <c r="X37" i="111"/>
  <c r="X42" i="108"/>
  <c r="W42" i="108"/>
  <c r="AA42" i="108"/>
  <c r="Z39" i="111"/>
  <c r="Z36" i="111"/>
  <c r="AE38" i="107"/>
  <c r="AE35" i="107"/>
  <c r="AC42" i="107"/>
  <c r="Y38" i="111"/>
  <c r="AE37" i="107"/>
  <c r="AE41" i="107"/>
  <c r="AE42" i="107" s="1"/>
  <c r="AE34" i="107"/>
  <c r="AE40" i="107"/>
  <c r="AC42" i="108"/>
  <c r="U34" i="111"/>
  <c r="U41" i="111"/>
  <c r="U42" i="111" s="1"/>
  <c r="U40" i="111"/>
  <c r="U37" i="111"/>
  <c r="V38" i="111"/>
  <c r="V35" i="111"/>
  <c r="AD41" i="111"/>
  <c r="AD34" i="111"/>
  <c r="AD40" i="111"/>
  <c r="AD37" i="111"/>
  <c r="AC35" i="111"/>
  <c r="AC38" i="111"/>
  <c r="AF41" i="108"/>
  <c r="AF34" i="108"/>
  <c r="AF40" i="108"/>
  <c r="AF42" i="108" s="1"/>
  <c r="AF37" i="108"/>
  <c r="Y42" i="108"/>
  <c r="AF14" i="111"/>
  <c r="AF38" i="111" s="1"/>
  <c r="S36" i="111"/>
  <c r="AF20" i="111"/>
  <c r="AF15" i="111"/>
  <c r="AE11" i="111"/>
  <c r="AE16" i="111"/>
  <c r="AF19" i="111"/>
  <c r="U42" i="107"/>
  <c r="Y42" i="107"/>
  <c r="U42" i="108"/>
  <c r="W38" i="111"/>
  <c r="W35" i="111"/>
  <c r="U35" i="111"/>
  <c r="U38" i="111"/>
  <c r="W37" i="111"/>
  <c r="W41" i="111"/>
  <c r="W42" i="111" s="1"/>
  <c r="W34" i="111"/>
  <c r="W40" i="111"/>
  <c r="AF38" i="107"/>
  <c r="AF35" i="107"/>
  <c r="Z41" i="111"/>
  <c r="Z37" i="111"/>
  <c r="Z34" i="111"/>
  <c r="Z40" i="111"/>
  <c r="AD42" i="107"/>
  <c r="X39" i="111"/>
  <c r="X36" i="111"/>
  <c r="AC39" i="111"/>
  <c r="AC36" i="111"/>
  <c r="AF38" i="108"/>
  <c r="AF35" i="108"/>
  <c r="S37" i="111"/>
  <c r="S34" i="111"/>
  <c r="S40" i="111"/>
  <c r="S41" i="111"/>
  <c r="S42" i="111" s="1"/>
  <c r="AA36" i="111"/>
  <c r="AA39" i="111"/>
  <c r="K108" i="11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5" i="111" l="1"/>
  <c r="AE39" i="111"/>
  <c r="AE36" i="111"/>
  <c r="AE42" i="108"/>
  <c r="AF41" i="111"/>
  <c r="AF40" i="111"/>
  <c r="AF37" i="111"/>
  <c r="AF34" i="111"/>
  <c r="Z42" i="111"/>
  <c r="AF39" i="111"/>
  <c r="AF36" i="111"/>
  <c r="AD42" i="111"/>
  <c r="T42" i="111"/>
  <c r="AF42" i="107"/>
  <c r="AC42" i="111"/>
  <c r="AE38" i="111"/>
  <c r="AE35" i="111"/>
  <c r="AE37" i="111"/>
  <c r="AE41" i="111"/>
  <c r="AE40" i="111"/>
  <c r="AE34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  <c r="AF42" i="111"/>
</calcChain>
</file>

<file path=xl/sharedStrings.xml><?xml version="1.0" encoding="utf-8"?>
<sst xmlns="http://schemas.openxmlformats.org/spreadsheetml/2006/main" count="2336" uniqueCount="186">
  <si>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</si>
  <si>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</si>
  <si>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</si>
  <si>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</si>
  <si>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</si>
  <si>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</si>
  <si>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</si>
  <si>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</si>
  <si>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</si>
  <si>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</si>
  <si>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</si>
  <si>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</si>
  <si>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</si>
  <si>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</si>
  <si>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</si>
  <si>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</si>
  <si>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</si>
  <si>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</si>
  <si>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</si>
  <si>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</si>
  <si>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</si>
  <si>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</si>
  <si>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</si>
  <si>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</si>
  <si>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</si>
  <si>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</si>
  <si>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</si>
  <si>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</si>
  <si>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</si>
  <si>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</si>
  <si>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</si>
  <si>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</si>
  <si>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</si>
  <si>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</si>
  <si>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</si>
  <si>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</si>
  <si>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</si>
  <si>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</si>
  <si>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</si>
  <si>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</si>
  <si>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</si>
  <si>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</si>
  <si>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</si>
  <si>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</si>
  <si>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</si>
  <si>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</si>
  <si>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</si>
  <si>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</si>
  <si>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</si>
  <si>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</si>
  <si>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</si>
  <si>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</si>
  <si>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</si>
  <si>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</si>
  <si>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</si>
  <si>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</si>
  <si>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</si>
  <si>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</si>
  <si>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</si>
  <si>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</si>
  <si>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</si>
  <si>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</si>
  <si>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</si>
  <si>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</si>
  <si>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</si>
  <si>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</si>
  <si>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</si>
  <si>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</si>
  <si>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</si>
  <si>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</si>
  <si>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</si>
  <si>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</si>
  <si>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</si>
  <si>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</si>
  <si>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</si>
  <si>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</si>
  <si>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</si>
  <si>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</si>
  <si>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</si>
  <si>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</si>
  <si>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</si>
  <si>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</si>
  <si>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</si>
  <si>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</si>
  <si>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</si>
  <si>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</si>
  <si>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</si>
  <si>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</si>
  <si>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</si>
  <si>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</si>
  <si>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</si>
  <si>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</si>
  <si>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</si>
  <si>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</si>
  <si>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</si>
  <si>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</si>
  <si>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</si>
  <si>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</si>
  <si>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</si>
  <si>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</si>
  <si>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</si>
  <si>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</si>
  <si>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</si>
  <si>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</si>
  <si>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</si>
  <si>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</si>
  <si>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</si>
  <si>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</si>
  <si>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</si>
  <si>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</si>
  <si>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</si>
  <si>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</si>
  <si>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</si>
  <si>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</si>
  <si>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</si>
  <si>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</si>
  <si>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</si>
  <si>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</si>
  <si>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</si>
  <si>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</si>
  <si>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</si>
  <si>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</si>
  <si>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</si>
  <si>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</si>
  <si>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</si>
  <si>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</si>
  <si>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</si>
  <si>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</si>
  <si>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</si>
  <si>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</si>
  <si>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</si>
  <si>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</si>
  <si>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</si>
  <si>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</si>
  <si>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</si>
  <si>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</si>
  <si>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</si>
  <si>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</si>
  <si>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</si>
  <si>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</si>
  <si>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</si>
  <si>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</si>
  <si>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</si>
  <si>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</si>
  <si>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</si>
  <si>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</si>
  <si>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</si>
  <si>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</si>
  <si>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</si>
  <si>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</si>
  <si>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</si>
  <si>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</si>
  <si>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</si>
  <si>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</si>
  <si>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</si>
  <si>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</si>
  <si>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</si>
  <si>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</si>
  <si>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</si>
  <si>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</si>
  <si>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</si>
  <si>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</si>
  <si>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</si>
  <si>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29.10.19</t>
  </si>
  <si>
    <t>Perfect tents</t>
  </si>
  <si>
    <t>Mbalala</t>
  </si>
  <si>
    <t>Mukono</t>
  </si>
  <si>
    <t>Julius</t>
  </si>
  <si>
    <t>Victor</t>
  </si>
  <si>
    <t>Jovana Bella</t>
  </si>
  <si>
    <t>30.10.19</t>
  </si>
  <si>
    <t>31.10.19</t>
  </si>
  <si>
    <t>Deborah</t>
  </si>
  <si>
    <t>Jovana</t>
  </si>
  <si>
    <t>1.11.19</t>
  </si>
  <si>
    <t>Jovana, Namiiya D</t>
  </si>
  <si>
    <t>2.11.19</t>
  </si>
  <si>
    <t>3.11.19</t>
  </si>
  <si>
    <t>Martine</t>
  </si>
  <si>
    <t>Menya G</t>
  </si>
  <si>
    <t>Deborah, Julius R</t>
  </si>
  <si>
    <t>Jovana B, Enos</t>
  </si>
  <si>
    <t>4.11.19</t>
  </si>
  <si>
    <t>MCC - C2 - STN76 - KAMPALA-JINJA HIGHWAY</t>
  </si>
  <si>
    <t>xxxx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</si>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</sst>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Mukono-Mbalala'!$AE$9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Mukono-Mbalala'!$AE$10:$AE$21</c:f>
              <c:numCache>
                <c:formatCode>0</c:formatCode>
                <c:ptCount val="12"/>
                <c:pt idx="0">
                  <c:v>401</c:v>
                </c:pt>
                <c:pt idx="1">
                  <c:v>761</c:v>
                </c:pt>
                <c:pt idx="2">
                  <c:v>655</c:v>
                </c:pt>
                <c:pt idx="3">
                  <c:v>825</c:v>
                </c:pt>
                <c:pt idx="4">
                  <c:v>615</c:v>
                </c:pt>
                <c:pt idx="5">
                  <c:v>736</c:v>
                </c:pt>
                <c:pt idx="6">
                  <c:v>744</c:v>
                </c:pt>
                <c:pt idx="7">
                  <c:v>456</c:v>
                </c:pt>
                <c:pt idx="8">
                  <c:v>393</c:v>
                </c:pt>
                <c:pt idx="9">
                  <c:v>552</c:v>
                </c:pt>
                <c:pt idx="10">
                  <c:v>463</c:v>
                </c:pt>
                <c:pt idx="11">
                  <c:v>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'29.10 Mukono-Mbalala'!$AF$9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Mukono-Mbalala'!$AF$10:$AF$21</c:f>
              <c:numCache>
                <c:formatCode>0</c:formatCode>
                <c:ptCount val="12"/>
                <c:pt idx="0">
                  <c:v>886</c:v>
                </c:pt>
                <c:pt idx="1">
                  <c:v>1559</c:v>
                </c:pt>
                <c:pt idx="2">
                  <c:v>1350</c:v>
                </c:pt>
                <c:pt idx="3">
                  <c:v>1502</c:v>
                </c:pt>
                <c:pt idx="4">
                  <c:v>1236</c:v>
                </c:pt>
                <c:pt idx="5">
                  <c:v>1503</c:v>
                </c:pt>
                <c:pt idx="6">
                  <c:v>1555</c:v>
                </c:pt>
                <c:pt idx="7">
                  <c:v>810</c:v>
                </c:pt>
                <c:pt idx="8">
                  <c:v>727</c:v>
                </c:pt>
                <c:pt idx="9">
                  <c:v>1042</c:v>
                </c:pt>
                <c:pt idx="10">
                  <c:v>960</c:v>
                </c:pt>
                <c:pt idx="11">
                  <c:v>1062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8644576"/>
        <c:axId val="608645120"/>
      </c:lineChart>
      <c:catAx>
        <c:axId val="6086445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08645120"/>
        <c:crosses val="autoZero"/>
        <c:auto val="1"/>
        <c:lblAlgn val="ctr"/>
        <c:lblOffset val="100"/>
        <c:noMultiLvlLbl val="0"/>
      </c:catAx>
      <c:valAx>
        <c:axId val="608645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0864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Mukono-Mbalala'!$C$59:$N$59</c:f>
              <c:numCache>
                <c:formatCode>0.0%</c:formatCode>
                <c:ptCount val="12"/>
                <c:pt idx="0">
                  <c:v>0.13641488162344984</c:v>
                </c:pt>
                <c:pt idx="1">
                  <c:v>3.7767756482525366E-2</c:v>
                </c:pt>
                <c:pt idx="2">
                  <c:v>2.8255355129650508E-2</c:v>
                </c:pt>
                <c:pt idx="3">
                  <c:v>0.14430665163472378</c:v>
                </c:pt>
                <c:pt idx="4">
                  <c:v>9.8647125140924469E-3</c:v>
                </c:pt>
                <c:pt idx="5">
                  <c:v>4.2277339346110483E-3</c:v>
                </c:pt>
                <c:pt idx="6">
                  <c:v>3.8331454340473504E-2</c:v>
                </c:pt>
                <c:pt idx="7">
                  <c:v>2.6493799323562571E-2</c:v>
                </c:pt>
                <c:pt idx="8">
                  <c:v>1.4092446448703494E-2</c:v>
                </c:pt>
                <c:pt idx="9">
                  <c:v>5.4467305524239007E-2</c:v>
                </c:pt>
                <c:pt idx="10">
                  <c:v>0.50577790304396841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Mukono-Mbalala'!$C$60:$N$60</c:f>
              <c:numCache>
                <c:formatCode>0.00%</c:formatCode>
                <c:ptCount val="12"/>
                <c:pt idx="0">
                  <c:v>0.27601938979184487</c:v>
                </c:pt>
                <c:pt idx="1">
                  <c:v>7.6418591388651272E-2</c:v>
                </c:pt>
                <c:pt idx="2">
                  <c:v>5.7171371542629031E-2</c:v>
                </c:pt>
                <c:pt idx="3">
                  <c:v>0.29198745366410039</c:v>
                </c:pt>
                <c:pt idx="4">
                  <c:v>1.9960079840319361E-2</c:v>
                </c:pt>
                <c:pt idx="5">
                  <c:v>8.5543199315654406E-3</c:v>
                </c:pt>
                <c:pt idx="6">
                  <c:v>7.7559167379526658E-2</c:v>
                </c:pt>
                <c:pt idx="7">
                  <c:v>5.360707157114343E-2</c:v>
                </c:pt>
                <c:pt idx="8">
                  <c:v>2.8514399771884802E-2</c:v>
                </c:pt>
                <c:pt idx="9">
                  <c:v>0.11020815511833476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Mbalala-Mukono'!$AE$9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Mbalala-Mukono'!$AE$10:$AE$21</c:f>
              <c:numCache>
                <c:formatCode>0</c:formatCode>
                <c:ptCount val="12"/>
                <c:pt idx="0">
                  <c:v>405</c:v>
                </c:pt>
                <c:pt idx="1">
                  <c:v>437</c:v>
                </c:pt>
                <c:pt idx="2">
                  <c:v>410</c:v>
                </c:pt>
                <c:pt idx="3">
                  <c:v>379</c:v>
                </c:pt>
                <c:pt idx="4">
                  <c:v>352</c:v>
                </c:pt>
                <c:pt idx="5">
                  <c:v>434</c:v>
                </c:pt>
                <c:pt idx="6">
                  <c:v>343</c:v>
                </c:pt>
                <c:pt idx="7">
                  <c:v>444</c:v>
                </c:pt>
                <c:pt idx="8">
                  <c:v>398</c:v>
                </c:pt>
                <c:pt idx="9">
                  <c:v>392</c:v>
                </c:pt>
                <c:pt idx="10">
                  <c:v>432</c:v>
                </c:pt>
                <c:pt idx="11">
                  <c:v>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'29.10 Mbalala-Mukono'!$AF$9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Mbalala-Mukono'!$AF$10:$AF$21</c:f>
              <c:numCache>
                <c:formatCode>0</c:formatCode>
                <c:ptCount val="12"/>
                <c:pt idx="0">
                  <c:v>977</c:v>
                </c:pt>
                <c:pt idx="1">
                  <c:v>1146</c:v>
                </c:pt>
                <c:pt idx="2">
                  <c:v>1090</c:v>
                </c:pt>
                <c:pt idx="3">
                  <c:v>886</c:v>
                </c:pt>
                <c:pt idx="4">
                  <c:v>803</c:v>
                </c:pt>
                <c:pt idx="5">
                  <c:v>940</c:v>
                </c:pt>
                <c:pt idx="6">
                  <c:v>774</c:v>
                </c:pt>
                <c:pt idx="7">
                  <c:v>758</c:v>
                </c:pt>
                <c:pt idx="8">
                  <c:v>777</c:v>
                </c:pt>
                <c:pt idx="9">
                  <c:v>808</c:v>
                </c:pt>
                <c:pt idx="10">
                  <c:v>889</c:v>
                </c:pt>
                <c:pt idx="11">
                  <c:v>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8639680"/>
        <c:axId val="608645664"/>
      </c:lineChart>
      <c:catAx>
        <c:axId val="608639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08645664"/>
        <c:crosses val="autoZero"/>
        <c:auto val="1"/>
        <c:lblAlgn val="ctr"/>
        <c:lblOffset val="100"/>
        <c:noMultiLvlLbl val="0"/>
      </c:catAx>
      <c:valAx>
        <c:axId val="608645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0863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Mbalala-Mukono'!$C$59:$N$59</c:f>
              <c:numCache>
                <c:formatCode>0.0%</c:formatCode>
                <c:ptCount val="12"/>
                <c:pt idx="0">
                  <c:v>0.10712639439476353</c:v>
                </c:pt>
                <c:pt idx="1">
                  <c:v>4.0103254356043144E-2</c:v>
                </c:pt>
                <c:pt idx="2">
                  <c:v>2.4707292338895546E-2</c:v>
                </c:pt>
                <c:pt idx="3">
                  <c:v>0.13211026090163178</c:v>
                </c:pt>
                <c:pt idx="4">
                  <c:v>5.9002489167511753E-3</c:v>
                </c:pt>
                <c:pt idx="5">
                  <c:v>3.2266986263482992E-3</c:v>
                </c:pt>
                <c:pt idx="6">
                  <c:v>4.0656402691988565E-2</c:v>
                </c:pt>
                <c:pt idx="7">
                  <c:v>4.3606527150364158E-2</c:v>
                </c:pt>
                <c:pt idx="8">
                  <c:v>5.8080575274269382E-3</c:v>
                </c:pt>
                <c:pt idx="9">
                  <c:v>4.6925417166036695E-2</c:v>
                </c:pt>
                <c:pt idx="10">
                  <c:v>0.54982944592975014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Mbalala-Mukono'!$S$9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Mbalala-Mukono'!$S$10:$S$21</c:f>
              <c:numCache>
                <c:formatCode>0</c:formatCode>
                <c:ptCount val="12"/>
                <c:pt idx="0">
                  <c:v>120</c:v>
                </c:pt>
                <c:pt idx="1">
                  <c:v>114</c:v>
                </c:pt>
                <c:pt idx="2">
                  <c:v>85</c:v>
                </c:pt>
                <c:pt idx="3">
                  <c:v>81</c:v>
                </c:pt>
                <c:pt idx="4">
                  <c:v>62</c:v>
                </c:pt>
                <c:pt idx="5">
                  <c:v>94</c:v>
                </c:pt>
                <c:pt idx="6">
                  <c:v>69</c:v>
                </c:pt>
                <c:pt idx="7">
                  <c:v>103</c:v>
                </c:pt>
                <c:pt idx="8">
                  <c:v>93</c:v>
                </c:pt>
                <c:pt idx="9">
                  <c:v>95</c:v>
                </c:pt>
                <c:pt idx="10">
                  <c:v>123</c:v>
                </c:pt>
                <c:pt idx="11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'29.10 Mbalala-Mukono'!$T$9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Mbalala-Mukono'!$T$10:$T$21</c:f>
              <c:numCache>
                <c:formatCode>0</c:formatCode>
                <c:ptCount val="12"/>
                <c:pt idx="0">
                  <c:v>33</c:v>
                </c:pt>
                <c:pt idx="1">
                  <c:v>29</c:v>
                </c:pt>
                <c:pt idx="2">
                  <c:v>34</c:v>
                </c:pt>
                <c:pt idx="3">
                  <c:v>35</c:v>
                </c:pt>
                <c:pt idx="4">
                  <c:v>42</c:v>
                </c:pt>
                <c:pt idx="5">
                  <c:v>36</c:v>
                </c:pt>
                <c:pt idx="6">
                  <c:v>32</c:v>
                </c:pt>
                <c:pt idx="7">
                  <c:v>40</c:v>
                </c:pt>
                <c:pt idx="8">
                  <c:v>44</c:v>
                </c:pt>
                <c:pt idx="9">
                  <c:v>30</c:v>
                </c:pt>
                <c:pt idx="10">
                  <c:v>43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'29.10 Mbalala-Mukono'!$U$9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Mbalala-Mukono'!$U$10:$U$21</c:f>
              <c:numCache>
                <c:formatCode>0</c:formatCode>
                <c:ptCount val="12"/>
                <c:pt idx="0">
                  <c:v>23</c:v>
                </c:pt>
                <c:pt idx="1">
                  <c:v>15</c:v>
                </c:pt>
                <c:pt idx="2">
                  <c:v>21</c:v>
                </c:pt>
                <c:pt idx="3">
                  <c:v>29</c:v>
                </c:pt>
                <c:pt idx="4">
                  <c:v>14</c:v>
                </c:pt>
                <c:pt idx="5">
                  <c:v>18</c:v>
                </c:pt>
                <c:pt idx="6">
                  <c:v>27</c:v>
                </c:pt>
                <c:pt idx="7">
                  <c:v>24</c:v>
                </c:pt>
                <c:pt idx="8">
                  <c:v>21</c:v>
                </c:pt>
                <c:pt idx="9">
                  <c:v>18</c:v>
                </c:pt>
                <c:pt idx="10">
                  <c:v>28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'29.10 Mbalala-Mukono'!$V$9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Mbalala-Mukono'!$V$10:$V$21</c:f>
              <c:numCache>
                <c:formatCode>0</c:formatCode>
                <c:ptCount val="12"/>
                <c:pt idx="0">
                  <c:v>124</c:v>
                </c:pt>
                <c:pt idx="1">
                  <c:v>137</c:v>
                </c:pt>
                <c:pt idx="2">
                  <c:v>127</c:v>
                </c:pt>
                <c:pt idx="3">
                  <c:v>113</c:v>
                </c:pt>
                <c:pt idx="4">
                  <c:v>113</c:v>
                </c:pt>
                <c:pt idx="5">
                  <c:v>121</c:v>
                </c:pt>
                <c:pt idx="6">
                  <c:v>101</c:v>
                </c:pt>
                <c:pt idx="7">
                  <c:v>117</c:v>
                </c:pt>
                <c:pt idx="8">
                  <c:v>111</c:v>
                </c:pt>
                <c:pt idx="9">
                  <c:v>127</c:v>
                </c:pt>
                <c:pt idx="10">
                  <c:v>122</c:v>
                </c:pt>
                <c:pt idx="11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'29.10 Mbalala-Mukono'!$W$9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Mbalala-Mukono'!$W$10:$W$21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10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8</c:v>
                </c:pt>
                <c:pt idx="10">
                  <c:v>4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'29.10 Mbalala-Mukono'!$X$9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Mbalala-Mukono'!$X$10:$X$21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5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'29.10 Mbalala-Mukono'!$Y$9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Mbalala-Mukono'!$Y$10:$Y$21</c:f>
              <c:numCache>
                <c:formatCode>0</c:formatCode>
                <c:ptCount val="12"/>
                <c:pt idx="0">
                  <c:v>20</c:v>
                </c:pt>
                <c:pt idx="1">
                  <c:v>32</c:v>
                </c:pt>
                <c:pt idx="2">
                  <c:v>35</c:v>
                </c:pt>
                <c:pt idx="3">
                  <c:v>30</c:v>
                </c:pt>
                <c:pt idx="4">
                  <c:v>39</c:v>
                </c:pt>
                <c:pt idx="5">
                  <c:v>40</c:v>
                </c:pt>
                <c:pt idx="6">
                  <c:v>34</c:v>
                </c:pt>
                <c:pt idx="7">
                  <c:v>51</c:v>
                </c:pt>
                <c:pt idx="8">
                  <c:v>38</c:v>
                </c:pt>
                <c:pt idx="9">
                  <c:v>42</c:v>
                </c:pt>
                <c:pt idx="10">
                  <c:v>41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'29.10 Mbalala-Mukono'!$Z$9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Mbalala-Mukono'!$Z$10:$Z$21</c:f>
              <c:numCache>
                <c:formatCode>0</c:formatCode>
                <c:ptCount val="12"/>
                <c:pt idx="0">
                  <c:v>21</c:v>
                </c:pt>
                <c:pt idx="1">
                  <c:v>31</c:v>
                </c:pt>
                <c:pt idx="2">
                  <c:v>43</c:v>
                </c:pt>
                <c:pt idx="3">
                  <c:v>42</c:v>
                </c:pt>
                <c:pt idx="4">
                  <c:v>32</c:v>
                </c:pt>
                <c:pt idx="5">
                  <c:v>64</c:v>
                </c:pt>
                <c:pt idx="6">
                  <c:v>41</c:v>
                </c:pt>
                <c:pt idx="7">
                  <c:v>44</c:v>
                </c:pt>
                <c:pt idx="8">
                  <c:v>41</c:v>
                </c:pt>
                <c:pt idx="9">
                  <c:v>29</c:v>
                </c:pt>
                <c:pt idx="10">
                  <c:v>36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'29.10 Mbalala-Mukono'!$AA$9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Mbalala-Mukono'!$AA$10:$AA$21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9</c:v>
                </c:pt>
                <c:pt idx="8">
                  <c:v>11</c:v>
                </c:pt>
                <c:pt idx="9">
                  <c:v>4</c:v>
                </c:pt>
                <c:pt idx="10">
                  <c:v>9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'29.10 Mbalala-Mukono'!$AB$9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Mbalala-Mukono'!$AB$10:$AB$21</c:f>
              <c:numCache>
                <c:formatCode>0</c:formatCode>
                <c:ptCount val="12"/>
                <c:pt idx="0">
                  <c:v>51</c:v>
                </c:pt>
                <c:pt idx="1">
                  <c:v>66</c:v>
                </c:pt>
                <c:pt idx="2">
                  <c:v>48</c:v>
                </c:pt>
                <c:pt idx="3">
                  <c:v>38</c:v>
                </c:pt>
                <c:pt idx="4">
                  <c:v>44</c:v>
                </c:pt>
                <c:pt idx="5">
                  <c:v>53</c:v>
                </c:pt>
                <c:pt idx="6">
                  <c:v>33</c:v>
                </c:pt>
                <c:pt idx="7">
                  <c:v>54</c:v>
                </c:pt>
                <c:pt idx="8">
                  <c:v>34</c:v>
                </c:pt>
                <c:pt idx="9">
                  <c:v>37</c:v>
                </c:pt>
                <c:pt idx="10">
                  <c:v>23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'29.10 Mbalala-Mukono'!$AC$9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Mbalala-Mukono'!$AC$10:$AC$21</c:f>
              <c:numCache>
                <c:formatCode>0</c:formatCode>
                <c:ptCount val="12"/>
                <c:pt idx="0">
                  <c:v>572</c:v>
                </c:pt>
                <c:pt idx="1">
                  <c:v>709</c:v>
                </c:pt>
                <c:pt idx="2">
                  <c:v>680</c:v>
                </c:pt>
                <c:pt idx="3">
                  <c:v>507</c:v>
                </c:pt>
                <c:pt idx="4">
                  <c:v>451</c:v>
                </c:pt>
                <c:pt idx="5">
                  <c:v>506</c:v>
                </c:pt>
                <c:pt idx="6">
                  <c:v>431</c:v>
                </c:pt>
                <c:pt idx="7">
                  <c:v>314</c:v>
                </c:pt>
                <c:pt idx="8">
                  <c:v>379</c:v>
                </c:pt>
                <c:pt idx="9">
                  <c:v>416</c:v>
                </c:pt>
                <c:pt idx="10">
                  <c:v>457</c:v>
                </c:pt>
                <c:pt idx="11">
                  <c:v>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'29.10 Mbalala-Mukono'!$AD$9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Mbalala-Mukono'!$AD$10:$AD$21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8640224"/>
        <c:axId val="608649472"/>
      </c:lineChart>
      <c:catAx>
        <c:axId val="608640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08649472"/>
        <c:crosses val="autoZero"/>
        <c:auto val="1"/>
        <c:lblAlgn val="ctr"/>
        <c:lblOffset val="100"/>
        <c:noMultiLvlLbl val="0"/>
      </c:catAx>
      <c:valAx>
        <c:axId val="60864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0864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Mbalala-Mukono'!$C$60:$N$60</c:f>
              <c:numCache>
                <c:formatCode>0.00%</c:formatCode>
                <c:ptCount val="12"/>
                <c:pt idx="0">
                  <c:v>0.23796846201105878</c:v>
                </c:pt>
                <c:pt idx="1">
                  <c:v>8.9084579152160559E-2</c:v>
                </c:pt>
                <c:pt idx="2">
                  <c:v>5.4884292443170182E-2</c:v>
                </c:pt>
                <c:pt idx="3">
                  <c:v>0.29346713086217491</c:v>
                </c:pt>
                <c:pt idx="4">
                  <c:v>1.310669670284661E-2</c:v>
                </c:pt>
                <c:pt idx="5">
                  <c:v>7.1677247593692405E-3</c:v>
                </c:pt>
                <c:pt idx="6">
                  <c:v>9.0313331968052427E-2</c:v>
                </c:pt>
                <c:pt idx="7">
                  <c:v>9.6866680319475734E-2</c:v>
                </c:pt>
                <c:pt idx="8">
                  <c:v>1.2901904566864632E-2</c:v>
                </c:pt>
                <c:pt idx="9">
                  <c:v>0.10423919721482695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'30.10.Mukono-Mbalala'!$AE$9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'30.10.Mukono-Mbalala'!$R$10:$R$21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'30.10.Mukono-Mbalala'!$AE$10:$AE$21</c:f>
              <c:numCache>
                <c:formatCode>0</c:formatCode>
                <c:ptCount val="12"/>
                <c:pt idx="0">
                  <c:v>915</c:v>
                </c:pt>
                <c:pt idx="1">
                  <c:v>442</c:v>
                </c:pt>
                <c:pt idx="2">
                  <c:v>516</c:v>
                </c:pt>
                <c:pt idx="3">
                  <c:v>828</c:v>
                </c:pt>
                <c:pt idx="4">
                  <c:v>644</c:v>
                </c:pt>
                <c:pt idx="5">
                  <c:v>737</c:v>
                </c:pt>
                <c:pt idx="6">
                  <c:v>650</c:v>
                </c:pt>
                <c:pt idx="7">
                  <c:v>735</c:v>
                </c:pt>
                <c:pt idx="8">
                  <c:v>675</c:v>
                </c:pt>
                <c:pt idx="9">
                  <c:v>683</c:v>
                </c:pt>
                <c:pt idx="10">
                  <c:v>549</c:v>
                </c:pt>
                <c:pt idx="11">
                  <c:v>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'30.10.Mukono-Mbalala'!$AF$9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'30.10.Mukono-Mbalala'!$R$10:$R$21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'30.10.Mukono-Mbalala'!$AF$10:$AF$21</c:f>
              <c:numCache>
                <c:formatCode>0</c:formatCode>
                <c:ptCount val="12"/>
                <c:pt idx="0">
                  <c:v>1542</c:v>
                </c:pt>
                <c:pt idx="1">
                  <c:v>886</c:v>
                </c:pt>
                <c:pt idx="2">
                  <c:v>922</c:v>
                </c:pt>
                <c:pt idx="3">
                  <c:v>1513</c:v>
                </c:pt>
                <c:pt idx="4">
                  <c:v>981</c:v>
                </c:pt>
                <c:pt idx="5">
                  <c:v>1233</c:v>
                </c:pt>
                <c:pt idx="6">
                  <c:v>1205</c:v>
                </c:pt>
                <c:pt idx="7">
                  <c:v>1102</c:v>
                </c:pt>
                <c:pt idx="8">
                  <c:v>1215</c:v>
                </c:pt>
                <c:pt idx="9">
                  <c:v>1249</c:v>
                </c:pt>
                <c:pt idx="10">
                  <c:v>1194</c:v>
                </c:pt>
                <c:pt idx="11">
                  <c:v>1447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8646752"/>
        <c:axId val="608650016"/>
      </c:lineChart>
      <c:catAx>
        <c:axId val="6086467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08650016"/>
        <c:crosses val="autoZero"/>
        <c:auto val="1"/>
        <c:lblAlgn val="ctr"/>
        <c:lblOffset val="100"/>
        <c:noMultiLvlLbl val="0"/>
      </c:catAx>
      <c:valAx>
        <c:axId val="608650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0864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'30.10.Mukono-Mbalala'!$C$9:$N$9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'30.10.Mukono-Mbalala'!$C$59:$N$59</c:f>
              <c:numCache>
                <c:formatCode>0.0%</c:formatCode>
                <c:ptCount val="12"/>
                <c:pt idx="0">
                  <c:v>0.14845745047967424</c:v>
                </c:pt>
                <c:pt idx="1">
                  <c:v>4.4309476154323971E-2</c:v>
                </c:pt>
                <c:pt idx="2">
                  <c:v>2.6640899993098214E-2</c:v>
                </c:pt>
                <c:pt idx="3">
                  <c:v>0.14321209193181034</c:v>
                </c:pt>
                <c:pt idx="4">
                  <c:v>9.7315204638001238E-3</c:v>
                </c:pt>
                <c:pt idx="5">
                  <c:v>7.0398233142383877E-3</c:v>
                </c:pt>
                <c:pt idx="6">
                  <c:v>4.5137690661881426E-2</c:v>
                </c:pt>
                <c:pt idx="7">
                  <c:v>2.4294292221685415E-2</c:v>
                </c:pt>
                <c:pt idx="8">
                  <c:v>2.1395541445234315E-2</c:v>
                </c:pt>
                <c:pt idx="9">
                  <c:v>8.5651183656567056E-2</c:v>
                </c:pt>
                <c:pt idx="10">
                  <c:v>0.44406101180205676</c:v>
                </c:pt>
                <c:pt idx="11">
                  <c:v>6.9017875629788112E-5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'30.10.Mukono-Mbalala'!$S$9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'30.10.Mukono-Mbalala'!$R$10:$R$21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'30.10.Mukono-Mbalala'!$S$10:$S$21</c:f>
              <c:numCache>
                <c:formatCode>0</c:formatCode>
                <c:ptCount val="12"/>
                <c:pt idx="0">
                  <c:v>280</c:v>
                </c:pt>
                <c:pt idx="1">
                  <c:v>137</c:v>
                </c:pt>
                <c:pt idx="2">
                  <c:v>139</c:v>
                </c:pt>
                <c:pt idx="3">
                  <c:v>254</c:v>
                </c:pt>
                <c:pt idx="4">
                  <c:v>137</c:v>
                </c:pt>
                <c:pt idx="5">
                  <c:v>168</c:v>
                </c:pt>
                <c:pt idx="6">
                  <c:v>197</c:v>
                </c:pt>
                <c:pt idx="7">
                  <c:v>182</c:v>
                </c:pt>
                <c:pt idx="8">
                  <c:v>195</c:v>
                </c:pt>
                <c:pt idx="9">
                  <c:v>152</c:v>
                </c:pt>
                <c:pt idx="10">
                  <c:v>137</c:v>
                </c:pt>
                <c:pt idx="11">
                  <c:v>173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'30.10.Mukono-Mbalala'!$T$9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'30.10.Mukono-Mbalala'!$R$10:$R$21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'30.10.Mukono-Mbalala'!$T$10:$T$21</c:f>
              <c:numCache>
                <c:formatCode>0</c:formatCode>
                <c:ptCount val="12"/>
                <c:pt idx="0">
                  <c:v>151</c:v>
                </c:pt>
                <c:pt idx="1">
                  <c:v>48</c:v>
                </c:pt>
                <c:pt idx="2">
                  <c:v>49</c:v>
                </c:pt>
                <c:pt idx="3">
                  <c:v>72</c:v>
                </c:pt>
                <c:pt idx="4">
                  <c:v>25</c:v>
                </c:pt>
                <c:pt idx="5">
                  <c:v>43</c:v>
                </c:pt>
                <c:pt idx="6">
                  <c:v>41</c:v>
                </c:pt>
                <c:pt idx="7">
                  <c:v>48</c:v>
                </c:pt>
                <c:pt idx="8">
                  <c:v>44</c:v>
                </c:pt>
                <c:pt idx="9">
                  <c:v>47</c:v>
                </c:pt>
                <c:pt idx="10">
                  <c:v>35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'30.10.Mukono-Mbalala'!$U$9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'30.10.Mukono-Mbalala'!$U$10:$U$21</c:f>
              <c:numCache>
                <c:formatCode>0</c:formatCode>
                <c:ptCount val="12"/>
                <c:pt idx="0">
                  <c:v>31</c:v>
                </c:pt>
                <c:pt idx="1">
                  <c:v>24</c:v>
                </c:pt>
                <c:pt idx="2">
                  <c:v>30</c:v>
                </c:pt>
                <c:pt idx="3">
                  <c:v>55</c:v>
                </c:pt>
                <c:pt idx="4">
                  <c:v>47</c:v>
                </c:pt>
                <c:pt idx="5">
                  <c:v>23</c:v>
                </c:pt>
                <c:pt idx="6">
                  <c:v>32</c:v>
                </c:pt>
                <c:pt idx="7">
                  <c:v>33</c:v>
                </c:pt>
                <c:pt idx="8">
                  <c:v>20</c:v>
                </c:pt>
                <c:pt idx="9">
                  <c:v>24</c:v>
                </c:pt>
                <c:pt idx="10">
                  <c:v>32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'30.10.Mukono-Mbalala'!$V$9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'30.10.Mukono-Mbalala'!$V$10:$V$21</c:f>
              <c:numCache>
                <c:formatCode>0</c:formatCode>
                <c:ptCount val="12"/>
                <c:pt idx="0">
                  <c:v>166</c:v>
                </c:pt>
                <c:pt idx="1">
                  <c:v>127</c:v>
                </c:pt>
                <c:pt idx="2">
                  <c:v>170</c:v>
                </c:pt>
                <c:pt idx="3">
                  <c:v>218</c:v>
                </c:pt>
                <c:pt idx="4">
                  <c:v>130</c:v>
                </c:pt>
                <c:pt idx="5">
                  <c:v>225</c:v>
                </c:pt>
                <c:pt idx="6">
                  <c:v>152</c:v>
                </c:pt>
                <c:pt idx="7">
                  <c:v>199</c:v>
                </c:pt>
                <c:pt idx="8">
                  <c:v>136</c:v>
                </c:pt>
                <c:pt idx="9">
                  <c:v>213</c:v>
                </c:pt>
                <c:pt idx="10">
                  <c:v>143</c:v>
                </c:pt>
                <c:pt idx="11">
                  <c:v>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'30.10.Mukono-Mbalala'!$W$9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'30.10.Mukono-Mbalala'!$W$10:$W$21</c:f>
              <c:numCache>
                <c:formatCode>0</c:formatCode>
                <c:ptCount val="12"/>
                <c:pt idx="0">
                  <c:v>17</c:v>
                </c:pt>
                <c:pt idx="1">
                  <c:v>4</c:v>
                </c:pt>
                <c:pt idx="2">
                  <c:v>5</c:v>
                </c:pt>
                <c:pt idx="3">
                  <c:v>25</c:v>
                </c:pt>
                <c:pt idx="4">
                  <c:v>7</c:v>
                </c:pt>
                <c:pt idx="5">
                  <c:v>3</c:v>
                </c:pt>
                <c:pt idx="6">
                  <c:v>8</c:v>
                </c:pt>
                <c:pt idx="7">
                  <c:v>33</c:v>
                </c:pt>
                <c:pt idx="8">
                  <c:v>11</c:v>
                </c:pt>
                <c:pt idx="9">
                  <c:v>7</c:v>
                </c:pt>
                <c:pt idx="10">
                  <c:v>3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'30.10.Mukono-Mbalala'!$X$9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'30.10.Mukono-Mbalala'!$X$10:$X$21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2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7</c:v>
                </c:pt>
                <c:pt idx="7">
                  <c:v>20</c:v>
                </c:pt>
                <c:pt idx="8">
                  <c:v>20</c:v>
                </c:pt>
                <c:pt idx="9">
                  <c:v>2</c:v>
                </c:pt>
                <c:pt idx="10">
                  <c:v>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'30.10.Mukono-Mbalala'!$Y$9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'30.10.Mukono-Mbalala'!$Y$10:$Y$21</c:f>
              <c:numCache>
                <c:formatCode>0</c:formatCode>
                <c:ptCount val="12"/>
                <c:pt idx="0">
                  <c:v>112</c:v>
                </c:pt>
                <c:pt idx="1">
                  <c:v>26</c:v>
                </c:pt>
                <c:pt idx="2">
                  <c:v>51</c:v>
                </c:pt>
                <c:pt idx="3">
                  <c:v>56</c:v>
                </c:pt>
                <c:pt idx="4">
                  <c:v>59</c:v>
                </c:pt>
                <c:pt idx="5">
                  <c:v>69</c:v>
                </c:pt>
                <c:pt idx="6">
                  <c:v>87</c:v>
                </c:pt>
                <c:pt idx="7">
                  <c:v>39</c:v>
                </c:pt>
                <c:pt idx="8">
                  <c:v>43</c:v>
                </c:pt>
                <c:pt idx="9">
                  <c:v>43</c:v>
                </c:pt>
                <c:pt idx="10">
                  <c:v>33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'30.10.Mukono-Mbalala'!$Z$9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'30.10.Mukono-Mbalala'!$Z$10:$Z$21</c:f>
              <c:numCache>
                <c:formatCode>0</c:formatCode>
                <c:ptCount val="12"/>
                <c:pt idx="0">
                  <c:v>25</c:v>
                </c:pt>
                <c:pt idx="1">
                  <c:v>20</c:v>
                </c:pt>
                <c:pt idx="2">
                  <c:v>20</c:v>
                </c:pt>
                <c:pt idx="3">
                  <c:v>41</c:v>
                </c:pt>
                <c:pt idx="4">
                  <c:v>24</c:v>
                </c:pt>
                <c:pt idx="5">
                  <c:v>53</c:v>
                </c:pt>
                <c:pt idx="6">
                  <c:v>27</c:v>
                </c:pt>
                <c:pt idx="7">
                  <c:v>56</c:v>
                </c:pt>
                <c:pt idx="8">
                  <c:v>15</c:v>
                </c:pt>
                <c:pt idx="9">
                  <c:v>24</c:v>
                </c:pt>
                <c:pt idx="10">
                  <c:v>24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'30.10.Mukono-Mbalala'!$AA$9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'30.10.Mukono-Mbalala'!$AA$10:$AA$21</c:f>
              <c:numCache>
                <c:formatCode>0</c:formatCode>
                <c:ptCount val="12"/>
                <c:pt idx="0">
                  <c:v>19</c:v>
                </c:pt>
                <c:pt idx="1">
                  <c:v>17</c:v>
                </c:pt>
                <c:pt idx="2">
                  <c:v>19</c:v>
                </c:pt>
                <c:pt idx="3">
                  <c:v>26</c:v>
                </c:pt>
                <c:pt idx="4">
                  <c:v>33</c:v>
                </c:pt>
                <c:pt idx="5">
                  <c:v>46</c:v>
                </c:pt>
                <c:pt idx="6">
                  <c:v>22</c:v>
                </c:pt>
                <c:pt idx="7">
                  <c:v>15</c:v>
                </c:pt>
                <c:pt idx="8">
                  <c:v>28</c:v>
                </c:pt>
                <c:pt idx="9">
                  <c:v>33</c:v>
                </c:pt>
                <c:pt idx="10">
                  <c:v>32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'30.10.Mukono-Mbalala'!$AB$9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'30.10.Mukono-Mbalala'!$AB$10:$AB$21</c:f>
              <c:numCache>
                <c:formatCode>0</c:formatCode>
                <c:ptCount val="12"/>
                <c:pt idx="0">
                  <c:v>103</c:v>
                </c:pt>
                <c:pt idx="1">
                  <c:v>29</c:v>
                </c:pt>
                <c:pt idx="2">
                  <c:v>31</c:v>
                </c:pt>
                <c:pt idx="3">
                  <c:v>77</c:v>
                </c:pt>
                <c:pt idx="4">
                  <c:v>171</c:v>
                </c:pt>
                <c:pt idx="5">
                  <c:v>106</c:v>
                </c:pt>
                <c:pt idx="6">
                  <c:v>77</c:v>
                </c:pt>
                <c:pt idx="7">
                  <c:v>110</c:v>
                </c:pt>
                <c:pt idx="8">
                  <c:v>163</c:v>
                </c:pt>
                <c:pt idx="9">
                  <c:v>138</c:v>
                </c:pt>
                <c:pt idx="10">
                  <c:v>107</c:v>
                </c:pt>
                <c:pt idx="11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'30.10.Mukono-Mbalala'!$AC$9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'30.10.Mukono-Mbalala'!$AC$10:$AC$21</c:f>
              <c:numCache>
                <c:formatCode>0</c:formatCode>
                <c:ptCount val="12"/>
                <c:pt idx="0">
                  <c:v>627</c:v>
                </c:pt>
                <c:pt idx="1">
                  <c:v>444</c:v>
                </c:pt>
                <c:pt idx="2">
                  <c:v>406</c:v>
                </c:pt>
                <c:pt idx="3">
                  <c:v>685</c:v>
                </c:pt>
                <c:pt idx="4">
                  <c:v>337</c:v>
                </c:pt>
                <c:pt idx="5">
                  <c:v>496</c:v>
                </c:pt>
                <c:pt idx="6">
                  <c:v>555</c:v>
                </c:pt>
                <c:pt idx="7">
                  <c:v>367</c:v>
                </c:pt>
                <c:pt idx="8">
                  <c:v>540</c:v>
                </c:pt>
                <c:pt idx="9">
                  <c:v>566</c:v>
                </c:pt>
                <c:pt idx="10">
                  <c:v>645</c:v>
                </c:pt>
                <c:pt idx="11">
                  <c:v>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'30.10.Mukono-Mbalala'!$AD$9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'30.10.Mukono-Mbalala'!$AD$10:$AD$21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0291904"/>
        <c:axId val="730289184"/>
      </c:lineChart>
      <c:catAx>
        <c:axId val="73029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289184"/>
        <c:crosses val="autoZero"/>
        <c:auto val="1"/>
        <c:lblAlgn val="ctr"/>
        <c:lblOffset val="100"/>
        <c:noMultiLvlLbl val="0"/>
      </c:catAx>
      <c:valAx>
        <c:axId val="73028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29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'30.10.Mukono-Mbalala'!$C$9:$N$9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'30.10.Mukono-Mbalala'!$C$60:$N$60</c:f>
              <c:numCache>
                <c:formatCode>0.00%</c:formatCode>
                <c:ptCount val="12"/>
                <c:pt idx="0">
                  <c:v>0.26703910614525139</c:v>
                </c:pt>
                <c:pt idx="1">
                  <c:v>7.9702048417132215E-2</c:v>
                </c:pt>
                <c:pt idx="2">
                  <c:v>4.7920546244568589E-2</c:v>
                </c:pt>
                <c:pt idx="3">
                  <c:v>0.25760397268777158</c:v>
                </c:pt>
                <c:pt idx="4">
                  <c:v>1.7504655493482308E-2</c:v>
                </c:pt>
                <c:pt idx="5">
                  <c:v>1.266294227188082E-2</c:v>
                </c:pt>
                <c:pt idx="6">
                  <c:v>8.1191806331471134E-2</c:v>
                </c:pt>
                <c:pt idx="7">
                  <c:v>4.3699565487274987E-2</c:v>
                </c:pt>
                <c:pt idx="8">
                  <c:v>3.8485412787088766E-2</c:v>
                </c:pt>
                <c:pt idx="9">
                  <c:v>0.15406579764121664</c:v>
                </c:pt>
                <c:pt idx="11">
                  <c:v>1.2414649286157667E-4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Mbalala-Mukono'!$AE$9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Mbalala-Mukono'!$AE$10:$AE$21</c:f>
              <c:numCache>
                <c:formatCode>0</c:formatCode>
                <c:ptCount val="12"/>
                <c:pt idx="0">
                  <c:v>492</c:v>
                </c:pt>
                <c:pt idx="1">
                  <c:v>389</c:v>
                </c:pt>
                <c:pt idx="2">
                  <c:v>395</c:v>
                </c:pt>
                <c:pt idx="3">
                  <c:v>362</c:v>
                </c:pt>
                <c:pt idx="4">
                  <c:v>401</c:v>
                </c:pt>
                <c:pt idx="5">
                  <c:v>388</c:v>
                </c:pt>
                <c:pt idx="6">
                  <c:v>443</c:v>
                </c:pt>
                <c:pt idx="7">
                  <c:v>445</c:v>
                </c:pt>
                <c:pt idx="8">
                  <c:v>409</c:v>
                </c:pt>
                <c:pt idx="9">
                  <c:v>420</c:v>
                </c:pt>
                <c:pt idx="10">
                  <c:v>458</c:v>
                </c:pt>
                <c:pt idx="11">
                  <c:v>464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'30.10 Mbalala-Mukono'!$AF$9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Mbalala-Mukono'!$AF$10:$AF$21</c:f>
              <c:numCache>
                <c:formatCode>0</c:formatCode>
                <c:ptCount val="12"/>
                <c:pt idx="0">
                  <c:v>879</c:v>
                </c:pt>
                <c:pt idx="1">
                  <c:v>957</c:v>
                </c:pt>
                <c:pt idx="2">
                  <c:v>949</c:v>
                </c:pt>
                <c:pt idx="3">
                  <c:v>866</c:v>
                </c:pt>
                <c:pt idx="4">
                  <c:v>843</c:v>
                </c:pt>
                <c:pt idx="5">
                  <c:v>797</c:v>
                </c:pt>
                <c:pt idx="6">
                  <c:v>859</c:v>
                </c:pt>
                <c:pt idx="7">
                  <c:v>803</c:v>
                </c:pt>
                <c:pt idx="8">
                  <c:v>785</c:v>
                </c:pt>
                <c:pt idx="9">
                  <c:v>881</c:v>
                </c:pt>
                <c:pt idx="10">
                  <c:v>897</c:v>
                </c:pt>
                <c:pt idx="11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0297344"/>
        <c:axId val="730297888"/>
      </c:lineChart>
      <c:catAx>
        <c:axId val="7302973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297888"/>
        <c:crosses val="autoZero"/>
        <c:auto val="1"/>
        <c:lblAlgn val="ctr"/>
        <c:lblOffset val="100"/>
        <c:noMultiLvlLbl val="0"/>
      </c:catAx>
      <c:valAx>
        <c:axId val="7302978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29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Mbalala-Mukono'!$C$59:$N$59</c:f>
              <c:numCache>
                <c:formatCode>0.0%</c:formatCode>
                <c:ptCount val="12"/>
                <c:pt idx="0">
                  <c:v>0.11072994091862016</c:v>
                </c:pt>
                <c:pt idx="1">
                  <c:v>4.3643987040213453E-2</c:v>
                </c:pt>
                <c:pt idx="2">
                  <c:v>3.2304173813607777E-2</c:v>
                </c:pt>
                <c:pt idx="3">
                  <c:v>0.1325519344387269</c:v>
                </c:pt>
                <c:pt idx="4">
                  <c:v>7.1469411092052598E-3</c:v>
                </c:pt>
                <c:pt idx="5">
                  <c:v>3.8117019249094722E-3</c:v>
                </c:pt>
                <c:pt idx="6">
                  <c:v>4.2691061558986089E-2</c:v>
                </c:pt>
                <c:pt idx="7">
                  <c:v>3.4972365161044405E-2</c:v>
                </c:pt>
                <c:pt idx="8">
                  <c:v>1.4579759862778732E-2</c:v>
                </c:pt>
                <c:pt idx="9">
                  <c:v>6.0320182961692392E-2</c:v>
                </c:pt>
                <c:pt idx="10">
                  <c:v>0.51724795121021538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Mbalala-Mukono'!$S$9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Mbalala-Mukono'!$S$10:$S$21</c:f>
              <c:numCache>
                <c:formatCode>0</c:formatCode>
                <c:ptCount val="12"/>
                <c:pt idx="0">
                  <c:v>48</c:v>
                </c:pt>
                <c:pt idx="1">
                  <c:v>98</c:v>
                </c:pt>
                <c:pt idx="2">
                  <c:v>82</c:v>
                </c:pt>
                <c:pt idx="3">
                  <c:v>71</c:v>
                </c:pt>
                <c:pt idx="4">
                  <c:v>87</c:v>
                </c:pt>
                <c:pt idx="5">
                  <c:v>105</c:v>
                </c:pt>
                <c:pt idx="6">
                  <c:v>103</c:v>
                </c:pt>
                <c:pt idx="7">
                  <c:v>105</c:v>
                </c:pt>
                <c:pt idx="8">
                  <c:v>94</c:v>
                </c:pt>
                <c:pt idx="9">
                  <c:v>105</c:v>
                </c:pt>
                <c:pt idx="10">
                  <c:v>133</c:v>
                </c:pt>
                <c:pt idx="11">
                  <c:v>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'30.10 Mbalala-Mukono'!$T$9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Mbalala-Mukono'!$T$10:$T$21</c:f>
              <c:numCache>
                <c:formatCode>0</c:formatCode>
                <c:ptCount val="12"/>
                <c:pt idx="0">
                  <c:v>51</c:v>
                </c:pt>
                <c:pt idx="1">
                  <c:v>33</c:v>
                </c:pt>
                <c:pt idx="2">
                  <c:v>34</c:v>
                </c:pt>
                <c:pt idx="3">
                  <c:v>32</c:v>
                </c:pt>
                <c:pt idx="4">
                  <c:v>29</c:v>
                </c:pt>
                <c:pt idx="5">
                  <c:v>27</c:v>
                </c:pt>
                <c:pt idx="6">
                  <c:v>33</c:v>
                </c:pt>
                <c:pt idx="7">
                  <c:v>38</c:v>
                </c:pt>
                <c:pt idx="8">
                  <c:v>53</c:v>
                </c:pt>
                <c:pt idx="9">
                  <c:v>45</c:v>
                </c:pt>
                <c:pt idx="10">
                  <c:v>40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'30.10 Mbalala-Mukono'!$U$9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Mbalala-Mukono'!$U$10:$U$21</c:f>
              <c:numCache>
                <c:formatCode>0</c:formatCode>
                <c:ptCount val="12"/>
                <c:pt idx="0">
                  <c:v>40</c:v>
                </c:pt>
                <c:pt idx="1">
                  <c:v>26</c:v>
                </c:pt>
                <c:pt idx="2">
                  <c:v>16</c:v>
                </c:pt>
                <c:pt idx="3">
                  <c:v>19</c:v>
                </c:pt>
                <c:pt idx="4">
                  <c:v>25</c:v>
                </c:pt>
                <c:pt idx="5">
                  <c:v>21</c:v>
                </c:pt>
                <c:pt idx="6">
                  <c:v>29</c:v>
                </c:pt>
                <c:pt idx="7">
                  <c:v>28</c:v>
                </c:pt>
                <c:pt idx="8">
                  <c:v>37</c:v>
                </c:pt>
                <c:pt idx="9">
                  <c:v>31</c:v>
                </c:pt>
                <c:pt idx="10">
                  <c:v>30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'30.10 Mbalala-Mukono'!$V$9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Mbalala-Mukono'!$V$10:$V$21</c:f>
              <c:numCache>
                <c:formatCode>0</c:formatCode>
                <c:ptCount val="12"/>
                <c:pt idx="0">
                  <c:v>71</c:v>
                </c:pt>
                <c:pt idx="1">
                  <c:v>124</c:v>
                </c:pt>
                <c:pt idx="2">
                  <c:v>130</c:v>
                </c:pt>
                <c:pt idx="3">
                  <c:v>113</c:v>
                </c:pt>
                <c:pt idx="4">
                  <c:v>129</c:v>
                </c:pt>
                <c:pt idx="5">
                  <c:v>109</c:v>
                </c:pt>
                <c:pt idx="6">
                  <c:v>131</c:v>
                </c:pt>
                <c:pt idx="7">
                  <c:v>126</c:v>
                </c:pt>
                <c:pt idx="8">
                  <c:v>94</c:v>
                </c:pt>
                <c:pt idx="9">
                  <c:v>117</c:v>
                </c:pt>
                <c:pt idx="10">
                  <c:v>127</c:v>
                </c:pt>
                <c:pt idx="11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'30.10 Mbalala-Mukono'!$W$9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Mbalala-Mukono'!$W$10:$W$21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8</c:v>
                </c:pt>
                <c:pt idx="6">
                  <c:v>2</c:v>
                </c:pt>
                <c:pt idx="7">
                  <c:v>10</c:v>
                </c:pt>
                <c:pt idx="8">
                  <c:v>2</c:v>
                </c:pt>
                <c:pt idx="9">
                  <c:v>9</c:v>
                </c:pt>
                <c:pt idx="10">
                  <c:v>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'30.10 Mbalala-Mukono'!$X$9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Mbalala-Mukono'!$X$10:$X$21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10</c:v>
                </c:pt>
                <c:pt idx="9">
                  <c:v>0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'30.10 Mbalala-Mukono'!$Y$9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Mbalala-Mukono'!$Y$10:$Y$21</c:f>
              <c:numCache>
                <c:formatCode>0</c:formatCode>
                <c:ptCount val="12"/>
                <c:pt idx="0">
                  <c:v>45</c:v>
                </c:pt>
                <c:pt idx="1">
                  <c:v>21</c:v>
                </c:pt>
                <c:pt idx="2">
                  <c:v>41</c:v>
                </c:pt>
                <c:pt idx="3">
                  <c:v>31</c:v>
                </c:pt>
                <c:pt idx="4">
                  <c:v>42</c:v>
                </c:pt>
                <c:pt idx="5">
                  <c:v>25</c:v>
                </c:pt>
                <c:pt idx="6">
                  <c:v>40</c:v>
                </c:pt>
                <c:pt idx="7">
                  <c:v>46</c:v>
                </c:pt>
                <c:pt idx="8">
                  <c:v>44</c:v>
                </c:pt>
                <c:pt idx="9">
                  <c:v>31</c:v>
                </c:pt>
                <c:pt idx="10">
                  <c:v>42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'30.10 Mbalala-Mukono'!$Z$9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Mbalala-Mukono'!$Z$10:$Z$21</c:f>
              <c:numCache>
                <c:formatCode>0</c:formatCode>
                <c:ptCount val="12"/>
                <c:pt idx="0">
                  <c:v>27</c:v>
                </c:pt>
                <c:pt idx="1">
                  <c:v>20</c:v>
                </c:pt>
                <c:pt idx="2">
                  <c:v>22</c:v>
                </c:pt>
                <c:pt idx="3">
                  <c:v>23</c:v>
                </c:pt>
                <c:pt idx="4">
                  <c:v>27</c:v>
                </c:pt>
                <c:pt idx="5">
                  <c:v>42</c:v>
                </c:pt>
                <c:pt idx="6">
                  <c:v>35</c:v>
                </c:pt>
                <c:pt idx="7">
                  <c:v>42</c:v>
                </c:pt>
                <c:pt idx="8">
                  <c:v>24</c:v>
                </c:pt>
                <c:pt idx="9">
                  <c:v>40</c:v>
                </c:pt>
                <c:pt idx="10">
                  <c:v>37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'30.10 Mbalala-Mukono'!$AA$9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Mbalala-Mukono'!$AA$10:$AA$21</c:f>
              <c:numCache>
                <c:formatCode>0</c:formatCode>
                <c:ptCount val="12"/>
                <c:pt idx="0">
                  <c:v>17</c:v>
                </c:pt>
                <c:pt idx="1">
                  <c:v>5</c:v>
                </c:pt>
                <c:pt idx="2">
                  <c:v>12</c:v>
                </c:pt>
                <c:pt idx="3">
                  <c:v>10</c:v>
                </c:pt>
                <c:pt idx="4">
                  <c:v>14</c:v>
                </c:pt>
                <c:pt idx="5">
                  <c:v>9</c:v>
                </c:pt>
                <c:pt idx="6">
                  <c:v>19</c:v>
                </c:pt>
                <c:pt idx="7">
                  <c:v>12</c:v>
                </c:pt>
                <c:pt idx="8">
                  <c:v>13</c:v>
                </c:pt>
                <c:pt idx="9">
                  <c:v>9</c:v>
                </c:pt>
                <c:pt idx="10">
                  <c:v>20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'30.10 Mbalala-Mukono'!$AB$9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Mbalala-Mukono'!$AB$10:$AB$21</c:f>
              <c:numCache>
                <c:formatCode>0</c:formatCode>
                <c:ptCount val="12"/>
                <c:pt idx="0">
                  <c:v>182</c:v>
                </c:pt>
                <c:pt idx="1">
                  <c:v>50</c:v>
                </c:pt>
                <c:pt idx="2">
                  <c:v>49</c:v>
                </c:pt>
                <c:pt idx="3">
                  <c:v>56</c:v>
                </c:pt>
                <c:pt idx="4">
                  <c:v>43</c:v>
                </c:pt>
                <c:pt idx="5">
                  <c:v>38</c:v>
                </c:pt>
                <c:pt idx="6">
                  <c:v>47</c:v>
                </c:pt>
                <c:pt idx="7">
                  <c:v>37</c:v>
                </c:pt>
                <c:pt idx="8">
                  <c:v>38</c:v>
                </c:pt>
                <c:pt idx="9">
                  <c:v>33</c:v>
                </c:pt>
                <c:pt idx="10">
                  <c:v>21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'30.10 Mbalala-Mukono'!$AC$9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Mbalala-Mukono'!$AC$10:$AC$21</c:f>
              <c:numCache>
                <c:formatCode>0</c:formatCode>
                <c:ptCount val="12"/>
                <c:pt idx="0">
                  <c:v>387</c:v>
                </c:pt>
                <c:pt idx="1">
                  <c:v>568</c:v>
                </c:pt>
                <c:pt idx="2">
                  <c:v>554</c:v>
                </c:pt>
                <c:pt idx="3">
                  <c:v>504</c:v>
                </c:pt>
                <c:pt idx="4">
                  <c:v>442</c:v>
                </c:pt>
                <c:pt idx="5">
                  <c:v>409</c:v>
                </c:pt>
                <c:pt idx="6">
                  <c:v>416</c:v>
                </c:pt>
                <c:pt idx="7">
                  <c:v>358</c:v>
                </c:pt>
                <c:pt idx="8">
                  <c:v>376</c:v>
                </c:pt>
                <c:pt idx="9">
                  <c:v>461</c:v>
                </c:pt>
                <c:pt idx="10">
                  <c:v>439</c:v>
                </c:pt>
                <c:pt idx="11">
                  <c:v>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'30.10 Mbalala-Mukono'!$AD$9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Mbalala-Mukono'!$AD$10:$AD$21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0298976"/>
        <c:axId val="730299520"/>
      </c:lineChart>
      <c:catAx>
        <c:axId val="73029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299520"/>
        <c:crosses val="autoZero"/>
        <c:auto val="1"/>
        <c:lblAlgn val="ctr"/>
        <c:lblOffset val="100"/>
        <c:noMultiLvlLbl val="0"/>
      </c:catAx>
      <c:valAx>
        <c:axId val="73029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29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Mbalala-Mukono'!$C$60:$N$60</c:f>
              <c:numCache>
                <c:formatCode>0.00%</c:formatCode>
                <c:ptCount val="12"/>
                <c:pt idx="0">
                  <c:v>0.22937228582708252</c:v>
                </c:pt>
                <c:pt idx="1">
                  <c:v>9.040663245163838E-2</c:v>
                </c:pt>
                <c:pt idx="2">
                  <c:v>6.6916699565732332E-2</c:v>
                </c:pt>
                <c:pt idx="3">
                  <c:v>0.27457560205290171</c:v>
                </c:pt>
                <c:pt idx="4">
                  <c:v>1.4804579549940782E-2</c:v>
                </c:pt>
                <c:pt idx="5">
                  <c:v>7.895775759968417E-3</c:v>
                </c:pt>
                <c:pt idx="6">
                  <c:v>8.8432688511646262E-2</c:v>
                </c:pt>
                <c:pt idx="7">
                  <c:v>7.244374259771022E-2</c:v>
                </c:pt>
                <c:pt idx="8">
                  <c:v>3.0201342281879196E-2</c:v>
                </c:pt>
                <c:pt idx="9">
                  <c:v>0.1249506514015002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Mukono-Mbalala'!$AE$9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Mukono-Mbalala'!$AE$10:$AE$21</c:f>
              <c:numCache>
                <c:formatCode>0</c:formatCode>
                <c:ptCount val="12"/>
                <c:pt idx="0">
                  <c:v>418</c:v>
                </c:pt>
                <c:pt idx="1">
                  <c:v>364</c:v>
                </c:pt>
                <c:pt idx="2">
                  <c:v>374</c:v>
                </c:pt>
                <c:pt idx="3">
                  <c:v>352</c:v>
                </c:pt>
                <c:pt idx="4">
                  <c:v>409</c:v>
                </c:pt>
                <c:pt idx="5">
                  <c:v>369</c:v>
                </c:pt>
                <c:pt idx="6">
                  <c:v>406</c:v>
                </c:pt>
                <c:pt idx="7">
                  <c:v>430</c:v>
                </c:pt>
                <c:pt idx="8">
                  <c:v>315</c:v>
                </c:pt>
                <c:pt idx="9">
                  <c:v>394</c:v>
                </c:pt>
                <c:pt idx="10">
                  <c:v>415</c:v>
                </c:pt>
                <c:pt idx="11">
                  <c:v>485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'31.10 Mukono-Mbalala'!$AF$9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Mukono-Mbalala'!$AF$10:$AF$21</c:f>
              <c:numCache>
                <c:formatCode>0</c:formatCode>
                <c:ptCount val="12"/>
                <c:pt idx="0">
                  <c:v>665</c:v>
                </c:pt>
                <c:pt idx="1">
                  <c:v>671</c:v>
                </c:pt>
                <c:pt idx="2">
                  <c:v>602</c:v>
                </c:pt>
                <c:pt idx="3">
                  <c:v>627</c:v>
                </c:pt>
                <c:pt idx="4">
                  <c:v>628</c:v>
                </c:pt>
                <c:pt idx="5">
                  <c:v>592</c:v>
                </c:pt>
                <c:pt idx="6">
                  <c:v>679</c:v>
                </c:pt>
                <c:pt idx="7">
                  <c:v>642</c:v>
                </c:pt>
                <c:pt idx="8">
                  <c:v>456</c:v>
                </c:pt>
                <c:pt idx="9">
                  <c:v>659</c:v>
                </c:pt>
                <c:pt idx="10">
                  <c:v>811</c:v>
                </c:pt>
                <c:pt idx="11">
                  <c:v>1162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0300064"/>
        <c:axId val="730301696"/>
      </c:lineChart>
      <c:catAx>
        <c:axId val="730300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301696"/>
        <c:crosses val="autoZero"/>
        <c:auto val="1"/>
        <c:lblAlgn val="ctr"/>
        <c:lblOffset val="100"/>
        <c:noMultiLvlLbl val="0"/>
      </c:catAx>
      <c:valAx>
        <c:axId val="7303016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30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Mukono-Mbalala'!$C$59:$N$59</c:f>
              <c:numCache>
                <c:formatCode>0.0%</c:formatCode>
                <c:ptCount val="12"/>
                <c:pt idx="0">
                  <c:v>0.16756163046131314</c:v>
                </c:pt>
                <c:pt idx="1">
                  <c:v>3.2706858677080793E-2</c:v>
                </c:pt>
                <c:pt idx="2">
                  <c:v>3.7466438857700755E-2</c:v>
                </c:pt>
                <c:pt idx="3">
                  <c:v>0.16512082011227727</c:v>
                </c:pt>
                <c:pt idx="4">
                  <c:v>8.4207957041737853E-3</c:v>
                </c:pt>
                <c:pt idx="5">
                  <c:v>2.8069319013912619E-3</c:v>
                </c:pt>
                <c:pt idx="6">
                  <c:v>4.3934586282645835E-2</c:v>
                </c:pt>
                <c:pt idx="7">
                  <c:v>3.5391750061020258E-2</c:v>
                </c:pt>
                <c:pt idx="8">
                  <c:v>1.5987307786185012E-2</c:v>
                </c:pt>
                <c:pt idx="9">
                  <c:v>6.797656822064925E-2</c:v>
                </c:pt>
                <c:pt idx="10">
                  <c:v>0.4226263119355626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Mukono-Mbalala'!$S$9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Mukono-Mbalala'!$S$10:$S$21</c:f>
              <c:numCache>
                <c:formatCode>0</c:formatCode>
                <c:ptCount val="12"/>
                <c:pt idx="0">
                  <c:v>140</c:v>
                </c:pt>
                <c:pt idx="1">
                  <c:v>114</c:v>
                </c:pt>
                <c:pt idx="2">
                  <c:v>113</c:v>
                </c:pt>
                <c:pt idx="3">
                  <c:v>114</c:v>
                </c:pt>
                <c:pt idx="4">
                  <c:v>119</c:v>
                </c:pt>
                <c:pt idx="5">
                  <c:v>90</c:v>
                </c:pt>
                <c:pt idx="6">
                  <c:v>125</c:v>
                </c:pt>
                <c:pt idx="7">
                  <c:v>101</c:v>
                </c:pt>
                <c:pt idx="8">
                  <c:v>87</c:v>
                </c:pt>
                <c:pt idx="9">
                  <c:v>99</c:v>
                </c:pt>
                <c:pt idx="10">
                  <c:v>119</c:v>
                </c:pt>
                <c:pt idx="11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'31.10 Mukono-Mbalala'!$T$9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Mukono-Mbalala'!$T$10:$T$21</c:f>
              <c:numCache>
                <c:formatCode>0</c:formatCode>
                <c:ptCount val="12"/>
                <c:pt idx="0">
                  <c:v>29</c:v>
                </c:pt>
                <c:pt idx="1">
                  <c:v>18</c:v>
                </c:pt>
                <c:pt idx="2">
                  <c:v>20</c:v>
                </c:pt>
                <c:pt idx="3">
                  <c:v>15</c:v>
                </c:pt>
                <c:pt idx="4">
                  <c:v>19</c:v>
                </c:pt>
                <c:pt idx="5">
                  <c:v>31</c:v>
                </c:pt>
                <c:pt idx="6">
                  <c:v>25</c:v>
                </c:pt>
                <c:pt idx="7">
                  <c:v>34</c:v>
                </c:pt>
                <c:pt idx="8">
                  <c:v>10</c:v>
                </c:pt>
                <c:pt idx="9">
                  <c:v>15</c:v>
                </c:pt>
                <c:pt idx="10">
                  <c:v>31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'31.10 Mukono-Mbalala'!$U$9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Mukono-Mbalala'!$U$10:$U$21</c:f>
              <c:numCache>
                <c:formatCode>0</c:formatCode>
                <c:ptCount val="12"/>
                <c:pt idx="0">
                  <c:v>33</c:v>
                </c:pt>
                <c:pt idx="1">
                  <c:v>36</c:v>
                </c:pt>
                <c:pt idx="2">
                  <c:v>36</c:v>
                </c:pt>
                <c:pt idx="3">
                  <c:v>18</c:v>
                </c:pt>
                <c:pt idx="4">
                  <c:v>31</c:v>
                </c:pt>
                <c:pt idx="5">
                  <c:v>26</c:v>
                </c:pt>
                <c:pt idx="6">
                  <c:v>16</c:v>
                </c:pt>
                <c:pt idx="7">
                  <c:v>19</c:v>
                </c:pt>
                <c:pt idx="8">
                  <c:v>21</c:v>
                </c:pt>
                <c:pt idx="9">
                  <c:v>15</c:v>
                </c:pt>
                <c:pt idx="10">
                  <c:v>30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'31.10 Mukono-Mbalala'!$V$9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Mukono-Mbalala'!$V$10:$V$21</c:f>
              <c:numCache>
                <c:formatCode>0</c:formatCode>
                <c:ptCount val="12"/>
                <c:pt idx="0">
                  <c:v>118</c:v>
                </c:pt>
                <c:pt idx="1">
                  <c:v>118</c:v>
                </c:pt>
                <c:pt idx="2">
                  <c:v>111</c:v>
                </c:pt>
                <c:pt idx="3">
                  <c:v>101</c:v>
                </c:pt>
                <c:pt idx="4">
                  <c:v>118</c:v>
                </c:pt>
                <c:pt idx="5">
                  <c:v>109</c:v>
                </c:pt>
                <c:pt idx="6">
                  <c:v>102</c:v>
                </c:pt>
                <c:pt idx="7">
                  <c:v>126</c:v>
                </c:pt>
                <c:pt idx="8">
                  <c:v>95</c:v>
                </c:pt>
                <c:pt idx="9">
                  <c:v>125</c:v>
                </c:pt>
                <c:pt idx="10">
                  <c:v>95</c:v>
                </c:pt>
                <c:pt idx="11">
                  <c:v>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'31.10 Mukono-Mbalala'!$W$9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Mukono-Mbalala'!$W$10:$W$21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  <c:pt idx="8">
                  <c:v>7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'31.10 Mukono-Mbalala'!$X$9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Mukono-Mbalala'!$X$10:$X$21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'31.10 Mukono-Mbalala'!$Y$9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Mukono-Mbalala'!$Y$10:$Y$21</c:f>
              <c:numCache>
                <c:formatCode>0</c:formatCode>
                <c:ptCount val="12"/>
                <c:pt idx="0">
                  <c:v>16</c:v>
                </c:pt>
                <c:pt idx="1">
                  <c:v>24</c:v>
                </c:pt>
                <c:pt idx="2">
                  <c:v>42</c:v>
                </c:pt>
                <c:pt idx="3">
                  <c:v>29</c:v>
                </c:pt>
                <c:pt idx="4">
                  <c:v>38</c:v>
                </c:pt>
                <c:pt idx="5">
                  <c:v>22</c:v>
                </c:pt>
                <c:pt idx="6">
                  <c:v>30</c:v>
                </c:pt>
                <c:pt idx="7">
                  <c:v>41</c:v>
                </c:pt>
                <c:pt idx="8">
                  <c:v>28</c:v>
                </c:pt>
                <c:pt idx="9">
                  <c:v>29</c:v>
                </c:pt>
                <c:pt idx="10">
                  <c:v>31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'31.10 Mukono-Mbalala'!$Z$9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Mukono-Mbalala'!$Z$10:$Z$21</c:f>
              <c:numCache>
                <c:formatCode>0</c:formatCode>
                <c:ptCount val="12"/>
                <c:pt idx="0">
                  <c:v>28</c:v>
                </c:pt>
                <c:pt idx="1">
                  <c:v>12</c:v>
                </c:pt>
                <c:pt idx="2">
                  <c:v>13</c:v>
                </c:pt>
                <c:pt idx="3">
                  <c:v>26</c:v>
                </c:pt>
                <c:pt idx="4">
                  <c:v>25</c:v>
                </c:pt>
                <c:pt idx="5">
                  <c:v>29</c:v>
                </c:pt>
                <c:pt idx="6">
                  <c:v>29</c:v>
                </c:pt>
                <c:pt idx="7">
                  <c:v>26</c:v>
                </c:pt>
                <c:pt idx="8">
                  <c:v>18</c:v>
                </c:pt>
                <c:pt idx="9">
                  <c:v>28</c:v>
                </c:pt>
                <c:pt idx="10">
                  <c:v>22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'31.10 Mukono-Mbalala'!$AA$9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Mukono-Mbalala'!$AA$10:$AA$21</c:f>
              <c:numCache>
                <c:formatCode>0</c:formatCode>
                <c:ptCount val="12"/>
                <c:pt idx="0">
                  <c:v>17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7</c:v>
                </c:pt>
                <c:pt idx="5">
                  <c:v>12</c:v>
                </c:pt>
                <c:pt idx="6">
                  <c:v>10</c:v>
                </c:pt>
                <c:pt idx="7">
                  <c:v>17</c:v>
                </c:pt>
                <c:pt idx="8">
                  <c:v>7</c:v>
                </c:pt>
                <c:pt idx="9">
                  <c:v>6</c:v>
                </c:pt>
                <c:pt idx="10">
                  <c:v>17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'31.10 Mukono-Mbalala'!$AB$9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Mukono-Mbalala'!$AB$10:$AB$21</c:f>
              <c:numCache>
                <c:formatCode>0</c:formatCode>
                <c:ptCount val="12"/>
                <c:pt idx="0">
                  <c:v>28</c:v>
                </c:pt>
                <c:pt idx="1">
                  <c:v>27</c:v>
                </c:pt>
                <c:pt idx="2">
                  <c:v>20</c:v>
                </c:pt>
                <c:pt idx="3">
                  <c:v>34</c:v>
                </c:pt>
                <c:pt idx="4">
                  <c:v>42</c:v>
                </c:pt>
                <c:pt idx="5">
                  <c:v>40</c:v>
                </c:pt>
                <c:pt idx="6">
                  <c:v>62</c:v>
                </c:pt>
                <c:pt idx="7">
                  <c:v>58</c:v>
                </c:pt>
                <c:pt idx="8">
                  <c:v>42</c:v>
                </c:pt>
                <c:pt idx="9">
                  <c:v>69</c:v>
                </c:pt>
                <c:pt idx="10">
                  <c:v>62</c:v>
                </c:pt>
                <c:pt idx="1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'31.10 Mukono-Mbalala'!$AC$9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Mukono-Mbalala'!$AC$10:$AC$21</c:f>
              <c:numCache>
                <c:formatCode>0</c:formatCode>
                <c:ptCount val="12"/>
                <c:pt idx="0">
                  <c:v>247</c:v>
                </c:pt>
                <c:pt idx="1">
                  <c:v>307</c:v>
                </c:pt>
                <c:pt idx="2">
                  <c:v>228</c:v>
                </c:pt>
                <c:pt idx="3">
                  <c:v>275</c:v>
                </c:pt>
                <c:pt idx="4">
                  <c:v>219</c:v>
                </c:pt>
                <c:pt idx="5">
                  <c:v>223</c:v>
                </c:pt>
                <c:pt idx="6">
                  <c:v>273</c:v>
                </c:pt>
                <c:pt idx="7">
                  <c:v>212</c:v>
                </c:pt>
                <c:pt idx="8">
                  <c:v>141</c:v>
                </c:pt>
                <c:pt idx="9">
                  <c:v>265</c:v>
                </c:pt>
                <c:pt idx="10">
                  <c:v>396</c:v>
                </c:pt>
                <c:pt idx="11">
                  <c:v>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'31.10 Mukono-Mbalala'!$AD$9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Mukono-Mbalala'!$AD$10:$AD$21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0293536"/>
        <c:axId val="750126128"/>
      </c:lineChart>
      <c:catAx>
        <c:axId val="730293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126128"/>
        <c:crosses val="autoZero"/>
        <c:auto val="1"/>
        <c:lblAlgn val="ctr"/>
        <c:lblOffset val="100"/>
        <c:noMultiLvlLbl val="0"/>
      </c:catAx>
      <c:valAx>
        <c:axId val="75012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29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Mukono-Mbalala'!$C$60:$N$60</c:f>
              <c:numCache>
                <c:formatCode>0.00%</c:formatCode>
                <c:ptCount val="12"/>
                <c:pt idx="0">
                  <c:v>0.29021348552103149</c:v>
                </c:pt>
                <c:pt idx="1">
                  <c:v>5.6647643204396532E-2</c:v>
                </c:pt>
                <c:pt idx="2">
                  <c:v>6.4891143521454239E-2</c:v>
                </c:pt>
                <c:pt idx="3">
                  <c:v>0.28598604946100192</c:v>
                </c:pt>
                <c:pt idx="4">
                  <c:v>1.4584654407102092E-2</c:v>
                </c:pt>
                <c:pt idx="5">
                  <c:v>4.8615514690340308E-3</c:v>
                </c:pt>
                <c:pt idx="6">
                  <c:v>7.6093849080532655E-2</c:v>
                </c:pt>
                <c:pt idx="7">
                  <c:v>6.1297822870429085E-2</c:v>
                </c:pt>
                <c:pt idx="8">
                  <c:v>2.7689706193193827E-2</c:v>
                </c:pt>
                <c:pt idx="9">
                  <c:v>0.11773409427182414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Mbalala-Mukono'!$AE$9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Mbalala-Mukono'!$AE$10:$AE$21</c:f>
              <c:numCache>
                <c:formatCode>0</c:formatCode>
                <c:ptCount val="12"/>
                <c:pt idx="0">
                  <c:v>328</c:v>
                </c:pt>
                <c:pt idx="1">
                  <c:v>398</c:v>
                </c:pt>
                <c:pt idx="2">
                  <c:v>383</c:v>
                </c:pt>
                <c:pt idx="3">
                  <c:v>353</c:v>
                </c:pt>
                <c:pt idx="4">
                  <c:v>367</c:v>
                </c:pt>
                <c:pt idx="5">
                  <c:v>392</c:v>
                </c:pt>
                <c:pt idx="6">
                  <c:v>385</c:v>
                </c:pt>
                <c:pt idx="7">
                  <c:v>454</c:v>
                </c:pt>
                <c:pt idx="8">
                  <c:v>416</c:v>
                </c:pt>
                <c:pt idx="9">
                  <c:v>340</c:v>
                </c:pt>
                <c:pt idx="10">
                  <c:v>470</c:v>
                </c:pt>
                <c:pt idx="11">
                  <c:v>605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'31.10 Mbalala-Mukono'!$AF$9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Mbalala-Mukono'!$AF$10:$AF$21</c:f>
              <c:numCache>
                <c:formatCode>0</c:formatCode>
                <c:ptCount val="12"/>
                <c:pt idx="0">
                  <c:v>848</c:v>
                </c:pt>
                <c:pt idx="1">
                  <c:v>1032</c:v>
                </c:pt>
                <c:pt idx="2">
                  <c:v>860</c:v>
                </c:pt>
                <c:pt idx="3">
                  <c:v>827</c:v>
                </c:pt>
                <c:pt idx="4">
                  <c:v>865</c:v>
                </c:pt>
                <c:pt idx="5">
                  <c:v>732</c:v>
                </c:pt>
                <c:pt idx="6">
                  <c:v>775</c:v>
                </c:pt>
                <c:pt idx="7">
                  <c:v>715</c:v>
                </c:pt>
                <c:pt idx="8">
                  <c:v>585</c:v>
                </c:pt>
                <c:pt idx="9">
                  <c:v>538</c:v>
                </c:pt>
                <c:pt idx="10">
                  <c:v>976</c:v>
                </c:pt>
                <c:pt idx="11">
                  <c:v>1200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134832"/>
        <c:axId val="750131568"/>
      </c:lineChart>
      <c:catAx>
        <c:axId val="750134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131568"/>
        <c:crosses val="autoZero"/>
        <c:auto val="1"/>
        <c:lblAlgn val="ctr"/>
        <c:lblOffset val="100"/>
        <c:noMultiLvlLbl val="0"/>
      </c:catAx>
      <c:valAx>
        <c:axId val="750131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13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Mbalala-Mukono'!$C$59:$N$59</c:f>
              <c:numCache>
                <c:formatCode>0.0%</c:formatCode>
                <c:ptCount val="12"/>
                <c:pt idx="0">
                  <c:v>0.13292474630764595</c:v>
                </c:pt>
                <c:pt idx="1">
                  <c:v>4.8126193107605748E-2</c:v>
                </c:pt>
                <c:pt idx="2">
                  <c:v>3.0041193609966845E-2</c:v>
                </c:pt>
                <c:pt idx="3">
                  <c:v>0.13845071837636894</c:v>
                </c:pt>
                <c:pt idx="4">
                  <c:v>8.5401386516628149E-3</c:v>
                </c:pt>
                <c:pt idx="5">
                  <c:v>3.1146388023711442E-3</c:v>
                </c:pt>
                <c:pt idx="6">
                  <c:v>3.8782276700492314E-2</c:v>
                </c:pt>
                <c:pt idx="7">
                  <c:v>2.8735054757359591E-2</c:v>
                </c:pt>
                <c:pt idx="8">
                  <c:v>1.2759971867778559E-2</c:v>
                </c:pt>
                <c:pt idx="9">
                  <c:v>4.9733748618506983E-2</c:v>
                </c:pt>
                <c:pt idx="10">
                  <c:v>0.50859037476137847</c:v>
                </c:pt>
                <c:pt idx="11">
                  <c:v>2.0094443886265449E-4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Mbalala-Mukono'!$C$60:$N$60</c:f>
              <c:numCache>
                <c:formatCode>0.00%</c:formatCode>
                <c:ptCount val="12"/>
                <c:pt idx="0">
                  <c:v>0.27049683091392351</c:v>
                </c:pt>
                <c:pt idx="1">
                  <c:v>9.7934982621140865E-2</c:v>
                </c:pt>
                <c:pt idx="2">
                  <c:v>6.1132692700879163E-2</c:v>
                </c:pt>
                <c:pt idx="3">
                  <c:v>0.28174197505622572</c:v>
                </c:pt>
                <c:pt idx="4">
                  <c:v>1.7378859129012471E-2</c:v>
                </c:pt>
                <c:pt idx="5">
                  <c:v>6.3381721529339602E-3</c:v>
                </c:pt>
                <c:pt idx="6">
                  <c:v>7.8920466162338984E-2</c:v>
                </c:pt>
                <c:pt idx="7">
                  <c:v>5.8474749539971373E-2</c:v>
                </c:pt>
                <c:pt idx="8">
                  <c:v>2.596606011040687E-2</c:v>
                </c:pt>
                <c:pt idx="9">
                  <c:v>0.10120629728071968</c:v>
                </c:pt>
                <c:pt idx="11">
                  <c:v>4.0891433244735228E-4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'1.11 Mukono-Mbalala-24h'!$AE$9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'1.11 Mukono-Mbalala-24h'!$R$10:$R$33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'1.11 Mukono-Mbalala-24h'!$AE$10:$AE$33</c:f>
              <c:numCache>
                <c:formatCode>0</c:formatCode>
                <c:ptCount val="24"/>
                <c:pt idx="0">
                  <c:v>363</c:v>
                </c:pt>
                <c:pt idx="1">
                  <c:v>399</c:v>
                </c:pt>
                <c:pt idx="2">
                  <c:v>389</c:v>
                </c:pt>
                <c:pt idx="3">
                  <c:v>313</c:v>
                </c:pt>
                <c:pt idx="4">
                  <c:v>374</c:v>
                </c:pt>
                <c:pt idx="5">
                  <c:v>415</c:v>
                </c:pt>
                <c:pt idx="6">
                  <c:v>328</c:v>
                </c:pt>
                <c:pt idx="7">
                  <c:v>441</c:v>
                </c:pt>
                <c:pt idx="8">
                  <c:v>367</c:v>
                </c:pt>
                <c:pt idx="9">
                  <c:v>472</c:v>
                </c:pt>
                <c:pt idx="10">
                  <c:v>399</c:v>
                </c:pt>
                <c:pt idx="11">
                  <c:v>384</c:v>
                </c:pt>
                <c:pt idx="12">
                  <c:v>377</c:v>
                </c:pt>
                <c:pt idx="13">
                  <c:v>382</c:v>
                </c:pt>
                <c:pt idx="14">
                  <c:v>268</c:v>
                </c:pt>
                <c:pt idx="15">
                  <c:v>132</c:v>
                </c:pt>
                <c:pt idx="16">
                  <c:v>124</c:v>
                </c:pt>
                <c:pt idx="17">
                  <c:v>116</c:v>
                </c:pt>
                <c:pt idx="18">
                  <c:v>86</c:v>
                </c:pt>
                <c:pt idx="19">
                  <c:v>84</c:v>
                </c:pt>
                <c:pt idx="20">
                  <c:v>79</c:v>
                </c:pt>
                <c:pt idx="21">
                  <c:v>131</c:v>
                </c:pt>
                <c:pt idx="22">
                  <c:v>106</c:v>
                </c:pt>
                <c:pt idx="23">
                  <c:v>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'1.11 Mukono-Mbalala-24h'!$AF$9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'1.11 Mukono-Mbalala-24h'!$R$10:$R$33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'1.11 Mukono-Mbalala-24h'!$AF$10:$AF$33</c:f>
              <c:numCache>
                <c:formatCode>0</c:formatCode>
                <c:ptCount val="24"/>
                <c:pt idx="0">
                  <c:v>485</c:v>
                </c:pt>
                <c:pt idx="1">
                  <c:v>561</c:v>
                </c:pt>
                <c:pt idx="2">
                  <c:v>552</c:v>
                </c:pt>
                <c:pt idx="3">
                  <c:v>483</c:v>
                </c:pt>
                <c:pt idx="4">
                  <c:v>538</c:v>
                </c:pt>
                <c:pt idx="5">
                  <c:v>560</c:v>
                </c:pt>
                <c:pt idx="6">
                  <c:v>493</c:v>
                </c:pt>
                <c:pt idx="7">
                  <c:v>554</c:v>
                </c:pt>
                <c:pt idx="8">
                  <c:v>472</c:v>
                </c:pt>
                <c:pt idx="9">
                  <c:v>609</c:v>
                </c:pt>
                <c:pt idx="10">
                  <c:v>565</c:v>
                </c:pt>
                <c:pt idx="11">
                  <c:v>564</c:v>
                </c:pt>
                <c:pt idx="12">
                  <c:v>538</c:v>
                </c:pt>
                <c:pt idx="13">
                  <c:v>510</c:v>
                </c:pt>
                <c:pt idx="14">
                  <c:v>356</c:v>
                </c:pt>
                <c:pt idx="15">
                  <c:v>147</c:v>
                </c:pt>
                <c:pt idx="16">
                  <c:v>134</c:v>
                </c:pt>
                <c:pt idx="17">
                  <c:v>120</c:v>
                </c:pt>
                <c:pt idx="18">
                  <c:v>86</c:v>
                </c:pt>
                <c:pt idx="19">
                  <c:v>87</c:v>
                </c:pt>
                <c:pt idx="20">
                  <c:v>80</c:v>
                </c:pt>
                <c:pt idx="21">
                  <c:v>135</c:v>
                </c:pt>
                <c:pt idx="22">
                  <c:v>138</c:v>
                </c:pt>
                <c:pt idx="23">
                  <c:v>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120144"/>
        <c:axId val="750123952"/>
      </c:lineChart>
      <c:catAx>
        <c:axId val="750120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123952"/>
        <c:crosses val="autoZero"/>
        <c:auto val="1"/>
        <c:lblAlgn val="ctr"/>
        <c:lblOffset val="100"/>
        <c:noMultiLvlLbl val="0"/>
      </c:catAx>
      <c:valAx>
        <c:axId val="750123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12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Mukono-Mbalala-24h'!$C$9:$N$9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Mukono-Mbalala-24h'!$C$107:$N$107</c:f>
              <c:numCache>
                <c:formatCode>0.0%</c:formatCode>
                <c:ptCount val="12"/>
                <c:pt idx="0">
                  <c:v>0.20603457768968175</c:v>
                </c:pt>
                <c:pt idx="1">
                  <c:v>3.7440810483426935E-2</c:v>
                </c:pt>
                <c:pt idx="2">
                  <c:v>4.118489153176963E-2</c:v>
                </c:pt>
                <c:pt idx="3">
                  <c:v>0.16903424732958924</c:v>
                </c:pt>
                <c:pt idx="4">
                  <c:v>8.8096024666886909E-3</c:v>
                </c:pt>
                <c:pt idx="5">
                  <c:v>5.8363616341812578E-3</c:v>
                </c:pt>
                <c:pt idx="6">
                  <c:v>5.4068935139301839E-2</c:v>
                </c:pt>
                <c:pt idx="7">
                  <c:v>5.6051095694306795E-2</c:v>
                </c:pt>
                <c:pt idx="8">
                  <c:v>3.1163968725911245E-2</c:v>
                </c:pt>
                <c:pt idx="9">
                  <c:v>0.13500715780200417</c:v>
                </c:pt>
                <c:pt idx="10">
                  <c:v>0.25536835150313841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Mukono-Mbalala-24h'!$C$9:$N$9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Mukono-Mbalala-24h'!$C$108:$N$108</c:f>
              <c:numCache>
                <c:formatCode>0.00%</c:formatCode>
                <c:ptCount val="12"/>
                <c:pt idx="0">
                  <c:v>0.27669328601005622</c:v>
                </c:pt>
                <c:pt idx="1">
                  <c:v>5.0280981958000591E-2</c:v>
                </c:pt>
                <c:pt idx="2">
                  <c:v>5.5309080153800649E-2</c:v>
                </c:pt>
                <c:pt idx="3">
                  <c:v>0.22700384501626739</c:v>
                </c:pt>
                <c:pt idx="4">
                  <c:v>1.1830819284235433E-2</c:v>
                </c:pt>
                <c:pt idx="5">
                  <c:v>7.8379177758059748E-3</c:v>
                </c:pt>
                <c:pt idx="6">
                  <c:v>7.2611653356994973E-2</c:v>
                </c:pt>
                <c:pt idx="7">
                  <c:v>7.5273587695947941E-2</c:v>
                </c:pt>
                <c:pt idx="8">
                  <c:v>4.1851523217982849E-2</c:v>
                </c:pt>
                <c:pt idx="9">
                  <c:v>0.18130730553090801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'1.11 Mbalala-Mukono-24h'!$AE$9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'1.11 Mbalala-Mukono-24h'!$R$10:$R$33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'1.11 Mbalala-Mukono-24h'!$AE$10:$AE$33</c:f>
              <c:numCache>
                <c:formatCode>0</c:formatCode>
                <c:ptCount val="24"/>
                <c:pt idx="0">
                  <c:v>376</c:v>
                </c:pt>
                <c:pt idx="1">
                  <c:v>281</c:v>
                </c:pt>
                <c:pt idx="2">
                  <c:v>426</c:v>
                </c:pt>
                <c:pt idx="3">
                  <c:v>363</c:v>
                </c:pt>
                <c:pt idx="4">
                  <c:v>368</c:v>
                </c:pt>
                <c:pt idx="5">
                  <c:v>376</c:v>
                </c:pt>
                <c:pt idx="6">
                  <c:v>432</c:v>
                </c:pt>
                <c:pt idx="7">
                  <c:v>394</c:v>
                </c:pt>
                <c:pt idx="8">
                  <c:v>450</c:v>
                </c:pt>
                <c:pt idx="9">
                  <c:v>393</c:v>
                </c:pt>
                <c:pt idx="10">
                  <c:v>507</c:v>
                </c:pt>
                <c:pt idx="11">
                  <c:v>487</c:v>
                </c:pt>
                <c:pt idx="12">
                  <c:v>451</c:v>
                </c:pt>
                <c:pt idx="13">
                  <c:v>306</c:v>
                </c:pt>
                <c:pt idx="14">
                  <c:v>221</c:v>
                </c:pt>
                <c:pt idx="15">
                  <c:v>344</c:v>
                </c:pt>
                <c:pt idx="16">
                  <c:v>196</c:v>
                </c:pt>
                <c:pt idx="17">
                  <c:v>124</c:v>
                </c:pt>
                <c:pt idx="18">
                  <c:v>53</c:v>
                </c:pt>
                <c:pt idx="19">
                  <c:v>37</c:v>
                </c:pt>
                <c:pt idx="20">
                  <c:v>56</c:v>
                </c:pt>
                <c:pt idx="21">
                  <c:v>88</c:v>
                </c:pt>
                <c:pt idx="22">
                  <c:v>169</c:v>
                </c:pt>
                <c:pt idx="23">
                  <c:v>249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'1.11 Mbalala-Mukono-24h'!$AF$9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'1.11 Mbalala-Mukono-24h'!$R$10:$R$33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'1.11 Mbalala-Mukono-24h'!$AF$10:$AF$33</c:f>
              <c:numCache>
                <c:formatCode>0</c:formatCode>
                <c:ptCount val="24"/>
                <c:pt idx="0">
                  <c:v>579</c:v>
                </c:pt>
                <c:pt idx="1">
                  <c:v>468</c:v>
                </c:pt>
                <c:pt idx="2">
                  <c:v>654</c:v>
                </c:pt>
                <c:pt idx="3">
                  <c:v>564</c:v>
                </c:pt>
                <c:pt idx="4">
                  <c:v>541</c:v>
                </c:pt>
                <c:pt idx="5">
                  <c:v>571</c:v>
                </c:pt>
                <c:pt idx="6">
                  <c:v>590</c:v>
                </c:pt>
                <c:pt idx="7">
                  <c:v>531</c:v>
                </c:pt>
                <c:pt idx="8">
                  <c:v>601</c:v>
                </c:pt>
                <c:pt idx="9">
                  <c:v>562</c:v>
                </c:pt>
                <c:pt idx="10">
                  <c:v>690</c:v>
                </c:pt>
                <c:pt idx="11">
                  <c:v>694</c:v>
                </c:pt>
                <c:pt idx="12">
                  <c:v>625</c:v>
                </c:pt>
                <c:pt idx="13">
                  <c:v>401</c:v>
                </c:pt>
                <c:pt idx="14">
                  <c:v>272</c:v>
                </c:pt>
                <c:pt idx="15">
                  <c:v>390</c:v>
                </c:pt>
                <c:pt idx="16">
                  <c:v>215</c:v>
                </c:pt>
                <c:pt idx="17">
                  <c:v>137</c:v>
                </c:pt>
                <c:pt idx="18">
                  <c:v>55</c:v>
                </c:pt>
                <c:pt idx="19">
                  <c:v>42</c:v>
                </c:pt>
                <c:pt idx="20">
                  <c:v>59</c:v>
                </c:pt>
                <c:pt idx="21">
                  <c:v>97</c:v>
                </c:pt>
                <c:pt idx="22">
                  <c:v>190</c:v>
                </c:pt>
                <c:pt idx="23">
                  <c:v>322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128848"/>
        <c:axId val="750129936"/>
      </c:lineChart>
      <c:catAx>
        <c:axId val="75012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129936"/>
        <c:crosses val="autoZero"/>
        <c:auto val="1"/>
        <c:lblAlgn val="ctr"/>
        <c:lblOffset val="100"/>
        <c:noMultiLvlLbl val="0"/>
      </c:catAx>
      <c:valAx>
        <c:axId val="750129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12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Mbalala-Mukono-24h'!$C$9:$N$9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Mbalala-Mukono-24h'!$C$107:$N$107</c:f>
              <c:numCache>
                <c:formatCode>0.0%</c:formatCode>
                <c:ptCount val="12"/>
                <c:pt idx="0">
                  <c:v>0.17949238578680202</c:v>
                </c:pt>
                <c:pt idx="1">
                  <c:v>7.0152284263959391E-2</c:v>
                </c:pt>
                <c:pt idx="2">
                  <c:v>5.593908629441624E-2</c:v>
                </c:pt>
                <c:pt idx="3">
                  <c:v>0.18345177664974618</c:v>
                </c:pt>
                <c:pt idx="4">
                  <c:v>1.0355329949238578E-2</c:v>
                </c:pt>
                <c:pt idx="5">
                  <c:v>7.4111675126903552E-3</c:v>
                </c:pt>
                <c:pt idx="6">
                  <c:v>5.644670050761421E-2</c:v>
                </c:pt>
                <c:pt idx="7">
                  <c:v>5.1675126903553296E-2</c:v>
                </c:pt>
                <c:pt idx="8">
                  <c:v>2.3756345177664975E-2</c:v>
                </c:pt>
                <c:pt idx="9">
                  <c:v>8.6903553299492384E-2</c:v>
                </c:pt>
                <c:pt idx="10">
                  <c:v>0.27441624365482231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Mbalala-Mukono-24h'!$C$9:$N$9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Mbalala-Mukono-24h'!$C$108:$N$108</c:f>
              <c:numCache>
                <c:formatCode>0.00%</c:formatCode>
                <c:ptCount val="12"/>
                <c:pt idx="0">
                  <c:v>0.24737652161746188</c:v>
                </c:pt>
                <c:pt idx="1">
                  <c:v>9.6683923324471802E-2</c:v>
                </c:pt>
                <c:pt idx="2">
                  <c:v>7.7095284734853789E-2</c:v>
                </c:pt>
                <c:pt idx="3">
                  <c:v>0.25283335665314116</c:v>
                </c:pt>
                <c:pt idx="4">
                  <c:v>1.4271722401007415E-2</c:v>
                </c:pt>
                <c:pt idx="5">
                  <c:v>1.0214075836015111E-2</c:v>
                </c:pt>
                <c:pt idx="6">
                  <c:v>7.7794878970197281E-2</c:v>
                </c:pt>
                <c:pt idx="7">
                  <c:v>7.1218693157968374E-2</c:v>
                </c:pt>
                <c:pt idx="8">
                  <c:v>3.2741010214075834E-2</c:v>
                </c:pt>
                <c:pt idx="9">
                  <c:v>0.11977053309080733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'2.11 Mukono-Mbalala-24h'!$AE$9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'2.11 Mukono-Mbalala-24h'!$R$10:$R$33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'2.11 Mukono-Mbalala-24h'!$AE$10:$AE$33</c:f>
              <c:numCache>
                <c:formatCode>0</c:formatCode>
                <c:ptCount val="24"/>
                <c:pt idx="0">
                  <c:v>307</c:v>
                </c:pt>
                <c:pt idx="1">
                  <c:v>309</c:v>
                </c:pt>
                <c:pt idx="2">
                  <c:v>324</c:v>
                </c:pt>
                <c:pt idx="3">
                  <c:v>399</c:v>
                </c:pt>
                <c:pt idx="4">
                  <c:v>581</c:v>
                </c:pt>
                <c:pt idx="5">
                  <c:v>557</c:v>
                </c:pt>
                <c:pt idx="6">
                  <c:v>601</c:v>
                </c:pt>
                <c:pt idx="7">
                  <c:v>459</c:v>
                </c:pt>
                <c:pt idx="8">
                  <c:v>404</c:v>
                </c:pt>
                <c:pt idx="9">
                  <c:v>354</c:v>
                </c:pt>
                <c:pt idx="10">
                  <c:v>352</c:v>
                </c:pt>
                <c:pt idx="11">
                  <c:v>493</c:v>
                </c:pt>
                <c:pt idx="12">
                  <c:v>713</c:v>
                </c:pt>
                <c:pt idx="13">
                  <c:v>992</c:v>
                </c:pt>
                <c:pt idx="14">
                  <c:v>860</c:v>
                </c:pt>
                <c:pt idx="15">
                  <c:v>252</c:v>
                </c:pt>
                <c:pt idx="16">
                  <c:v>265</c:v>
                </c:pt>
                <c:pt idx="17">
                  <c:v>173</c:v>
                </c:pt>
                <c:pt idx="18">
                  <c:v>127</c:v>
                </c:pt>
                <c:pt idx="19">
                  <c:v>153</c:v>
                </c:pt>
                <c:pt idx="20">
                  <c:v>249</c:v>
                </c:pt>
                <c:pt idx="21">
                  <c:v>297</c:v>
                </c:pt>
                <c:pt idx="22">
                  <c:v>349</c:v>
                </c:pt>
                <c:pt idx="23">
                  <c:v>588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'2.11 Mukono-Mbalala-24h'!$AF$9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'2.11 Mukono-Mbalala-24h'!$R$10:$R$33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'2.11 Mukono-Mbalala-24h'!$AF$10:$AF$33</c:f>
              <c:numCache>
                <c:formatCode>0</c:formatCode>
                <c:ptCount val="24"/>
                <c:pt idx="0">
                  <c:v>459</c:v>
                </c:pt>
                <c:pt idx="1">
                  <c:v>485</c:v>
                </c:pt>
                <c:pt idx="2">
                  <c:v>501</c:v>
                </c:pt>
                <c:pt idx="3">
                  <c:v>581</c:v>
                </c:pt>
                <c:pt idx="4">
                  <c:v>781</c:v>
                </c:pt>
                <c:pt idx="5">
                  <c:v>799</c:v>
                </c:pt>
                <c:pt idx="6">
                  <c:v>898</c:v>
                </c:pt>
                <c:pt idx="7">
                  <c:v>639</c:v>
                </c:pt>
                <c:pt idx="8">
                  <c:v>600</c:v>
                </c:pt>
                <c:pt idx="9">
                  <c:v>499</c:v>
                </c:pt>
                <c:pt idx="10">
                  <c:v>528</c:v>
                </c:pt>
                <c:pt idx="11">
                  <c:v>666</c:v>
                </c:pt>
                <c:pt idx="12">
                  <c:v>959</c:v>
                </c:pt>
                <c:pt idx="13">
                  <c:v>1350</c:v>
                </c:pt>
                <c:pt idx="14">
                  <c:v>1150</c:v>
                </c:pt>
                <c:pt idx="15">
                  <c:v>341</c:v>
                </c:pt>
                <c:pt idx="16">
                  <c:v>340</c:v>
                </c:pt>
                <c:pt idx="17">
                  <c:v>197</c:v>
                </c:pt>
                <c:pt idx="18">
                  <c:v>150</c:v>
                </c:pt>
                <c:pt idx="19">
                  <c:v>170</c:v>
                </c:pt>
                <c:pt idx="20">
                  <c:v>285</c:v>
                </c:pt>
                <c:pt idx="21">
                  <c:v>359</c:v>
                </c:pt>
                <c:pt idx="22">
                  <c:v>392</c:v>
                </c:pt>
                <c:pt idx="23">
                  <c:v>775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460112"/>
        <c:axId val="752462288"/>
      </c:lineChart>
      <c:catAx>
        <c:axId val="752460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62288"/>
        <c:crosses val="autoZero"/>
        <c:auto val="1"/>
        <c:lblAlgn val="ctr"/>
        <c:lblOffset val="100"/>
        <c:noMultiLvlLbl val="0"/>
      </c:catAx>
      <c:valAx>
        <c:axId val="752462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6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'2.11 Mukono-Mbalala-24h'!$C$9:$N$9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'2.11 Mukono-Mbalala-24h'!$C$107:$N$107</c:f>
              <c:numCache>
                <c:formatCode>0.0%</c:formatCode>
                <c:ptCount val="12"/>
                <c:pt idx="0">
                  <c:v>0.22605005753739932</c:v>
                </c:pt>
                <c:pt idx="1">
                  <c:v>4.6749136939010359E-2</c:v>
                </c:pt>
                <c:pt idx="2">
                  <c:v>3.7686996547756042E-2</c:v>
                </c:pt>
                <c:pt idx="3">
                  <c:v>0.19411680092059838</c:v>
                </c:pt>
                <c:pt idx="4">
                  <c:v>1.4959723820483314E-2</c:v>
                </c:pt>
                <c:pt idx="5">
                  <c:v>1.7117376294591483E-2</c:v>
                </c:pt>
                <c:pt idx="6">
                  <c:v>3.76150747986191E-2</c:v>
                </c:pt>
                <c:pt idx="7">
                  <c:v>3.8118527042577677E-2</c:v>
                </c:pt>
                <c:pt idx="8">
                  <c:v>3.0782508630609898E-2</c:v>
                </c:pt>
                <c:pt idx="9">
                  <c:v>8.73849252013809E-2</c:v>
                </c:pt>
                <c:pt idx="10">
                  <c:v>0.26941887226697353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'2.11 Mukono-Mbalala-24h'!$C$9:$N$9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'2.11 Mukono-Mbalala-24h'!$C$108:$N$108</c:f>
              <c:numCache>
                <c:formatCode>0.00%</c:formatCode>
                <c:ptCount val="12"/>
                <c:pt idx="0">
                  <c:v>0.30941130143729079</c:v>
                </c:pt>
                <c:pt idx="1">
                  <c:v>6.3988974207521171E-2</c:v>
                </c:pt>
                <c:pt idx="2">
                  <c:v>5.1584957668832448E-2</c:v>
                </c:pt>
                <c:pt idx="3">
                  <c:v>0.26570190982476866</c:v>
                </c:pt>
                <c:pt idx="4">
                  <c:v>2.0476471746406773E-2</c:v>
                </c:pt>
                <c:pt idx="5">
                  <c:v>2.3429809017523135E-2</c:v>
                </c:pt>
                <c:pt idx="6">
                  <c:v>5.1486513093128572E-2</c:v>
                </c:pt>
                <c:pt idx="7">
                  <c:v>5.2175625123055722E-2</c:v>
                </c:pt>
                <c:pt idx="8">
                  <c:v>4.2134278401260092E-2</c:v>
                </c:pt>
                <c:pt idx="9">
                  <c:v>0.11961015948021264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'2.11 Mbalala-Mukono-24h'!$AE$9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'2.11 Mbalala-Mukono-24h'!$R$10:$R$33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'2.11 Mbalala-Mukono-24h'!$AE$10:$AE$33</c:f>
              <c:numCache>
                <c:formatCode>0</c:formatCode>
                <c:ptCount val="24"/>
                <c:pt idx="0">
                  <c:v>229</c:v>
                </c:pt>
                <c:pt idx="1">
                  <c:v>314</c:v>
                </c:pt>
                <c:pt idx="2">
                  <c:v>259</c:v>
                </c:pt>
                <c:pt idx="3">
                  <c:v>344</c:v>
                </c:pt>
                <c:pt idx="4">
                  <c:v>401</c:v>
                </c:pt>
                <c:pt idx="5">
                  <c:v>422</c:v>
                </c:pt>
                <c:pt idx="6">
                  <c:v>408</c:v>
                </c:pt>
                <c:pt idx="7">
                  <c:v>412</c:v>
                </c:pt>
                <c:pt idx="8">
                  <c:v>511</c:v>
                </c:pt>
                <c:pt idx="9">
                  <c:v>590</c:v>
                </c:pt>
                <c:pt idx="10">
                  <c:v>646</c:v>
                </c:pt>
                <c:pt idx="11">
                  <c:v>689</c:v>
                </c:pt>
                <c:pt idx="12">
                  <c:v>425</c:v>
                </c:pt>
                <c:pt idx="13">
                  <c:v>526</c:v>
                </c:pt>
                <c:pt idx="14">
                  <c:v>376</c:v>
                </c:pt>
                <c:pt idx="15">
                  <c:v>392</c:v>
                </c:pt>
                <c:pt idx="16">
                  <c:v>329</c:v>
                </c:pt>
                <c:pt idx="17">
                  <c:v>218</c:v>
                </c:pt>
                <c:pt idx="18">
                  <c:v>76</c:v>
                </c:pt>
                <c:pt idx="19">
                  <c:v>66</c:v>
                </c:pt>
                <c:pt idx="20">
                  <c:v>70</c:v>
                </c:pt>
                <c:pt idx="21">
                  <c:v>62</c:v>
                </c:pt>
                <c:pt idx="22">
                  <c:v>136</c:v>
                </c:pt>
                <c:pt idx="23">
                  <c:v>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'2.11 Mbalala-Mukono-24h'!$AF$9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'2.11 Mbalala-Mukono-24h'!$R$10:$R$33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'2.11 Mbalala-Mukono-24h'!$AF$10:$AF$33</c:f>
              <c:numCache>
                <c:formatCode>0</c:formatCode>
                <c:ptCount val="24"/>
                <c:pt idx="0">
                  <c:v>439</c:v>
                </c:pt>
                <c:pt idx="1">
                  <c:v>546</c:v>
                </c:pt>
                <c:pt idx="2">
                  <c:v>449</c:v>
                </c:pt>
                <c:pt idx="3">
                  <c:v>577</c:v>
                </c:pt>
                <c:pt idx="4">
                  <c:v>583</c:v>
                </c:pt>
                <c:pt idx="5">
                  <c:v>626</c:v>
                </c:pt>
                <c:pt idx="6">
                  <c:v>593</c:v>
                </c:pt>
                <c:pt idx="7">
                  <c:v>542</c:v>
                </c:pt>
                <c:pt idx="8">
                  <c:v>696</c:v>
                </c:pt>
                <c:pt idx="9">
                  <c:v>788</c:v>
                </c:pt>
                <c:pt idx="10">
                  <c:v>842</c:v>
                </c:pt>
                <c:pt idx="11">
                  <c:v>892</c:v>
                </c:pt>
                <c:pt idx="12">
                  <c:v>541</c:v>
                </c:pt>
                <c:pt idx="13">
                  <c:v>629</c:v>
                </c:pt>
                <c:pt idx="14">
                  <c:v>473</c:v>
                </c:pt>
                <c:pt idx="15">
                  <c:v>502</c:v>
                </c:pt>
                <c:pt idx="16">
                  <c:v>406</c:v>
                </c:pt>
                <c:pt idx="17">
                  <c:v>232</c:v>
                </c:pt>
                <c:pt idx="18">
                  <c:v>79</c:v>
                </c:pt>
                <c:pt idx="19">
                  <c:v>66</c:v>
                </c:pt>
                <c:pt idx="20">
                  <c:v>75</c:v>
                </c:pt>
                <c:pt idx="21">
                  <c:v>71</c:v>
                </c:pt>
                <c:pt idx="22">
                  <c:v>158</c:v>
                </c:pt>
                <c:pt idx="23">
                  <c:v>175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460656"/>
        <c:axId val="752467184"/>
      </c:lineChart>
      <c:catAx>
        <c:axId val="752460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67184"/>
        <c:crosses val="autoZero"/>
        <c:auto val="1"/>
        <c:lblAlgn val="ctr"/>
        <c:lblOffset val="100"/>
        <c:noMultiLvlLbl val="0"/>
      </c:catAx>
      <c:valAx>
        <c:axId val="752467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6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'2.11 Mbalala-Mukono-24h'!$C$9:$N$9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'2.11 Mbalala-Mukono-24h'!$C$107:$N$107</c:f>
              <c:numCache>
                <c:formatCode>0.0%</c:formatCode>
                <c:ptCount val="12"/>
                <c:pt idx="0">
                  <c:v>0.22422586520947177</c:v>
                </c:pt>
                <c:pt idx="1">
                  <c:v>7.9143897996357016E-2</c:v>
                </c:pt>
                <c:pt idx="2">
                  <c:v>3.8979963570127507E-2</c:v>
                </c:pt>
                <c:pt idx="3">
                  <c:v>0.18652094717668488</c:v>
                </c:pt>
                <c:pt idx="4">
                  <c:v>8.0145719489981785E-3</c:v>
                </c:pt>
                <c:pt idx="5">
                  <c:v>7.2859744990892532E-3</c:v>
                </c:pt>
                <c:pt idx="6">
                  <c:v>4.6812386156648449E-2</c:v>
                </c:pt>
                <c:pt idx="7">
                  <c:v>4.6539162112932603E-2</c:v>
                </c:pt>
                <c:pt idx="8">
                  <c:v>1.6575591985428052E-2</c:v>
                </c:pt>
                <c:pt idx="9">
                  <c:v>7.650273224043716E-2</c:v>
                </c:pt>
                <c:pt idx="10">
                  <c:v>0.26912568306010931</c:v>
                </c:pt>
                <c:pt idx="11">
                  <c:v>2.7322404371584699E-4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'2.11 Mbalala-Mukono-24h'!$C$9:$N$9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'2.11 Mbalala-Mukono-24h'!$C$108:$N$108</c:f>
              <c:numCache>
                <c:formatCode>0.00%</c:formatCode>
                <c:ptCount val="12"/>
                <c:pt idx="0">
                  <c:v>0.30679127725856697</c:v>
                </c:pt>
                <c:pt idx="1">
                  <c:v>0.10828660436137072</c:v>
                </c:pt>
                <c:pt idx="2">
                  <c:v>5.3333333333333337E-2</c:v>
                </c:pt>
                <c:pt idx="3">
                  <c:v>0.25520249221183799</c:v>
                </c:pt>
                <c:pt idx="4">
                  <c:v>1.0965732087227415E-2</c:v>
                </c:pt>
                <c:pt idx="5">
                  <c:v>9.9688473520249225E-3</c:v>
                </c:pt>
                <c:pt idx="6">
                  <c:v>6.404984423676012E-2</c:v>
                </c:pt>
                <c:pt idx="7">
                  <c:v>6.3676012461059195E-2</c:v>
                </c:pt>
                <c:pt idx="8">
                  <c:v>2.2679127725856698E-2</c:v>
                </c:pt>
                <c:pt idx="9">
                  <c:v>0.10467289719626169</c:v>
                </c:pt>
                <c:pt idx="11">
                  <c:v>3.7383177570093456E-4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'3.11 Mukono-Mbalala'!$AE$9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'3.11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Mukono-Mbalala'!$AE$10:$AE$21</c:f>
              <c:numCache>
                <c:formatCode>0</c:formatCode>
                <c:ptCount val="12"/>
                <c:pt idx="0">
                  <c:v>543</c:v>
                </c:pt>
                <c:pt idx="1">
                  <c:v>604</c:v>
                </c:pt>
                <c:pt idx="2">
                  <c:v>614</c:v>
                </c:pt>
                <c:pt idx="3">
                  <c:v>729</c:v>
                </c:pt>
                <c:pt idx="4">
                  <c:v>486</c:v>
                </c:pt>
                <c:pt idx="5">
                  <c:v>1039</c:v>
                </c:pt>
                <c:pt idx="6">
                  <c:v>644</c:v>
                </c:pt>
                <c:pt idx="7">
                  <c:v>626</c:v>
                </c:pt>
                <c:pt idx="8">
                  <c:v>565</c:v>
                </c:pt>
                <c:pt idx="9">
                  <c:v>673</c:v>
                </c:pt>
                <c:pt idx="10">
                  <c:v>642</c:v>
                </c:pt>
                <c:pt idx="11">
                  <c:v>619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'3.11 Mukono-Mbalala'!$AF$9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'3.11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Mukono-Mbalala'!$AF$10:$AF$21</c:f>
              <c:numCache>
                <c:formatCode>0</c:formatCode>
                <c:ptCount val="12"/>
                <c:pt idx="0">
                  <c:v>751</c:v>
                </c:pt>
                <c:pt idx="1">
                  <c:v>1034</c:v>
                </c:pt>
                <c:pt idx="2">
                  <c:v>1232</c:v>
                </c:pt>
                <c:pt idx="3">
                  <c:v>1337</c:v>
                </c:pt>
                <c:pt idx="4">
                  <c:v>1027</c:v>
                </c:pt>
                <c:pt idx="5">
                  <c:v>1546</c:v>
                </c:pt>
                <c:pt idx="6">
                  <c:v>1064</c:v>
                </c:pt>
                <c:pt idx="7">
                  <c:v>1173</c:v>
                </c:pt>
                <c:pt idx="8">
                  <c:v>1019</c:v>
                </c:pt>
                <c:pt idx="9">
                  <c:v>1111</c:v>
                </c:pt>
                <c:pt idx="10">
                  <c:v>1069</c:v>
                </c:pt>
                <c:pt idx="11">
                  <c:v>1156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463920"/>
        <c:axId val="752469360"/>
      </c:lineChart>
      <c:catAx>
        <c:axId val="7524639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69360"/>
        <c:crosses val="autoZero"/>
        <c:auto val="1"/>
        <c:lblAlgn val="ctr"/>
        <c:lblOffset val="100"/>
        <c:noMultiLvlLbl val="0"/>
      </c:catAx>
      <c:valAx>
        <c:axId val="752469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6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'3.11 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'3.11 Mukono-Mbalala'!$C$59:$N$59</c:f>
              <c:numCache>
                <c:formatCode>0.0%</c:formatCode>
                <c:ptCount val="12"/>
                <c:pt idx="0">
                  <c:v>0.21236777868185516</c:v>
                </c:pt>
                <c:pt idx="1">
                  <c:v>3.2842665877653672E-2</c:v>
                </c:pt>
                <c:pt idx="2">
                  <c:v>2.6111398772098528E-2</c:v>
                </c:pt>
                <c:pt idx="3">
                  <c:v>0.20378726237147718</c:v>
                </c:pt>
                <c:pt idx="4">
                  <c:v>9.6160958650787776E-3</c:v>
                </c:pt>
                <c:pt idx="5">
                  <c:v>4.0683482506102524E-3</c:v>
                </c:pt>
                <c:pt idx="6">
                  <c:v>3.2768695909460757E-2</c:v>
                </c:pt>
                <c:pt idx="7">
                  <c:v>1.2500924624602412E-2</c:v>
                </c:pt>
                <c:pt idx="8">
                  <c:v>1.1983134847252016E-2</c:v>
                </c:pt>
                <c:pt idx="9">
                  <c:v>2.9735927213551297E-2</c:v>
                </c:pt>
                <c:pt idx="10">
                  <c:v>0.42421776758635993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'3.11 Mukono-Mbalala'!$S$9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'3.11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Mukono-Mbalala'!$S$10:$S$21</c:f>
              <c:numCache>
                <c:formatCode>0</c:formatCode>
                <c:ptCount val="12"/>
                <c:pt idx="0">
                  <c:v>172</c:v>
                </c:pt>
                <c:pt idx="1">
                  <c:v>225</c:v>
                </c:pt>
                <c:pt idx="2">
                  <c:v>187</c:v>
                </c:pt>
                <c:pt idx="3">
                  <c:v>279</c:v>
                </c:pt>
                <c:pt idx="4">
                  <c:v>173</c:v>
                </c:pt>
                <c:pt idx="5">
                  <c:v>383</c:v>
                </c:pt>
                <c:pt idx="6">
                  <c:v>259</c:v>
                </c:pt>
                <c:pt idx="7">
                  <c:v>230</c:v>
                </c:pt>
                <c:pt idx="8">
                  <c:v>203</c:v>
                </c:pt>
                <c:pt idx="9">
                  <c:v>257</c:v>
                </c:pt>
                <c:pt idx="10">
                  <c:v>263</c:v>
                </c:pt>
                <c:pt idx="11">
                  <c:v>240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'3.11 Mukono-Mbalala'!$T$9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'3.11 Mukono-Mbalala'!$R$10:$R$21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Mukono-Mbalala'!$T$10:$T$21</c:f>
              <c:numCache>
                <c:formatCode>0</c:formatCode>
                <c:ptCount val="12"/>
                <c:pt idx="0">
                  <c:v>26</c:v>
                </c:pt>
                <c:pt idx="1">
                  <c:v>36</c:v>
                </c:pt>
                <c:pt idx="2">
                  <c:v>43</c:v>
                </c:pt>
                <c:pt idx="3">
                  <c:v>44</c:v>
                </c:pt>
                <c:pt idx="4">
                  <c:v>33</c:v>
                </c:pt>
                <c:pt idx="5">
                  <c:v>53</c:v>
                </c:pt>
                <c:pt idx="6">
                  <c:v>48</c:v>
                </c:pt>
                <c:pt idx="7">
                  <c:v>29</c:v>
                </c:pt>
                <c:pt idx="8">
                  <c:v>22</c:v>
                </c:pt>
                <c:pt idx="9">
                  <c:v>35</c:v>
                </c:pt>
                <c:pt idx="10">
                  <c:v>40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'3.11 Mukono-Mbalala'!$U$9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Mukono-Mbalala'!$U$10:$U$21</c:f>
              <c:numCache>
                <c:formatCode>0</c:formatCode>
                <c:ptCount val="12"/>
                <c:pt idx="0">
                  <c:v>26</c:v>
                </c:pt>
                <c:pt idx="1">
                  <c:v>32</c:v>
                </c:pt>
                <c:pt idx="2">
                  <c:v>33</c:v>
                </c:pt>
                <c:pt idx="3">
                  <c:v>49</c:v>
                </c:pt>
                <c:pt idx="4">
                  <c:v>31</c:v>
                </c:pt>
                <c:pt idx="5">
                  <c:v>36</c:v>
                </c:pt>
                <c:pt idx="6">
                  <c:v>20</c:v>
                </c:pt>
                <c:pt idx="7">
                  <c:v>21</c:v>
                </c:pt>
                <c:pt idx="8">
                  <c:v>16</c:v>
                </c:pt>
                <c:pt idx="9">
                  <c:v>26</c:v>
                </c:pt>
                <c:pt idx="10">
                  <c:v>31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'3.11 Mukono-Mbalala'!$V$9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Mukono-Mbalala'!$V$10:$V$21</c:f>
              <c:numCache>
                <c:formatCode>0</c:formatCode>
                <c:ptCount val="12"/>
                <c:pt idx="0">
                  <c:v>204</c:v>
                </c:pt>
                <c:pt idx="1">
                  <c:v>204</c:v>
                </c:pt>
                <c:pt idx="2">
                  <c:v>266</c:v>
                </c:pt>
                <c:pt idx="3">
                  <c:v>259</c:v>
                </c:pt>
                <c:pt idx="4">
                  <c:v>131</c:v>
                </c:pt>
                <c:pt idx="5">
                  <c:v>372</c:v>
                </c:pt>
                <c:pt idx="6">
                  <c:v>240</c:v>
                </c:pt>
                <c:pt idx="7">
                  <c:v>251</c:v>
                </c:pt>
                <c:pt idx="8">
                  <c:v>226</c:v>
                </c:pt>
                <c:pt idx="9">
                  <c:v>213</c:v>
                </c:pt>
                <c:pt idx="10">
                  <c:v>180</c:v>
                </c:pt>
                <c:pt idx="11">
                  <c:v>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'3.11 Mukono-Mbalala'!$W$9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Mukono-Mbalala'!$W$10:$W$21</c:f>
              <c:numCache>
                <c:formatCode>0</c:formatCode>
                <c:ptCount val="12"/>
                <c:pt idx="0">
                  <c:v>21</c:v>
                </c:pt>
                <c:pt idx="1">
                  <c:v>6</c:v>
                </c:pt>
                <c:pt idx="2">
                  <c:v>17</c:v>
                </c:pt>
                <c:pt idx="3">
                  <c:v>13</c:v>
                </c:pt>
                <c:pt idx="4">
                  <c:v>11</c:v>
                </c:pt>
                <c:pt idx="5">
                  <c:v>17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'3.11 Mukono-Mbalala'!$X$9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Mukono-Mbalala'!$X$10:$X$21</c:f>
              <c:numCache>
                <c:formatCode>0</c:formatCode>
                <c:ptCount val="12"/>
                <c:pt idx="0">
                  <c:v>10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'3.11 Mukono-Mbalala'!$Y$9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Mukono-Mbalala'!$Y$10:$Y$21</c:f>
              <c:numCache>
                <c:formatCode>0</c:formatCode>
                <c:ptCount val="12"/>
                <c:pt idx="0">
                  <c:v>25</c:v>
                </c:pt>
                <c:pt idx="1">
                  <c:v>42</c:v>
                </c:pt>
                <c:pt idx="2">
                  <c:v>23</c:v>
                </c:pt>
                <c:pt idx="3">
                  <c:v>35</c:v>
                </c:pt>
                <c:pt idx="4">
                  <c:v>41</c:v>
                </c:pt>
                <c:pt idx="5">
                  <c:v>64</c:v>
                </c:pt>
                <c:pt idx="6">
                  <c:v>27</c:v>
                </c:pt>
                <c:pt idx="7">
                  <c:v>23</c:v>
                </c:pt>
                <c:pt idx="8">
                  <c:v>22</c:v>
                </c:pt>
                <c:pt idx="9">
                  <c:v>51</c:v>
                </c:pt>
                <c:pt idx="10">
                  <c:v>33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'3.11 Mukono-Mbalala'!$Z$9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Mukono-Mbalala'!$Z$10:$Z$21</c:f>
              <c:numCache>
                <c:formatCode>0</c:formatCode>
                <c:ptCount val="12"/>
                <c:pt idx="0">
                  <c:v>9</c:v>
                </c:pt>
                <c:pt idx="1">
                  <c:v>20</c:v>
                </c:pt>
                <c:pt idx="2">
                  <c:v>12</c:v>
                </c:pt>
                <c:pt idx="3">
                  <c:v>17</c:v>
                </c:pt>
                <c:pt idx="4">
                  <c:v>15</c:v>
                </c:pt>
                <c:pt idx="5">
                  <c:v>24</c:v>
                </c:pt>
                <c:pt idx="6">
                  <c:v>10</c:v>
                </c:pt>
                <c:pt idx="7">
                  <c:v>15</c:v>
                </c:pt>
                <c:pt idx="8">
                  <c:v>12</c:v>
                </c:pt>
                <c:pt idx="9">
                  <c:v>9</c:v>
                </c:pt>
                <c:pt idx="10">
                  <c:v>16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'3.11 Mukono-Mbalala'!$AA$9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Mukono-Mbalala'!$AA$10:$AA$21</c:f>
              <c:numCache>
                <c:formatCode>0</c:formatCode>
                <c:ptCount val="12"/>
                <c:pt idx="0">
                  <c:v>16</c:v>
                </c:pt>
                <c:pt idx="1">
                  <c:v>8</c:v>
                </c:pt>
                <c:pt idx="2">
                  <c:v>11</c:v>
                </c:pt>
                <c:pt idx="3">
                  <c:v>11</c:v>
                </c:pt>
                <c:pt idx="4">
                  <c:v>17</c:v>
                </c:pt>
                <c:pt idx="5">
                  <c:v>24</c:v>
                </c:pt>
                <c:pt idx="6">
                  <c:v>15</c:v>
                </c:pt>
                <c:pt idx="7">
                  <c:v>4</c:v>
                </c:pt>
                <c:pt idx="8">
                  <c:v>10</c:v>
                </c:pt>
                <c:pt idx="9">
                  <c:v>22</c:v>
                </c:pt>
                <c:pt idx="10">
                  <c:v>17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'3.11 Mukono-Mbalala'!$AB$9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Mukono-Mbalala'!$AB$10:$AB$21</c:f>
              <c:numCache>
                <c:formatCode>0</c:formatCode>
                <c:ptCount val="12"/>
                <c:pt idx="0">
                  <c:v>34</c:v>
                </c:pt>
                <c:pt idx="1">
                  <c:v>27</c:v>
                </c:pt>
                <c:pt idx="2">
                  <c:v>20</c:v>
                </c:pt>
                <c:pt idx="3">
                  <c:v>21</c:v>
                </c:pt>
                <c:pt idx="4">
                  <c:v>29</c:v>
                </c:pt>
                <c:pt idx="5">
                  <c:v>61</c:v>
                </c:pt>
                <c:pt idx="6">
                  <c:v>17</c:v>
                </c:pt>
                <c:pt idx="7">
                  <c:v>43</c:v>
                </c:pt>
                <c:pt idx="8">
                  <c:v>42</c:v>
                </c:pt>
                <c:pt idx="9">
                  <c:v>46</c:v>
                </c:pt>
                <c:pt idx="10">
                  <c:v>40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'3.11 Mukono-Mbalala'!$AC$9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Mukono-Mbalala'!$AC$10:$AC$21</c:f>
              <c:numCache>
                <c:formatCode>0</c:formatCode>
                <c:ptCount val="12"/>
                <c:pt idx="0">
                  <c:v>208</c:v>
                </c:pt>
                <c:pt idx="1">
                  <c:v>430</c:v>
                </c:pt>
                <c:pt idx="2">
                  <c:v>618</c:v>
                </c:pt>
                <c:pt idx="3">
                  <c:v>608</c:v>
                </c:pt>
                <c:pt idx="4">
                  <c:v>541</c:v>
                </c:pt>
                <c:pt idx="5">
                  <c:v>507</c:v>
                </c:pt>
                <c:pt idx="6">
                  <c:v>420</c:v>
                </c:pt>
                <c:pt idx="7">
                  <c:v>547</c:v>
                </c:pt>
                <c:pt idx="8">
                  <c:v>454</c:v>
                </c:pt>
                <c:pt idx="9">
                  <c:v>438</c:v>
                </c:pt>
                <c:pt idx="10">
                  <c:v>427</c:v>
                </c:pt>
                <c:pt idx="11">
                  <c:v>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'3.11 Mukono-Mbalala'!$AD$9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Mukono-Mbalala'!$AD$10:$AD$21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470448"/>
        <c:axId val="752455760"/>
      </c:lineChart>
      <c:catAx>
        <c:axId val="75247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55760"/>
        <c:crosses val="autoZero"/>
        <c:auto val="1"/>
        <c:lblAlgn val="ctr"/>
        <c:lblOffset val="100"/>
        <c:noMultiLvlLbl val="0"/>
      </c:catAx>
      <c:valAx>
        <c:axId val="75245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7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'3.11 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'3.11 Mukono-Mbalala'!$C$60:$N$60</c:f>
              <c:numCache>
                <c:formatCode>0.00%</c:formatCode>
                <c:ptCount val="12"/>
                <c:pt idx="0">
                  <c:v>0.36883350462487152</c:v>
                </c:pt>
                <c:pt idx="1">
                  <c:v>5.7040082219938337E-2</c:v>
                </c:pt>
                <c:pt idx="2">
                  <c:v>4.5349434737923945E-2</c:v>
                </c:pt>
                <c:pt idx="3">
                  <c:v>0.35393114080164439</c:v>
                </c:pt>
                <c:pt idx="4">
                  <c:v>1.670092497430627E-2</c:v>
                </c:pt>
                <c:pt idx="5">
                  <c:v>7.0657759506680372E-3</c:v>
                </c:pt>
                <c:pt idx="6">
                  <c:v>5.6911613566289827E-2</c:v>
                </c:pt>
                <c:pt idx="7">
                  <c:v>2.1711202466598151E-2</c:v>
                </c:pt>
                <c:pt idx="8">
                  <c:v>2.0811921891058582E-2</c:v>
                </c:pt>
                <c:pt idx="9">
                  <c:v>5.1644398766700926E-2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'3.11 Mbalala-Mukono'!$AE$9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'3.11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Mbalala-Mukono'!$AE$10:$AE$21</c:f>
              <c:numCache>
                <c:formatCode>0</c:formatCode>
                <c:ptCount val="12"/>
                <c:pt idx="0">
                  <c:v>281</c:v>
                </c:pt>
                <c:pt idx="1">
                  <c:v>337</c:v>
                </c:pt>
                <c:pt idx="2">
                  <c:v>416</c:v>
                </c:pt>
                <c:pt idx="3">
                  <c:v>454</c:v>
                </c:pt>
                <c:pt idx="4">
                  <c:v>454</c:v>
                </c:pt>
                <c:pt idx="5">
                  <c:v>511</c:v>
                </c:pt>
                <c:pt idx="6">
                  <c:v>471</c:v>
                </c:pt>
                <c:pt idx="7">
                  <c:v>539</c:v>
                </c:pt>
                <c:pt idx="8">
                  <c:v>453</c:v>
                </c:pt>
                <c:pt idx="9">
                  <c:v>656</c:v>
                </c:pt>
                <c:pt idx="10">
                  <c:v>638</c:v>
                </c:pt>
                <c:pt idx="11">
                  <c:v>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'3.11 Mbalala-Mukono'!$AF$9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'3.11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Mbalala-Mukono'!$AF$10:$AF$21</c:f>
              <c:numCache>
                <c:formatCode>0</c:formatCode>
                <c:ptCount val="12"/>
                <c:pt idx="0">
                  <c:v>491</c:v>
                </c:pt>
                <c:pt idx="1">
                  <c:v>712</c:v>
                </c:pt>
                <c:pt idx="2">
                  <c:v>789</c:v>
                </c:pt>
                <c:pt idx="3">
                  <c:v>789</c:v>
                </c:pt>
                <c:pt idx="4">
                  <c:v>925</c:v>
                </c:pt>
                <c:pt idx="5">
                  <c:v>855</c:v>
                </c:pt>
                <c:pt idx="6">
                  <c:v>859</c:v>
                </c:pt>
                <c:pt idx="7">
                  <c:v>848</c:v>
                </c:pt>
                <c:pt idx="8">
                  <c:v>699</c:v>
                </c:pt>
                <c:pt idx="9">
                  <c:v>967</c:v>
                </c:pt>
                <c:pt idx="10">
                  <c:v>930</c:v>
                </c:pt>
                <c:pt idx="11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459568"/>
        <c:axId val="753826752"/>
      </c:lineChart>
      <c:catAx>
        <c:axId val="7524595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26752"/>
        <c:crosses val="autoZero"/>
        <c:auto val="1"/>
        <c:lblAlgn val="ctr"/>
        <c:lblOffset val="100"/>
        <c:noMultiLvlLbl val="0"/>
      </c:catAx>
      <c:valAx>
        <c:axId val="753826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245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'3.11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'3.11 Mbalala-Mukono'!$C$59:$N$59</c:f>
              <c:numCache>
                <c:formatCode>0.0%</c:formatCode>
                <c:ptCount val="12"/>
                <c:pt idx="0">
                  <c:v>0.22808449841820594</c:v>
                </c:pt>
                <c:pt idx="1">
                  <c:v>3.3778957036432286E-2</c:v>
                </c:pt>
                <c:pt idx="2">
                  <c:v>2.8982549239718339E-2</c:v>
                </c:pt>
                <c:pt idx="3">
                  <c:v>0.18848862128788652</c:v>
                </c:pt>
                <c:pt idx="4">
                  <c:v>7.1435860802122669E-3</c:v>
                </c:pt>
                <c:pt idx="5">
                  <c:v>4.5923053372793144E-3</c:v>
                </c:pt>
                <c:pt idx="6">
                  <c:v>3.0819471374630064E-2</c:v>
                </c:pt>
                <c:pt idx="7">
                  <c:v>2.0104092254311666E-2</c:v>
                </c:pt>
                <c:pt idx="8">
                  <c:v>9.490764363710583E-3</c:v>
                </c:pt>
                <c:pt idx="9">
                  <c:v>3.857536483314624E-2</c:v>
                </c:pt>
                <c:pt idx="10">
                  <c:v>0.40983773854474947</c:v>
                </c:pt>
                <c:pt idx="11">
                  <c:v>1.020512297173181E-4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'3.11 Mbalala-Mukono'!$S$9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'3.11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Mbalala-Mukono'!$S$10:$S$21</c:f>
              <c:numCache>
                <c:formatCode>0</c:formatCode>
                <c:ptCount val="12"/>
                <c:pt idx="0">
                  <c:v>74</c:v>
                </c:pt>
                <c:pt idx="1">
                  <c:v>117</c:v>
                </c:pt>
                <c:pt idx="2">
                  <c:v>150</c:v>
                </c:pt>
                <c:pt idx="3">
                  <c:v>163</c:v>
                </c:pt>
                <c:pt idx="4">
                  <c:v>191</c:v>
                </c:pt>
                <c:pt idx="5">
                  <c:v>205</c:v>
                </c:pt>
                <c:pt idx="6">
                  <c:v>185</c:v>
                </c:pt>
                <c:pt idx="7">
                  <c:v>189</c:v>
                </c:pt>
                <c:pt idx="8">
                  <c:v>138</c:v>
                </c:pt>
                <c:pt idx="9">
                  <c:v>268</c:v>
                </c:pt>
                <c:pt idx="10">
                  <c:v>298</c:v>
                </c:pt>
                <c:pt idx="11">
                  <c:v>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'3.11 Mbalala-Mukono'!$T$9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'3.11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Mbalala-Mukono'!$T$10:$T$21</c:f>
              <c:numCache>
                <c:formatCode>0</c:formatCode>
                <c:ptCount val="12"/>
                <c:pt idx="0">
                  <c:v>13</c:v>
                </c:pt>
                <c:pt idx="1">
                  <c:v>11</c:v>
                </c:pt>
                <c:pt idx="2">
                  <c:v>17</c:v>
                </c:pt>
                <c:pt idx="3">
                  <c:v>18</c:v>
                </c:pt>
                <c:pt idx="4">
                  <c:v>23</c:v>
                </c:pt>
                <c:pt idx="5">
                  <c:v>25</c:v>
                </c:pt>
                <c:pt idx="6">
                  <c:v>22</c:v>
                </c:pt>
                <c:pt idx="7">
                  <c:v>51</c:v>
                </c:pt>
                <c:pt idx="8">
                  <c:v>48</c:v>
                </c:pt>
                <c:pt idx="9">
                  <c:v>52</c:v>
                </c:pt>
                <c:pt idx="10">
                  <c:v>29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'3.11 Mbalala-Mukono'!$U$9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Mbalala-Mukono'!$U$10:$U$21</c:f>
              <c:numCache>
                <c:formatCode>0</c:formatCode>
                <c:ptCount val="12"/>
                <c:pt idx="0">
                  <c:v>6</c:v>
                </c:pt>
                <c:pt idx="1">
                  <c:v>16</c:v>
                </c:pt>
                <c:pt idx="2">
                  <c:v>17</c:v>
                </c:pt>
                <c:pt idx="3">
                  <c:v>16</c:v>
                </c:pt>
                <c:pt idx="4">
                  <c:v>16</c:v>
                </c:pt>
                <c:pt idx="5">
                  <c:v>24</c:v>
                </c:pt>
                <c:pt idx="6">
                  <c:v>30</c:v>
                </c:pt>
                <c:pt idx="7">
                  <c:v>32</c:v>
                </c:pt>
                <c:pt idx="8">
                  <c:v>31</c:v>
                </c:pt>
                <c:pt idx="9">
                  <c:v>33</c:v>
                </c:pt>
                <c:pt idx="10">
                  <c:v>32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'3.11 Mbalala-Mukono'!$V$9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Mbalala-Mukono'!$V$10:$V$21</c:f>
              <c:numCache>
                <c:formatCode>0</c:formatCode>
                <c:ptCount val="12"/>
                <c:pt idx="0">
                  <c:v>117</c:v>
                </c:pt>
                <c:pt idx="1">
                  <c:v>120</c:v>
                </c:pt>
                <c:pt idx="2">
                  <c:v>141</c:v>
                </c:pt>
                <c:pt idx="3">
                  <c:v>159</c:v>
                </c:pt>
                <c:pt idx="4">
                  <c:v>135</c:v>
                </c:pt>
                <c:pt idx="5">
                  <c:v>158</c:v>
                </c:pt>
                <c:pt idx="6">
                  <c:v>145</c:v>
                </c:pt>
                <c:pt idx="7">
                  <c:v>164</c:v>
                </c:pt>
                <c:pt idx="8">
                  <c:v>149</c:v>
                </c:pt>
                <c:pt idx="9">
                  <c:v>186</c:v>
                </c:pt>
                <c:pt idx="10">
                  <c:v>180</c:v>
                </c:pt>
                <c:pt idx="11">
                  <c:v>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'3.11 Mbalala-Mukono'!$W$9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Mbalala-Mukono'!$W$10:$W$21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5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10</c:v>
                </c:pt>
                <c:pt idx="8">
                  <c:v>8</c:v>
                </c:pt>
                <c:pt idx="9">
                  <c:v>9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'3.11 Mbalala-Mukono'!$X$9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Mbalala-Mukono'!$X$10:$X$21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8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'3.11 Mbalala-Mukono'!$Y$9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Mbalala-Mukono'!$Y$10:$Y$21</c:f>
              <c:numCache>
                <c:formatCode>0</c:formatCode>
                <c:ptCount val="12"/>
                <c:pt idx="0">
                  <c:v>7</c:v>
                </c:pt>
                <c:pt idx="1">
                  <c:v>16</c:v>
                </c:pt>
                <c:pt idx="2">
                  <c:v>20</c:v>
                </c:pt>
                <c:pt idx="3">
                  <c:v>24</c:v>
                </c:pt>
                <c:pt idx="4">
                  <c:v>35</c:v>
                </c:pt>
                <c:pt idx="5">
                  <c:v>40</c:v>
                </c:pt>
                <c:pt idx="6">
                  <c:v>32</c:v>
                </c:pt>
                <c:pt idx="7">
                  <c:v>23</c:v>
                </c:pt>
                <c:pt idx="8">
                  <c:v>20</c:v>
                </c:pt>
                <c:pt idx="9">
                  <c:v>34</c:v>
                </c:pt>
                <c:pt idx="10">
                  <c:v>34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'3.11 Mbalala-Mukono'!$Z$9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Mbalala-Mukono'!$Z$10:$Z$21</c:f>
              <c:numCache>
                <c:formatCode>0</c:formatCode>
                <c:ptCount val="12"/>
                <c:pt idx="0">
                  <c:v>18</c:v>
                </c:pt>
                <c:pt idx="1">
                  <c:v>14</c:v>
                </c:pt>
                <c:pt idx="2">
                  <c:v>13</c:v>
                </c:pt>
                <c:pt idx="3">
                  <c:v>19</c:v>
                </c:pt>
                <c:pt idx="4">
                  <c:v>12</c:v>
                </c:pt>
                <c:pt idx="5">
                  <c:v>11</c:v>
                </c:pt>
                <c:pt idx="6">
                  <c:v>15</c:v>
                </c:pt>
                <c:pt idx="7">
                  <c:v>21</c:v>
                </c:pt>
                <c:pt idx="8">
                  <c:v>16</c:v>
                </c:pt>
                <c:pt idx="9">
                  <c:v>24</c:v>
                </c:pt>
                <c:pt idx="10">
                  <c:v>19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'3.11 Mbalala-Mukono'!$AA$9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Mbalala-Mukono'!$AA$10:$AA$21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4</c:v>
                </c:pt>
                <c:pt idx="3">
                  <c:v>12</c:v>
                </c:pt>
                <c:pt idx="4">
                  <c:v>8</c:v>
                </c:pt>
                <c:pt idx="5">
                  <c:v>15</c:v>
                </c:pt>
                <c:pt idx="6">
                  <c:v>9</c:v>
                </c:pt>
                <c:pt idx="7">
                  <c:v>8</c:v>
                </c:pt>
                <c:pt idx="8">
                  <c:v>3</c:v>
                </c:pt>
                <c:pt idx="9">
                  <c:v>10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'3.11 Mbalala-Mukono'!$AB$9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Mbalala-Mukono'!$AB$10:$AB$21</c:f>
              <c:numCache>
                <c:formatCode>0</c:formatCode>
                <c:ptCount val="12"/>
                <c:pt idx="0">
                  <c:v>39</c:v>
                </c:pt>
                <c:pt idx="1">
                  <c:v>26</c:v>
                </c:pt>
                <c:pt idx="2">
                  <c:v>41</c:v>
                </c:pt>
                <c:pt idx="3">
                  <c:v>38</c:v>
                </c:pt>
                <c:pt idx="4">
                  <c:v>29</c:v>
                </c:pt>
                <c:pt idx="5">
                  <c:v>25</c:v>
                </c:pt>
                <c:pt idx="6">
                  <c:v>29</c:v>
                </c:pt>
                <c:pt idx="7">
                  <c:v>38</c:v>
                </c:pt>
                <c:pt idx="8">
                  <c:v>36</c:v>
                </c:pt>
                <c:pt idx="9">
                  <c:v>37</c:v>
                </c:pt>
                <c:pt idx="10">
                  <c:v>24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'3.11 Mbalala-Mukono'!$AC$9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Mbalala-Mukono'!$AC$10:$AC$21</c:f>
              <c:numCache>
                <c:formatCode>0</c:formatCode>
                <c:ptCount val="12"/>
                <c:pt idx="0">
                  <c:v>210</c:v>
                </c:pt>
                <c:pt idx="1">
                  <c:v>375</c:v>
                </c:pt>
                <c:pt idx="2">
                  <c:v>373</c:v>
                </c:pt>
                <c:pt idx="3">
                  <c:v>335</c:v>
                </c:pt>
                <c:pt idx="4">
                  <c:v>471</c:v>
                </c:pt>
                <c:pt idx="5">
                  <c:v>344</c:v>
                </c:pt>
                <c:pt idx="6">
                  <c:v>388</c:v>
                </c:pt>
                <c:pt idx="7">
                  <c:v>309</c:v>
                </c:pt>
                <c:pt idx="8">
                  <c:v>246</c:v>
                </c:pt>
                <c:pt idx="9">
                  <c:v>311</c:v>
                </c:pt>
                <c:pt idx="10">
                  <c:v>292</c:v>
                </c:pt>
                <c:pt idx="11">
                  <c:v>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'3.11 Mbalala-Mukono'!$AD$9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Mbalala-Mukono'!$AD$10:$AD$21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838720"/>
        <c:axId val="753828928"/>
      </c:lineChart>
      <c:catAx>
        <c:axId val="75383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28928"/>
        <c:crosses val="autoZero"/>
        <c:auto val="1"/>
        <c:lblAlgn val="ctr"/>
        <c:lblOffset val="100"/>
        <c:noMultiLvlLbl val="0"/>
      </c:catAx>
      <c:valAx>
        <c:axId val="75382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3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'3.11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'3.11 Mbalala-Mukono'!$C$60:$N$60</c:f>
              <c:numCache>
                <c:formatCode>0.00%</c:formatCode>
                <c:ptCount val="12"/>
                <c:pt idx="0">
                  <c:v>0.38647760677848869</c:v>
                </c:pt>
                <c:pt idx="1">
                  <c:v>5.7236728341691162E-2</c:v>
                </c:pt>
                <c:pt idx="2">
                  <c:v>4.9109458758429883E-2</c:v>
                </c:pt>
                <c:pt idx="3">
                  <c:v>0.31938440255922529</c:v>
                </c:pt>
                <c:pt idx="4">
                  <c:v>1.2104444060176378E-2</c:v>
                </c:pt>
                <c:pt idx="5">
                  <c:v>7.7814283243991004E-3</c:v>
                </c:pt>
                <c:pt idx="6">
                  <c:v>5.2222030088189521E-2</c:v>
                </c:pt>
                <c:pt idx="7">
                  <c:v>3.4065363997924952E-2</c:v>
                </c:pt>
                <c:pt idx="8">
                  <c:v>1.6081618537091474E-2</c:v>
                </c:pt>
                <c:pt idx="9">
                  <c:v>6.5363997924952441E-2</c:v>
                </c:pt>
                <c:pt idx="11">
                  <c:v>1.7292062943109114E-4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'4.11 Mukono-Mbalala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'4.11 Mukono-Mbalala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Mukono-Mbalala '!$AE$10:$AE$21</c:f>
              <c:numCache>
                <c:formatCode>0</c:formatCode>
                <c:ptCount val="12"/>
                <c:pt idx="0">
                  <c:v>535</c:v>
                </c:pt>
                <c:pt idx="1">
                  <c:v>604</c:v>
                </c:pt>
                <c:pt idx="2">
                  <c:v>509</c:v>
                </c:pt>
                <c:pt idx="3">
                  <c:v>905</c:v>
                </c:pt>
                <c:pt idx="4">
                  <c:v>663</c:v>
                </c:pt>
                <c:pt idx="5">
                  <c:v>705</c:v>
                </c:pt>
                <c:pt idx="6">
                  <c:v>550</c:v>
                </c:pt>
                <c:pt idx="7">
                  <c:v>934</c:v>
                </c:pt>
                <c:pt idx="8">
                  <c:v>556</c:v>
                </c:pt>
                <c:pt idx="9">
                  <c:v>829</c:v>
                </c:pt>
                <c:pt idx="10">
                  <c:v>452</c:v>
                </c:pt>
                <c:pt idx="11">
                  <c:v>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'4.11 Mukono-Mbalala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'4.11 Mukono-Mbalala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Mukono-Mbalala '!$AF$10:$AF$21</c:f>
              <c:numCache>
                <c:formatCode>0</c:formatCode>
                <c:ptCount val="12"/>
                <c:pt idx="0">
                  <c:v>911</c:v>
                </c:pt>
                <c:pt idx="1">
                  <c:v>1064</c:v>
                </c:pt>
                <c:pt idx="2">
                  <c:v>967</c:v>
                </c:pt>
                <c:pt idx="3">
                  <c:v>1452</c:v>
                </c:pt>
                <c:pt idx="4">
                  <c:v>1203</c:v>
                </c:pt>
                <c:pt idx="5">
                  <c:v>1330</c:v>
                </c:pt>
                <c:pt idx="6">
                  <c:v>1069</c:v>
                </c:pt>
                <c:pt idx="7">
                  <c:v>1388</c:v>
                </c:pt>
                <c:pt idx="8">
                  <c:v>938</c:v>
                </c:pt>
                <c:pt idx="9">
                  <c:v>1339</c:v>
                </c:pt>
                <c:pt idx="10">
                  <c:v>829</c:v>
                </c:pt>
                <c:pt idx="11">
                  <c:v>1191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3830560"/>
        <c:axId val="753832736"/>
      </c:lineChart>
      <c:catAx>
        <c:axId val="7538305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32736"/>
        <c:crosses val="autoZero"/>
        <c:auto val="1"/>
        <c:lblAlgn val="ctr"/>
        <c:lblOffset val="100"/>
        <c:noMultiLvlLbl val="0"/>
      </c:catAx>
      <c:valAx>
        <c:axId val="753832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3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'4.11 Mukono-Mbalala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'4.11 Mukono-Mbalala '!$C$59:$N$59</c:f>
              <c:numCache>
                <c:formatCode>0.0%</c:formatCode>
                <c:ptCount val="12"/>
                <c:pt idx="0">
                  <c:v>0.18375849718587822</c:v>
                </c:pt>
                <c:pt idx="1">
                  <c:v>4.8899934215335138E-2</c:v>
                </c:pt>
                <c:pt idx="2">
                  <c:v>2.5509831152693518E-2</c:v>
                </c:pt>
                <c:pt idx="3">
                  <c:v>0.16943205906001024</c:v>
                </c:pt>
                <c:pt idx="4">
                  <c:v>6.5053724142972004E-3</c:v>
                </c:pt>
                <c:pt idx="5">
                  <c:v>3.5816095314669979E-3</c:v>
                </c:pt>
                <c:pt idx="6">
                  <c:v>4.2833126233462464E-2</c:v>
                </c:pt>
                <c:pt idx="7">
                  <c:v>2.0758716468094438E-2</c:v>
                </c:pt>
                <c:pt idx="8">
                  <c:v>1.717710693662744E-2</c:v>
                </c:pt>
                <c:pt idx="9">
                  <c:v>5.3724142972004972E-2</c:v>
                </c:pt>
                <c:pt idx="10">
                  <c:v>0.4278196038301294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'4.11 Mukono-Mbalala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'4.11 Mukono-Mbalala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Mukono-Mbalala '!$S$10:$S$21</c:f>
              <c:numCache>
                <c:formatCode>0</c:formatCode>
                <c:ptCount val="12"/>
                <c:pt idx="0">
                  <c:v>162</c:v>
                </c:pt>
                <c:pt idx="1">
                  <c:v>233</c:v>
                </c:pt>
                <c:pt idx="2">
                  <c:v>175</c:v>
                </c:pt>
                <c:pt idx="3">
                  <c:v>320</c:v>
                </c:pt>
                <c:pt idx="4">
                  <c:v>257</c:v>
                </c:pt>
                <c:pt idx="5">
                  <c:v>295</c:v>
                </c:pt>
                <c:pt idx="6">
                  <c:v>137</c:v>
                </c:pt>
                <c:pt idx="7">
                  <c:v>252</c:v>
                </c:pt>
                <c:pt idx="8">
                  <c:v>122</c:v>
                </c:pt>
                <c:pt idx="9">
                  <c:v>230</c:v>
                </c:pt>
                <c:pt idx="10">
                  <c:v>124</c:v>
                </c:pt>
                <c:pt idx="11">
                  <c:v>207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'4.11 Mukono-Mbalala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'4.11 Mukono-Mbalala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Mukono-Mbalala '!$T$10:$T$21</c:f>
              <c:numCache>
                <c:formatCode>0</c:formatCode>
                <c:ptCount val="12"/>
                <c:pt idx="0">
                  <c:v>51</c:v>
                </c:pt>
                <c:pt idx="1">
                  <c:v>49</c:v>
                </c:pt>
                <c:pt idx="2">
                  <c:v>47</c:v>
                </c:pt>
                <c:pt idx="3">
                  <c:v>86</c:v>
                </c:pt>
                <c:pt idx="4">
                  <c:v>32</c:v>
                </c:pt>
                <c:pt idx="5">
                  <c:v>64</c:v>
                </c:pt>
                <c:pt idx="6">
                  <c:v>74</c:v>
                </c:pt>
                <c:pt idx="7">
                  <c:v>81</c:v>
                </c:pt>
                <c:pt idx="8">
                  <c:v>63</c:v>
                </c:pt>
                <c:pt idx="9">
                  <c:v>62</c:v>
                </c:pt>
                <c:pt idx="10">
                  <c:v>28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'4.11 Mukono-Mbalala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'!$U$10:$U$21</c:f>
              <c:numCache>
                <c:formatCode>0</c:formatCode>
                <c:ptCount val="12"/>
                <c:pt idx="0">
                  <c:v>48</c:v>
                </c:pt>
                <c:pt idx="1">
                  <c:v>36</c:v>
                </c:pt>
                <c:pt idx="2">
                  <c:v>34</c:v>
                </c:pt>
                <c:pt idx="3">
                  <c:v>30</c:v>
                </c:pt>
                <c:pt idx="4">
                  <c:v>25</c:v>
                </c:pt>
                <c:pt idx="5">
                  <c:v>17</c:v>
                </c:pt>
                <c:pt idx="6">
                  <c:v>17</c:v>
                </c:pt>
                <c:pt idx="7">
                  <c:v>36</c:v>
                </c:pt>
                <c:pt idx="8">
                  <c:v>20</c:v>
                </c:pt>
                <c:pt idx="9">
                  <c:v>39</c:v>
                </c:pt>
                <c:pt idx="10">
                  <c:v>25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'4.11 Mukono-Mbalala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'!$V$10:$V$21</c:f>
              <c:numCache>
                <c:formatCode>0</c:formatCode>
                <c:ptCount val="12"/>
                <c:pt idx="0">
                  <c:v>125</c:v>
                </c:pt>
                <c:pt idx="1">
                  <c:v>184</c:v>
                </c:pt>
                <c:pt idx="2">
                  <c:v>156</c:v>
                </c:pt>
                <c:pt idx="3">
                  <c:v>273</c:v>
                </c:pt>
                <c:pt idx="4">
                  <c:v>214</c:v>
                </c:pt>
                <c:pt idx="5">
                  <c:v>165</c:v>
                </c:pt>
                <c:pt idx="6">
                  <c:v>172</c:v>
                </c:pt>
                <c:pt idx="7">
                  <c:v>307</c:v>
                </c:pt>
                <c:pt idx="8">
                  <c:v>181</c:v>
                </c:pt>
                <c:pt idx="9">
                  <c:v>216</c:v>
                </c:pt>
                <c:pt idx="10">
                  <c:v>161</c:v>
                </c:pt>
                <c:pt idx="11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'4.11 Mukono-Mbalala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'!$W$10:$W$21</c:f>
              <c:numCache>
                <c:formatCode>0</c:formatCode>
                <c:ptCount val="12"/>
                <c:pt idx="0">
                  <c:v>15</c:v>
                </c:pt>
                <c:pt idx="1">
                  <c:v>8</c:v>
                </c:pt>
                <c:pt idx="2">
                  <c:v>3</c:v>
                </c:pt>
                <c:pt idx="3">
                  <c:v>7</c:v>
                </c:pt>
                <c:pt idx="4">
                  <c:v>2</c:v>
                </c:pt>
                <c:pt idx="5">
                  <c:v>4</c:v>
                </c:pt>
                <c:pt idx="6">
                  <c:v>10</c:v>
                </c:pt>
                <c:pt idx="7">
                  <c:v>9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'4.11 Mukono-Mbalala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'!$X$10:$X$21</c:f>
              <c:numCache>
                <c:formatCode>0</c:formatCode>
                <c:ptCount val="12"/>
                <c:pt idx="0">
                  <c:v>11</c:v>
                </c:pt>
                <c:pt idx="1">
                  <c:v>4</c:v>
                </c:pt>
                <c:pt idx="2">
                  <c:v>2</c:v>
                </c:pt>
                <c:pt idx="3">
                  <c:v>7</c:v>
                </c:pt>
                <c:pt idx="4">
                  <c:v>1</c:v>
                </c:pt>
                <c:pt idx="5">
                  <c:v>2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'4.11 Mukono-Mbalala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'!$Y$10:$Y$21</c:f>
              <c:numCache>
                <c:formatCode>0</c:formatCode>
                <c:ptCount val="12"/>
                <c:pt idx="0">
                  <c:v>20</c:v>
                </c:pt>
                <c:pt idx="1">
                  <c:v>52</c:v>
                </c:pt>
                <c:pt idx="2">
                  <c:v>42</c:v>
                </c:pt>
                <c:pt idx="3">
                  <c:v>46</c:v>
                </c:pt>
                <c:pt idx="4">
                  <c:v>56</c:v>
                </c:pt>
                <c:pt idx="5">
                  <c:v>69</c:v>
                </c:pt>
                <c:pt idx="6">
                  <c:v>50</c:v>
                </c:pt>
                <c:pt idx="7">
                  <c:v>46</c:v>
                </c:pt>
                <c:pt idx="8">
                  <c:v>43</c:v>
                </c:pt>
                <c:pt idx="9">
                  <c:v>87</c:v>
                </c:pt>
                <c:pt idx="10">
                  <c:v>32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'4.11 Mukono-Mbalala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'!$Z$10:$Z$21</c:f>
              <c:numCache>
                <c:formatCode>0</c:formatCode>
                <c:ptCount val="12"/>
                <c:pt idx="0">
                  <c:v>36</c:v>
                </c:pt>
                <c:pt idx="1">
                  <c:v>17</c:v>
                </c:pt>
                <c:pt idx="2">
                  <c:v>17</c:v>
                </c:pt>
                <c:pt idx="3">
                  <c:v>18</c:v>
                </c:pt>
                <c:pt idx="4">
                  <c:v>29</c:v>
                </c:pt>
                <c:pt idx="5">
                  <c:v>16</c:v>
                </c:pt>
                <c:pt idx="6">
                  <c:v>16</c:v>
                </c:pt>
                <c:pt idx="7">
                  <c:v>49</c:v>
                </c:pt>
                <c:pt idx="8">
                  <c:v>34</c:v>
                </c:pt>
                <c:pt idx="9">
                  <c:v>22</c:v>
                </c:pt>
                <c:pt idx="10">
                  <c:v>15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'4.11 Mukono-Mbalala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'!$AA$10:$AA$21</c:f>
              <c:numCache>
                <c:formatCode>0</c:formatCode>
                <c:ptCount val="12"/>
                <c:pt idx="0">
                  <c:v>23</c:v>
                </c:pt>
                <c:pt idx="1">
                  <c:v>11</c:v>
                </c:pt>
                <c:pt idx="2">
                  <c:v>12</c:v>
                </c:pt>
                <c:pt idx="3">
                  <c:v>35</c:v>
                </c:pt>
                <c:pt idx="4">
                  <c:v>13</c:v>
                </c:pt>
                <c:pt idx="5">
                  <c:v>12</c:v>
                </c:pt>
                <c:pt idx="6">
                  <c:v>20</c:v>
                </c:pt>
                <c:pt idx="7">
                  <c:v>49</c:v>
                </c:pt>
                <c:pt idx="8">
                  <c:v>14</c:v>
                </c:pt>
                <c:pt idx="9">
                  <c:v>20</c:v>
                </c:pt>
                <c:pt idx="10">
                  <c:v>12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'4.11 Mukono-Mbalala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'!$AB$10:$AB$21</c:f>
              <c:numCache>
                <c:formatCode>0</c:formatCode>
                <c:ptCount val="12"/>
                <c:pt idx="0">
                  <c:v>44</c:v>
                </c:pt>
                <c:pt idx="1">
                  <c:v>10</c:v>
                </c:pt>
                <c:pt idx="2">
                  <c:v>21</c:v>
                </c:pt>
                <c:pt idx="3">
                  <c:v>83</c:v>
                </c:pt>
                <c:pt idx="4">
                  <c:v>34</c:v>
                </c:pt>
                <c:pt idx="5">
                  <c:v>61</c:v>
                </c:pt>
                <c:pt idx="6">
                  <c:v>49</c:v>
                </c:pt>
                <c:pt idx="7">
                  <c:v>101</c:v>
                </c:pt>
                <c:pt idx="8">
                  <c:v>71</c:v>
                </c:pt>
                <c:pt idx="9">
                  <c:v>146</c:v>
                </c:pt>
                <c:pt idx="10">
                  <c:v>51</c:v>
                </c:pt>
                <c:pt idx="11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'4.11 Mukono-Mbalala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'!$AC$10:$AC$21</c:f>
              <c:numCache>
                <c:formatCode>0</c:formatCode>
                <c:ptCount val="12"/>
                <c:pt idx="0">
                  <c:v>376</c:v>
                </c:pt>
                <c:pt idx="1">
                  <c:v>460</c:v>
                </c:pt>
                <c:pt idx="2">
                  <c:v>458</c:v>
                </c:pt>
                <c:pt idx="3">
                  <c:v>547</c:v>
                </c:pt>
                <c:pt idx="4">
                  <c:v>540</c:v>
                </c:pt>
                <c:pt idx="5">
                  <c:v>625</c:v>
                </c:pt>
                <c:pt idx="6">
                  <c:v>519</c:v>
                </c:pt>
                <c:pt idx="7">
                  <c:v>454</c:v>
                </c:pt>
                <c:pt idx="8">
                  <c:v>382</c:v>
                </c:pt>
                <c:pt idx="9">
                  <c:v>510</c:v>
                </c:pt>
                <c:pt idx="10">
                  <c:v>377</c:v>
                </c:pt>
                <c:pt idx="11">
                  <c:v>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'4.11 Mukono-Mbalala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Mukono-Mbalala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831648"/>
        <c:axId val="753827296"/>
      </c:lineChart>
      <c:catAx>
        <c:axId val="7538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27296"/>
        <c:crosses val="autoZero"/>
        <c:auto val="1"/>
        <c:lblAlgn val="ctr"/>
        <c:lblOffset val="100"/>
        <c:noMultiLvlLbl val="0"/>
      </c:catAx>
      <c:valAx>
        <c:axId val="75382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3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'4.11 Mukono-Mbalala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'4.11 Mukono-Mbalala '!$C$60:$N$60</c:f>
              <c:numCache>
                <c:formatCode>0.00%</c:formatCode>
                <c:ptCount val="12"/>
                <c:pt idx="0">
                  <c:v>0.32115482881962187</c:v>
                </c:pt>
                <c:pt idx="1">
                  <c:v>8.546244251405212E-2</c:v>
                </c:pt>
                <c:pt idx="2">
                  <c:v>4.4583546244251405E-2</c:v>
                </c:pt>
                <c:pt idx="3">
                  <c:v>0.29611650485436891</c:v>
                </c:pt>
                <c:pt idx="4">
                  <c:v>1.1369443025038324E-2</c:v>
                </c:pt>
                <c:pt idx="5">
                  <c:v>6.2595809913132345E-3</c:v>
                </c:pt>
                <c:pt idx="6">
                  <c:v>7.4859478794072565E-2</c:v>
                </c:pt>
                <c:pt idx="7">
                  <c:v>3.6280020439448134E-2</c:v>
                </c:pt>
                <c:pt idx="8">
                  <c:v>3.00204394481349E-2</c:v>
                </c:pt>
                <c:pt idx="9">
                  <c:v>9.3893714869698525E-2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'4.11 Mbalala-Mukono'!$AE$9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'4.11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Mbalala-Mukono'!$AE$10:$AE$21</c:f>
              <c:numCache>
                <c:formatCode>0</c:formatCode>
                <c:ptCount val="12"/>
                <c:pt idx="0">
                  <c:v>516</c:v>
                </c:pt>
                <c:pt idx="1">
                  <c:v>436</c:v>
                </c:pt>
                <c:pt idx="2">
                  <c:v>526</c:v>
                </c:pt>
                <c:pt idx="3">
                  <c:v>460</c:v>
                </c:pt>
                <c:pt idx="4">
                  <c:v>410</c:v>
                </c:pt>
                <c:pt idx="5">
                  <c:v>447</c:v>
                </c:pt>
                <c:pt idx="6">
                  <c:v>432</c:v>
                </c:pt>
                <c:pt idx="7">
                  <c:v>389</c:v>
                </c:pt>
                <c:pt idx="8">
                  <c:v>469</c:v>
                </c:pt>
                <c:pt idx="9">
                  <c:v>434</c:v>
                </c:pt>
                <c:pt idx="10">
                  <c:v>445</c:v>
                </c:pt>
                <c:pt idx="11">
                  <c:v>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'4.11 Mbalala-Mukono'!$AF$9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'4.11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Mbalala-Mukono'!$AF$10:$AF$21</c:f>
              <c:numCache>
                <c:formatCode>0</c:formatCode>
                <c:ptCount val="12"/>
                <c:pt idx="0">
                  <c:v>920</c:v>
                </c:pt>
                <c:pt idx="1">
                  <c:v>946</c:v>
                </c:pt>
                <c:pt idx="2">
                  <c:v>932</c:v>
                </c:pt>
                <c:pt idx="3">
                  <c:v>794</c:v>
                </c:pt>
                <c:pt idx="4">
                  <c:v>793</c:v>
                </c:pt>
                <c:pt idx="5">
                  <c:v>797</c:v>
                </c:pt>
                <c:pt idx="6">
                  <c:v>811</c:v>
                </c:pt>
                <c:pt idx="7">
                  <c:v>770</c:v>
                </c:pt>
                <c:pt idx="8">
                  <c:v>870</c:v>
                </c:pt>
                <c:pt idx="9">
                  <c:v>825</c:v>
                </c:pt>
                <c:pt idx="10">
                  <c:v>822</c:v>
                </c:pt>
                <c:pt idx="11">
                  <c:v>985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3832192"/>
        <c:axId val="753836000"/>
      </c:lineChart>
      <c:catAx>
        <c:axId val="7538321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36000"/>
        <c:crosses val="autoZero"/>
        <c:auto val="1"/>
        <c:lblAlgn val="ctr"/>
        <c:lblOffset val="100"/>
        <c:noMultiLvlLbl val="0"/>
      </c:catAx>
      <c:valAx>
        <c:axId val="753836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383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'4.11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'4.11 Mbalala-Mukono'!$C$59:$N$59</c:f>
              <c:numCache>
                <c:formatCode>0.0%</c:formatCode>
                <c:ptCount val="12"/>
                <c:pt idx="0">
                  <c:v>0.16775450560155869</c:v>
                </c:pt>
                <c:pt idx="1">
                  <c:v>2.610813443740867E-2</c:v>
                </c:pt>
                <c:pt idx="2">
                  <c:v>2.6497808085728203E-2</c:v>
                </c:pt>
                <c:pt idx="3">
                  <c:v>0.16853385289819775</c:v>
                </c:pt>
                <c:pt idx="4">
                  <c:v>5.552849488553337E-3</c:v>
                </c:pt>
                <c:pt idx="5">
                  <c:v>3.8967364831953241E-3</c:v>
                </c:pt>
                <c:pt idx="6">
                  <c:v>4.4617632732586461E-2</c:v>
                </c:pt>
                <c:pt idx="7">
                  <c:v>2.9225523623964928E-2</c:v>
                </c:pt>
                <c:pt idx="8">
                  <c:v>1.8509498295177788E-2</c:v>
                </c:pt>
                <c:pt idx="9">
                  <c:v>5.1242084754018508E-2</c:v>
                </c:pt>
                <c:pt idx="10">
                  <c:v>0.4580613735996103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'4.11 Mbalala-Mukono'!$S$9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'4.11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Mbalala-Mukono'!$S$10:$S$21</c:f>
              <c:numCache>
                <c:formatCode>0</c:formatCode>
                <c:ptCount val="12"/>
                <c:pt idx="0">
                  <c:v>172</c:v>
                </c:pt>
                <c:pt idx="1">
                  <c:v>139</c:v>
                </c:pt>
                <c:pt idx="2">
                  <c:v>179</c:v>
                </c:pt>
                <c:pt idx="3">
                  <c:v>123</c:v>
                </c:pt>
                <c:pt idx="4">
                  <c:v>125</c:v>
                </c:pt>
                <c:pt idx="5">
                  <c:v>98</c:v>
                </c:pt>
                <c:pt idx="6">
                  <c:v>117</c:v>
                </c:pt>
                <c:pt idx="7">
                  <c:v>119</c:v>
                </c:pt>
                <c:pt idx="8">
                  <c:v>156</c:v>
                </c:pt>
                <c:pt idx="9">
                  <c:v>153</c:v>
                </c:pt>
                <c:pt idx="10">
                  <c:v>137</c:v>
                </c:pt>
                <c:pt idx="11">
                  <c:v>204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'4.11 Mbalala-Mukono'!$T$9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'4.11 Mbalala-Mukono'!$R$10:$R$21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Mbalala-Mukono'!$T$10:$T$21</c:f>
              <c:numCache>
                <c:formatCode>0</c:formatCode>
                <c:ptCount val="12"/>
                <c:pt idx="0">
                  <c:v>23</c:v>
                </c:pt>
                <c:pt idx="1">
                  <c:v>23</c:v>
                </c:pt>
                <c:pt idx="2">
                  <c:v>29</c:v>
                </c:pt>
                <c:pt idx="3">
                  <c:v>17</c:v>
                </c:pt>
                <c:pt idx="4">
                  <c:v>11</c:v>
                </c:pt>
                <c:pt idx="5">
                  <c:v>32</c:v>
                </c:pt>
                <c:pt idx="6">
                  <c:v>19</c:v>
                </c:pt>
                <c:pt idx="7">
                  <c:v>20</c:v>
                </c:pt>
                <c:pt idx="8">
                  <c:v>23</c:v>
                </c:pt>
                <c:pt idx="9">
                  <c:v>20</c:v>
                </c:pt>
                <c:pt idx="10">
                  <c:v>16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'4.11 Mbalala-Mukono'!$U$9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Mbalala-Mukono'!$U$10:$U$21</c:f>
              <c:numCache>
                <c:formatCode>0</c:formatCode>
                <c:ptCount val="12"/>
                <c:pt idx="0">
                  <c:v>25</c:v>
                </c:pt>
                <c:pt idx="1">
                  <c:v>25</c:v>
                </c:pt>
                <c:pt idx="2">
                  <c:v>17</c:v>
                </c:pt>
                <c:pt idx="3">
                  <c:v>20</c:v>
                </c:pt>
                <c:pt idx="4">
                  <c:v>16</c:v>
                </c:pt>
                <c:pt idx="5">
                  <c:v>15</c:v>
                </c:pt>
                <c:pt idx="6">
                  <c:v>25</c:v>
                </c:pt>
                <c:pt idx="7">
                  <c:v>20</c:v>
                </c:pt>
                <c:pt idx="8">
                  <c:v>21</c:v>
                </c:pt>
                <c:pt idx="9">
                  <c:v>29</c:v>
                </c:pt>
                <c:pt idx="10">
                  <c:v>23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'4.11 Mbalala-Mukono'!$V$9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Mbalala-Mukono'!$V$10:$V$21</c:f>
              <c:numCache>
                <c:formatCode>0</c:formatCode>
                <c:ptCount val="12"/>
                <c:pt idx="0">
                  <c:v>198</c:v>
                </c:pt>
                <c:pt idx="1">
                  <c:v>130</c:v>
                </c:pt>
                <c:pt idx="2">
                  <c:v>156</c:v>
                </c:pt>
                <c:pt idx="3">
                  <c:v>139</c:v>
                </c:pt>
                <c:pt idx="4">
                  <c:v>133</c:v>
                </c:pt>
                <c:pt idx="5">
                  <c:v>141</c:v>
                </c:pt>
                <c:pt idx="6">
                  <c:v>144</c:v>
                </c:pt>
                <c:pt idx="7">
                  <c:v>121</c:v>
                </c:pt>
                <c:pt idx="8">
                  <c:v>129</c:v>
                </c:pt>
                <c:pt idx="9">
                  <c:v>123</c:v>
                </c:pt>
                <c:pt idx="10">
                  <c:v>126</c:v>
                </c:pt>
                <c:pt idx="11">
                  <c:v>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'4.11 Mbalala-Mukono'!$W$9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Mbalala-Mukono'!$W$10:$W$21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'4.11 Mbalala-Mukono'!$X$9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Mbalala-Mukono'!$X$10:$X$21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6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'4.11 Mbalala-Mukono'!$Y$9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Mbalala-Mukono'!$Y$10:$Y$21</c:f>
              <c:numCache>
                <c:formatCode>0</c:formatCode>
                <c:ptCount val="12"/>
                <c:pt idx="0">
                  <c:v>28</c:v>
                </c:pt>
                <c:pt idx="1">
                  <c:v>32</c:v>
                </c:pt>
                <c:pt idx="2">
                  <c:v>27</c:v>
                </c:pt>
                <c:pt idx="3">
                  <c:v>40</c:v>
                </c:pt>
                <c:pt idx="4">
                  <c:v>34</c:v>
                </c:pt>
                <c:pt idx="5">
                  <c:v>50</c:v>
                </c:pt>
                <c:pt idx="6">
                  <c:v>46</c:v>
                </c:pt>
                <c:pt idx="7">
                  <c:v>30</c:v>
                </c:pt>
                <c:pt idx="8">
                  <c:v>38</c:v>
                </c:pt>
                <c:pt idx="9">
                  <c:v>35</c:v>
                </c:pt>
                <c:pt idx="10">
                  <c:v>54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'4.11 Mbalala-Mukono'!$Z$9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Mbalala-Mukono'!$Z$10:$Z$21</c:f>
              <c:numCache>
                <c:formatCode>0</c:formatCode>
                <c:ptCount val="12"/>
                <c:pt idx="0">
                  <c:v>13</c:v>
                </c:pt>
                <c:pt idx="1">
                  <c:v>25</c:v>
                </c:pt>
                <c:pt idx="2">
                  <c:v>27</c:v>
                </c:pt>
                <c:pt idx="3">
                  <c:v>17</c:v>
                </c:pt>
                <c:pt idx="4">
                  <c:v>27</c:v>
                </c:pt>
                <c:pt idx="5">
                  <c:v>31</c:v>
                </c:pt>
                <c:pt idx="6">
                  <c:v>22</c:v>
                </c:pt>
                <c:pt idx="7">
                  <c:v>26</c:v>
                </c:pt>
                <c:pt idx="8">
                  <c:v>27</c:v>
                </c:pt>
                <c:pt idx="9">
                  <c:v>23</c:v>
                </c:pt>
                <c:pt idx="10">
                  <c:v>31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'4.11 Mbalala-Mukono'!$AA$9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Mbalala-Mukono'!$AA$10:$AA$21</c:f>
              <c:numCache>
                <c:formatCode>0</c:formatCode>
                <c:ptCount val="12"/>
                <c:pt idx="0">
                  <c:v>6</c:v>
                </c:pt>
                <c:pt idx="1">
                  <c:v>13</c:v>
                </c:pt>
                <c:pt idx="2">
                  <c:v>21</c:v>
                </c:pt>
                <c:pt idx="3">
                  <c:v>11</c:v>
                </c:pt>
                <c:pt idx="4">
                  <c:v>13</c:v>
                </c:pt>
                <c:pt idx="5">
                  <c:v>20</c:v>
                </c:pt>
                <c:pt idx="6">
                  <c:v>16</c:v>
                </c:pt>
                <c:pt idx="7">
                  <c:v>13</c:v>
                </c:pt>
                <c:pt idx="8">
                  <c:v>29</c:v>
                </c:pt>
                <c:pt idx="9">
                  <c:v>12</c:v>
                </c:pt>
                <c:pt idx="10">
                  <c:v>15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'4.11 Mbalala-Mukono'!$AB$9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Mbalala-Mukono'!$AB$10:$AB$21</c:f>
              <c:numCache>
                <c:formatCode>0</c:formatCode>
                <c:ptCount val="12"/>
                <c:pt idx="0">
                  <c:v>44</c:v>
                </c:pt>
                <c:pt idx="1">
                  <c:v>40</c:v>
                </c:pt>
                <c:pt idx="2">
                  <c:v>57</c:v>
                </c:pt>
                <c:pt idx="3">
                  <c:v>83</c:v>
                </c:pt>
                <c:pt idx="4">
                  <c:v>42</c:v>
                </c:pt>
                <c:pt idx="5">
                  <c:v>52</c:v>
                </c:pt>
                <c:pt idx="6">
                  <c:v>38</c:v>
                </c:pt>
                <c:pt idx="7">
                  <c:v>32</c:v>
                </c:pt>
                <c:pt idx="8">
                  <c:v>40</c:v>
                </c:pt>
                <c:pt idx="9">
                  <c:v>34</c:v>
                </c:pt>
                <c:pt idx="10">
                  <c:v>34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'4.11 Mbalala-Mukono'!$AC$9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Mbalala-Mukono'!$AC$10:$AC$21</c:f>
              <c:numCache>
                <c:formatCode>0</c:formatCode>
                <c:ptCount val="12"/>
                <c:pt idx="0">
                  <c:v>404</c:v>
                </c:pt>
                <c:pt idx="1">
                  <c:v>510</c:v>
                </c:pt>
                <c:pt idx="2">
                  <c:v>406</c:v>
                </c:pt>
                <c:pt idx="3">
                  <c:v>334</c:v>
                </c:pt>
                <c:pt idx="4">
                  <c:v>383</c:v>
                </c:pt>
                <c:pt idx="5">
                  <c:v>350</c:v>
                </c:pt>
                <c:pt idx="6">
                  <c:v>379</c:v>
                </c:pt>
                <c:pt idx="7">
                  <c:v>381</c:v>
                </c:pt>
                <c:pt idx="8">
                  <c:v>401</c:v>
                </c:pt>
                <c:pt idx="9">
                  <c:v>391</c:v>
                </c:pt>
                <c:pt idx="10">
                  <c:v>377</c:v>
                </c:pt>
                <c:pt idx="11">
                  <c:v>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'4.11 Mbalala-Mukono'!$AD$9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Mbalala-Mukono'!$AD$10:$AD$21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655616"/>
        <c:axId val="755655072"/>
      </c:lineChart>
      <c:catAx>
        <c:axId val="75565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5655072"/>
        <c:crosses val="autoZero"/>
        <c:auto val="1"/>
        <c:lblAlgn val="ctr"/>
        <c:lblOffset val="100"/>
        <c:noMultiLvlLbl val="0"/>
      </c:catAx>
      <c:valAx>
        <c:axId val="75565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565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'4.11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'4.11 Mbalala-Mukono'!$C$60:$N$60</c:f>
              <c:numCache>
                <c:formatCode>0.00%</c:formatCode>
                <c:ptCount val="12"/>
                <c:pt idx="0">
                  <c:v>0.30954520941937802</c:v>
                </c:pt>
                <c:pt idx="1">
                  <c:v>4.8175444903828871E-2</c:v>
                </c:pt>
                <c:pt idx="2">
                  <c:v>4.8894481394930793E-2</c:v>
                </c:pt>
                <c:pt idx="3">
                  <c:v>0.31098328240158191</c:v>
                </c:pt>
                <c:pt idx="4">
                  <c:v>1.0246269998202408E-2</c:v>
                </c:pt>
                <c:pt idx="5">
                  <c:v>7.1903649110192343E-3</c:v>
                </c:pt>
                <c:pt idx="6">
                  <c:v>8.2329678231170225E-2</c:v>
                </c:pt>
                <c:pt idx="7">
                  <c:v>5.3927736832644256E-2</c:v>
                </c:pt>
                <c:pt idx="8">
                  <c:v>3.4154233327341361E-2</c:v>
                </c:pt>
                <c:pt idx="9">
                  <c:v>9.4553298579902925E-2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Mukono-Mbalala'!$AE$9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Mukono-Mbalala'!$R$10:$R$33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Mukono-Mbalala'!$AE$10:$AE$33</c:f>
              <c:numCache>
                <c:formatCode>0</c:formatCode>
                <c:ptCount val="24"/>
                <c:pt idx="0">
                  <c:v>497.42857142857139</c:v>
                </c:pt>
                <c:pt idx="1">
                  <c:v>497.57142857142856</c:v>
                </c:pt>
                <c:pt idx="2">
                  <c:v>483</c:v>
                </c:pt>
                <c:pt idx="3">
                  <c:v>621.57142857142856</c:v>
                </c:pt>
                <c:pt idx="4">
                  <c:v>538.85714285714289</c:v>
                </c:pt>
                <c:pt idx="5">
                  <c:v>651.14285714285711</c:v>
                </c:pt>
                <c:pt idx="6">
                  <c:v>560.42857142857144</c:v>
                </c:pt>
                <c:pt idx="7">
                  <c:v>582.99999999999989</c:v>
                </c:pt>
                <c:pt idx="8">
                  <c:v>467.85714285714283</c:v>
                </c:pt>
                <c:pt idx="9">
                  <c:v>565.28571428571422</c:v>
                </c:pt>
                <c:pt idx="10">
                  <c:v>467.42857142857144</c:v>
                </c:pt>
                <c:pt idx="11">
                  <c:v>523</c:v>
                </c:pt>
                <c:pt idx="12">
                  <c:v>545</c:v>
                </c:pt>
                <c:pt idx="13">
                  <c:v>687</c:v>
                </c:pt>
                <c:pt idx="14">
                  <c:v>564</c:v>
                </c:pt>
                <c:pt idx="15">
                  <c:v>192</c:v>
                </c:pt>
                <c:pt idx="16">
                  <c:v>194.5</c:v>
                </c:pt>
                <c:pt idx="17">
                  <c:v>144.5</c:v>
                </c:pt>
                <c:pt idx="18">
                  <c:v>106.5</c:v>
                </c:pt>
                <c:pt idx="19">
                  <c:v>118.5</c:v>
                </c:pt>
                <c:pt idx="20">
                  <c:v>164</c:v>
                </c:pt>
                <c:pt idx="21">
                  <c:v>214</c:v>
                </c:pt>
                <c:pt idx="22">
                  <c:v>227.5</c:v>
                </c:pt>
                <c:pt idx="23">
                  <c:v>410.5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Mukono-Mbalala'!$AF$9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Mukono-Mbalala'!$R$10:$R$33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Mukono-Mbalala'!$AF$10:$AF$33</c:f>
              <c:numCache>
                <c:formatCode>0</c:formatCode>
                <c:ptCount val="24"/>
                <c:pt idx="0">
                  <c:v>814.14285714285711</c:v>
                </c:pt>
                <c:pt idx="1">
                  <c:v>894.28571428571422</c:v>
                </c:pt>
                <c:pt idx="2">
                  <c:v>875.14285714285711</c:v>
                </c:pt>
                <c:pt idx="3">
                  <c:v>1070.7142857142858</c:v>
                </c:pt>
                <c:pt idx="4">
                  <c:v>913.42857142857144</c:v>
                </c:pt>
                <c:pt idx="5">
                  <c:v>1080.4285714285716</c:v>
                </c:pt>
                <c:pt idx="6">
                  <c:v>994.71428571428578</c:v>
                </c:pt>
                <c:pt idx="7">
                  <c:v>901.14285714285711</c:v>
                </c:pt>
                <c:pt idx="8">
                  <c:v>775.28571428571422</c:v>
                </c:pt>
                <c:pt idx="9">
                  <c:v>929.71428571428578</c:v>
                </c:pt>
                <c:pt idx="10">
                  <c:v>850.85714285714289</c:v>
                </c:pt>
                <c:pt idx="11">
                  <c:v>1035.4285714285716</c:v>
                </c:pt>
                <c:pt idx="12">
                  <c:v>748.5</c:v>
                </c:pt>
                <c:pt idx="13">
                  <c:v>930</c:v>
                </c:pt>
                <c:pt idx="14">
                  <c:v>753</c:v>
                </c:pt>
                <c:pt idx="15">
                  <c:v>244</c:v>
                </c:pt>
                <c:pt idx="16">
                  <c:v>237</c:v>
                </c:pt>
                <c:pt idx="17">
                  <c:v>158.5</c:v>
                </c:pt>
                <c:pt idx="18">
                  <c:v>118</c:v>
                </c:pt>
                <c:pt idx="19">
                  <c:v>128.5</c:v>
                </c:pt>
                <c:pt idx="20">
                  <c:v>182.5</c:v>
                </c:pt>
                <c:pt idx="21">
                  <c:v>247</c:v>
                </c:pt>
                <c:pt idx="22">
                  <c:v>265</c:v>
                </c:pt>
                <c:pt idx="23">
                  <c:v>544.5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5659968"/>
        <c:axId val="755653440"/>
      </c:lineChart>
      <c:catAx>
        <c:axId val="755659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5653440"/>
        <c:crosses val="autoZero"/>
        <c:auto val="1"/>
        <c:lblAlgn val="ctr"/>
        <c:lblOffset val="100"/>
        <c:noMultiLvlLbl val="0"/>
      </c:catAx>
      <c:valAx>
        <c:axId val="755653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565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4401834578394184E-2"/>
          <c:y val="0.14759613090321752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Mukono-Mbalala'!$C$107:$N$107</c:f>
              <c:numCache>
                <c:formatCode>0.0%</c:formatCode>
                <c:ptCount val="12"/>
                <c:pt idx="0">
                  <c:v>0.18407264947538518</c:v>
                </c:pt>
                <c:pt idx="1">
                  <c:v>4.2415276418508306E-2</c:v>
                </c:pt>
                <c:pt idx="2">
                  <c:v>3.2605776452648109E-2</c:v>
                </c:pt>
                <c:pt idx="3">
                  <c:v>0.17395816737601566</c:v>
                </c:pt>
                <c:pt idx="4">
                  <c:v>1.1193299497007076E-2</c:v>
                </c:pt>
                <c:pt idx="5">
                  <c:v>9.9232992694084712E-3</c:v>
                </c:pt>
                <c:pt idx="6">
                  <c:v>4.2228645560689164E-2</c:v>
                </c:pt>
                <c:pt idx="7">
                  <c:v>3.4071511482349721E-2</c:v>
                </c:pt>
                <c:pt idx="8">
                  <c:v>2.4753624507818012E-2</c:v>
                </c:pt>
                <c:pt idx="9">
                  <c:v>8.3610624302979261E-2</c:v>
                </c:pt>
                <c:pt idx="10">
                  <c:v>0.36115802171290712</c:v>
                </c:pt>
                <c:pt idx="11">
                  <c:v>9.103944283860981E-6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Mukono-Mbalala'!$C$9:$N$9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Mukono-Mbalala'!$C$108:$N$108</c:f>
              <c:numCache>
                <c:formatCode>0.00%</c:formatCode>
                <c:ptCount val="12"/>
                <c:pt idx="0">
                  <c:v>0.2881348686085618</c:v>
                </c:pt>
                <c:pt idx="1">
                  <c:v>6.6394003306161992E-2</c:v>
                </c:pt>
                <c:pt idx="2">
                  <c:v>5.1038875904919352E-2</c:v>
                </c:pt>
                <c:pt idx="3">
                  <c:v>0.27230234281479798</c:v>
                </c:pt>
                <c:pt idx="4">
                  <c:v>1.7521233540443482E-2</c:v>
                </c:pt>
                <c:pt idx="5">
                  <c:v>1.5533261129795362E-2</c:v>
                </c:pt>
                <c:pt idx="6">
                  <c:v>6.610186399133558E-2</c:v>
                </c:pt>
                <c:pt idx="7">
                  <c:v>5.3333238328678111E-2</c:v>
                </c:pt>
                <c:pt idx="8">
                  <c:v>3.8747648634783111E-2</c:v>
                </c:pt>
                <c:pt idx="9">
                  <c:v>0.13087841304223907</c:v>
                </c:pt>
                <c:pt idx="11">
                  <c:v>1.4250698284215927E-5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Mbalala-Mukono'!$AE$9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Mbalala-Mukono'!$R$10:$R$33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Mbalala-Mukono'!$AE$10:$AE$33</c:f>
              <c:numCache>
                <c:formatCode>0</c:formatCode>
                <c:ptCount val="24"/>
                <c:pt idx="0">
                  <c:v>375.28571428571428</c:v>
                </c:pt>
                <c:pt idx="1">
                  <c:v>370.28571428571422</c:v>
                </c:pt>
                <c:pt idx="2">
                  <c:v>402.14285714285722</c:v>
                </c:pt>
                <c:pt idx="3">
                  <c:v>387.85714285714289</c:v>
                </c:pt>
                <c:pt idx="4">
                  <c:v>393.28571428571433</c:v>
                </c:pt>
                <c:pt idx="5">
                  <c:v>424.28571428571428</c:v>
                </c:pt>
                <c:pt idx="6">
                  <c:v>416.28571428571428</c:v>
                </c:pt>
                <c:pt idx="7">
                  <c:v>439.57142857142856</c:v>
                </c:pt>
                <c:pt idx="8">
                  <c:v>443.71428571428572</c:v>
                </c:pt>
                <c:pt idx="9">
                  <c:v>460.71428571428567</c:v>
                </c:pt>
                <c:pt idx="10">
                  <c:v>513.71428571428567</c:v>
                </c:pt>
                <c:pt idx="11">
                  <c:v>553.42857142857144</c:v>
                </c:pt>
                <c:pt idx="12">
                  <c:v>438</c:v>
                </c:pt>
                <c:pt idx="13">
                  <c:v>416</c:v>
                </c:pt>
                <c:pt idx="14">
                  <c:v>298.5</c:v>
                </c:pt>
                <c:pt idx="15">
                  <c:v>368</c:v>
                </c:pt>
                <c:pt idx="16">
                  <c:v>262.5</c:v>
                </c:pt>
                <c:pt idx="17">
                  <c:v>171</c:v>
                </c:pt>
                <c:pt idx="18">
                  <c:v>64.5</c:v>
                </c:pt>
                <c:pt idx="19">
                  <c:v>51.5</c:v>
                </c:pt>
                <c:pt idx="20">
                  <c:v>63</c:v>
                </c:pt>
                <c:pt idx="21">
                  <c:v>75</c:v>
                </c:pt>
                <c:pt idx="22">
                  <c:v>152.5</c:v>
                </c:pt>
                <c:pt idx="23">
                  <c:v>186.5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Mbalala-Mukono'!$AF$9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Mbalala-Mukono'!$R$10:$R$33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Mbalala-Mukono'!$AF$10:$AF$33</c:f>
              <c:numCache>
                <c:formatCode>0</c:formatCode>
                <c:ptCount val="24"/>
                <c:pt idx="0">
                  <c:v>733.28571428571433</c:v>
                </c:pt>
                <c:pt idx="1">
                  <c:v>829.57142857142856</c:v>
                </c:pt>
                <c:pt idx="2">
                  <c:v>817.57142857142867</c:v>
                </c:pt>
                <c:pt idx="3">
                  <c:v>757.57142857142867</c:v>
                </c:pt>
                <c:pt idx="4">
                  <c:v>764.71428571428578</c:v>
                </c:pt>
                <c:pt idx="5">
                  <c:v>759.71428571428567</c:v>
                </c:pt>
                <c:pt idx="6">
                  <c:v>751.57142857142856</c:v>
                </c:pt>
                <c:pt idx="7">
                  <c:v>709.57142857142844</c:v>
                </c:pt>
                <c:pt idx="8">
                  <c:v>716.14285714285711</c:v>
                </c:pt>
                <c:pt idx="9">
                  <c:v>766.99999999999989</c:v>
                </c:pt>
                <c:pt idx="10">
                  <c:v>863.71428571428567</c:v>
                </c:pt>
                <c:pt idx="11">
                  <c:v>954.71428571428555</c:v>
                </c:pt>
                <c:pt idx="12">
                  <c:v>583</c:v>
                </c:pt>
                <c:pt idx="13">
                  <c:v>515</c:v>
                </c:pt>
                <c:pt idx="14">
                  <c:v>372.5</c:v>
                </c:pt>
                <c:pt idx="15">
                  <c:v>446</c:v>
                </c:pt>
                <c:pt idx="16">
                  <c:v>310.5</c:v>
                </c:pt>
                <c:pt idx="17">
                  <c:v>184.5</c:v>
                </c:pt>
                <c:pt idx="18">
                  <c:v>67</c:v>
                </c:pt>
                <c:pt idx="19">
                  <c:v>54</c:v>
                </c:pt>
                <c:pt idx="20">
                  <c:v>67</c:v>
                </c:pt>
                <c:pt idx="21">
                  <c:v>84</c:v>
                </c:pt>
                <c:pt idx="22">
                  <c:v>174</c:v>
                </c:pt>
                <c:pt idx="23">
                  <c:v>248.5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5657248"/>
        <c:axId val="755657792"/>
      </c:lineChart>
      <c:catAx>
        <c:axId val="755657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5657792"/>
        <c:crosses val="autoZero"/>
        <c:auto val="1"/>
        <c:lblAlgn val="ctr"/>
        <c:lblOffset val="100"/>
        <c:noMultiLvlLbl val="0"/>
      </c:catAx>
      <c:valAx>
        <c:axId val="755657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565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Mbalala-Mukono'!$C$107:$N$107</c:f>
              <c:numCache>
                <c:formatCode>0.0%</c:formatCode>
                <c:ptCount val="12"/>
                <c:pt idx="0">
                  <c:v>0.17341366652226453</c:v>
                </c:pt>
                <c:pt idx="1">
                  <c:v>4.903212567546001E-2</c:v>
                </c:pt>
                <c:pt idx="2">
                  <c:v>3.5380423630269719E-2</c:v>
                </c:pt>
                <c:pt idx="3">
                  <c:v>0.16882509861145945</c:v>
                </c:pt>
                <c:pt idx="4">
                  <c:v>8.5615267105953168E-3</c:v>
                </c:pt>
                <c:pt idx="5">
                  <c:v>6.0021888323947203E-3</c:v>
                </c:pt>
                <c:pt idx="6">
                  <c:v>4.588567910805081E-2</c:v>
                </c:pt>
                <c:pt idx="7">
                  <c:v>4.4551859367518633E-2</c:v>
                </c:pt>
                <c:pt idx="8">
                  <c:v>1.5755033174490986E-2</c:v>
                </c:pt>
                <c:pt idx="9">
                  <c:v>6.9193324061196104E-2</c:v>
                </c:pt>
                <c:pt idx="10">
                  <c:v>0.38333067329396481</c:v>
                </c:pt>
                <c:pt idx="11">
                  <c:v>6.8401012334982548E-5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Mbalala-Mukono'!$C$9:$N$9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Mbalala-Mukono'!$C$108:$N$108</c:f>
              <c:numCache>
                <c:formatCode>0.00%</c:formatCode>
                <c:ptCount val="12"/>
                <c:pt idx="0">
                  <c:v>0.28121013809550222</c:v>
                </c:pt>
                <c:pt idx="1">
                  <c:v>7.9511212171630374E-2</c:v>
                </c:pt>
                <c:pt idx="2">
                  <c:v>5.7373412456325212E-2</c:v>
                </c:pt>
                <c:pt idx="3">
                  <c:v>0.27376924925591112</c:v>
                </c:pt>
                <c:pt idx="4">
                  <c:v>1.3883496940454404E-2</c:v>
                </c:pt>
                <c:pt idx="5">
                  <c:v>9.7332372025955328E-3</c:v>
                </c:pt>
                <c:pt idx="6">
                  <c:v>7.4408888395910769E-2</c:v>
                </c:pt>
                <c:pt idx="7">
                  <c:v>7.2245946795333957E-2</c:v>
                </c:pt>
                <c:pt idx="8">
                  <c:v>2.5548592239291595E-2</c:v>
                </c:pt>
                <c:pt idx="9">
                  <c:v>0.11220490636496405</c:v>
                </c:pt>
                <c:pt idx="11">
                  <c:v>1.1092008208086073E-4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6855822782633258E-2"/>
          <c:y val="0.15692014022722683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Mukono-Mbalala2Dir'!$C$9:$N$9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Mukono-Mbalala2Dir'!$C$107:$N$107</c:f>
              <c:numCache>
                <c:formatCode>0.0%</c:formatCode>
                <c:ptCount val="12"/>
                <c:pt idx="0">
                  <c:v>0.17933999964567815</c:v>
                </c:pt>
                <c:pt idx="1">
                  <c:v>4.5353195603372129E-2</c:v>
                </c:pt>
                <c:pt idx="2">
                  <c:v>3.3837735782203435E-2</c:v>
                </c:pt>
                <c:pt idx="3">
                  <c:v>0.17167905527673799</c:v>
                </c:pt>
                <c:pt idx="4">
                  <c:v>1.0024777220142691E-2</c:v>
                </c:pt>
                <c:pt idx="5">
                  <c:v>8.1823036487556986E-3</c:v>
                </c:pt>
                <c:pt idx="6">
                  <c:v>4.3852389521184656E-2</c:v>
                </c:pt>
                <c:pt idx="7">
                  <c:v>3.8724846312901615E-2</c:v>
                </c:pt>
                <c:pt idx="8">
                  <c:v>2.0758198121588071E-2</c:v>
                </c:pt>
                <c:pt idx="9">
                  <c:v>7.7209259948218381E-2</c:v>
                </c:pt>
                <c:pt idx="10">
                  <c:v>0.3710028067351519</c:v>
                </c:pt>
                <c:pt idx="11">
                  <c:v>3.5432184065134468E-5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Mukono-Mbalala2Dir'!$C$9:$N$9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Mukono-Mbalala2Dir'!$C$108:$N$108</c:f>
              <c:numCache>
                <c:formatCode>0.00%</c:formatCode>
                <c:ptCount val="12"/>
                <c:pt idx="0">
                  <c:v>0.28512050859051224</c:v>
                </c:pt>
                <c:pt idx="1">
                  <c:v>7.21039713515471E-2</c:v>
                </c:pt>
                <c:pt idx="2">
                  <c:v>5.3796322375568362E-2</c:v>
                </c:pt>
                <c:pt idx="3">
                  <c:v>0.27294089244759184</c:v>
                </c:pt>
                <c:pt idx="4">
                  <c:v>1.5937713756890518E-2</c:v>
                </c:pt>
                <c:pt idx="5">
                  <c:v>1.3008489920733918E-2</c:v>
                </c:pt>
                <c:pt idx="6">
                  <c:v>6.9717941495996472E-2</c:v>
                </c:pt>
                <c:pt idx="7">
                  <c:v>6.1566008127791415E-2</c:v>
                </c:pt>
                <c:pt idx="8">
                  <c:v>3.3002052066148958E-2</c:v>
                </c:pt>
                <c:pt idx="9">
                  <c:v>0.12274976863960085</c:v>
                </c:pt>
                <c:pt idx="11">
                  <c:v>5.6331227618396164E-5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Mukono-Mbalala2Dir'!$AE$9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Mukono-Mbalala2Dir'!$R$10:$R$33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Mukono-Mbalala2Dir'!$AE$10:$AE$33</c:f>
              <c:numCache>
                <c:formatCode>0</c:formatCode>
                <c:ptCount val="24"/>
                <c:pt idx="0">
                  <c:v>872.71428571428578</c:v>
                </c:pt>
                <c:pt idx="1">
                  <c:v>867.85714285714289</c:v>
                </c:pt>
                <c:pt idx="2">
                  <c:v>885.14285714285711</c:v>
                </c:pt>
                <c:pt idx="3">
                  <c:v>1009.4285714285714</c:v>
                </c:pt>
                <c:pt idx="4">
                  <c:v>932.142857142857</c:v>
                </c:pt>
                <c:pt idx="5">
                  <c:v>1075.4285714285716</c:v>
                </c:pt>
                <c:pt idx="6">
                  <c:v>976.71428571428578</c:v>
                </c:pt>
                <c:pt idx="7">
                  <c:v>1022.5714285714284</c:v>
                </c:pt>
                <c:pt idx="8">
                  <c:v>911.57142857142856</c:v>
                </c:pt>
                <c:pt idx="9">
                  <c:v>1026</c:v>
                </c:pt>
                <c:pt idx="10">
                  <c:v>981.14285714285711</c:v>
                </c:pt>
                <c:pt idx="11">
                  <c:v>1076.4285714285713</c:v>
                </c:pt>
                <c:pt idx="12">
                  <c:v>983</c:v>
                </c:pt>
                <c:pt idx="13">
                  <c:v>1103</c:v>
                </c:pt>
                <c:pt idx="14">
                  <c:v>862.5</c:v>
                </c:pt>
                <c:pt idx="15">
                  <c:v>560</c:v>
                </c:pt>
                <c:pt idx="16">
                  <c:v>457</c:v>
                </c:pt>
                <c:pt idx="17">
                  <c:v>315.5</c:v>
                </c:pt>
                <c:pt idx="18">
                  <c:v>171</c:v>
                </c:pt>
                <c:pt idx="19">
                  <c:v>170</c:v>
                </c:pt>
                <c:pt idx="20">
                  <c:v>227</c:v>
                </c:pt>
                <c:pt idx="21">
                  <c:v>289</c:v>
                </c:pt>
                <c:pt idx="22">
                  <c:v>380</c:v>
                </c:pt>
                <c:pt idx="23">
                  <c:v>597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59-4826-9B8A-B9A5E5C8D228}"/>
            </c:ext>
          </c:extLst>
        </c:ser>
        <c:ser>
          <c:idx val="1"/>
          <c:order val="1"/>
          <c:tx>
            <c:strRef>
              <c:f>'Avg Week Mukono-Mbalala2Dir'!$AF$9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Mukono-Mbalala2Dir'!$R$10:$R$33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Mukono-Mbalala2Dir'!$AF$10:$AF$33</c:f>
              <c:numCache>
                <c:formatCode>0</c:formatCode>
                <c:ptCount val="24"/>
                <c:pt idx="0">
                  <c:v>1547.4285714285716</c:v>
                </c:pt>
                <c:pt idx="1">
                  <c:v>1723.8571428571429</c:v>
                </c:pt>
                <c:pt idx="2">
                  <c:v>1692.7142857142858</c:v>
                </c:pt>
                <c:pt idx="3">
                  <c:v>1828.2857142857142</c:v>
                </c:pt>
                <c:pt idx="4">
                  <c:v>1678.1428571428569</c:v>
                </c:pt>
                <c:pt idx="5">
                  <c:v>1840.1428571428573</c:v>
                </c:pt>
                <c:pt idx="6">
                  <c:v>1746.2857142857144</c:v>
                </c:pt>
                <c:pt idx="7">
                  <c:v>1610.7142857142858</c:v>
                </c:pt>
                <c:pt idx="8">
                  <c:v>1491.4285714285713</c:v>
                </c:pt>
                <c:pt idx="9">
                  <c:v>1696.7142857142858</c:v>
                </c:pt>
                <c:pt idx="10">
                  <c:v>1714.5714285714284</c:v>
                </c:pt>
                <c:pt idx="11">
                  <c:v>1990.1428571428573</c:v>
                </c:pt>
                <c:pt idx="12">
                  <c:v>1331.5</c:v>
                </c:pt>
                <c:pt idx="13">
                  <c:v>1445</c:v>
                </c:pt>
                <c:pt idx="14">
                  <c:v>1125.5</c:v>
                </c:pt>
                <c:pt idx="15">
                  <c:v>690</c:v>
                </c:pt>
                <c:pt idx="16">
                  <c:v>547.5</c:v>
                </c:pt>
                <c:pt idx="17">
                  <c:v>343</c:v>
                </c:pt>
                <c:pt idx="18">
                  <c:v>185</c:v>
                </c:pt>
                <c:pt idx="19">
                  <c:v>182.5</c:v>
                </c:pt>
                <c:pt idx="20">
                  <c:v>249.5</c:v>
                </c:pt>
                <c:pt idx="21">
                  <c:v>331</c:v>
                </c:pt>
                <c:pt idx="22">
                  <c:v>439</c:v>
                </c:pt>
                <c:pt idx="23">
                  <c:v>793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359-4826-9B8A-B9A5E5C8D228}"/>
            </c:ext>
          </c:extLst>
        </c:ser>
        <c:ser>
          <c:idx val="5"/>
          <c:order val="2"/>
          <c:tx>
            <c:strRef>
              <c:f>'Avg Week Mukono-Mbalala2Dir'!$AC$9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Mukono-Mbalala2Dir'!$R$10:$R$33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Mukono-Mbalala2Dir'!$AC$10:$AC$33</c:f>
              <c:numCache>
                <c:formatCode>0</c:formatCode>
                <c:ptCount val="24"/>
                <c:pt idx="0">
                  <c:v>674.71428571428578</c:v>
                </c:pt>
                <c:pt idx="1">
                  <c:v>856</c:v>
                </c:pt>
                <c:pt idx="2">
                  <c:v>807.57142857142856</c:v>
                </c:pt>
                <c:pt idx="3">
                  <c:v>818.85714285714289</c:v>
                </c:pt>
                <c:pt idx="4">
                  <c:v>746</c:v>
                </c:pt>
                <c:pt idx="5">
                  <c:v>764.71428571428578</c:v>
                </c:pt>
                <c:pt idx="6">
                  <c:v>769.57142857142856</c:v>
                </c:pt>
                <c:pt idx="7">
                  <c:v>588.14285714285711</c:v>
                </c:pt>
                <c:pt idx="8">
                  <c:v>579.85714285714289</c:v>
                </c:pt>
                <c:pt idx="9">
                  <c:v>670.71428571428578</c:v>
                </c:pt>
                <c:pt idx="10">
                  <c:v>733.42857142857144</c:v>
                </c:pt>
                <c:pt idx="11">
                  <c:v>913.71428571428578</c:v>
                </c:pt>
                <c:pt idx="12">
                  <c:v>348.5</c:v>
                </c:pt>
                <c:pt idx="13">
                  <c:v>342</c:v>
                </c:pt>
                <c:pt idx="14">
                  <c:v>263</c:v>
                </c:pt>
                <c:pt idx="15">
                  <c:v>130</c:v>
                </c:pt>
                <c:pt idx="16">
                  <c:v>90.5</c:v>
                </c:pt>
                <c:pt idx="17">
                  <c:v>27.5</c:v>
                </c:pt>
                <c:pt idx="18">
                  <c:v>14</c:v>
                </c:pt>
                <c:pt idx="19">
                  <c:v>12.5</c:v>
                </c:pt>
                <c:pt idx="20">
                  <c:v>22.5</c:v>
                </c:pt>
                <c:pt idx="21">
                  <c:v>42</c:v>
                </c:pt>
                <c:pt idx="22">
                  <c:v>59</c:v>
                </c:pt>
                <c:pt idx="23">
                  <c:v>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9-4826-9B8A-B9A5E5C8D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Mukono-Mbalala2Dir'!$S$9:$AF$9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Mukono-Mbalala2Dir'!$S$41:$AF$41</c:f>
              <c:numCache>
                <c:formatCode>0</c:formatCode>
                <c:ptCount val="14"/>
                <c:pt idx="0">
                  <c:v>5061.5</c:v>
                </c:pt>
                <c:pt idx="1">
                  <c:v>1280</c:v>
                </c:pt>
                <c:pt idx="2">
                  <c:v>955</c:v>
                </c:pt>
                <c:pt idx="3">
                  <c:v>4845.2857142857138</c:v>
                </c:pt>
                <c:pt idx="4">
                  <c:v>282.92857142857144</c:v>
                </c:pt>
                <c:pt idx="5">
                  <c:v>230.92857142857142</c:v>
                </c:pt>
                <c:pt idx="6">
                  <c:v>1237.6428571428571</c:v>
                </c:pt>
                <c:pt idx="7">
                  <c:v>1092.9285714285716</c:v>
                </c:pt>
                <c:pt idx="8">
                  <c:v>585.85714285714278</c:v>
                </c:pt>
                <c:pt idx="9">
                  <c:v>2179.0714285714284</c:v>
                </c:pt>
                <c:pt idx="10">
                  <c:v>10470.785714285714</c:v>
                </c:pt>
                <c:pt idx="11">
                  <c:v>1</c:v>
                </c:pt>
                <c:pt idx="12">
                  <c:v>17752.142857142855</c:v>
                </c:pt>
                <c:pt idx="13">
                  <c:v>28222.928571428569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0C-4C84-9425-CB0FFAE54B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Mukono-Mbalala2Dir'!$S$9:$AF$9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Mukono-Mbalala2Dir'!$S$42:$AF$42</c:f>
              <c:numCache>
                <c:formatCode>0.000</c:formatCode>
                <c:ptCount val="14"/>
                <c:pt idx="0">
                  <c:v>1.4403813318155947</c:v>
                </c:pt>
                <c:pt idx="1">
                  <c:v>1.415929203539823</c:v>
                </c:pt>
                <c:pt idx="2">
                  <c:v>1.4806201550387597</c:v>
                </c:pt>
                <c:pt idx="3">
                  <c:v>1.4483921937054276</c:v>
                </c:pt>
                <c:pt idx="4">
                  <c:v>1.7000000000000002</c:v>
                </c:pt>
                <c:pt idx="5">
                  <c:v>2.4984544049459045</c:v>
                </c:pt>
                <c:pt idx="6">
                  <c:v>1.462687827114638</c:v>
                </c:pt>
                <c:pt idx="7">
                  <c:v>1.8417188252286953</c:v>
                </c:pt>
                <c:pt idx="8">
                  <c:v>1.8089986766651964</c:v>
                </c:pt>
                <c:pt idx="9">
                  <c:v>1.8075008887308923</c:v>
                </c:pt>
                <c:pt idx="10">
                  <c:v>1.1734226662184013</c:v>
                </c:pt>
                <c:pt idx="11">
                  <c:v>1</c:v>
                </c:pt>
                <c:pt idx="12">
                  <c:v>1.5254726246010311</c:v>
                </c:pt>
                <c:pt idx="13">
                  <c:v>1.3726819201934368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B6-4B7B-99A8-F3D97FF3268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146960</xdr:colOff>
      <xdr:row>43</xdr:row>
      <xdr:rowOff>6350</xdr:rowOff>
    </xdr:from>
    <xdr:to>
      <xdr:col>27</xdr:col>
      <xdr:colOff>698499</xdr:colOff>
      <xdr:row>57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9525</xdr:rowOff>
    </xdr:from>
    <xdr:to>
      <xdr:col>23</xdr:col>
      <xdr:colOff>15875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58</xdr:row>
      <xdr:rowOff>0</xdr:rowOff>
    </xdr:from>
    <xdr:to>
      <xdr:col>30</xdr:col>
      <xdr:colOff>682625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22225</xdr:rowOff>
    </xdr:from>
    <xdr:to>
      <xdr:col>27</xdr:col>
      <xdr:colOff>714374</xdr:colOff>
      <xdr:row>57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58</xdr:row>
      <xdr:rowOff>9525</xdr:rowOff>
    </xdr:from>
    <xdr:to>
      <xdr:col>23</xdr:col>
      <xdr:colOff>1</xdr:colOff>
      <xdr:row>73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58</xdr:row>
      <xdr:rowOff>0</xdr:rowOff>
    </xdr:from>
    <xdr:to>
      <xdr:col>31</xdr:col>
      <xdr:colOff>1</xdr:colOff>
      <xdr:row>73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215900</xdr:rowOff>
    </xdr:from>
    <xdr:to>
      <xdr:col>23</xdr:col>
      <xdr:colOff>650874</xdr:colOff>
      <xdr:row>74</xdr:row>
      <xdr:rowOff>206375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74</xdr:row>
      <xdr:rowOff>222250</xdr:rowOff>
    </xdr:from>
    <xdr:to>
      <xdr:col>23</xdr:col>
      <xdr:colOff>650874</xdr:colOff>
      <xdr:row>90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186414</xdr:colOff>
      <xdr:row>58</xdr:row>
      <xdr:rowOff>215903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666750</xdr:colOff>
      <xdr:row>58</xdr:row>
      <xdr:rowOff>222251</xdr:rowOff>
    </xdr:from>
    <xdr:to>
      <xdr:col>30</xdr:col>
      <xdr:colOff>682625</xdr:colOff>
      <xdr:row>74</xdr:row>
      <xdr:rowOff>206375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666750</xdr:colOff>
      <xdr:row>74</xdr:row>
      <xdr:rowOff>222250</xdr:rowOff>
    </xdr:from>
    <xdr:to>
      <xdr:col>30</xdr:col>
      <xdr:colOff>682625</xdr:colOff>
      <xdr:row>90</xdr:row>
      <xdr:rowOff>269875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J3" sqref="J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">
        <v>183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52" t="s">
        <v>164</v>
      </c>
      <c r="H5" s="53"/>
      <c r="I5" s="14"/>
      <c r="J5" s="2" t="s">
        <v>5</v>
      </c>
      <c r="K5" s="52" t="s">
        <v>167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166</v>
      </c>
      <c r="E6" s="53"/>
      <c r="F6" s="2" t="s">
        <v>2</v>
      </c>
      <c r="G6" s="52" t="s">
        <v>165</v>
      </c>
      <c r="H6" s="53"/>
      <c r="J6" s="2" t="s">
        <v>21</v>
      </c>
      <c r="K6" s="52" t="s">
        <v>168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29</v>
      </c>
      <c r="D10" s="50">
        <v>6</v>
      </c>
      <c r="E10" s="50">
        <v>10</v>
      </c>
      <c r="F10" s="50">
        <v>23</v>
      </c>
      <c r="G10" s="50">
        <v>0</v>
      </c>
      <c r="H10" s="50">
        <v>1</v>
      </c>
      <c r="I10" s="50">
        <v>9</v>
      </c>
      <c r="J10" s="50">
        <v>2</v>
      </c>
      <c r="K10" s="50">
        <v>5</v>
      </c>
      <c r="L10" s="50">
        <v>6</v>
      </c>
      <c r="M10" s="50">
        <v>103</v>
      </c>
      <c r="N10" s="50">
        <v>0</v>
      </c>
      <c r="O10" s="15">
        <f t="shared" ref="O10:O57" si="0">SUM(C10:L10,N10)</f>
        <v>91</v>
      </c>
      <c r="P10" s="15">
        <f t="shared" ref="P10:P57" si="1">SUM(C10:N10)</f>
        <v>194</v>
      </c>
      <c r="R10" s="1" t="s">
        <v>6</v>
      </c>
      <c r="S10" s="17">
        <f t="shared" ref="S10:AF10" si="2">SUM(C10:C13)</f>
        <v>141</v>
      </c>
      <c r="T10" s="17">
        <f t="shared" si="2"/>
        <v>33</v>
      </c>
      <c r="U10" s="17">
        <f t="shared" si="2"/>
        <v>37</v>
      </c>
      <c r="V10" s="17">
        <f t="shared" si="2"/>
        <v>112</v>
      </c>
      <c r="W10" s="17">
        <f t="shared" si="2"/>
        <v>5</v>
      </c>
      <c r="X10" s="17">
        <f t="shared" si="2"/>
        <v>1</v>
      </c>
      <c r="Y10" s="17">
        <f t="shared" si="2"/>
        <v>36</v>
      </c>
      <c r="Z10" s="17">
        <f t="shared" si="2"/>
        <v>11</v>
      </c>
      <c r="AA10" s="17">
        <f t="shared" si="2"/>
        <v>10</v>
      </c>
      <c r="AB10" s="17">
        <f t="shared" si="2"/>
        <v>15</v>
      </c>
      <c r="AC10" s="17">
        <f t="shared" si="2"/>
        <v>485</v>
      </c>
      <c r="AD10" s="17">
        <f t="shared" si="2"/>
        <v>0</v>
      </c>
      <c r="AE10" s="31">
        <f t="shared" si="2"/>
        <v>401</v>
      </c>
      <c r="AF10" s="31">
        <f t="shared" si="2"/>
        <v>886</v>
      </c>
    </row>
    <row r="11" spans="2:32" s="6" customFormat="1" ht="23.1" customHeight="1" x14ac:dyDescent="0.25">
      <c r="B11" s="23" t="s">
        <v>38</v>
      </c>
      <c r="C11" s="50">
        <v>20</v>
      </c>
      <c r="D11" s="50">
        <v>4</v>
      </c>
      <c r="E11" s="50">
        <v>6</v>
      </c>
      <c r="F11" s="50">
        <v>26</v>
      </c>
      <c r="G11" s="50">
        <v>3</v>
      </c>
      <c r="H11" s="50">
        <v>0</v>
      </c>
      <c r="I11" s="50">
        <v>8</v>
      </c>
      <c r="J11" s="50">
        <v>2</v>
      </c>
      <c r="K11" s="50">
        <v>1</v>
      </c>
      <c r="L11" s="50">
        <v>3</v>
      </c>
      <c r="M11" s="50">
        <v>100</v>
      </c>
      <c r="N11" s="50">
        <v>0</v>
      </c>
      <c r="O11" s="15">
        <f t="shared" si="0"/>
        <v>73</v>
      </c>
      <c r="P11" s="15">
        <f t="shared" si="1"/>
        <v>173</v>
      </c>
      <c r="R11" s="1" t="s">
        <v>7</v>
      </c>
      <c r="S11" s="17">
        <f t="shared" ref="S11:AF11" si="3">SUM(C14:C17)</f>
        <v>254</v>
      </c>
      <c r="T11" s="17">
        <f t="shared" si="3"/>
        <v>108</v>
      </c>
      <c r="U11" s="17">
        <f t="shared" si="3"/>
        <v>55</v>
      </c>
      <c r="V11" s="17">
        <f t="shared" si="3"/>
        <v>210</v>
      </c>
      <c r="W11" s="17">
        <f t="shared" si="3"/>
        <v>15</v>
      </c>
      <c r="X11" s="17">
        <f t="shared" si="3"/>
        <v>14</v>
      </c>
      <c r="Y11" s="17">
        <f t="shared" si="3"/>
        <v>40</v>
      </c>
      <c r="Z11" s="17">
        <f t="shared" si="3"/>
        <v>25</v>
      </c>
      <c r="AA11" s="17">
        <f t="shared" si="3"/>
        <v>8</v>
      </c>
      <c r="AB11" s="17">
        <f t="shared" si="3"/>
        <v>32</v>
      </c>
      <c r="AC11" s="17">
        <f t="shared" si="3"/>
        <v>798</v>
      </c>
      <c r="AD11" s="17">
        <f t="shared" si="3"/>
        <v>0</v>
      </c>
      <c r="AE11" s="31">
        <f t="shared" si="3"/>
        <v>761</v>
      </c>
      <c r="AF11" s="31">
        <f t="shared" si="3"/>
        <v>1559</v>
      </c>
    </row>
    <row r="12" spans="2:32" ht="23.1" customHeight="1" x14ac:dyDescent="0.25">
      <c r="B12" s="23" t="s">
        <v>39</v>
      </c>
      <c r="C12" s="50">
        <v>46</v>
      </c>
      <c r="D12" s="50">
        <v>8</v>
      </c>
      <c r="E12" s="50">
        <v>13</v>
      </c>
      <c r="F12" s="50">
        <v>43</v>
      </c>
      <c r="G12" s="50">
        <v>1</v>
      </c>
      <c r="H12" s="50">
        <v>0</v>
      </c>
      <c r="I12" s="50">
        <v>11</v>
      </c>
      <c r="J12" s="50">
        <v>5</v>
      </c>
      <c r="K12" s="50">
        <v>4</v>
      </c>
      <c r="L12" s="50">
        <v>3</v>
      </c>
      <c r="M12" s="50">
        <v>133</v>
      </c>
      <c r="N12" s="50">
        <v>0</v>
      </c>
      <c r="O12" s="15">
        <f t="shared" si="0"/>
        <v>134</v>
      </c>
      <c r="P12" s="15">
        <f t="shared" si="1"/>
        <v>267</v>
      </c>
      <c r="R12" s="1" t="s">
        <v>8</v>
      </c>
      <c r="S12" s="17">
        <f t="shared" ref="S12:AF12" si="4">SUM(C18:C21)</f>
        <v>207</v>
      </c>
      <c r="T12" s="17">
        <f t="shared" si="4"/>
        <v>34</v>
      </c>
      <c r="U12" s="17">
        <f t="shared" si="4"/>
        <v>52</v>
      </c>
      <c r="V12" s="17">
        <f t="shared" si="4"/>
        <v>232</v>
      </c>
      <c r="W12" s="17">
        <f t="shared" si="4"/>
        <v>3</v>
      </c>
      <c r="X12" s="17">
        <f t="shared" si="4"/>
        <v>0</v>
      </c>
      <c r="Y12" s="17">
        <f t="shared" si="4"/>
        <v>58</v>
      </c>
      <c r="Z12" s="17">
        <f t="shared" si="4"/>
        <v>18</v>
      </c>
      <c r="AA12" s="17">
        <f t="shared" si="4"/>
        <v>10</v>
      </c>
      <c r="AB12" s="17">
        <f t="shared" si="4"/>
        <v>41</v>
      </c>
      <c r="AC12" s="17">
        <f t="shared" si="4"/>
        <v>695</v>
      </c>
      <c r="AD12" s="17">
        <f t="shared" si="4"/>
        <v>0</v>
      </c>
      <c r="AE12" s="31">
        <f t="shared" si="4"/>
        <v>655</v>
      </c>
      <c r="AF12" s="31">
        <f t="shared" si="4"/>
        <v>1350</v>
      </c>
    </row>
    <row r="13" spans="2:32" ht="23.1" customHeight="1" x14ac:dyDescent="0.25">
      <c r="B13" s="23" t="s">
        <v>40</v>
      </c>
      <c r="C13" s="50">
        <v>46</v>
      </c>
      <c r="D13" s="50">
        <v>15</v>
      </c>
      <c r="E13" s="50">
        <v>8</v>
      </c>
      <c r="F13" s="50">
        <v>20</v>
      </c>
      <c r="G13" s="50">
        <v>1</v>
      </c>
      <c r="H13" s="50">
        <v>0</v>
      </c>
      <c r="I13" s="50">
        <v>8</v>
      </c>
      <c r="J13" s="50">
        <v>2</v>
      </c>
      <c r="K13" s="50">
        <v>0</v>
      </c>
      <c r="L13" s="50">
        <v>3</v>
      </c>
      <c r="M13" s="50">
        <v>149</v>
      </c>
      <c r="N13" s="50">
        <v>0</v>
      </c>
      <c r="O13" s="15">
        <f t="shared" si="0"/>
        <v>103</v>
      </c>
      <c r="P13" s="15">
        <f t="shared" si="1"/>
        <v>252</v>
      </c>
      <c r="R13" s="1" t="s">
        <v>9</v>
      </c>
      <c r="S13" s="17">
        <f t="shared" ref="S13:AF13" si="5">SUM(C22:C25)</f>
        <v>220</v>
      </c>
      <c r="T13" s="17">
        <f t="shared" si="5"/>
        <v>81</v>
      </c>
      <c r="U13" s="17">
        <f t="shared" si="5"/>
        <v>34</v>
      </c>
      <c r="V13" s="17">
        <f t="shared" si="5"/>
        <v>225</v>
      </c>
      <c r="W13" s="17">
        <f t="shared" si="5"/>
        <v>76</v>
      </c>
      <c r="X13" s="17">
        <f t="shared" si="5"/>
        <v>16</v>
      </c>
      <c r="Y13" s="17">
        <f t="shared" si="5"/>
        <v>62</v>
      </c>
      <c r="Z13" s="17">
        <f t="shared" si="5"/>
        <v>39</v>
      </c>
      <c r="AA13" s="17">
        <f t="shared" si="5"/>
        <v>20</v>
      </c>
      <c r="AB13" s="17">
        <f t="shared" si="5"/>
        <v>52</v>
      </c>
      <c r="AC13" s="17">
        <f t="shared" si="5"/>
        <v>677</v>
      </c>
      <c r="AD13" s="17">
        <f t="shared" si="5"/>
        <v>0</v>
      </c>
      <c r="AE13" s="31">
        <f t="shared" si="5"/>
        <v>825</v>
      </c>
      <c r="AF13" s="31">
        <f t="shared" si="5"/>
        <v>1502</v>
      </c>
    </row>
    <row r="14" spans="2:32" ht="23.1" customHeight="1" x14ac:dyDescent="0.25">
      <c r="B14" s="23" t="s">
        <v>41</v>
      </c>
      <c r="C14" s="50">
        <v>77</v>
      </c>
      <c r="D14" s="50">
        <v>41</v>
      </c>
      <c r="E14" s="50">
        <v>17</v>
      </c>
      <c r="F14" s="50">
        <v>47</v>
      </c>
      <c r="G14" s="50">
        <v>8</v>
      </c>
      <c r="H14" s="50">
        <v>3</v>
      </c>
      <c r="I14" s="50">
        <v>11</v>
      </c>
      <c r="J14" s="50">
        <v>13</v>
      </c>
      <c r="K14" s="50">
        <v>4</v>
      </c>
      <c r="L14" s="50">
        <v>9</v>
      </c>
      <c r="M14" s="50">
        <v>191</v>
      </c>
      <c r="N14" s="50">
        <v>0</v>
      </c>
      <c r="O14" s="15">
        <f t="shared" si="0"/>
        <v>230</v>
      </c>
      <c r="P14" s="15">
        <f t="shared" si="1"/>
        <v>421</v>
      </c>
      <c r="R14" s="1" t="s">
        <v>10</v>
      </c>
      <c r="S14" s="17">
        <f t="shared" ref="S14:AF14" si="6">SUM(C26:C29)</f>
        <v>234</v>
      </c>
      <c r="T14" s="17">
        <f t="shared" si="6"/>
        <v>39</v>
      </c>
      <c r="U14" s="17">
        <f t="shared" si="6"/>
        <v>37</v>
      </c>
      <c r="V14" s="17">
        <f t="shared" si="6"/>
        <v>183</v>
      </c>
      <c r="W14" s="17">
        <f t="shared" si="6"/>
        <v>11</v>
      </c>
      <c r="X14" s="17">
        <f t="shared" si="6"/>
        <v>6</v>
      </c>
      <c r="Y14" s="17">
        <f t="shared" si="6"/>
        <v>40</v>
      </c>
      <c r="Z14" s="17">
        <f t="shared" si="6"/>
        <v>17</v>
      </c>
      <c r="AA14" s="17">
        <f t="shared" si="6"/>
        <v>11</v>
      </c>
      <c r="AB14" s="17">
        <f t="shared" si="6"/>
        <v>37</v>
      </c>
      <c r="AC14" s="17">
        <f t="shared" si="6"/>
        <v>621</v>
      </c>
      <c r="AD14" s="17">
        <f t="shared" si="6"/>
        <v>0</v>
      </c>
      <c r="AE14" s="31">
        <f t="shared" si="6"/>
        <v>615</v>
      </c>
      <c r="AF14" s="31">
        <f t="shared" si="6"/>
        <v>1236</v>
      </c>
    </row>
    <row r="15" spans="2:32" ht="23.1" customHeight="1" x14ac:dyDescent="0.25">
      <c r="B15" s="23" t="s">
        <v>42</v>
      </c>
      <c r="C15" s="50">
        <v>39</v>
      </c>
      <c r="D15" s="50">
        <v>14</v>
      </c>
      <c r="E15" s="50">
        <v>5</v>
      </c>
      <c r="F15" s="50">
        <v>40</v>
      </c>
      <c r="G15" s="50">
        <v>3</v>
      </c>
      <c r="H15" s="50">
        <v>4</v>
      </c>
      <c r="I15" s="50">
        <v>12</v>
      </c>
      <c r="J15" s="50">
        <v>3</v>
      </c>
      <c r="K15" s="50">
        <v>3</v>
      </c>
      <c r="L15" s="50">
        <v>12</v>
      </c>
      <c r="M15" s="50">
        <v>153</v>
      </c>
      <c r="N15" s="50">
        <v>0</v>
      </c>
      <c r="O15" s="15">
        <f t="shared" si="0"/>
        <v>135</v>
      </c>
      <c r="P15" s="15">
        <f t="shared" si="1"/>
        <v>288</v>
      </c>
      <c r="R15" s="1" t="s">
        <v>11</v>
      </c>
      <c r="S15" s="17">
        <f t="shared" ref="S15:AF15" si="7">SUM(C30:C33)</f>
        <v>182</v>
      </c>
      <c r="T15" s="17">
        <f t="shared" si="7"/>
        <v>33</v>
      </c>
      <c r="U15" s="17">
        <f t="shared" si="7"/>
        <v>29</v>
      </c>
      <c r="V15" s="17">
        <f t="shared" si="7"/>
        <v>258</v>
      </c>
      <c r="W15" s="17">
        <f t="shared" si="7"/>
        <v>4</v>
      </c>
      <c r="X15" s="17">
        <f t="shared" si="7"/>
        <v>8</v>
      </c>
      <c r="Y15" s="17">
        <f t="shared" si="7"/>
        <v>55</v>
      </c>
      <c r="Z15" s="17">
        <f t="shared" si="7"/>
        <v>42</v>
      </c>
      <c r="AA15" s="17">
        <f t="shared" si="7"/>
        <v>20</v>
      </c>
      <c r="AB15" s="17">
        <f t="shared" si="7"/>
        <v>105</v>
      </c>
      <c r="AC15" s="17">
        <f t="shared" si="7"/>
        <v>767</v>
      </c>
      <c r="AD15" s="17">
        <f t="shared" si="7"/>
        <v>0</v>
      </c>
      <c r="AE15" s="31">
        <f t="shared" si="7"/>
        <v>736</v>
      </c>
      <c r="AF15" s="31">
        <f t="shared" si="7"/>
        <v>1503</v>
      </c>
    </row>
    <row r="16" spans="2:32" ht="23.1" customHeight="1" x14ac:dyDescent="0.25">
      <c r="B16" s="23" t="s">
        <v>43</v>
      </c>
      <c r="C16" s="50">
        <v>76</v>
      </c>
      <c r="D16" s="50">
        <v>28</v>
      </c>
      <c r="E16" s="50">
        <v>19</v>
      </c>
      <c r="F16" s="50">
        <v>47</v>
      </c>
      <c r="G16" s="50">
        <v>4</v>
      </c>
      <c r="H16" s="50">
        <v>7</v>
      </c>
      <c r="I16" s="50">
        <v>6</v>
      </c>
      <c r="J16" s="50">
        <v>2</v>
      </c>
      <c r="K16" s="50">
        <v>1</v>
      </c>
      <c r="L16" s="50">
        <v>6</v>
      </c>
      <c r="M16" s="50">
        <v>328</v>
      </c>
      <c r="N16" s="50">
        <v>0</v>
      </c>
      <c r="O16" s="15">
        <f t="shared" si="0"/>
        <v>196</v>
      </c>
      <c r="P16" s="15">
        <f t="shared" si="1"/>
        <v>524</v>
      </c>
      <c r="R16" s="1" t="s">
        <v>12</v>
      </c>
      <c r="S16" s="17">
        <f t="shared" ref="S16:AF16" si="8">SUM(C34:C37)</f>
        <v>180</v>
      </c>
      <c r="T16" s="17">
        <f t="shared" si="8"/>
        <v>66</v>
      </c>
      <c r="U16" s="17">
        <f t="shared" si="8"/>
        <v>33</v>
      </c>
      <c r="V16" s="17">
        <f t="shared" si="8"/>
        <v>178</v>
      </c>
      <c r="W16" s="17">
        <f t="shared" si="8"/>
        <v>4</v>
      </c>
      <c r="X16" s="17">
        <f t="shared" si="8"/>
        <v>3</v>
      </c>
      <c r="Y16" s="17">
        <f t="shared" si="8"/>
        <v>56</v>
      </c>
      <c r="Z16" s="17">
        <f t="shared" si="8"/>
        <v>95</v>
      </c>
      <c r="AA16" s="17">
        <f t="shared" si="8"/>
        <v>21</v>
      </c>
      <c r="AB16" s="17">
        <f t="shared" si="8"/>
        <v>108</v>
      </c>
      <c r="AC16" s="17">
        <f t="shared" si="8"/>
        <v>811</v>
      </c>
      <c r="AD16" s="17">
        <f t="shared" si="8"/>
        <v>0</v>
      </c>
      <c r="AE16" s="31">
        <f t="shared" si="8"/>
        <v>744</v>
      </c>
      <c r="AF16" s="31">
        <f t="shared" si="8"/>
        <v>1555</v>
      </c>
    </row>
    <row r="17" spans="2:32" ht="23.1" customHeight="1" x14ac:dyDescent="0.25">
      <c r="B17" s="23" t="s">
        <v>44</v>
      </c>
      <c r="C17" s="50">
        <v>62</v>
      </c>
      <c r="D17" s="50">
        <v>25</v>
      </c>
      <c r="E17" s="50">
        <v>14</v>
      </c>
      <c r="F17" s="50">
        <v>76</v>
      </c>
      <c r="G17" s="50">
        <v>0</v>
      </c>
      <c r="H17" s="50">
        <v>0</v>
      </c>
      <c r="I17" s="50">
        <v>11</v>
      </c>
      <c r="J17" s="50">
        <v>7</v>
      </c>
      <c r="K17" s="50">
        <v>0</v>
      </c>
      <c r="L17" s="50">
        <v>5</v>
      </c>
      <c r="M17" s="50">
        <v>126</v>
      </c>
      <c r="N17" s="50">
        <v>0</v>
      </c>
      <c r="O17" s="15">
        <f t="shared" si="0"/>
        <v>200</v>
      </c>
      <c r="P17" s="15">
        <f t="shared" si="1"/>
        <v>326</v>
      </c>
      <c r="R17" s="1" t="s">
        <v>13</v>
      </c>
      <c r="S17" s="17">
        <f t="shared" ref="S17:AF17" si="9">SUM(C38:C41)</f>
        <v>67</v>
      </c>
      <c r="T17" s="17">
        <f t="shared" si="9"/>
        <v>28</v>
      </c>
      <c r="U17" s="17">
        <f t="shared" si="9"/>
        <v>21</v>
      </c>
      <c r="V17" s="17">
        <f t="shared" si="9"/>
        <v>176</v>
      </c>
      <c r="W17" s="17">
        <f t="shared" si="9"/>
        <v>6</v>
      </c>
      <c r="X17" s="17">
        <f t="shared" si="9"/>
        <v>1</v>
      </c>
      <c r="Y17" s="17">
        <f t="shared" si="9"/>
        <v>35</v>
      </c>
      <c r="Z17" s="17">
        <f t="shared" si="9"/>
        <v>30</v>
      </c>
      <c r="AA17" s="17">
        <f t="shared" si="9"/>
        <v>22</v>
      </c>
      <c r="AB17" s="17">
        <f t="shared" si="9"/>
        <v>70</v>
      </c>
      <c r="AC17" s="17">
        <f t="shared" si="9"/>
        <v>354</v>
      </c>
      <c r="AD17" s="17">
        <f t="shared" si="9"/>
        <v>0</v>
      </c>
      <c r="AE17" s="31">
        <f t="shared" si="9"/>
        <v>456</v>
      </c>
      <c r="AF17" s="31">
        <f t="shared" si="9"/>
        <v>810</v>
      </c>
    </row>
    <row r="18" spans="2:32" ht="23.1" customHeight="1" x14ac:dyDescent="0.25">
      <c r="B18" s="23" t="s">
        <v>45</v>
      </c>
      <c r="C18" s="50">
        <v>71</v>
      </c>
      <c r="D18" s="50">
        <v>19</v>
      </c>
      <c r="E18" s="50">
        <v>19</v>
      </c>
      <c r="F18" s="50">
        <v>75</v>
      </c>
      <c r="G18" s="50">
        <v>0</v>
      </c>
      <c r="H18" s="50">
        <v>0</v>
      </c>
      <c r="I18" s="50">
        <v>25</v>
      </c>
      <c r="J18" s="50">
        <v>4</v>
      </c>
      <c r="K18" s="50">
        <v>5</v>
      </c>
      <c r="L18" s="50">
        <v>14</v>
      </c>
      <c r="M18" s="50">
        <v>239</v>
      </c>
      <c r="N18" s="50">
        <v>0</v>
      </c>
      <c r="O18" s="15">
        <f t="shared" si="0"/>
        <v>232</v>
      </c>
      <c r="P18" s="15">
        <f t="shared" si="1"/>
        <v>471</v>
      </c>
      <c r="R18" s="1" t="s">
        <v>14</v>
      </c>
      <c r="S18" s="17">
        <f t="shared" ref="S18:AF18" si="10">SUM(C42:C45)</f>
        <v>79</v>
      </c>
      <c r="T18" s="17">
        <f t="shared" si="10"/>
        <v>33</v>
      </c>
      <c r="U18" s="17">
        <f t="shared" si="10"/>
        <v>37</v>
      </c>
      <c r="V18" s="17">
        <f t="shared" si="10"/>
        <v>103</v>
      </c>
      <c r="W18" s="17">
        <f t="shared" si="10"/>
        <v>3</v>
      </c>
      <c r="X18" s="17">
        <f t="shared" si="10"/>
        <v>3</v>
      </c>
      <c r="Y18" s="17">
        <f t="shared" si="10"/>
        <v>34</v>
      </c>
      <c r="Z18" s="17">
        <f t="shared" si="10"/>
        <v>23</v>
      </c>
      <c r="AA18" s="17">
        <f t="shared" si="10"/>
        <v>16</v>
      </c>
      <c r="AB18" s="17">
        <f t="shared" si="10"/>
        <v>62</v>
      </c>
      <c r="AC18" s="17">
        <f t="shared" si="10"/>
        <v>334</v>
      </c>
      <c r="AD18" s="17">
        <f t="shared" si="10"/>
        <v>0</v>
      </c>
      <c r="AE18" s="31">
        <f t="shared" si="10"/>
        <v>393</v>
      </c>
      <c r="AF18" s="31">
        <f t="shared" si="10"/>
        <v>727</v>
      </c>
    </row>
    <row r="19" spans="2:32" ht="23.1" customHeight="1" x14ac:dyDescent="0.25">
      <c r="B19" s="23" t="s">
        <v>46</v>
      </c>
      <c r="C19" s="50">
        <v>44</v>
      </c>
      <c r="D19" s="50">
        <v>6</v>
      </c>
      <c r="E19" s="50">
        <v>21</v>
      </c>
      <c r="F19" s="50">
        <v>45</v>
      </c>
      <c r="G19" s="50">
        <v>2</v>
      </c>
      <c r="H19" s="50">
        <v>0</v>
      </c>
      <c r="I19" s="50">
        <v>13</v>
      </c>
      <c r="J19" s="50">
        <v>3</v>
      </c>
      <c r="K19" s="50">
        <v>2</v>
      </c>
      <c r="L19" s="50">
        <v>8</v>
      </c>
      <c r="M19" s="50">
        <v>170</v>
      </c>
      <c r="N19" s="50">
        <v>0</v>
      </c>
      <c r="O19" s="15">
        <f t="shared" si="0"/>
        <v>144</v>
      </c>
      <c r="P19" s="15">
        <f t="shared" si="1"/>
        <v>314</v>
      </c>
      <c r="R19" s="1" t="s">
        <v>15</v>
      </c>
      <c r="S19" s="17">
        <f t="shared" ref="S19:AF19" si="11">SUM(C46:C49)</f>
        <v>150</v>
      </c>
      <c r="T19" s="17">
        <f t="shared" si="11"/>
        <v>30</v>
      </c>
      <c r="U19" s="17">
        <f t="shared" si="11"/>
        <v>26</v>
      </c>
      <c r="V19" s="17">
        <f t="shared" si="11"/>
        <v>155</v>
      </c>
      <c r="W19" s="17">
        <f t="shared" si="11"/>
        <v>3</v>
      </c>
      <c r="X19" s="17">
        <f t="shared" si="11"/>
        <v>0</v>
      </c>
      <c r="Y19" s="17">
        <f t="shared" si="11"/>
        <v>50</v>
      </c>
      <c r="Z19" s="17">
        <f t="shared" si="11"/>
        <v>24</v>
      </c>
      <c r="AA19" s="17">
        <f t="shared" si="11"/>
        <v>21</v>
      </c>
      <c r="AB19" s="17">
        <f t="shared" si="11"/>
        <v>93</v>
      </c>
      <c r="AC19" s="17">
        <f t="shared" si="11"/>
        <v>490</v>
      </c>
      <c r="AD19" s="17">
        <f t="shared" si="11"/>
        <v>0</v>
      </c>
      <c r="AE19" s="31">
        <f t="shared" si="11"/>
        <v>552</v>
      </c>
      <c r="AF19" s="31">
        <f t="shared" si="11"/>
        <v>1042</v>
      </c>
    </row>
    <row r="20" spans="2:32" ht="23.1" customHeight="1" x14ac:dyDescent="0.25">
      <c r="B20" s="23" t="s">
        <v>47</v>
      </c>
      <c r="C20" s="50">
        <v>41</v>
      </c>
      <c r="D20" s="50">
        <v>3</v>
      </c>
      <c r="E20" s="50">
        <v>6</v>
      </c>
      <c r="F20" s="50">
        <v>43</v>
      </c>
      <c r="G20" s="50">
        <v>0</v>
      </c>
      <c r="H20" s="50">
        <v>0</v>
      </c>
      <c r="I20" s="50">
        <v>16</v>
      </c>
      <c r="J20" s="50">
        <v>6</v>
      </c>
      <c r="K20" s="50">
        <v>1</v>
      </c>
      <c r="L20" s="50">
        <v>13</v>
      </c>
      <c r="M20" s="50">
        <v>126</v>
      </c>
      <c r="N20" s="50">
        <v>0</v>
      </c>
      <c r="O20" s="15">
        <f t="shared" si="0"/>
        <v>129</v>
      </c>
      <c r="P20" s="15">
        <f t="shared" si="1"/>
        <v>255</v>
      </c>
      <c r="R20" s="1" t="s">
        <v>16</v>
      </c>
      <c r="S20" s="17">
        <f t="shared" ref="S20:AF20" si="12">SUM(C50:C53)</f>
        <v>125</v>
      </c>
      <c r="T20" s="17">
        <f t="shared" si="12"/>
        <v>27</v>
      </c>
      <c r="U20" s="17">
        <f t="shared" si="12"/>
        <v>19</v>
      </c>
      <c r="V20" s="17">
        <f t="shared" si="12"/>
        <v>125</v>
      </c>
      <c r="W20" s="17">
        <f t="shared" si="12"/>
        <v>6</v>
      </c>
      <c r="X20" s="17">
        <f t="shared" si="12"/>
        <v>4</v>
      </c>
      <c r="Y20" s="17">
        <f t="shared" si="12"/>
        <v>37</v>
      </c>
      <c r="Z20" s="17">
        <f t="shared" si="12"/>
        <v>30</v>
      </c>
      <c r="AA20" s="17">
        <f t="shared" si="12"/>
        <v>14</v>
      </c>
      <c r="AB20" s="17">
        <f t="shared" si="12"/>
        <v>76</v>
      </c>
      <c r="AC20" s="17">
        <f t="shared" si="12"/>
        <v>497</v>
      </c>
      <c r="AD20" s="17">
        <f t="shared" si="12"/>
        <v>0</v>
      </c>
      <c r="AE20" s="31">
        <f t="shared" si="12"/>
        <v>463</v>
      </c>
      <c r="AF20" s="31">
        <f t="shared" si="12"/>
        <v>960</v>
      </c>
    </row>
    <row r="21" spans="2:32" ht="23.1" customHeight="1" x14ac:dyDescent="0.25">
      <c r="B21" s="23" t="s">
        <v>48</v>
      </c>
      <c r="C21" s="50">
        <v>51</v>
      </c>
      <c r="D21" s="50">
        <v>6</v>
      </c>
      <c r="E21" s="50">
        <v>6</v>
      </c>
      <c r="F21" s="50">
        <v>69</v>
      </c>
      <c r="G21" s="50">
        <v>1</v>
      </c>
      <c r="H21" s="50">
        <v>0</v>
      </c>
      <c r="I21" s="50">
        <v>4</v>
      </c>
      <c r="J21" s="50">
        <v>5</v>
      </c>
      <c r="K21" s="50">
        <v>2</v>
      </c>
      <c r="L21" s="50">
        <v>6</v>
      </c>
      <c r="M21" s="50">
        <v>160</v>
      </c>
      <c r="N21" s="50">
        <v>0</v>
      </c>
      <c r="O21" s="15">
        <f t="shared" si="0"/>
        <v>150</v>
      </c>
      <c r="P21" s="15">
        <f t="shared" si="1"/>
        <v>310</v>
      </c>
      <c r="R21" s="36" t="s">
        <v>20</v>
      </c>
      <c r="S21" s="34">
        <f t="shared" ref="S21:AF21" si="13">SUM(C54:C57)</f>
        <v>97</v>
      </c>
      <c r="T21" s="17">
        <f t="shared" si="13"/>
        <v>24</v>
      </c>
      <c r="U21" s="17">
        <f t="shared" si="13"/>
        <v>21</v>
      </c>
      <c r="V21" s="17">
        <f t="shared" si="13"/>
        <v>91</v>
      </c>
      <c r="W21" s="17">
        <f t="shared" si="13"/>
        <v>4</v>
      </c>
      <c r="X21" s="17">
        <f t="shared" si="13"/>
        <v>4</v>
      </c>
      <c r="Y21" s="17">
        <f t="shared" si="13"/>
        <v>41</v>
      </c>
      <c r="Z21" s="17">
        <f t="shared" si="13"/>
        <v>22</v>
      </c>
      <c r="AA21" s="17">
        <f t="shared" si="13"/>
        <v>27</v>
      </c>
      <c r="AB21" s="17">
        <f t="shared" si="13"/>
        <v>82</v>
      </c>
      <c r="AC21" s="17">
        <f t="shared" si="13"/>
        <v>649</v>
      </c>
      <c r="AD21" s="17">
        <f t="shared" si="13"/>
        <v>0</v>
      </c>
      <c r="AE21" s="31">
        <f t="shared" si="13"/>
        <v>413</v>
      </c>
      <c r="AF21" s="31">
        <f t="shared" si="13"/>
        <v>1062</v>
      </c>
    </row>
    <row r="22" spans="2:32" ht="23.1" customHeight="1" x14ac:dyDescent="0.25">
      <c r="B22" s="23" t="s">
        <v>49</v>
      </c>
      <c r="C22" s="50">
        <v>36</v>
      </c>
      <c r="D22" s="50">
        <v>6</v>
      </c>
      <c r="E22" s="50">
        <v>2</v>
      </c>
      <c r="F22" s="50">
        <v>46</v>
      </c>
      <c r="G22" s="50">
        <v>0</v>
      </c>
      <c r="H22" s="50">
        <v>0</v>
      </c>
      <c r="I22" s="50">
        <v>14</v>
      </c>
      <c r="J22" s="50">
        <v>6</v>
      </c>
      <c r="K22" s="50">
        <v>0</v>
      </c>
      <c r="L22" s="50">
        <v>6</v>
      </c>
      <c r="M22" s="50">
        <v>121</v>
      </c>
      <c r="N22" s="50">
        <v>0</v>
      </c>
      <c r="O22" s="15">
        <f t="shared" si="0"/>
        <v>116</v>
      </c>
      <c r="P22" s="15">
        <f t="shared" si="1"/>
        <v>237</v>
      </c>
      <c r="R22" s="38" t="s">
        <v>90</v>
      </c>
      <c r="S22" s="39">
        <f>MAX(S10:S12)</f>
        <v>254</v>
      </c>
      <c r="T22" s="39">
        <f t="shared" ref="T22:AF22" si="14">MAX(T10:T12)</f>
        <v>108</v>
      </c>
      <c r="U22" s="39">
        <f t="shared" si="14"/>
        <v>55</v>
      </c>
      <c r="V22" s="39">
        <f t="shared" si="14"/>
        <v>232</v>
      </c>
      <c r="W22" s="39">
        <f t="shared" si="14"/>
        <v>15</v>
      </c>
      <c r="X22" s="39">
        <f t="shared" si="14"/>
        <v>14</v>
      </c>
      <c r="Y22" s="39">
        <f t="shared" si="14"/>
        <v>58</v>
      </c>
      <c r="Z22" s="39">
        <f t="shared" si="14"/>
        <v>25</v>
      </c>
      <c r="AA22" s="39">
        <f t="shared" si="14"/>
        <v>10</v>
      </c>
      <c r="AB22" s="39">
        <f t="shared" si="14"/>
        <v>41</v>
      </c>
      <c r="AC22" s="39">
        <f t="shared" si="14"/>
        <v>798</v>
      </c>
      <c r="AD22" s="39">
        <f t="shared" si="14"/>
        <v>0</v>
      </c>
      <c r="AE22" s="40">
        <f t="shared" si="14"/>
        <v>761</v>
      </c>
      <c r="AF22" s="40">
        <f t="shared" si="14"/>
        <v>1559</v>
      </c>
    </row>
    <row r="23" spans="2:32" ht="23.1" customHeight="1" x14ac:dyDescent="0.25">
      <c r="B23" s="23" t="s">
        <v>50</v>
      </c>
      <c r="C23" s="50">
        <v>56</v>
      </c>
      <c r="D23" s="50">
        <v>31</v>
      </c>
      <c r="E23" s="50">
        <v>16</v>
      </c>
      <c r="F23" s="50">
        <v>80</v>
      </c>
      <c r="G23" s="50">
        <v>62</v>
      </c>
      <c r="H23" s="50">
        <v>3</v>
      </c>
      <c r="I23" s="50">
        <v>12</v>
      </c>
      <c r="J23" s="50">
        <v>9</v>
      </c>
      <c r="K23" s="50">
        <v>2</v>
      </c>
      <c r="L23" s="50">
        <v>7</v>
      </c>
      <c r="M23" s="50">
        <v>169</v>
      </c>
      <c r="N23" s="50">
        <v>0</v>
      </c>
      <c r="O23" s="15">
        <f t="shared" si="0"/>
        <v>278</v>
      </c>
      <c r="P23" s="15">
        <f t="shared" si="1"/>
        <v>447</v>
      </c>
      <c r="R23" s="38" t="s">
        <v>91</v>
      </c>
      <c r="S23" s="39">
        <f>MAX(S13:S18)</f>
        <v>234</v>
      </c>
      <c r="T23" s="39">
        <f t="shared" ref="T23:AF23" si="15">MAX(T13:T18)</f>
        <v>81</v>
      </c>
      <c r="U23" s="39">
        <f t="shared" si="15"/>
        <v>37</v>
      </c>
      <c r="V23" s="39">
        <f t="shared" si="15"/>
        <v>258</v>
      </c>
      <c r="W23" s="39">
        <f t="shared" si="15"/>
        <v>76</v>
      </c>
      <c r="X23" s="39">
        <f t="shared" si="15"/>
        <v>16</v>
      </c>
      <c r="Y23" s="39">
        <f t="shared" si="15"/>
        <v>62</v>
      </c>
      <c r="Z23" s="39">
        <f t="shared" si="15"/>
        <v>95</v>
      </c>
      <c r="AA23" s="39">
        <f t="shared" si="15"/>
        <v>22</v>
      </c>
      <c r="AB23" s="39">
        <f t="shared" si="15"/>
        <v>108</v>
      </c>
      <c r="AC23" s="39">
        <f t="shared" si="15"/>
        <v>811</v>
      </c>
      <c r="AD23" s="39">
        <f t="shared" si="15"/>
        <v>0</v>
      </c>
      <c r="AE23" s="40">
        <f t="shared" si="15"/>
        <v>825</v>
      </c>
      <c r="AF23" s="40">
        <f t="shared" si="15"/>
        <v>1555</v>
      </c>
    </row>
    <row r="24" spans="2:32" ht="23.1" customHeight="1" x14ac:dyDescent="0.25">
      <c r="B24" s="23" t="s">
        <v>51</v>
      </c>
      <c r="C24" s="50">
        <v>55</v>
      </c>
      <c r="D24" s="50">
        <v>20</v>
      </c>
      <c r="E24" s="50">
        <v>8</v>
      </c>
      <c r="F24" s="50">
        <v>45</v>
      </c>
      <c r="G24" s="50">
        <v>11</v>
      </c>
      <c r="H24" s="50">
        <v>7</v>
      </c>
      <c r="I24" s="50">
        <v>28</v>
      </c>
      <c r="J24" s="50">
        <v>15</v>
      </c>
      <c r="K24" s="50">
        <v>10</v>
      </c>
      <c r="L24" s="50">
        <v>18</v>
      </c>
      <c r="M24" s="50">
        <v>213</v>
      </c>
      <c r="N24" s="50">
        <v>0</v>
      </c>
      <c r="O24" s="15">
        <f t="shared" si="0"/>
        <v>217</v>
      </c>
      <c r="P24" s="15">
        <f t="shared" si="1"/>
        <v>430</v>
      </c>
      <c r="R24" s="38" t="s">
        <v>92</v>
      </c>
      <c r="S24" s="39">
        <f>MAX(S19:S21)</f>
        <v>150</v>
      </c>
      <c r="T24" s="39">
        <f t="shared" ref="T24:AF24" si="16">MAX(T19:T21)</f>
        <v>30</v>
      </c>
      <c r="U24" s="39">
        <f t="shared" si="16"/>
        <v>26</v>
      </c>
      <c r="V24" s="39">
        <f t="shared" si="16"/>
        <v>155</v>
      </c>
      <c r="W24" s="39">
        <f t="shared" si="16"/>
        <v>6</v>
      </c>
      <c r="X24" s="39">
        <f t="shared" si="16"/>
        <v>4</v>
      </c>
      <c r="Y24" s="39">
        <f t="shared" si="16"/>
        <v>50</v>
      </c>
      <c r="Z24" s="39">
        <f t="shared" si="16"/>
        <v>30</v>
      </c>
      <c r="AA24" s="39">
        <f t="shared" si="16"/>
        <v>27</v>
      </c>
      <c r="AB24" s="39">
        <f t="shared" si="16"/>
        <v>93</v>
      </c>
      <c r="AC24" s="39">
        <f t="shared" si="16"/>
        <v>649</v>
      </c>
      <c r="AD24" s="39">
        <f t="shared" si="16"/>
        <v>0</v>
      </c>
      <c r="AE24" s="40">
        <f t="shared" si="16"/>
        <v>552</v>
      </c>
      <c r="AF24" s="40">
        <f t="shared" si="16"/>
        <v>1062</v>
      </c>
    </row>
    <row r="25" spans="2:32" ht="23.1" customHeight="1" x14ac:dyDescent="0.25">
      <c r="B25" s="23" t="s">
        <v>52</v>
      </c>
      <c r="C25" s="50">
        <v>73</v>
      </c>
      <c r="D25" s="50">
        <v>24</v>
      </c>
      <c r="E25" s="50">
        <v>8</v>
      </c>
      <c r="F25" s="50">
        <v>54</v>
      </c>
      <c r="G25" s="50">
        <v>3</v>
      </c>
      <c r="H25" s="50">
        <v>6</v>
      </c>
      <c r="I25" s="50">
        <v>8</v>
      </c>
      <c r="J25" s="50">
        <v>9</v>
      </c>
      <c r="K25" s="50">
        <v>8</v>
      </c>
      <c r="L25" s="50">
        <v>21</v>
      </c>
      <c r="M25" s="50">
        <v>174</v>
      </c>
      <c r="N25" s="50">
        <v>0</v>
      </c>
      <c r="O25" s="15">
        <f t="shared" si="0"/>
        <v>214</v>
      </c>
      <c r="P25" s="15">
        <f t="shared" si="1"/>
        <v>388</v>
      </c>
      <c r="R25" s="37" t="s">
        <v>85</v>
      </c>
      <c r="S25" s="35">
        <f t="shared" ref="S25:AF25" si="17">SUM(S10:S12)</f>
        <v>602</v>
      </c>
      <c r="T25" s="16">
        <f t="shared" si="17"/>
        <v>175</v>
      </c>
      <c r="U25" s="16">
        <f t="shared" si="17"/>
        <v>144</v>
      </c>
      <c r="V25" s="16">
        <f t="shared" si="17"/>
        <v>554</v>
      </c>
      <c r="W25" s="16">
        <f t="shared" si="17"/>
        <v>23</v>
      </c>
      <c r="X25" s="16">
        <f t="shared" si="17"/>
        <v>15</v>
      </c>
      <c r="Y25" s="16">
        <f t="shared" si="17"/>
        <v>134</v>
      </c>
      <c r="Z25" s="16">
        <f t="shared" si="17"/>
        <v>54</v>
      </c>
      <c r="AA25" s="16">
        <f t="shared" si="17"/>
        <v>28</v>
      </c>
      <c r="AB25" s="16">
        <f t="shared" si="17"/>
        <v>88</v>
      </c>
      <c r="AC25" s="16">
        <f t="shared" si="17"/>
        <v>1978</v>
      </c>
      <c r="AD25" s="16">
        <f t="shared" si="17"/>
        <v>0</v>
      </c>
      <c r="AE25" s="32">
        <f t="shared" si="17"/>
        <v>1817</v>
      </c>
      <c r="AF25" s="32">
        <f t="shared" si="17"/>
        <v>3795</v>
      </c>
    </row>
    <row r="26" spans="2:32" ht="23.1" customHeight="1" x14ac:dyDescent="0.25">
      <c r="B26" s="23" t="s">
        <v>53</v>
      </c>
      <c r="C26" s="50">
        <v>48</v>
      </c>
      <c r="D26" s="50">
        <v>10</v>
      </c>
      <c r="E26" s="50">
        <v>8</v>
      </c>
      <c r="F26" s="50">
        <v>47</v>
      </c>
      <c r="G26" s="50">
        <v>1</v>
      </c>
      <c r="H26" s="50">
        <v>2</v>
      </c>
      <c r="I26" s="50">
        <v>9</v>
      </c>
      <c r="J26" s="50">
        <v>2</v>
      </c>
      <c r="K26" s="50">
        <v>7</v>
      </c>
      <c r="L26" s="50">
        <v>3</v>
      </c>
      <c r="M26" s="50">
        <v>135</v>
      </c>
      <c r="N26" s="50">
        <v>0</v>
      </c>
      <c r="O26" s="15">
        <f t="shared" si="0"/>
        <v>137</v>
      </c>
      <c r="P26" s="15">
        <f t="shared" si="1"/>
        <v>272</v>
      </c>
      <c r="R26" s="28" t="s">
        <v>86</v>
      </c>
      <c r="S26" s="16">
        <f t="shared" ref="S26:AF26" si="18">SUM(S13:S18)</f>
        <v>962</v>
      </c>
      <c r="T26" s="16">
        <f t="shared" si="18"/>
        <v>280</v>
      </c>
      <c r="U26" s="16">
        <f t="shared" si="18"/>
        <v>191</v>
      </c>
      <c r="V26" s="16">
        <f t="shared" si="18"/>
        <v>1123</v>
      </c>
      <c r="W26" s="16">
        <f t="shared" si="18"/>
        <v>104</v>
      </c>
      <c r="X26" s="16">
        <f t="shared" si="18"/>
        <v>37</v>
      </c>
      <c r="Y26" s="16">
        <f t="shared" si="18"/>
        <v>282</v>
      </c>
      <c r="Z26" s="16">
        <f t="shared" si="18"/>
        <v>246</v>
      </c>
      <c r="AA26" s="16">
        <f t="shared" si="18"/>
        <v>110</v>
      </c>
      <c r="AB26" s="16">
        <f t="shared" si="18"/>
        <v>434</v>
      </c>
      <c r="AC26" s="16">
        <f t="shared" si="18"/>
        <v>3564</v>
      </c>
      <c r="AD26" s="16">
        <f t="shared" si="18"/>
        <v>0</v>
      </c>
      <c r="AE26" s="32">
        <f t="shared" si="18"/>
        <v>3769</v>
      </c>
      <c r="AF26" s="32">
        <f t="shared" si="18"/>
        <v>7333</v>
      </c>
    </row>
    <row r="27" spans="2:32" ht="23.1" customHeight="1" x14ac:dyDescent="0.25">
      <c r="B27" s="23" t="s">
        <v>54</v>
      </c>
      <c r="C27" s="50">
        <v>64</v>
      </c>
      <c r="D27" s="50">
        <v>6</v>
      </c>
      <c r="E27" s="50">
        <v>6</v>
      </c>
      <c r="F27" s="50">
        <v>38</v>
      </c>
      <c r="G27" s="50">
        <v>2</v>
      </c>
      <c r="H27" s="50">
        <v>1</v>
      </c>
      <c r="I27" s="50">
        <v>20</v>
      </c>
      <c r="J27" s="50">
        <v>4</v>
      </c>
      <c r="K27" s="50">
        <v>0</v>
      </c>
      <c r="L27" s="50">
        <v>11</v>
      </c>
      <c r="M27" s="50">
        <v>173</v>
      </c>
      <c r="N27" s="50">
        <v>0</v>
      </c>
      <c r="O27" s="15">
        <f t="shared" si="0"/>
        <v>152</v>
      </c>
      <c r="P27" s="15">
        <f t="shared" si="1"/>
        <v>325</v>
      </c>
      <c r="R27" s="29" t="s">
        <v>87</v>
      </c>
      <c r="S27" s="16">
        <f t="shared" ref="S27:AF27" si="19">SUM(S19:S21)</f>
        <v>372</v>
      </c>
      <c r="T27" s="16">
        <f t="shared" si="19"/>
        <v>81</v>
      </c>
      <c r="U27" s="16">
        <f t="shared" si="19"/>
        <v>66</v>
      </c>
      <c r="V27" s="16">
        <f t="shared" si="19"/>
        <v>371</v>
      </c>
      <c r="W27" s="16">
        <f t="shared" si="19"/>
        <v>13</v>
      </c>
      <c r="X27" s="16">
        <f t="shared" si="19"/>
        <v>8</v>
      </c>
      <c r="Y27" s="16">
        <f t="shared" si="19"/>
        <v>128</v>
      </c>
      <c r="Z27" s="16">
        <f t="shared" si="19"/>
        <v>76</v>
      </c>
      <c r="AA27" s="16">
        <f t="shared" si="19"/>
        <v>62</v>
      </c>
      <c r="AB27" s="16">
        <f t="shared" si="19"/>
        <v>251</v>
      </c>
      <c r="AC27" s="16">
        <f t="shared" si="19"/>
        <v>1636</v>
      </c>
      <c r="AD27" s="16">
        <f t="shared" si="19"/>
        <v>0</v>
      </c>
      <c r="AE27" s="32">
        <f t="shared" si="19"/>
        <v>1428</v>
      </c>
      <c r="AF27" s="32">
        <f t="shared" si="19"/>
        <v>3064</v>
      </c>
    </row>
    <row r="28" spans="2:32" ht="23.1" customHeight="1" x14ac:dyDescent="0.25">
      <c r="B28" s="23" t="s">
        <v>55</v>
      </c>
      <c r="C28" s="50">
        <v>23</v>
      </c>
      <c r="D28" s="50">
        <v>9</v>
      </c>
      <c r="E28" s="50">
        <v>5</v>
      </c>
      <c r="F28" s="50">
        <v>58</v>
      </c>
      <c r="G28" s="50">
        <v>4</v>
      </c>
      <c r="H28" s="50">
        <v>2</v>
      </c>
      <c r="I28" s="50">
        <v>6</v>
      </c>
      <c r="J28" s="50">
        <v>4</v>
      </c>
      <c r="K28" s="50">
        <v>2</v>
      </c>
      <c r="L28" s="50">
        <v>10</v>
      </c>
      <c r="M28" s="50">
        <v>169</v>
      </c>
      <c r="N28" s="50">
        <v>0</v>
      </c>
      <c r="O28" s="15">
        <f t="shared" si="0"/>
        <v>123</v>
      </c>
      <c r="P28" s="15">
        <f t="shared" si="1"/>
        <v>292</v>
      </c>
      <c r="R28" s="5" t="s">
        <v>17</v>
      </c>
      <c r="S28" s="16">
        <f t="shared" ref="S28:AF28" si="20">SUM(S10:S21)</f>
        <v>1936</v>
      </c>
      <c r="T28" s="16">
        <f t="shared" si="20"/>
        <v>536</v>
      </c>
      <c r="U28" s="16">
        <f t="shared" si="20"/>
        <v>401</v>
      </c>
      <c r="V28" s="16">
        <f t="shared" si="20"/>
        <v>2048</v>
      </c>
      <c r="W28" s="16">
        <f t="shared" si="20"/>
        <v>140</v>
      </c>
      <c r="X28" s="16">
        <f t="shared" si="20"/>
        <v>60</v>
      </c>
      <c r="Y28" s="16">
        <f t="shared" si="20"/>
        <v>544</v>
      </c>
      <c r="Z28" s="16">
        <f t="shared" si="20"/>
        <v>376</v>
      </c>
      <c r="AA28" s="16">
        <f t="shared" si="20"/>
        <v>200</v>
      </c>
      <c r="AB28" s="16">
        <f t="shared" si="20"/>
        <v>773</v>
      </c>
      <c r="AC28" s="16">
        <f t="shared" si="20"/>
        <v>7178</v>
      </c>
      <c r="AD28" s="16">
        <f t="shared" si="20"/>
        <v>0</v>
      </c>
      <c r="AE28" s="32">
        <f t="shared" si="20"/>
        <v>7014</v>
      </c>
      <c r="AF28" s="32">
        <f t="shared" si="20"/>
        <v>14192</v>
      </c>
    </row>
    <row r="29" spans="2:32" ht="23.1" customHeight="1" x14ac:dyDescent="0.25">
      <c r="B29" s="23" t="s">
        <v>56</v>
      </c>
      <c r="C29" s="50">
        <v>99</v>
      </c>
      <c r="D29" s="50">
        <v>14</v>
      </c>
      <c r="E29" s="50">
        <v>18</v>
      </c>
      <c r="F29" s="50">
        <v>40</v>
      </c>
      <c r="G29" s="50">
        <v>4</v>
      </c>
      <c r="H29" s="50">
        <v>1</v>
      </c>
      <c r="I29" s="50">
        <v>5</v>
      </c>
      <c r="J29" s="50">
        <v>7</v>
      </c>
      <c r="K29" s="50">
        <v>2</v>
      </c>
      <c r="L29" s="50">
        <v>13</v>
      </c>
      <c r="M29" s="50">
        <v>144</v>
      </c>
      <c r="N29" s="50">
        <v>0</v>
      </c>
      <c r="O29" s="15">
        <f t="shared" si="0"/>
        <v>203</v>
      </c>
      <c r="P29" s="15">
        <f t="shared" si="1"/>
        <v>347</v>
      </c>
      <c r="R29"/>
      <c r="S29" s="20"/>
      <c r="T29" s="19"/>
    </row>
    <row r="30" spans="2:32" ht="23.1" customHeight="1" x14ac:dyDescent="0.25">
      <c r="B30" s="23" t="s">
        <v>57</v>
      </c>
      <c r="C30" s="50">
        <v>58</v>
      </c>
      <c r="D30" s="50">
        <v>16</v>
      </c>
      <c r="E30" s="50">
        <v>10</v>
      </c>
      <c r="F30" s="50">
        <v>71</v>
      </c>
      <c r="G30" s="50">
        <v>3</v>
      </c>
      <c r="H30" s="50">
        <v>4</v>
      </c>
      <c r="I30" s="50">
        <v>15</v>
      </c>
      <c r="J30" s="50">
        <v>9</v>
      </c>
      <c r="K30" s="50">
        <v>3</v>
      </c>
      <c r="L30" s="50">
        <v>16</v>
      </c>
      <c r="M30" s="50">
        <v>231</v>
      </c>
      <c r="N30" s="50">
        <v>0</v>
      </c>
      <c r="O30" s="15">
        <f t="shared" si="0"/>
        <v>205</v>
      </c>
      <c r="P30" s="15">
        <f t="shared" si="1"/>
        <v>436</v>
      </c>
    </row>
    <row r="31" spans="2:32" ht="23.1" customHeight="1" x14ac:dyDescent="0.25">
      <c r="B31" s="24" t="s">
        <v>58</v>
      </c>
      <c r="C31" s="50">
        <v>48</v>
      </c>
      <c r="D31" s="50">
        <v>6</v>
      </c>
      <c r="E31" s="50">
        <v>14</v>
      </c>
      <c r="F31" s="50">
        <v>35</v>
      </c>
      <c r="G31" s="50">
        <v>0</v>
      </c>
      <c r="H31" s="50">
        <v>0</v>
      </c>
      <c r="I31" s="50">
        <v>12</v>
      </c>
      <c r="J31" s="50">
        <v>9</v>
      </c>
      <c r="K31" s="50">
        <v>12</v>
      </c>
      <c r="L31" s="50">
        <v>26</v>
      </c>
      <c r="M31" s="50">
        <v>189</v>
      </c>
      <c r="N31" s="50">
        <v>0</v>
      </c>
      <c r="O31" s="15">
        <f t="shared" si="0"/>
        <v>162</v>
      </c>
      <c r="P31" s="15">
        <f t="shared" si="1"/>
        <v>351</v>
      </c>
    </row>
    <row r="32" spans="2:32" ht="23.1" customHeight="1" x14ac:dyDescent="0.25">
      <c r="B32" s="24" t="s">
        <v>59</v>
      </c>
      <c r="C32" s="50">
        <v>61</v>
      </c>
      <c r="D32" s="50">
        <v>8</v>
      </c>
      <c r="E32" s="50">
        <v>3</v>
      </c>
      <c r="F32" s="50">
        <v>96</v>
      </c>
      <c r="G32" s="50">
        <v>0</v>
      </c>
      <c r="H32" s="50">
        <v>0</v>
      </c>
      <c r="I32" s="50">
        <v>8</v>
      </c>
      <c r="J32" s="50">
        <v>15</v>
      </c>
      <c r="K32" s="50">
        <v>4</v>
      </c>
      <c r="L32" s="50">
        <v>39</v>
      </c>
      <c r="M32" s="50">
        <v>203</v>
      </c>
      <c r="N32" s="50">
        <v>0</v>
      </c>
      <c r="O32" s="15">
        <f t="shared" si="0"/>
        <v>234</v>
      </c>
      <c r="P32" s="15">
        <f t="shared" si="1"/>
        <v>437</v>
      </c>
    </row>
    <row r="33" spans="2:20" ht="23.1" customHeight="1" x14ac:dyDescent="0.25">
      <c r="B33" s="23" t="s">
        <v>60</v>
      </c>
      <c r="C33" s="50">
        <v>15</v>
      </c>
      <c r="D33" s="50">
        <v>3</v>
      </c>
      <c r="E33" s="50">
        <v>2</v>
      </c>
      <c r="F33" s="50">
        <v>56</v>
      </c>
      <c r="G33" s="50">
        <v>1</v>
      </c>
      <c r="H33" s="50">
        <v>4</v>
      </c>
      <c r="I33" s="50">
        <v>20</v>
      </c>
      <c r="J33" s="50">
        <v>9</v>
      </c>
      <c r="K33" s="50">
        <v>1</v>
      </c>
      <c r="L33" s="50">
        <v>24</v>
      </c>
      <c r="M33" s="50">
        <v>144</v>
      </c>
      <c r="N33" s="50">
        <v>0</v>
      </c>
      <c r="O33" s="15">
        <f t="shared" si="0"/>
        <v>135</v>
      </c>
      <c r="P33" s="15">
        <f t="shared" si="1"/>
        <v>279</v>
      </c>
    </row>
    <row r="34" spans="2:20" ht="23.1" customHeight="1" x14ac:dyDescent="0.25">
      <c r="B34" s="24" t="s">
        <v>61</v>
      </c>
      <c r="C34" s="50">
        <v>40</v>
      </c>
      <c r="D34" s="50">
        <v>14</v>
      </c>
      <c r="E34" s="50">
        <v>13</v>
      </c>
      <c r="F34" s="50">
        <v>59</v>
      </c>
      <c r="G34" s="50">
        <v>1</v>
      </c>
      <c r="H34" s="50">
        <v>2</v>
      </c>
      <c r="I34" s="50">
        <v>24</v>
      </c>
      <c r="J34" s="50">
        <v>8</v>
      </c>
      <c r="K34" s="50">
        <v>9</v>
      </c>
      <c r="L34" s="50">
        <v>17</v>
      </c>
      <c r="M34" s="50">
        <v>200</v>
      </c>
      <c r="N34" s="50">
        <v>0</v>
      </c>
      <c r="O34" s="15">
        <f t="shared" si="0"/>
        <v>187</v>
      </c>
      <c r="P34" s="15">
        <f t="shared" si="1"/>
        <v>387</v>
      </c>
    </row>
    <row r="35" spans="2:20" ht="23.1" customHeight="1" x14ac:dyDescent="0.25">
      <c r="B35" s="24" t="s">
        <v>62</v>
      </c>
      <c r="C35" s="50">
        <v>39</v>
      </c>
      <c r="D35" s="50">
        <v>7</v>
      </c>
      <c r="E35" s="50">
        <v>7</v>
      </c>
      <c r="F35" s="50">
        <v>29</v>
      </c>
      <c r="G35" s="50">
        <v>2</v>
      </c>
      <c r="H35" s="50">
        <v>0</v>
      </c>
      <c r="I35" s="50">
        <v>16</v>
      </c>
      <c r="J35" s="50">
        <v>16</v>
      </c>
      <c r="K35" s="50">
        <v>3</v>
      </c>
      <c r="L35" s="50">
        <v>21</v>
      </c>
      <c r="M35" s="50">
        <v>173</v>
      </c>
      <c r="N35" s="50">
        <v>0</v>
      </c>
      <c r="O35" s="15">
        <f t="shared" si="0"/>
        <v>140</v>
      </c>
      <c r="P35" s="15">
        <f t="shared" si="1"/>
        <v>313</v>
      </c>
    </row>
    <row r="36" spans="2:20" ht="23.1" customHeight="1" x14ac:dyDescent="0.25">
      <c r="B36" s="24" t="s">
        <v>63</v>
      </c>
      <c r="C36" s="50">
        <v>42</v>
      </c>
      <c r="D36" s="50">
        <v>11</v>
      </c>
      <c r="E36" s="50">
        <v>4</v>
      </c>
      <c r="F36" s="50">
        <v>70</v>
      </c>
      <c r="G36" s="50">
        <v>1</v>
      </c>
      <c r="H36" s="50">
        <v>0</v>
      </c>
      <c r="I36" s="50">
        <v>8</v>
      </c>
      <c r="J36" s="50">
        <v>9</v>
      </c>
      <c r="K36" s="50">
        <v>7</v>
      </c>
      <c r="L36" s="50">
        <v>21</v>
      </c>
      <c r="M36" s="50">
        <v>178</v>
      </c>
      <c r="N36" s="50">
        <v>0</v>
      </c>
      <c r="O36" s="15">
        <f t="shared" si="0"/>
        <v>173</v>
      </c>
      <c r="P36" s="15">
        <f t="shared" si="1"/>
        <v>351</v>
      </c>
    </row>
    <row r="37" spans="2:20" ht="23.1" customHeight="1" x14ac:dyDescent="0.25">
      <c r="B37" s="23" t="s">
        <v>64</v>
      </c>
      <c r="C37" s="50">
        <v>59</v>
      </c>
      <c r="D37" s="50">
        <v>34</v>
      </c>
      <c r="E37" s="50">
        <v>9</v>
      </c>
      <c r="F37" s="50">
        <v>20</v>
      </c>
      <c r="G37" s="50">
        <v>0</v>
      </c>
      <c r="H37" s="50">
        <v>1</v>
      </c>
      <c r="I37" s="50">
        <v>8</v>
      </c>
      <c r="J37" s="50">
        <v>62</v>
      </c>
      <c r="K37" s="50">
        <v>2</v>
      </c>
      <c r="L37" s="50">
        <v>49</v>
      </c>
      <c r="M37" s="50">
        <v>260</v>
      </c>
      <c r="N37" s="50">
        <v>0</v>
      </c>
      <c r="O37" s="15">
        <f t="shared" si="0"/>
        <v>244</v>
      </c>
      <c r="P37" s="15">
        <f t="shared" si="1"/>
        <v>504</v>
      </c>
    </row>
    <row r="38" spans="2:20" ht="23.1" customHeight="1" x14ac:dyDescent="0.25">
      <c r="B38" s="24" t="s">
        <v>65</v>
      </c>
      <c r="C38" s="50">
        <v>21</v>
      </c>
      <c r="D38" s="50">
        <v>11</v>
      </c>
      <c r="E38" s="50">
        <v>6</v>
      </c>
      <c r="F38" s="50">
        <v>62</v>
      </c>
      <c r="G38" s="50">
        <v>1</v>
      </c>
      <c r="H38" s="50">
        <v>1</v>
      </c>
      <c r="I38" s="50">
        <v>6</v>
      </c>
      <c r="J38" s="50">
        <v>8</v>
      </c>
      <c r="K38" s="50">
        <v>7</v>
      </c>
      <c r="L38" s="50">
        <v>15</v>
      </c>
      <c r="M38" s="50">
        <v>77</v>
      </c>
      <c r="N38" s="50">
        <v>0</v>
      </c>
      <c r="O38" s="15">
        <f t="shared" si="0"/>
        <v>138</v>
      </c>
      <c r="P38" s="15">
        <f t="shared" si="1"/>
        <v>215</v>
      </c>
    </row>
    <row r="39" spans="2:20" ht="23.1" customHeight="1" x14ac:dyDescent="0.25">
      <c r="B39" s="24" t="s">
        <v>66</v>
      </c>
      <c r="C39" s="50">
        <v>16</v>
      </c>
      <c r="D39" s="50">
        <v>7</v>
      </c>
      <c r="E39" s="50">
        <v>6</v>
      </c>
      <c r="F39" s="50">
        <v>43</v>
      </c>
      <c r="G39" s="50">
        <v>0</v>
      </c>
      <c r="H39" s="50">
        <v>0</v>
      </c>
      <c r="I39" s="50">
        <v>9</v>
      </c>
      <c r="J39" s="50">
        <v>5</v>
      </c>
      <c r="K39" s="50">
        <v>5</v>
      </c>
      <c r="L39" s="50">
        <v>18</v>
      </c>
      <c r="M39" s="50">
        <v>85</v>
      </c>
      <c r="N39" s="50">
        <v>0</v>
      </c>
      <c r="O39" s="15">
        <f t="shared" si="0"/>
        <v>109</v>
      </c>
      <c r="P39" s="15">
        <f t="shared" si="1"/>
        <v>194</v>
      </c>
    </row>
    <row r="40" spans="2:20" ht="23.1" customHeight="1" x14ac:dyDescent="0.25">
      <c r="B40" s="24" t="s">
        <v>67</v>
      </c>
      <c r="C40" s="50">
        <v>16</v>
      </c>
      <c r="D40" s="50">
        <v>5</v>
      </c>
      <c r="E40" s="50">
        <v>3</v>
      </c>
      <c r="F40" s="50">
        <v>54</v>
      </c>
      <c r="G40" s="50">
        <v>2</v>
      </c>
      <c r="H40" s="50">
        <v>0</v>
      </c>
      <c r="I40" s="50">
        <v>8</v>
      </c>
      <c r="J40" s="50">
        <v>9</v>
      </c>
      <c r="K40" s="50">
        <v>7</v>
      </c>
      <c r="L40" s="50">
        <v>18</v>
      </c>
      <c r="M40" s="50">
        <v>110</v>
      </c>
      <c r="N40" s="50">
        <v>0</v>
      </c>
      <c r="O40" s="15">
        <f t="shared" si="0"/>
        <v>122</v>
      </c>
      <c r="P40" s="15">
        <f t="shared" si="1"/>
        <v>232</v>
      </c>
    </row>
    <row r="41" spans="2:20" ht="23.1" customHeight="1" x14ac:dyDescent="0.25">
      <c r="B41" s="23" t="s">
        <v>68</v>
      </c>
      <c r="C41" s="50">
        <v>14</v>
      </c>
      <c r="D41" s="50">
        <v>5</v>
      </c>
      <c r="E41" s="50">
        <v>6</v>
      </c>
      <c r="F41" s="50">
        <v>17</v>
      </c>
      <c r="G41" s="50">
        <v>3</v>
      </c>
      <c r="H41" s="50">
        <v>0</v>
      </c>
      <c r="I41" s="50">
        <v>12</v>
      </c>
      <c r="J41" s="50">
        <v>8</v>
      </c>
      <c r="K41" s="50">
        <v>3</v>
      </c>
      <c r="L41" s="50">
        <v>19</v>
      </c>
      <c r="M41" s="50">
        <v>82</v>
      </c>
      <c r="N41" s="50">
        <v>0</v>
      </c>
      <c r="O41" s="15">
        <f t="shared" si="0"/>
        <v>87</v>
      </c>
      <c r="P41" s="15">
        <f t="shared" si="1"/>
        <v>169</v>
      </c>
    </row>
    <row r="42" spans="2:20" ht="23.1" customHeight="1" x14ac:dyDescent="0.25">
      <c r="B42" s="24" t="s">
        <v>69</v>
      </c>
      <c r="C42" s="50">
        <v>11</v>
      </c>
      <c r="D42" s="50">
        <v>3</v>
      </c>
      <c r="E42" s="50">
        <v>7</v>
      </c>
      <c r="F42" s="50">
        <v>28</v>
      </c>
      <c r="G42" s="50">
        <v>1</v>
      </c>
      <c r="H42" s="50">
        <v>1</v>
      </c>
      <c r="I42" s="50">
        <v>7</v>
      </c>
      <c r="J42" s="50">
        <v>7</v>
      </c>
      <c r="K42" s="50">
        <v>0</v>
      </c>
      <c r="L42" s="50">
        <v>13</v>
      </c>
      <c r="M42" s="50">
        <v>60</v>
      </c>
      <c r="N42" s="50">
        <v>0</v>
      </c>
      <c r="O42" s="15">
        <f t="shared" si="0"/>
        <v>78</v>
      </c>
      <c r="P42" s="15">
        <f t="shared" si="1"/>
        <v>138</v>
      </c>
    </row>
    <row r="43" spans="2:20" ht="23.1" customHeight="1" x14ac:dyDescent="0.25">
      <c r="B43" s="23" t="s">
        <v>70</v>
      </c>
      <c r="C43" s="50">
        <v>15</v>
      </c>
      <c r="D43" s="50">
        <v>8</v>
      </c>
      <c r="E43" s="50">
        <v>15</v>
      </c>
      <c r="F43" s="50">
        <v>33</v>
      </c>
      <c r="G43" s="50">
        <v>0</v>
      </c>
      <c r="H43" s="50">
        <v>1</v>
      </c>
      <c r="I43" s="50">
        <v>11</v>
      </c>
      <c r="J43" s="50">
        <v>5</v>
      </c>
      <c r="K43" s="50">
        <v>2</v>
      </c>
      <c r="L43" s="50">
        <v>12</v>
      </c>
      <c r="M43" s="50">
        <v>76</v>
      </c>
      <c r="N43" s="50">
        <v>0</v>
      </c>
      <c r="O43" s="15">
        <f t="shared" si="0"/>
        <v>102</v>
      </c>
      <c r="P43" s="15">
        <f t="shared" si="1"/>
        <v>178</v>
      </c>
    </row>
    <row r="44" spans="2:20" ht="23.1" customHeight="1" x14ac:dyDescent="0.25">
      <c r="B44" s="25" t="s">
        <v>71</v>
      </c>
      <c r="C44" s="50">
        <v>29</v>
      </c>
      <c r="D44" s="50">
        <v>7</v>
      </c>
      <c r="E44" s="50">
        <v>8</v>
      </c>
      <c r="F44" s="50">
        <v>21</v>
      </c>
      <c r="G44" s="50">
        <v>1</v>
      </c>
      <c r="H44" s="50">
        <v>0</v>
      </c>
      <c r="I44" s="50">
        <v>8</v>
      </c>
      <c r="J44" s="50">
        <v>6</v>
      </c>
      <c r="K44" s="50">
        <v>7</v>
      </c>
      <c r="L44" s="50">
        <v>21</v>
      </c>
      <c r="M44" s="50">
        <v>131</v>
      </c>
      <c r="N44" s="50">
        <v>0</v>
      </c>
      <c r="O44" s="15">
        <f t="shared" si="0"/>
        <v>108</v>
      </c>
      <c r="P44" s="15">
        <f t="shared" si="1"/>
        <v>239</v>
      </c>
    </row>
    <row r="45" spans="2:20" ht="23.1" customHeight="1" x14ac:dyDescent="0.25">
      <c r="B45" s="23" t="s">
        <v>72</v>
      </c>
      <c r="C45" s="50">
        <v>24</v>
      </c>
      <c r="D45" s="50">
        <v>15</v>
      </c>
      <c r="E45" s="50">
        <v>7</v>
      </c>
      <c r="F45" s="50">
        <v>21</v>
      </c>
      <c r="G45" s="50">
        <v>1</v>
      </c>
      <c r="H45" s="50">
        <v>1</v>
      </c>
      <c r="I45" s="50">
        <v>8</v>
      </c>
      <c r="J45" s="50">
        <v>5</v>
      </c>
      <c r="K45" s="50">
        <v>7</v>
      </c>
      <c r="L45" s="50">
        <v>16</v>
      </c>
      <c r="M45" s="50">
        <v>67</v>
      </c>
      <c r="N45" s="50">
        <v>0</v>
      </c>
      <c r="O45" s="15">
        <f t="shared" si="0"/>
        <v>105</v>
      </c>
      <c r="P45" s="15">
        <f t="shared" si="1"/>
        <v>172</v>
      </c>
    </row>
    <row r="46" spans="2:20" ht="23.1" customHeight="1" x14ac:dyDescent="0.25">
      <c r="B46" s="24" t="s">
        <v>73</v>
      </c>
      <c r="C46" s="50">
        <v>42</v>
      </c>
      <c r="D46" s="50">
        <v>4</v>
      </c>
      <c r="E46" s="50">
        <v>5</v>
      </c>
      <c r="F46" s="50">
        <v>73</v>
      </c>
      <c r="G46" s="50">
        <v>2</v>
      </c>
      <c r="H46" s="50">
        <v>0</v>
      </c>
      <c r="I46" s="50">
        <v>16</v>
      </c>
      <c r="J46" s="50">
        <v>5</v>
      </c>
      <c r="K46" s="50">
        <v>4</v>
      </c>
      <c r="L46" s="50">
        <v>21</v>
      </c>
      <c r="M46" s="50">
        <v>118</v>
      </c>
      <c r="N46" s="50">
        <v>0</v>
      </c>
      <c r="O46" s="15">
        <f t="shared" si="0"/>
        <v>172</v>
      </c>
      <c r="P46" s="15">
        <f t="shared" si="1"/>
        <v>290</v>
      </c>
      <c r="R46" s="8"/>
      <c r="T46"/>
    </row>
    <row r="47" spans="2:20" ht="23.1" customHeight="1" x14ac:dyDescent="0.25">
      <c r="B47" s="24" t="s">
        <v>74</v>
      </c>
      <c r="C47" s="50">
        <v>41</v>
      </c>
      <c r="D47" s="50">
        <v>6</v>
      </c>
      <c r="E47" s="50">
        <v>2</v>
      </c>
      <c r="F47" s="50">
        <v>20</v>
      </c>
      <c r="G47" s="50">
        <v>0</v>
      </c>
      <c r="H47" s="50">
        <v>0</v>
      </c>
      <c r="I47" s="50">
        <v>15</v>
      </c>
      <c r="J47" s="50">
        <v>9</v>
      </c>
      <c r="K47" s="50">
        <v>6</v>
      </c>
      <c r="L47" s="50">
        <v>35</v>
      </c>
      <c r="M47" s="50">
        <v>94</v>
      </c>
      <c r="N47" s="50">
        <v>0</v>
      </c>
      <c r="O47" s="15">
        <f t="shared" si="0"/>
        <v>134</v>
      </c>
      <c r="P47" s="15">
        <f t="shared" si="1"/>
        <v>228</v>
      </c>
      <c r="R47" s="8"/>
      <c r="T47"/>
    </row>
    <row r="48" spans="2:20" ht="23.1" customHeight="1" x14ac:dyDescent="0.25">
      <c r="B48" s="24" t="s">
        <v>75</v>
      </c>
      <c r="C48" s="50">
        <v>31</v>
      </c>
      <c r="D48" s="50">
        <v>16</v>
      </c>
      <c r="E48" s="50">
        <v>4</v>
      </c>
      <c r="F48" s="50">
        <v>33</v>
      </c>
      <c r="G48" s="50">
        <v>0</v>
      </c>
      <c r="H48" s="50">
        <v>0</v>
      </c>
      <c r="I48" s="50">
        <v>15</v>
      </c>
      <c r="J48" s="50">
        <v>7</v>
      </c>
      <c r="K48" s="50">
        <v>8</v>
      </c>
      <c r="L48" s="50">
        <v>19</v>
      </c>
      <c r="M48" s="50">
        <v>214</v>
      </c>
      <c r="N48" s="50">
        <v>0</v>
      </c>
      <c r="O48" s="15">
        <f t="shared" si="0"/>
        <v>133</v>
      </c>
      <c r="P48" s="15">
        <f t="shared" si="1"/>
        <v>347</v>
      </c>
      <c r="R48" s="8"/>
      <c r="T48"/>
    </row>
    <row r="49" spans="2:20" ht="23.1" customHeight="1" x14ac:dyDescent="0.25">
      <c r="B49" s="23" t="s">
        <v>76</v>
      </c>
      <c r="C49" s="50">
        <v>36</v>
      </c>
      <c r="D49" s="50">
        <v>4</v>
      </c>
      <c r="E49" s="50">
        <v>15</v>
      </c>
      <c r="F49" s="50">
        <v>29</v>
      </c>
      <c r="G49" s="50">
        <v>1</v>
      </c>
      <c r="H49" s="50">
        <v>0</v>
      </c>
      <c r="I49" s="50">
        <v>4</v>
      </c>
      <c r="J49" s="50">
        <v>3</v>
      </c>
      <c r="K49" s="50">
        <v>3</v>
      </c>
      <c r="L49" s="50">
        <v>18</v>
      </c>
      <c r="M49" s="50">
        <v>64</v>
      </c>
      <c r="N49" s="50">
        <v>0</v>
      </c>
      <c r="O49" s="15">
        <f t="shared" si="0"/>
        <v>113</v>
      </c>
      <c r="P49" s="15">
        <f t="shared" si="1"/>
        <v>177</v>
      </c>
      <c r="R49" s="8"/>
      <c r="T49"/>
    </row>
    <row r="50" spans="2:20" ht="23.1" customHeight="1" x14ac:dyDescent="0.25">
      <c r="B50" s="24" t="s">
        <v>77</v>
      </c>
      <c r="C50" s="50">
        <v>36</v>
      </c>
      <c r="D50" s="50">
        <v>11</v>
      </c>
      <c r="E50" s="50">
        <v>3</v>
      </c>
      <c r="F50" s="50">
        <v>35</v>
      </c>
      <c r="G50" s="50">
        <v>0</v>
      </c>
      <c r="H50" s="50">
        <v>1</v>
      </c>
      <c r="I50" s="50">
        <v>11</v>
      </c>
      <c r="J50" s="50">
        <v>6</v>
      </c>
      <c r="K50" s="50">
        <v>2</v>
      </c>
      <c r="L50" s="50">
        <v>8</v>
      </c>
      <c r="M50" s="50">
        <v>115</v>
      </c>
      <c r="N50" s="50">
        <v>0</v>
      </c>
      <c r="O50" s="15">
        <f t="shared" si="0"/>
        <v>113</v>
      </c>
      <c r="P50" s="15">
        <f t="shared" si="1"/>
        <v>228</v>
      </c>
      <c r="R50" s="8"/>
      <c r="T50"/>
    </row>
    <row r="51" spans="2:20" ht="23.1" customHeight="1" x14ac:dyDescent="0.25">
      <c r="B51" s="24" t="s">
        <v>78</v>
      </c>
      <c r="C51" s="50">
        <v>39</v>
      </c>
      <c r="D51" s="50">
        <v>6</v>
      </c>
      <c r="E51" s="50">
        <v>7</v>
      </c>
      <c r="F51" s="50">
        <v>42</v>
      </c>
      <c r="G51" s="50">
        <v>3</v>
      </c>
      <c r="H51" s="50">
        <v>3</v>
      </c>
      <c r="I51" s="50">
        <v>12</v>
      </c>
      <c r="J51" s="50">
        <v>8</v>
      </c>
      <c r="K51" s="50">
        <v>1</v>
      </c>
      <c r="L51" s="50">
        <v>19</v>
      </c>
      <c r="M51" s="50">
        <v>127</v>
      </c>
      <c r="N51" s="50">
        <v>0</v>
      </c>
      <c r="O51" s="15">
        <f t="shared" si="0"/>
        <v>140</v>
      </c>
      <c r="P51" s="15">
        <f t="shared" si="1"/>
        <v>267</v>
      </c>
      <c r="R51" s="8"/>
      <c r="T51"/>
    </row>
    <row r="52" spans="2:20" ht="23.1" customHeight="1" x14ac:dyDescent="0.25">
      <c r="B52" s="24" t="s">
        <v>79</v>
      </c>
      <c r="C52" s="50">
        <v>25</v>
      </c>
      <c r="D52" s="50">
        <v>6</v>
      </c>
      <c r="E52" s="50">
        <v>2</v>
      </c>
      <c r="F52" s="50">
        <v>29</v>
      </c>
      <c r="G52" s="50">
        <v>2</v>
      </c>
      <c r="H52" s="50">
        <v>0</v>
      </c>
      <c r="I52" s="50">
        <v>9</v>
      </c>
      <c r="J52" s="50">
        <v>6</v>
      </c>
      <c r="K52" s="50">
        <v>7</v>
      </c>
      <c r="L52" s="50">
        <v>24</v>
      </c>
      <c r="M52" s="50">
        <v>139</v>
      </c>
      <c r="N52" s="50">
        <v>0</v>
      </c>
      <c r="O52" s="15">
        <f t="shared" si="0"/>
        <v>110</v>
      </c>
      <c r="P52" s="15">
        <f t="shared" si="1"/>
        <v>249</v>
      </c>
      <c r="R52" s="8"/>
      <c r="T52"/>
    </row>
    <row r="53" spans="2:20" ht="23.1" customHeight="1" x14ac:dyDescent="0.25">
      <c r="B53" s="23" t="s">
        <v>80</v>
      </c>
      <c r="C53" s="50">
        <v>25</v>
      </c>
      <c r="D53" s="50">
        <v>4</v>
      </c>
      <c r="E53" s="50">
        <v>7</v>
      </c>
      <c r="F53" s="50">
        <v>19</v>
      </c>
      <c r="G53" s="50">
        <v>1</v>
      </c>
      <c r="H53" s="50">
        <v>0</v>
      </c>
      <c r="I53" s="50">
        <v>5</v>
      </c>
      <c r="J53" s="50">
        <v>10</v>
      </c>
      <c r="K53" s="50">
        <v>4</v>
      </c>
      <c r="L53" s="50">
        <v>25</v>
      </c>
      <c r="M53" s="50">
        <v>116</v>
      </c>
      <c r="N53" s="50">
        <v>0</v>
      </c>
      <c r="O53" s="15">
        <f t="shared" si="0"/>
        <v>100</v>
      </c>
      <c r="P53" s="15">
        <f t="shared" si="1"/>
        <v>216</v>
      </c>
      <c r="R53" s="8"/>
      <c r="T53"/>
    </row>
    <row r="54" spans="2:20" ht="23.1" customHeight="1" x14ac:dyDescent="0.25">
      <c r="B54" s="23" t="s">
        <v>81</v>
      </c>
      <c r="C54" s="50">
        <v>25</v>
      </c>
      <c r="D54" s="50">
        <v>4</v>
      </c>
      <c r="E54" s="50">
        <v>8</v>
      </c>
      <c r="F54" s="50">
        <v>25</v>
      </c>
      <c r="G54" s="50">
        <v>1</v>
      </c>
      <c r="H54" s="50">
        <v>1</v>
      </c>
      <c r="I54" s="50">
        <v>16</v>
      </c>
      <c r="J54" s="50">
        <v>5</v>
      </c>
      <c r="K54" s="50">
        <v>7</v>
      </c>
      <c r="L54" s="50">
        <v>20</v>
      </c>
      <c r="M54" s="50">
        <v>147</v>
      </c>
      <c r="N54" s="50">
        <v>0</v>
      </c>
      <c r="O54" s="15">
        <f t="shared" si="0"/>
        <v>112</v>
      </c>
      <c r="P54" s="15">
        <f t="shared" si="1"/>
        <v>259</v>
      </c>
      <c r="R54" s="8"/>
      <c r="T54"/>
    </row>
    <row r="55" spans="2:20" ht="23.1" customHeight="1" x14ac:dyDescent="0.25">
      <c r="B55" s="23" t="s">
        <v>82</v>
      </c>
      <c r="C55" s="50">
        <v>26</v>
      </c>
      <c r="D55" s="50">
        <v>4</v>
      </c>
      <c r="E55" s="50">
        <v>4</v>
      </c>
      <c r="F55" s="50">
        <v>24</v>
      </c>
      <c r="G55" s="50">
        <v>1</v>
      </c>
      <c r="H55" s="50">
        <v>0</v>
      </c>
      <c r="I55" s="50">
        <v>11</v>
      </c>
      <c r="J55" s="50">
        <v>10</v>
      </c>
      <c r="K55" s="50">
        <v>4</v>
      </c>
      <c r="L55" s="50">
        <v>26</v>
      </c>
      <c r="M55" s="50">
        <v>121</v>
      </c>
      <c r="N55" s="50">
        <v>0</v>
      </c>
      <c r="O55" s="15">
        <f t="shared" si="0"/>
        <v>110</v>
      </c>
      <c r="P55" s="15">
        <f t="shared" si="1"/>
        <v>231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1</v>
      </c>
      <c r="E56" s="50">
        <v>0</v>
      </c>
      <c r="F56" s="50">
        <v>20</v>
      </c>
      <c r="G56" s="50">
        <v>1</v>
      </c>
      <c r="H56" s="50">
        <v>0</v>
      </c>
      <c r="I56" s="50">
        <v>8</v>
      </c>
      <c r="J56" s="50">
        <v>5</v>
      </c>
      <c r="K56" s="50">
        <v>3</v>
      </c>
      <c r="L56" s="50">
        <v>22</v>
      </c>
      <c r="M56" s="50">
        <v>148</v>
      </c>
      <c r="N56" s="50">
        <v>0</v>
      </c>
      <c r="O56" s="15">
        <f t="shared" si="0"/>
        <v>79</v>
      </c>
      <c r="P56" s="15">
        <f t="shared" si="1"/>
        <v>227</v>
      </c>
      <c r="R56" s="8"/>
      <c r="T56"/>
    </row>
    <row r="57" spans="2:20" ht="23.1" customHeight="1" x14ac:dyDescent="0.25">
      <c r="B57" s="23" t="s">
        <v>84</v>
      </c>
      <c r="C57" s="50">
        <v>27</v>
      </c>
      <c r="D57" s="50">
        <v>15</v>
      </c>
      <c r="E57" s="50">
        <v>9</v>
      </c>
      <c r="F57" s="50">
        <v>22</v>
      </c>
      <c r="G57" s="50">
        <v>1</v>
      </c>
      <c r="H57" s="50">
        <v>3</v>
      </c>
      <c r="I57" s="50">
        <v>6</v>
      </c>
      <c r="J57" s="50">
        <v>2</v>
      </c>
      <c r="K57" s="50">
        <v>13</v>
      </c>
      <c r="L57" s="50">
        <v>14</v>
      </c>
      <c r="M57" s="50">
        <v>233</v>
      </c>
      <c r="N57" s="50">
        <v>0</v>
      </c>
      <c r="O57" s="15">
        <f t="shared" si="0"/>
        <v>112</v>
      </c>
      <c r="P57" s="15">
        <f t="shared" si="1"/>
        <v>345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1936</v>
      </c>
      <c r="D58" s="16">
        <f t="shared" si="21"/>
        <v>536</v>
      </c>
      <c r="E58" s="16">
        <f t="shared" si="21"/>
        <v>401</v>
      </c>
      <c r="F58" s="16">
        <f t="shared" si="21"/>
        <v>2048</v>
      </c>
      <c r="G58" s="16">
        <f t="shared" si="21"/>
        <v>140</v>
      </c>
      <c r="H58" s="16">
        <f t="shared" si="21"/>
        <v>60</v>
      </c>
      <c r="I58" s="16">
        <f t="shared" si="21"/>
        <v>544</v>
      </c>
      <c r="J58" s="16">
        <f t="shared" si="21"/>
        <v>376</v>
      </c>
      <c r="K58" s="16">
        <f t="shared" si="21"/>
        <v>200</v>
      </c>
      <c r="L58" s="16">
        <f t="shared" si="21"/>
        <v>773</v>
      </c>
      <c r="M58" s="16">
        <f t="shared" si="21"/>
        <v>7178</v>
      </c>
      <c r="N58" s="16">
        <f t="shared" si="21"/>
        <v>0</v>
      </c>
      <c r="O58" s="16">
        <f t="shared" si="21"/>
        <v>7014</v>
      </c>
      <c r="P58" s="16">
        <f t="shared" si="21"/>
        <v>14192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0.13641488162344984</v>
      </c>
      <c r="D59" s="43">
        <f t="shared" si="22"/>
        <v>3.7767756482525366E-2</v>
      </c>
      <c r="E59" s="43">
        <f t="shared" si="22"/>
        <v>2.8255355129650508E-2</v>
      </c>
      <c r="F59" s="43">
        <f t="shared" si="22"/>
        <v>0.14430665163472378</v>
      </c>
      <c r="G59" s="43">
        <f t="shared" si="22"/>
        <v>9.8647125140924469E-3</v>
      </c>
      <c r="H59" s="43">
        <f t="shared" si="22"/>
        <v>4.2277339346110483E-3</v>
      </c>
      <c r="I59" s="43">
        <f t="shared" si="22"/>
        <v>3.8331454340473504E-2</v>
      </c>
      <c r="J59" s="43">
        <f t="shared" si="22"/>
        <v>2.6493799323562571E-2</v>
      </c>
      <c r="K59" s="43">
        <f t="shared" si="22"/>
        <v>1.4092446448703494E-2</v>
      </c>
      <c r="L59" s="43">
        <f t="shared" si="22"/>
        <v>5.4467305524239007E-2</v>
      </c>
      <c r="M59" s="43">
        <f t="shared" si="22"/>
        <v>0.50577790304396841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0.27601938979184487</v>
      </c>
      <c r="D60" s="44">
        <f t="shared" ref="D60:N60" si="23">D58/$O$58</f>
        <v>7.6418591388651272E-2</v>
      </c>
      <c r="E60" s="44">
        <f t="shared" si="23"/>
        <v>5.7171371542629031E-2</v>
      </c>
      <c r="F60" s="44">
        <f t="shared" si="23"/>
        <v>0.29198745366410039</v>
      </c>
      <c r="G60" s="44">
        <f t="shared" si="23"/>
        <v>1.9960079840319361E-2</v>
      </c>
      <c r="H60" s="44">
        <f t="shared" si="23"/>
        <v>8.5543199315654406E-3</v>
      </c>
      <c r="I60" s="44">
        <f t="shared" si="23"/>
        <v>7.7559167379526658E-2</v>
      </c>
      <c r="J60" s="44">
        <f t="shared" si="23"/>
        <v>5.360707157114343E-2</v>
      </c>
      <c r="K60" s="44">
        <f t="shared" si="23"/>
        <v>2.8514399771884802E-2</v>
      </c>
      <c r="L60" s="44">
        <f t="shared" si="23"/>
        <v>0.11020815511833476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'29.10 Mukono-Mbalala'!D5</f>
        <v>29.10.19</v>
      </c>
      <c r="E5" s="3"/>
      <c r="F5" s="41" t="s">
        <v>1</v>
      </c>
      <c r="G5" s="58" t="str">
        <f>'29.10 Mukono-Mbalala'!G5:H5</f>
        <v>Perfect tents</v>
      </c>
      <c r="H5" s="59"/>
      <c r="I5" s="14"/>
      <c r="J5" s="2" t="s">
        <v>5</v>
      </c>
      <c r="K5" s="58" t="s">
        <v>169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165</v>
      </c>
      <c r="E6" s="53"/>
      <c r="F6" s="2" t="s">
        <v>2</v>
      </c>
      <c r="G6" s="52" t="s">
        <v>166</v>
      </c>
      <c r="H6" s="53"/>
      <c r="J6" s="2" t="s">
        <v>21</v>
      </c>
      <c r="K6" s="58" t="str">
        <f>'29.10 Mukono-Mbalala'!K6:L6</f>
        <v>Victor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22</v>
      </c>
      <c r="D10" s="50">
        <v>12</v>
      </c>
      <c r="E10" s="50">
        <v>2</v>
      </c>
      <c r="F10" s="50">
        <v>23</v>
      </c>
      <c r="G10" s="50">
        <v>1</v>
      </c>
      <c r="H10" s="50">
        <v>0</v>
      </c>
      <c r="I10" s="50">
        <v>2</v>
      </c>
      <c r="J10" s="50">
        <v>3</v>
      </c>
      <c r="K10" s="50">
        <v>1</v>
      </c>
      <c r="L10" s="50">
        <v>14</v>
      </c>
      <c r="M10" s="50">
        <v>119</v>
      </c>
      <c r="N10" s="50">
        <v>0</v>
      </c>
      <c r="O10" s="15">
        <f t="shared" ref="O10:O57" si="0">SUM(C10:L10,N10)</f>
        <v>80</v>
      </c>
      <c r="P10" s="15">
        <f t="shared" ref="P10:P57" si="1">SUM(C10:N10)</f>
        <v>199</v>
      </c>
      <c r="R10" s="1" t="s">
        <v>6</v>
      </c>
      <c r="S10" s="17">
        <f t="shared" ref="S10:AF10" si="2">SUM(C10:C13)</f>
        <v>120</v>
      </c>
      <c r="T10" s="17">
        <f t="shared" si="2"/>
        <v>33</v>
      </c>
      <c r="U10" s="17">
        <f t="shared" si="2"/>
        <v>23</v>
      </c>
      <c r="V10" s="17">
        <f t="shared" si="2"/>
        <v>124</v>
      </c>
      <c r="W10" s="17">
        <f t="shared" si="2"/>
        <v>7</v>
      </c>
      <c r="X10" s="17">
        <f t="shared" si="2"/>
        <v>5</v>
      </c>
      <c r="Y10" s="17">
        <f t="shared" si="2"/>
        <v>20</v>
      </c>
      <c r="Z10" s="17">
        <f t="shared" si="2"/>
        <v>21</v>
      </c>
      <c r="AA10" s="17">
        <f t="shared" si="2"/>
        <v>1</v>
      </c>
      <c r="AB10" s="17">
        <f t="shared" si="2"/>
        <v>51</v>
      </c>
      <c r="AC10" s="17">
        <f t="shared" si="2"/>
        <v>572</v>
      </c>
      <c r="AD10" s="17">
        <f t="shared" si="2"/>
        <v>0</v>
      </c>
      <c r="AE10" s="31">
        <f t="shared" si="2"/>
        <v>405</v>
      </c>
      <c r="AF10" s="31">
        <f t="shared" si="2"/>
        <v>977</v>
      </c>
    </row>
    <row r="11" spans="2:32" s="6" customFormat="1" ht="23.1" customHeight="1" x14ac:dyDescent="0.25">
      <c r="B11" s="23" t="s">
        <v>38</v>
      </c>
      <c r="C11" s="50">
        <v>40</v>
      </c>
      <c r="D11" s="50">
        <v>11</v>
      </c>
      <c r="E11" s="50">
        <v>11</v>
      </c>
      <c r="F11" s="50">
        <v>37</v>
      </c>
      <c r="G11" s="50">
        <v>2</v>
      </c>
      <c r="H11" s="50">
        <v>1</v>
      </c>
      <c r="I11" s="50">
        <v>6</v>
      </c>
      <c r="J11" s="50">
        <v>3</v>
      </c>
      <c r="K11" s="50">
        <v>0</v>
      </c>
      <c r="L11" s="50">
        <v>13</v>
      </c>
      <c r="M11" s="50">
        <v>148</v>
      </c>
      <c r="N11" s="50">
        <v>0</v>
      </c>
      <c r="O11" s="15">
        <f t="shared" si="0"/>
        <v>124</v>
      </c>
      <c r="P11" s="15">
        <f t="shared" si="1"/>
        <v>272</v>
      </c>
      <c r="R11" s="1" t="s">
        <v>7</v>
      </c>
      <c r="S11" s="17">
        <f t="shared" ref="S11:AF11" si="3">SUM(C14:C17)</f>
        <v>114</v>
      </c>
      <c r="T11" s="17">
        <f t="shared" si="3"/>
        <v>29</v>
      </c>
      <c r="U11" s="17">
        <f t="shared" si="3"/>
        <v>15</v>
      </c>
      <c r="V11" s="17">
        <f t="shared" si="3"/>
        <v>137</v>
      </c>
      <c r="W11" s="17">
        <f t="shared" si="3"/>
        <v>8</v>
      </c>
      <c r="X11" s="17">
        <f t="shared" si="3"/>
        <v>2</v>
      </c>
      <c r="Y11" s="17">
        <f t="shared" si="3"/>
        <v>32</v>
      </c>
      <c r="Z11" s="17">
        <f t="shared" si="3"/>
        <v>31</v>
      </c>
      <c r="AA11" s="17">
        <f t="shared" si="3"/>
        <v>3</v>
      </c>
      <c r="AB11" s="17">
        <f t="shared" si="3"/>
        <v>66</v>
      </c>
      <c r="AC11" s="17">
        <f t="shared" si="3"/>
        <v>709</v>
      </c>
      <c r="AD11" s="17">
        <f t="shared" si="3"/>
        <v>0</v>
      </c>
      <c r="AE11" s="31">
        <f t="shared" si="3"/>
        <v>437</v>
      </c>
      <c r="AF11" s="31">
        <f t="shared" si="3"/>
        <v>1146</v>
      </c>
    </row>
    <row r="12" spans="2:32" ht="23.1" customHeight="1" x14ac:dyDescent="0.25">
      <c r="B12" s="23" t="s">
        <v>39</v>
      </c>
      <c r="C12" s="50">
        <v>34</v>
      </c>
      <c r="D12" s="50">
        <v>8</v>
      </c>
      <c r="E12" s="50">
        <v>6</v>
      </c>
      <c r="F12" s="50">
        <v>35</v>
      </c>
      <c r="G12" s="50">
        <v>0</v>
      </c>
      <c r="H12" s="50">
        <v>2</v>
      </c>
      <c r="I12" s="50">
        <v>6</v>
      </c>
      <c r="J12" s="50">
        <v>10</v>
      </c>
      <c r="K12" s="50">
        <v>0</v>
      </c>
      <c r="L12" s="50">
        <v>14</v>
      </c>
      <c r="M12" s="50">
        <v>141</v>
      </c>
      <c r="N12" s="50">
        <v>0</v>
      </c>
      <c r="O12" s="15">
        <f t="shared" si="0"/>
        <v>115</v>
      </c>
      <c r="P12" s="15">
        <f t="shared" si="1"/>
        <v>256</v>
      </c>
      <c r="R12" s="1" t="s">
        <v>8</v>
      </c>
      <c r="S12" s="17">
        <f t="shared" ref="S12:AF12" si="4">SUM(C18:C21)</f>
        <v>85</v>
      </c>
      <c r="T12" s="17">
        <f t="shared" si="4"/>
        <v>34</v>
      </c>
      <c r="U12" s="17">
        <f t="shared" si="4"/>
        <v>21</v>
      </c>
      <c r="V12" s="17">
        <f t="shared" si="4"/>
        <v>127</v>
      </c>
      <c r="W12" s="17">
        <f t="shared" si="4"/>
        <v>10</v>
      </c>
      <c r="X12" s="17">
        <f t="shared" si="4"/>
        <v>5</v>
      </c>
      <c r="Y12" s="17">
        <f t="shared" si="4"/>
        <v>35</v>
      </c>
      <c r="Z12" s="17">
        <f t="shared" si="4"/>
        <v>43</v>
      </c>
      <c r="AA12" s="17">
        <f t="shared" si="4"/>
        <v>2</v>
      </c>
      <c r="AB12" s="17">
        <f t="shared" si="4"/>
        <v>48</v>
      </c>
      <c r="AC12" s="17">
        <f t="shared" si="4"/>
        <v>680</v>
      </c>
      <c r="AD12" s="17">
        <f t="shared" si="4"/>
        <v>0</v>
      </c>
      <c r="AE12" s="31">
        <f t="shared" si="4"/>
        <v>410</v>
      </c>
      <c r="AF12" s="31">
        <f t="shared" si="4"/>
        <v>1090</v>
      </c>
    </row>
    <row r="13" spans="2:32" ht="23.1" customHeight="1" x14ac:dyDescent="0.25">
      <c r="B13" s="23" t="s">
        <v>40</v>
      </c>
      <c r="C13" s="50">
        <v>24</v>
      </c>
      <c r="D13" s="50">
        <v>2</v>
      </c>
      <c r="E13" s="50">
        <v>4</v>
      </c>
      <c r="F13" s="50">
        <v>29</v>
      </c>
      <c r="G13" s="50">
        <v>4</v>
      </c>
      <c r="H13" s="50">
        <v>2</v>
      </c>
      <c r="I13" s="50">
        <v>6</v>
      </c>
      <c r="J13" s="50">
        <v>5</v>
      </c>
      <c r="K13" s="50">
        <v>0</v>
      </c>
      <c r="L13" s="50">
        <v>10</v>
      </c>
      <c r="M13" s="50">
        <v>164</v>
      </c>
      <c r="N13" s="50">
        <v>0</v>
      </c>
      <c r="O13" s="15">
        <f t="shared" si="0"/>
        <v>86</v>
      </c>
      <c r="P13" s="15">
        <f t="shared" si="1"/>
        <v>250</v>
      </c>
      <c r="R13" s="1" t="s">
        <v>9</v>
      </c>
      <c r="S13" s="17">
        <f t="shared" ref="S13:AF13" si="5">SUM(C22:C25)</f>
        <v>81</v>
      </c>
      <c r="T13" s="17">
        <f t="shared" si="5"/>
        <v>35</v>
      </c>
      <c r="U13" s="17">
        <f t="shared" si="5"/>
        <v>29</v>
      </c>
      <c r="V13" s="17">
        <f t="shared" si="5"/>
        <v>113</v>
      </c>
      <c r="W13" s="17">
        <f t="shared" si="5"/>
        <v>5</v>
      </c>
      <c r="X13" s="17">
        <f t="shared" si="5"/>
        <v>3</v>
      </c>
      <c r="Y13" s="17">
        <f t="shared" si="5"/>
        <v>30</v>
      </c>
      <c r="Z13" s="17">
        <f t="shared" si="5"/>
        <v>42</v>
      </c>
      <c r="AA13" s="17">
        <f t="shared" si="5"/>
        <v>3</v>
      </c>
      <c r="AB13" s="17">
        <f t="shared" si="5"/>
        <v>38</v>
      </c>
      <c r="AC13" s="17">
        <f t="shared" si="5"/>
        <v>507</v>
      </c>
      <c r="AD13" s="17">
        <f t="shared" si="5"/>
        <v>0</v>
      </c>
      <c r="AE13" s="31">
        <f t="shared" si="5"/>
        <v>379</v>
      </c>
      <c r="AF13" s="31">
        <f t="shared" si="5"/>
        <v>886</v>
      </c>
    </row>
    <row r="14" spans="2:32" ht="23.1" customHeight="1" x14ac:dyDescent="0.25">
      <c r="B14" s="23" t="s">
        <v>41</v>
      </c>
      <c r="C14" s="50">
        <v>32</v>
      </c>
      <c r="D14" s="50">
        <v>8</v>
      </c>
      <c r="E14" s="50">
        <v>2</v>
      </c>
      <c r="F14" s="50">
        <v>32</v>
      </c>
      <c r="G14" s="50">
        <v>0</v>
      </c>
      <c r="H14" s="50">
        <v>2</v>
      </c>
      <c r="I14" s="50">
        <v>3</v>
      </c>
      <c r="J14" s="50">
        <v>11</v>
      </c>
      <c r="K14" s="50">
        <v>1</v>
      </c>
      <c r="L14" s="50">
        <v>19</v>
      </c>
      <c r="M14" s="50">
        <v>175</v>
      </c>
      <c r="N14" s="50">
        <v>0</v>
      </c>
      <c r="O14" s="15">
        <f t="shared" si="0"/>
        <v>110</v>
      </c>
      <c r="P14" s="15">
        <f t="shared" si="1"/>
        <v>285</v>
      </c>
      <c r="R14" s="1" t="s">
        <v>10</v>
      </c>
      <c r="S14" s="17">
        <f t="shared" ref="S14:AF14" si="6">SUM(C26:C29)</f>
        <v>62</v>
      </c>
      <c r="T14" s="17">
        <f t="shared" si="6"/>
        <v>42</v>
      </c>
      <c r="U14" s="17">
        <f t="shared" si="6"/>
        <v>14</v>
      </c>
      <c r="V14" s="17">
        <f t="shared" si="6"/>
        <v>113</v>
      </c>
      <c r="W14" s="17">
        <f t="shared" si="6"/>
        <v>2</v>
      </c>
      <c r="X14" s="17">
        <f t="shared" si="6"/>
        <v>2</v>
      </c>
      <c r="Y14" s="17">
        <f t="shared" si="6"/>
        <v>39</v>
      </c>
      <c r="Z14" s="17">
        <f t="shared" si="6"/>
        <v>32</v>
      </c>
      <c r="AA14" s="17">
        <f t="shared" si="6"/>
        <v>2</v>
      </c>
      <c r="AB14" s="17">
        <f t="shared" si="6"/>
        <v>44</v>
      </c>
      <c r="AC14" s="17">
        <f t="shared" si="6"/>
        <v>451</v>
      </c>
      <c r="AD14" s="17">
        <f t="shared" si="6"/>
        <v>0</v>
      </c>
      <c r="AE14" s="31">
        <f t="shared" si="6"/>
        <v>352</v>
      </c>
      <c r="AF14" s="31">
        <f t="shared" si="6"/>
        <v>803</v>
      </c>
    </row>
    <row r="15" spans="2:32" ht="23.1" customHeight="1" x14ac:dyDescent="0.25">
      <c r="B15" s="23" t="s">
        <v>42</v>
      </c>
      <c r="C15" s="50">
        <v>33</v>
      </c>
      <c r="D15" s="50">
        <v>9</v>
      </c>
      <c r="E15" s="50">
        <v>7</v>
      </c>
      <c r="F15" s="50">
        <v>39</v>
      </c>
      <c r="G15" s="50">
        <v>5</v>
      </c>
      <c r="H15" s="50">
        <v>0</v>
      </c>
      <c r="I15" s="50">
        <v>9</v>
      </c>
      <c r="J15" s="50">
        <v>3</v>
      </c>
      <c r="K15" s="50">
        <v>2</v>
      </c>
      <c r="L15" s="50">
        <v>7</v>
      </c>
      <c r="M15" s="50">
        <v>187</v>
      </c>
      <c r="N15" s="50">
        <v>0</v>
      </c>
      <c r="O15" s="15">
        <f t="shared" si="0"/>
        <v>114</v>
      </c>
      <c r="P15" s="15">
        <f t="shared" si="1"/>
        <v>301</v>
      </c>
      <c r="R15" s="1" t="s">
        <v>11</v>
      </c>
      <c r="S15" s="17">
        <f t="shared" ref="S15:AF15" si="7">SUM(C30:C33)</f>
        <v>94</v>
      </c>
      <c r="T15" s="17">
        <f t="shared" si="7"/>
        <v>36</v>
      </c>
      <c r="U15" s="17">
        <f t="shared" si="7"/>
        <v>18</v>
      </c>
      <c r="V15" s="17">
        <f t="shared" si="7"/>
        <v>121</v>
      </c>
      <c r="W15" s="17">
        <f t="shared" si="7"/>
        <v>2</v>
      </c>
      <c r="X15" s="17">
        <f t="shared" si="7"/>
        <v>2</v>
      </c>
      <c r="Y15" s="17">
        <f t="shared" si="7"/>
        <v>40</v>
      </c>
      <c r="Z15" s="17">
        <f t="shared" si="7"/>
        <v>64</v>
      </c>
      <c r="AA15" s="17">
        <f t="shared" si="7"/>
        <v>4</v>
      </c>
      <c r="AB15" s="17">
        <f t="shared" si="7"/>
        <v>53</v>
      </c>
      <c r="AC15" s="17">
        <f t="shared" si="7"/>
        <v>506</v>
      </c>
      <c r="AD15" s="17">
        <f t="shared" si="7"/>
        <v>0</v>
      </c>
      <c r="AE15" s="31">
        <f t="shared" si="7"/>
        <v>434</v>
      </c>
      <c r="AF15" s="31">
        <f t="shared" si="7"/>
        <v>940</v>
      </c>
    </row>
    <row r="16" spans="2:32" ht="23.1" customHeight="1" x14ac:dyDescent="0.25">
      <c r="B16" s="23" t="s">
        <v>43</v>
      </c>
      <c r="C16" s="50">
        <v>15</v>
      </c>
      <c r="D16" s="50">
        <v>7</v>
      </c>
      <c r="E16" s="50">
        <v>1</v>
      </c>
      <c r="F16" s="50">
        <v>25</v>
      </c>
      <c r="G16" s="50">
        <v>1</v>
      </c>
      <c r="H16" s="50">
        <v>0</v>
      </c>
      <c r="I16" s="50">
        <v>6</v>
      </c>
      <c r="J16" s="50">
        <v>7</v>
      </c>
      <c r="K16" s="50">
        <v>0</v>
      </c>
      <c r="L16" s="50">
        <v>19</v>
      </c>
      <c r="M16" s="50">
        <v>173</v>
      </c>
      <c r="N16" s="50">
        <v>0</v>
      </c>
      <c r="O16" s="15">
        <f t="shared" si="0"/>
        <v>81</v>
      </c>
      <c r="P16" s="15">
        <f t="shared" si="1"/>
        <v>254</v>
      </c>
      <c r="R16" s="1" t="s">
        <v>12</v>
      </c>
      <c r="S16" s="17">
        <f t="shared" ref="S16:AF16" si="8">SUM(C34:C37)</f>
        <v>69</v>
      </c>
      <c r="T16" s="17">
        <f t="shared" si="8"/>
        <v>32</v>
      </c>
      <c r="U16" s="17">
        <f t="shared" si="8"/>
        <v>27</v>
      </c>
      <c r="V16" s="17">
        <f t="shared" si="8"/>
        <v>101</v>
      </c>
      <c r="W16" s="17">
        <f t="shared" si="8"/>
        <v>2</v>
      </c>
      <c r="X16" s="17">
        <f t="shared" si="8"/>
        <v>1</v>
      </c>
      <c r="Y16" s="17">
        <f t="shared" si="8"/>
        <v>34</v>
      </c>
      <c r="Z16" s="17">
        <f t="shared" si="8"/>
        <v>41</v>
      </c>
      <c r="AA16" s="17">
        <f t="shared" si="8"/>
        <v>3</v>
      </c>
      <c r="AB16" s="17">
        <f t="shared" si="8"/>
        <v>33</v>
      </c>
      <c r="AC16" s="17">
        <f t="shared" si="8"/>
        <v>431</v>
      </c>
      <c r="AD16" s="17">
        <f t="shared" si="8"/>
        <v>0</v>
      </c>
      <c r="AE16" s="31">
        <f t="shared" si="8"/>
        <v>343</v>
      </c>
      <c r="AF16" s="31">
        <f t="shared" si="8"/>
        <v>774</v>
      </c>
    </row>
    <row r="17" spans="2:32" ht="23.1" customHeight="1" x14ac:dyDescent="0.25">
      <c r="B17" s="23" t="s">
        <v>44</v>
      </c>
      <c r="C17" s="50">
        <v>34</v>
      </c>
      <c r="D17" s="50">
        <v>5</v>
      </c>
      <c r="E17" s="50">
        <v>5</v>
      </c>
      <c r="F17" s="50">
        <v>41</v>
      </c>
      <c r="G17" s="50">
        <v>2</v>
      </c>
      <c r="H17" s="50">
        <v>0</v>
      </c>
      <c r="I17" s="50">
        <v>14</v>
      </c>
      <c r="J17" s="50">
        <v>10</v>
      </c>
      <c r="K17" s="50">
        <v>0</v>
      </c>
      <c r="L17" s="50">
        <v>21</v>
      </c>
      <c r="M17" s="50">
        <v>174</v>
      </c>
      <c r="N17" s="50">
        <v>0</v>
      </c>
      <c r="O17" s="15">
        <f t="shared" si="0"/>
        <v>132</v>
      </c>
      <c r="P17" s="15">
        <f t="shared" si="1"/>
        <v>306</v>
      </c>
      <c r="R17" s="1" t="s">
        <v>13</v>
      </c>
      <c r="S17" s="17">
        <f t="shared" ref="S17:AF17" si="9">SUM(C38:C41)</f>
        <v>103</v>
      </c>
      <c r="T17" s="17">
        <f t="shared" si="9"/>
        <v>40</v>
      </c>
      <c r="U17" s="17">
        <f t="shared" si="9"/>
        <v>24</v>
      </c>
      <c r="V17" s="17">
        <f t="shared" si="9"/>
        <v>117</v>
      </c>
      <c r="W17" s="17">
        <f t="shared" si="9"/>
        <v>1</v>
      </c>
      <c r="X17" s="17">
        <f t="shared" si="9"/>
        <v>1</v>
      </c>
      <c r="Y17" s="17">
        <f t="shared" si="9"/>
        <v>51</v>
      </c>
      <c r="Z17" s="17">
        <f t="shared" si="9"/>
        <v>44</v>
      </c>
      <c r="AA17" s="17">
        <f t="shared" si="9"/>
        <v>9</v>
      </c>
      <c r="AB17" s="17">
        <f t="shared" si="9"/>
        <v>54</v>
      </c>
      <c r="AC17" s="17">
        <f t="shared" si="9"/>
        <v>314</v>
      </c>
      <c r="AD17" s="17">
        <f t="shared" si="9"/>
        <v>0</v>
      </c>
      <c r="AE17" s="31">
        <f t="shared" si="9"/>
        <v>444</v>
      </c>
      <c r="AF17" s="31">
        <f t="shared" si="9"/>
        <v>758</v>
      </c>
    </row>
    <row r="18" spans="2:32" ht="23.1" customHeight="1" x14ac:dyDescent="0.25">
      <c r="B18" s="23" t="s">
        <v>45</v>
      </c>
      <c r="C18" s="50">
        <v>17</v>
      </c>
      <c r="D18" s="50">
        <v>7</v>
      </c>
      <c r="E18" s="50">
        <v>4</v>
      </c>
      <c r="F18" s="50">
        <v>31</v>
      </c>
      <c r="G18" s="50">
        <v>1</v>
      </c>
      <c r="H18" s="50">
        <v>0</v>
      </c>
      <c r="I18" s="50">
        <v>6</v>
      </c>
      <c r="J18" s="50">
        <v>4</v>
      </c>
      <c r="K18" s="50">
        <v>1</v>
      </c>
      <c r="L18" s="50">
        <v>12</v>
      </c>
      <c r="M18" s="50">
        <v>172</v>
      </c>
      <c r="N18" s="50">
        <v>0</v>
      </c>
      <c r="O18" s="15">
        <f t="shared" si="0"/>
        <v>83</v>
      </c>
      <c r="P18" s="15">
        <f t="shared" si="1"/>
        <v>255</v>
      </c>
      <c r="R18" s="1" t="s">
        <v>14</v>
      </c>
      <c r="S18" s="17">
        <f t="shared" ref="S18:AF18" si="10">SUM(C42:C45)</f>
        <v>93</v>
      </c>
      <c r="T18" s="17">
        <f t="shared" si="10"/>
        <v>44</v>
      </c>
      <c r="U18" s="17">
        <f t="shared" si="10"/>
        <v>21</v>
      </c>
      <c r="V18" s="17">
        <f t="shared" si="10"/>
        <v>111</v>
      </c>
      <c r="W18" s="17">
        <f t="shared" si="10"/>
        <v>1</v>
      </c>
      <c r="X18" s="17">
        <f t="shared" si="10"/>
        <v>4</v>
      </c>
      <c r="Y18" s="17">
        <f t="shared" si="10"/>
        <v>38</v>
      </c>
      <c r="Z18" s="17">
        <f t="shared" si="10"/>
        <v>41</v>
      </c>
      <c r="AA18" s="17">
        <f t="shared" si="10"/>
        <v>11</v>
      </c>
      <c r="AB18" s="17">
        <f t="shared" si="10"/>
        <v>34</v>
      </c>
      <c r="AC18" s="17">
        <f t="shared" si="10"/>
        <v>379</v>
      </c>
      <c r="AD18" s="17">
        <f t="shared" si="10"/>
        <v>0</v>
      </c>
      <c r="AE18" s="31">
        <f t="shared" si="10"/>
        <v>398</v>
      </c>
      <c r="AF18" s="31">
        <f t="shared" si="10"/>
        <v>777</v>
      </c>
    </row>
    <row r="19" spans="2:32" ht="23.1" customHeight="1" x14ac:dyDescent="0.25">
      <c r="B19" s="23" t="s">
        <v>46</v>
      </c>
      <c r="C19" s="50">
        <v>27</v>
      </c>
      <c r="D19" s="50">
        <v>12</v>
      </c>
      <c r="E19" s="50">
        <v>6</v>
      </c>
      <c r="F19" s="50">
        <v>35</v>
      </c>
      <c r="G19" s="50">
        <v>4</v>
      </c>
      <c r="H19" s="50">
        <v>2</v>
      </c>
      <c r="I19" s="50">
        <v>9</v>
      </c>
      <c r="J19" s="50">
        <v>9</v>
      </c>
      <c r="K19" s="50">
        <v>1</v>
      </c>
      <c r="L19" s="50">
        <v>16</v>
      </c>
      <c r="M19" s="50">
        <v>164</v>
      </c>
      <c r="N19" s="50">
        <v>0</v>
      </c>
      <c r="O19" s="15">
        <f t="shared" si="0"/>
        <v>121</v>
      </c>
      <c r="P19" s="15">
        <f t="shared" si="1"/>
        <v>285</v>
      </c>
      <c r="R19" s="1" t="s">
        <v>15</v>
      </c>
      <c r="S19" s="17">
        <f t="shared" ref="S19:AF19" si="11">SUM(C46:C49)</f>
        <v>95</v>
      </c>
      <c r="T19" s="17">
        <f t="shared" si="11"/>
        <v>30</v>
      </c>
      <c r="U19" s="17">
        <f t="shared" si="11"/>
        <v>18</v>
      </c>
      <c r="V19" s="17">
        <f t="shared" si="11"/>
        <v>127</v>
      </c>
      <c r="W19" s="17">
        <f t="shared" si="11"/>
        <v>8</v>
      </c>
      <c r="X19" s="17">
        <f t="shared" si="11"/>
        <v>2</v>
      </c>
      <c r="Y19" s="17">
        <f t="shared" si="11"/>
        <v>42</v>
      </c>
      <c r="Z19" s="17">
        <f t="shared" si="11"/>
        <v>29</v>
      </c>
      <c r="AA19" s="17">
        <f t="shared" si="11"/>
        <v>4</v>
      </c>
      <c r="AB19" s="17">
        <f t="shared" si="11"/>
        <v>37</v>
      </c>
      <c r="AC19" s="17">
        <f t="shared" si="11"/>
        <v>416</v>
      </c>
      <c r="AD19" s="17">
        <f t="shared" si="11"/>
        <v>0</v>
      </c>
      <c r="AE19" s="31">
        <f t="shared" si="11"/>
        <v>392</v>
      </c>
      <c r="AF19" s="31">
        <f t="shared" si="11"/>
        <v>808</v>
      </c>
    </row>
    <row r="20" spans="2:32" ht="23.1" customHeight="1" x14ac:dyDescent="0.25">
      <c r="B20" s="23" t="s">
        <v>47</v>
      </c>
      <c r="C20" s="50">
        <v>23</v>
      </c>
      <c r="D20" s="50">
        <v>5</v>
      </c>
      <c r="E20" s="50">
        <v>9</v>
      </c>
      <c r="F20" s="50">
        <v>27</v>
      </c>
      <c r="G20" s="50">
        <v>2</v>
      </c>
      <c r="H20" s="50">
        <v>2</v>
      </c>
      <c r="I20" s="50">
        <v>9</v>
      </c>
      <c r="J20" s="50">
        <v>20</v>
      </c>
      <c r="K20" s="50">
        <v>0</v>
      </c>
      <c r="L20" s="50">
        <v>8</v>
      </c>
      <c r="M20" s="50">
        <v>190</v>
      </c>
      <c r="N20" s="50">
        <v>0</v>
      </c>
      <c r="O20" s="15">
        <f t="shared" si="0"/>
        <v>105</v>
      </c>
      <c r="P20" s="15">
        <f t="shared" si="1"/>
        <v>295</v>
      </c>
      <c r="R20" s="1" t="s">
        <v>16</v>
      </c>
      <c r="S20" s="17">
        <f t="shared" ref="S20:AF20" si="12">SUM(C50:C53)</f>
        <v>123</v>
      </c>
      <c r="T20" s="17">
        <f t="shared" si="12"/>
        <v>43</v>
      </c>
      <c r="U20" s="17">
        <f t="shared" si="12"/>
        <v>28</v>
      </c>
      <c r="V20" s="17">
        <f t="shared" si="12"/>
        <v>122</v>
      </c>
      <c r="W20" s="17">
        <f t="shared" si="12"/>
        <v>4</v>
      </c>
      <c r="X20" s="17">
        <f t="shared" si="12"/>
        <v>3</v>
      </c>
      <c r="Y20" s="17">
        <f t="shared" si="12"/>
        <v>41</v>
      </c>
      <c r="Z20" s="17">
        <f t="shared" si="12"/>
        <v>36</v>
      </c>
      <c r="AA20" s="17">
        <f t="shared" si="12"/>
        <v>9</v>
      </c>
      <c r="AB20" s="17">
        <f t="shared" si="12"/>
        <v>23</v>
      </c>
      <c r="AC20" s="17">
        <f t="shared" si="12"/>
        <v>457</v>
      </c>
      <c r="AD20" s="17">
        <f t="shared" si="12"/>
        <v>0</v>
      </c>
      <c r="AE20" s="31">
        <f t="shared" si="12"/>
        <v>432</v>
      </c>
      <c r="AF20" s="31">
        <f t="shared" si="12"/>
        <v>889</v>
      </c>
    </row>
    <row r="21" spans="2:32" ht="23.1" customHeight="1" x14ac:dyDescent="0.25">
      <c r="B21" s="23" t="s">
        <v>48</v>
      </c>
      <c r="C21" s="50">
        <v>18</v>
      </c>
      <c r="D21" s="50">
        <v>10</v>
      </c>
      <c r="E21" s="50">
        <v>2</v>
      </c>
      <c r="F21" s="50">
        <v>34</v>
      </c>
      <c r="G21" s="50">
        <v>3</v>
      </c>
      <c r="H21" s="50">
        <v>1</v>
      </c>
      <c r="I21" s="50">
        <v>11</v>
      </c>
      <c r="J21" s="50">
        <v>10</v>
      </c>
      <c r="K21" s="50">
        <v>0</v>
      </c>
      <c r="L21" s="50">
        <v>12</v>
      </c>
      <c r="M21" s="50">
        <v>154</v>
      </c>
      <c r="N21" s="50">
        <v>0</v>
      </c>
      <c r="O21" s="15">
        <f t="shared" si="0"/>
        <v>101</v>
      </c>
      <c r="P21" s="15">
        <f t="shared" si="1"/>
        <v>255</v>
      </c>
      <c r="R21" s="36" t="s">
        <v>20</v>
      </c>
      <c r="S21" s="34">
        <f t="shared" ref="S21:AF21" si="13">SUM(C54:C57)</f>
        <v>123</v>
      </c>
      <c r="T21" s="17">
        <f t="shared" si="13"/>
        <v>37</v>
      </c>
      <c r="U21" s="17">
        <f t="shared" si="13"/>
        <v>30</v>
      </c>
      <c r="V21" s="17">
        <f t="shared" si="13"/>
        <v>120</v>
      </c>
      <c r="W21" s="17">
        <f t="shared" si="13"/>
        <v>14</v>
      </c>
      <c r="X21" s="17">
        <f t="shared" si="13"/>
        <v>5</v>
      </c>
      <c r="Y21" s="17">
        <f t="shared" si="13"/>
        <v>39</v>
      </c>
      <c r="Z21" s="17">
        <f t="shared" si="13"/>
        <v>49</v>
      </c>
      <c r="AA21" s="17">
        <f t="shared" si="13"/>
        <v>12</v>
      </c>
      <c r="AB21" s="17">
        <f t="shared" si="13"/>
        <v>28</v>
      </c>
      <c r="AC21" s="17">
        <f t="shared" si="13"/>
        <v>542</v>
      </c>
      <c r="AD21" s="17">
        <f t="shared" si="13"/>
        <v>0</v>
      </c>
      <c r="AE21" s="31">
        <f t="shared" si="13"/>
        <v>457</v>
      </c>
      <c r="AF21" s="31">
        <f t="shared" si="13"/>
        <v>999</v>
      </c>
    </row>
    <row r="22" spans="2:32" ht="23.1" customHeight="1" x14ac:dyDescent="0.25">
      <c r="B22" s="23" t="s">
        <v>49</v>
      </c>
      <c r="C22" s="50">
        <v>26</v>
      </c>
      <c r="D22" s="50">
        <v>9</v>
      </c>
      <c r="E22" s="50">
        <v>3</v>
      </c>
      <c r="F22" s="50">
        <v>31</v>
      </c>
      <c r="G22" s="50">
        <v>0</v>
      </c>
      <c r="H22" s="50">
        <v>1</v>
      </c>
      <c r="I22" s="50">
        <v>5</v>
      </c>
      <c r="J22" s="50">
        <v>10</v>
      </c>
      <c r="K22" s="50">
        <v>1</v>
      </c>
      <c r="L22" s="50">
        <v>8</v>
      </c>
      <c r="M22" s="50">
        <v>135</v>
      </c>
      <c r="N22" s="50">
        <v>0</v>
      </c>
      <c r="O22" s="15">
        <f t="shared" si="0"/>
        <v>94</v>
      </c>
      <c r="P22" s="15">
        <f t="shared" si="1"/>
        <v>229</v>
      </c>
      <c r="R22" s="38" t="s">
        <v>90</v>
      </c>
      <c r="S22" s="39">
        <f>MAX(S10:S12)</f>
        <v>120</v>
      </c>
      <c r="T22" s="39">
        <f t="shared" ref="T22:AF22" si="14">MAX(T10:T12)</f>
        <v>34</v>
      </c>
      <c r="U22" s="39">
        <f t="shared" si="14"/>
        <v>23</v>
      </c>
      <c r="V22" s="39">
        <f t="shared" si="14"/>
        <v>137</v>
      </c>
      <c r="W22" s="39">
        <f t="shared" si="14"/>
        <v>10</v>
      </c>
      <c r="X22" s="39">
        <f t="shared" si="14"/>
        <v>5</v>
      </c>
      <c r="Y22" s="39">
        <f t="shared" si="14"/>
        <v>35</v>
      </c>
      <c r="Z22" s="39">
        <f t="shared" si="14"/>
        <v>43</v>
      </c>
      <c r="AA22" s="39">
        <f t="shared" si="14"/>
        <v>3</v>
      </c>
      <c r="AB22" s="39">
        <f t="shared" si="14"/>
        <v>66</v>
      </c>
      <c r="AC22" s="39">
        <f t="shared" si="14"/>
        <v>709</v>
      </c>
      <c r="AD22" s="39">
        <f t="shared" si="14"/>
        <v>0</v>
      </c>
      <c r="AE22" s="40">
        <f t="shared" si="14"/>
        <v>437</v>
      </c>
      <c r="AF22" s="40">
        <f t="shared" si="14"/>
        <v>1146</v>
      </c>
    </row>
    <row r="23" spans="2:32" ht="23.1" customHeight="1" x14ac:dyDescent="0.25">
      <c r="B23" s="23" t="s">
        <v>50</v>
      </c>
      <c r="C23" s="50">
        <v>19</v>
      </c>
      <c r="D23" s="50">
        <v>7</v>
      </c>
      <c r="E23" s="50">
        <v>13</v>
      </c>
      <c r="F23" s="50">
        <v>28</v>
      </c>
      <c r="G23" s="50">
        <v>0</v>
      </c>
      <c r="H23" s="50">
        <v>0</v>
      </c>
      <c r="I23" s="50">
        <v>11</v>
      </c>
      <c r="J23" s="50">
        <v>12</v>
      </c>
      <c r="K23" s="50">
        <v>1</v>
      </c>
      <c r="L23" s="50">
        <v>15</v>
      </c>
      <c r="M23" s="50">
        <v>120</v>
      </c>
      <c r="N23" s="50">
        <v>0</v>
      </c>
      <c r="O23" s="15">
        <f t="shared" si="0"/>
        <v>106</v>
      </c>
      <c r="P23" s="15">
        <f t="shared" si="1"/>
        <v>226</v>
      </c>
      <c r="R23" s="38" t="s">
        <v>91</v>
      </c>
      <c r="S23" s="39">
        <f>MAX(S13:S18)</f>
        <v>103</v>
      </c>
      <c r="T23" s="39">
        <f t="shared" ref="T23:AF23" si="15">MAX(T13:T18)</f>
        <v>44</v>
      </c>
      <c r="U23" s="39">
        <f t="shared" si="15"/>
        <v>29</v>
      </c>
      <c r="V23" s="39">
        <f t="shared" si="15"/>
        <v>121</v>
      </c>
      <c r="W23" s="39">
        <f t="shared" si="15"/>
        <v>5</v>
      </c>
      <c r="X23" s="39">
        <f t="shared" si="15"/>
        <v>4</v>
      </c>
      <c r="Y23" s="39">
        <f t="shared" si="15"/>
        <v>51</v>
      </c>
      <c r="Z23" s="39">
        <f t="shared" si="15"/>
        <v>64</v>
      </c>
      <c r="AA23" s="39">
        <f t="shared" si="15"/>
        <v>11</v>
      </c>
      <c r="AB23" s="39">
        <f t="shared" si="15"/>
        <v>54</v>
      </c>
      <c r="AC23" s="39">
        <f t="shared" si="15"/>
        <v>507</v>
      </c>
      <c r="AD23" s="39">
        <f t="shared" si="15"/>
        <v>0</v>
      </c>
      <c r="AE23" s="40">
        <f t="shared" si="15"/>
        <v>444</v>
      </c>
      <c r="AF23" s="40">
        <f t="shared" si="15"/>
        <v>940</v>
      </c>
    </row>
    <row r="24" spans="2:32" ht="23.1" customHeight="1" x14ac:dyDescent="0.25">
      <c r="B24" s="23" t="s">
        <v>51</v>
      </c>
      <c r="C24" s="50">
        <v>17</v>
      </c>
      <c r="D24" s="50">
        <v>10</v>
      </c>
      <c r="E24" s="50">
        <v>9</v>
      </c>
      <c r="F24" s="50">
        <v>23</v>
      </c>
      <c r="G24" s="50">
        <v>2</v>
      </c>
      <c r="H24" s="50">
        <v>0</v>
      </c>
      <c r="I24" s="50">
        <v>5</v>
      </c>
      <c r="J24" s="50">
        <v>9</v>
      </c>
      <c r="K24" s="50">
        <v>0</v>
      </c>
      <c r="L24" s="50">
        <v>8</v>
      </c>
      <c r="M24" s="50">
        <v>109</v>
      </c>
      <c r="N24" s="50">
        <v>0</v>
      </c>
      <c r="O24" s="15">
        <f t="shared" si="0"/>
        <v>83</v>
      </c>
      <c r="P24" s="15">
        <f t="shared" si="1"/>
        <v>192</v>
      </c>
      <c r="R24" s="38" t="s">
        <v>92</v>
      </c>
      <c r="S24" s="39">
        <f>MAX(S19:S21)</f>
        <v>123</v>
      </c>
      <c r="T24" s="39">
        <f t="shared" ref="T24:AF24" si="16">MAX(T19:T21)</f>
        <v>43</v>
      </c>
      <c r="U24" s="39">
        <f t="shared" si="16"/>
        <v>30</v>
      </c>
      <c r="V24" s="39">
        <f t="shared" si="16"/>
        <v>127</v>
      </c>
      <c r="W24" s="39">
        <f t="shared" si="16"/>
        <v>14</v>
      </c>
      <c r="X24" s="39">
        <f t="shared" si="16"/>
        <v>5</v>
      </c>
      <c r="Y24" s="39">
        <f t="shared" si="16"/>
        <v>42</v>
      </c>
      <c r="Z24" s="39">
        <f t="shared" si="16"/>
        <v>49</v>
      </c>
      <c r="AA24" s="39">
        <f t="shared" si="16"/>
        <v>12</v>
      </c>
      <c r="AB24" s="39">
        <f t="shared" si="16"/>
        <v>37</v>
      </c>
      <c r="AC24" s="39">
        <f t="shared" si="16"/>
        <v>542</v>
      </c>
      <c r="AD24" s="39">
        <f t="shared" si="16"/>
        <v>0</v>
      </c>
      <c r="AE24" s="40">
        <f t="shared" si="16"/>
        <v>457</v>
      </c>
      <c r="AF24" s="40">
        <f t="shared" si="16"/>
        <v>999</v>
      </c>
    </row>
    <row r="25" spans="2:32" ht="23.1" customHeight="1" x14ac:dyDescent="0.25">
      <c r="B25" s="23" t="s">
        <v>52</v>
      </c>
      <c r="C25" s="50">
        <v>19</v>
      </c>
      <c r="D25" s="50">
        <v>9</v>
      </c>
      <c r="E25" s="50">
        <v>4</v>
      </c>
      <c r="F25" s="50">
        <v>31</v>
      </c>
      <c r="G25" s="50">
        <v>3</v>
      </c>
      <c r="H25" s="50">
        <v>2</v>
      </c>
      <c r="I25" s="50">
        <v>9</v>
      </c>
      <c r="J25" s="50">
        <v>11</v>
      </c>
      <c r="K25" s="50">
        <v>1</v>
      </c>
      <c r="L25" s="50">
        <v>7</v>
      </c>
      <c r="M25" s="50">
        <v>143</v>
      </c>
      <c r="N25" s="50">
        <v>0</v>
      </c>
      <c r="O25" s="15">
        <f t="shared" si="0"/>
        <v>96</v>
      </c>
      <c r="P25" s="15">
        <f t="shared" si="1"/>
        <v>239</v>
      </c>
      <c r="R25" s="37" t="s">
        <v>85</v>
      </c>
      <c r="S25" s="35">
        <f t="shared" ref="S25:AF25" si="17">SUM(S10:S12)</f>
        <v>319</v>
      </c>
      <c r="T25" s="16">
        <f t="shared" si="17"/>
        <v>96</v>
      </c>
      <c r="U25" s="16">
        <f t="shared" si="17"/>
        <v>59</v>
      </c>
      <c r="V25" s="16">
        <f t="shared" si="17"/>
        <v>388</v>
      </c>
      <c r="W25" s="16">
        <f t="shared" si="17"/>
        <v>25</v>
      </c>
      <c r="X25" s="16">
        <f t="shared" si="17"/>
        <v>12</v>
      </c>
      <c r="Y25" s="16">
        <f t="shared" si="17"/>
        <v>87</v>
      </c>
      <c r="Z25" s="16">
        <f t="shared" si="17"/>
        <v>95</v>
      </c>
      <c r="AA25" s="16">
        <f t="shared" si="17"/>
        <v>6</v>
      </c>
      <c r="AB25" s="16">
        <f t="shared" si="17"/>
        <v>165</v>
      </c>
      <c r="AC25" s="16">
        <f t="shared" si="17"/>
        <v>1961</v>
      </c>
      <c r="AD25" s="16">
        <f t="shared" si="17"/>
        <v>0</v>
      </c>
      <c r="AE25" s="32">
        <f t="shared" si="17"/>
        <v>1252</v>
      </c>
      <c r="AF25" s="32">
        <f t="shared" si="17"/>
        <v>3213</v>
      </c>
    </row>
    <row r="26" spans="2:32" ht="23.1" customHeight="1" x14ac:dyDescent="0.25">
      <c r="B26" s="23" t="s">
        <v>53</v>
      </c>
      <c r="C26" s="50">
        <v>16</v>
      </c>
      <c r="D26" s="50">
        <v>17</v>
      </c>
      <c r="E26" s="50">
        <v>3</v>
      </c>
      <c r="F26" s="50">
        <v>27</v>
      </c>
      <c r="G26" s="50">
        <v>0</v>
      </c>
      <c r="H26" s="50">
        <v>1</v>
      </c>
      <c r="I26" s="50">
        <v>8</v>
      </c>
      <c r="J26" s="50">
        <v>8</v>
      </c>
      <c r="K26" s="50">
        <v>0</v>
      </c>
      <c r="L26" s="50">
        <v>13</v>
      </c>
      <c r="M26" s="50">
        <v>124</v>
      </c>
      <c r="N26" s="50">
        <v>0</v>
      </c>
      <c r="O26" s="15">
        <f t="shared" si="0"/>
        <v>93</v>
      </c>
      <c r="P26" s="15">
        <f t="shared" si="1"/>
        <v>217</v>
      </c>
      <c r="R26" s="28" t="s">
        <v>86</v>
      </c>
      <c r="S26" s="16">
        <f t="shared" ref="S26:AF26" si="18">SUM(S13:S18)</f>
        <v>502</v>
      </c>
      <c r="T26" s="16">
        <f t="shared" si="18"/>
        <v>229</v>
      </c>
      <c r="U26" s="16">
        <f t="shared" si="18"/>
        <v>133</v>
      </c>
      <c r="V26" s="16">
        <f t="shared" si="18"/>
        <v>676</v>
      </c>
      <c r="W26" s="16">
        <f t="shared" si="18"/>
        <v>13</v>
      </c>
      <c r="X26" s="16">
        <f t="shared" si="18"/>
        <v>13</v>
      </c>
      <c r="Y26" s="16">
        <f t="shared" si="18"/>
        <v>232</v>
      </c>
      <c r="Z26" s="16">
        <f t="shared" si="18"/>
        <v>264</v>
      </c>
      <c r="AA26" s="16">
        <f t="shared" si="18"/>
        <v>32</v>
      </c>
      <c r="AB26" s="16">
        <f t="shared" si="18"/>
        <v>256</v>
      </c>
      <c r="AC26" s="16">
        <f t="shared" si="18"/>
        <v>2588</v>
      </c>
      <c r="AD26" s="16">
        <f t="shared" si="18"/>
        <v>0</v>
      </c>
      <c r="AE26" s="32">
        <f t="shared" si="18"/>
        <v>2350</v>
      </c>
      <c r="AF26" s="32">
        <f t="shared" si="18"/>
        <v>4938</v>
      </c>
    </row>
    <row r="27" spans="2:32" ht="23.1" customHeight="1" x14ac:dyDescent="0.25">
      <c r="B27" s="23" t="s">
        <v>54</v>
      </c>
      <c r="C27" s="50">
        <v>13</v>
      </c>
      <c r="D27" s="50">
        <v>8</v>
      </c>
      <c r="E27" s="50">
        <v>6</v>
      </c>
      <c r="F27" s="50">
        <v>33</v>
      </c>
      <c r="G27" s="50">
        <v>2</v>
      </c>
      <c r="H27" s="50">
        <v>0</v>
      </c>
      <c r="I27" s="50">
        <v>13</v>
      </c>
      <c r="J27" s="50">
        <v>10</v>
      </c>
      <c r="K27" s="50">
        <v>1</v>
      </c>
      <c r="L27" s="50">
        <v>11</v>
      </c>
      <c r="M27" s="50">
        <v>118</v>
      </c>
      <c r="N27" s="50">
        <v>0</v>
      </c>
      <c r="O27" s="15">
        <f t="shared" si="0"/>
        <v>97</v>
      </c>
      <c r="P27" s="15">
        <f t="shared" si="1"/>
        <v>215</v>
      </c>
      <c r="R27" s="29" t="s">
        <v>87</v>
      </c>
      <c r="S27" s="16">
        <f t="shared" ref="S27:AF27" si="19">SUM(S19:S21)</f>
        <v>341</v>
      </c>
      <c r="T27" s="16">
        <f t="shared" si="19"/>
        <v>110</v>
      </c>
      <c r="U27" s="16">
        <f t="shared" si="19"/>
        <v>76</v>
      </c>
      <c r="V27" s="16">
        <f t="shared" si="19"/>
        <v>369</v>
      </c>
      <c r="W27" s="16">
        <f t="shared" si="19"/>
        <v>26</v>
      </c>
      <c r="X27" s="16">
        <f t="shared" si="19"/>
        <v>10</v>
      </c>
      <c r="Y27" s="16">
        <f t="shared" si="19"/>
        <v>122</v>
      </c>
      <c r="Z27" s="16">
        <f t="shared" si="19"/>
        <v>114</v>
      </c>
      <c r="AA27" s="16">
        <f t="shared" si="19"/>
        <v>25</v>
      </c>
      <c r="AB27" s="16">
        <f t="shared" si="19"/>
        <v>88</v>
      </c>
      <c r="AC27" s="16">
        <f t="shared" si="19"/>
        <v>1415</v>
      </c>
      <c r="AD27" s="16">
        <f t="shared" si="19"/>
        <v>0</v>
      </c>
      <c r="AE27" s="32">
        <f t="shared" si="19"/>
        <v>1281</v>
      </c>
      <c r="AF27" s="32">
        <f t="shared" si="19"/>
        <v>2696</v>
      </c>
    </row>
    <row r="28" spans="2:32" ht="23.1" customHeight="1" x14ac:dyDescent="0.25">
      <c r="B28" s="23" t="s">
        <v>55</v>
      </c>
      <c r="C28" s="50">
        <v>12</v>
      </c>
      <c r="D28" s="50">
        <v>9</v>
      </c>
      <c r="E28" s="50">
        <v>3</v>
      </c>
      <c r="F28" s="50">
        <v>24</v>
      </c>
      <c r="G28" s="50">
        <v>0</v>
      </c>
      <c r="H28" s="50">
        <v>0</v>
      </c>
      <c r="I28" s="50">
        <v>9</v>
      </c>
      <c r="J28" s="50">
        <v>6</v>
      </c>
      <c r="K28" s="50">
        <v>0</v>
      </c>
      <c r="L28" s="50">
        <v>10</v>
      </c>
      <c r="M28" s="50">
        <v>98</v>
      </c>
      <c r="N28" s="50">
        <v>0</v>
      </c>
      <c r="O28" s="15">
        <f t="shared" si="0"/>
        <v>73</v>
      </c>
      <c r="P28" s="15">
        <f t="shared" si="1"/>
        <v>171</v>
      </c>
      <c r="R28" s="5" t="s">
        <v>17</v>
      </c>
      <c r="S28" s="16">
        <f t="shared" ref="S28:AF28" si="20">SUM(S10:S21)</f>
        <v>1162</v>
      </c>
      <c r="T28" s="16">
        <f t="shared" si="20"/>
        <v>435</v>
      </c>
      <c r="U28" s="16">
        <f t="shared" si="20"/>
        <v>268</v>
      </c>
      <c r="V28" s="16">
        <f t="shared" si="20"/>
        <v>1433</v>
      </c>
      <c r="W28" s="16">
        <f t="shared" si="20"/>
        <v>64</v>
      </c>
      <c r="X28" s="16">
        <f t="shared" si="20"/>
        <v>35</v>
      </c>
      <c r="Y28" s="16">
        <f t="shared" si="20"/>
        <v>441</v>
      </c>
      <c r="Z28" s="16">
        <f t="shared" si="20"/>
        <v>473</v>
      </c>
      <c r="AA28" s="16">
        <f t="shared" si="20"/>
        <v>63</v>
      </c>
      <c r="AB28" s="16">
        <f t="shared" si="20"/>
        <v>509</v>
      </c>
      <c r="AC28" s="16">
        <f t="shared" si="20"/>
        <v>5964</v>
      </c>
      <c r="AD28" s="16">
        <f t="shared" si="20"/>
        <v>0</v>
      </c>
      <c r="AE28" s="32">
        <f t="shared" si="20"/>
        <v>4883</v>
      </c>
      <c r="AF28" s="32">
        <f t="shared" si="20"/>
        <v>10847</v>
      </c>
    </row>
    <row r="29" spans="2:32" ht="23.1" customHeight="1" x14ac:dyDescent="0.25">
      <c r="B29" s="23" t="s">
        <v>56</v>
      </c>
      <c r="C29" s="50">
        <v>21</v>
      </c>
      <c r="D29" s="50">
        <v>8</v>
      </c>
      <c r="E29" s="50">
        <v>2</v>
      </c>
      <c r="F29" s="50">
        <v>29</v>
      </c>
      <c r="G29" s="50">
        <v>0</v>
      </c>
      <c r="H29" s="50">
        <v>1</v>
      </c>
      <c r="I29" s="50">
        <v>9</v>
      </c>
      <c r="J29" s="50">
        <v>8</v>
      </c>
      <c r="K29" s="50">
        <v>1</v>
      </c>
      <c r="L29" s="50">
        <v>10</v>
      </c>
      <c r="M29" s="50">
        <v>111</v>
      </c>
      <c r="N29" s="50">
        <v>0</v>
      </c>
      <c r="O29" s="15">
        <f t="shared" si="0"/>
        <v>89</v>
      </c>
      <c r="P29" s="15">
        <f t="shared" si="1"/>
        <v>200</v>
      </c>
      <c r="R29"/>
      <c r="S29" s="20"/>
      <c r="T29" s="19"/>
    </row>
    <row r="30" spans="2:32" ht="23.1" customHeight="1" x14ac:dyDescent="0.25">
      <c r="B30" s="23" t="s">
        <v>57</v>
      </c>
      <c r="C30" s="50">
        <v>21</v>
      </c>
      <c r="D30" s="50">
        <v>6</v>
      </c>
      <c r="E30" s="50">
        <v>2</v>
      </c>
      <c r="F30" s="50">
        <v>35</v>
      </c>
      <c r="G30" s="50">
        <v>0</v>
      </c>
      <c r="H30" s="50">
        <v>1</v>
      </c>
      <c r="I30" s="50">
        <v>18</v>
      </c>
      <c r="J30" s="50">
        <v>10</v>
      </c>
      <c r="K30" s="50">
        <v>0</v>
      </c>
      <c r="L30" s="50">
        <v>16</v>
      </c>
      <c r="M30" s="50">
        <v>144</v>
      </c>
      <c r="N30" s="50">
        <v>0</v>
      </c>
      <c r="O30" s="15">
        <f t="shared" si="0"/>
        <v>109</v>
      </c>
      <c r="P30" s="15">
        <f t="shared" si="1"/>
        <v>253</v>
      </c>
    </row>
    <row r="31" spans="2:32" ht="23.1" customHeight="1" x14ac:dyDescent="0.25">
      <c r="B31" s="24" t="s">
        <v>58</v>
      </c>
      <c r="C31" s="50">
        <v>24</v>
      </c>
      <c r="D31" s="50">
        <v>8</v>
      </c>
      <c r="E31" s="50">
        <v>7</v>
      </c>
      <c r="F31" s="50">
        <v>24</v>
      </c>
      <c r="G31" s="50">
        <v>0</v>
      </c>
      <c r="H31" s="50">
        <v>0</v>
      </c>
      <c r="I31" s="50">
        <v>7</v>
      </c>
      <c r="J31" s="50">
        <v>23</v>
      </c>
      <c r="K31" s="50">
        <v>2</v>
      </c>
      <c r="L31" s="50">
        <v>8</v>
      </c>
      <c r="M31" s="50">
        <v>119</v>
      </c>
      <c r="N31" s="50">
        <v>0</v>
      </c>
      <c r="O31" s="15">
        <f t="shared" si="0"/>
        <v>103</v>
      </c>
      <c r="P31" s="15">
        <f t="shared" si="1"/>
        <v>222</v>
      </c>
    </row>
    <row r="32" spans="2:32" ht="23.1" customHeight="1" x14ac:dyDescent="0.25">
      <c r="B32" s="24" t="s">
        <v>59</v>
      </c>
      <c r="C32" s="50">
        <v>20</v>
      </c>
      <c r="D32" s="50">
        <v>13</v>
      </c>
      <c r="E32" s="50">
        <v>4</v>
      </c>
      <c r="F32" s="50">
        <v>31</v>
      </c>
      <c r="G32" s="50">
        <v>2</v>
      </c>
      <c r="H32" s="50">
        <v>0</v>
      </c>
      <c r="I32" s="50">
        <v>6</v>
      </c>
      <c r="J32" s="50">
        <v>16</v>
      </c>
      <c r="K32" s="50">
        <v>2</v>
      </c>
      <c r="L32" s="50">
        <v>15</v>
      </c>
      <c r="M32" s="50">
        <v>103</v>
      </c>
      <c r="N32" s="50">
        <v>0</v>
      </c>
      <c r="O32" s="15">
        <f t="shared" si="0"/>
        <v>109</v>
      </c>
      <c r="P32" s="15">
        <f t="shared" si="1"/>
        <v>212</v>
      </c>
    </row>
    <row r="33" spans="2:20" ht="23.1" customHeight="1" x14ac:dyDescent="0.25">
      <c r="B33" s="23" t="s">
        <v>60</v>
      </c>
      <c r="C33" s="50">
        <v>29</v>
      </c>
      <c r="D33" s="50">
        <v>9</v>
      </c>
      <c r="E33" s="50">
        <v>5</v>
      </c>
      <c r="F33" s="50">
        <v>31</v>
      </c>
      <c r="G33" s="50">
        <v>0</v>
      </c>
      <c r="H33" s="50">
        <v>1</v>
      </c>
      <c r="I33" s="50">
        <v>9</v>
      </c>
      <c r="J33" s="50">
        <v>15</v>
      </c>
      <c r="K33" s="50">
        <v>0</v>
      </c>
      <c r="L33" s="50">
        <v>14</v>
      </c>
      <c r="M33" s="50">
        <v>140</v>
      </c>
      <c r="N33" s="50">
        <v>0</v>
      </c>
      <c r="O33" s="15">
        <f t="shared" si="0"/>
        <v>113</v>
      </c>
      <c r="P33" s="15">
        <f t="shared" si="1"/>
        <v>253</v>
      </c>
    </row>
    <row r="34" spans="2:20" ht="23.1" customHeight="1" x14ac:dyDescent="0.25">
      <c r="B34" s="24" t="s">
        <v>61</v>
      </c>
      <c r="C34" s="50">
        <v>10</v>
      </c>
      <c r="D34" s="50">
        <v>10</v>
      </c>
      <c r="E34" s="50">
        <v>4</v>
      </c>
      <c r="F34" s="50">
        <v>26</v>
      </c>
      <c r="G34" s="50">
        <v>0</v>
      </c>
      <c r="H34" s="50">
        <v>0</v>
      </c>
      <c r="I34" s="50">
        <v>6</v>
      </c>
      <c r="J34" s="50">
        <v>9</v>
      </c>
      <c r="K34" s="50">
        <v>1</v>
      </c>
      <c r="L34" s="50">
        <v>6</v>
      </c>
      <c r="M34" s="50">
        <v>112</v>
      </c>
      <c r="N34" s="50">
        <v>0</v>
      </c>
      <c r="O34" s="15">
        <f t="shared" si="0"/>
        <v>72</v>
      </c>
      <c r="P34" s="15">
        <f t="shared" si="1"/>
        <v>184</v>
      </c>
    </row>
    <row r="35" spans="2:20" ht="23.1" customHeight="1" x14ac:dyDescent="0.25">
      <c r="B35" s="24" t="s">
        <v>62</v>
      </c>
      <c r="C35" s="50">
        <v>20</v>
      </c>
      <c r="D35" s="50">
        <v>7</v>
      </c>
      <c r="E35" s="50">
        <v>3</v>
      </c>
      <c r="F35" s="50">
        <v>31</v>
      </c>
      <c r="G35" s="50">
        <v>1</v>
      </c>
      <c r="H35" s="50">
        <v>1</v>
      </c>
      <c r="I35" s="50">
        <v>13</v>
      </c>
      <c r="J35" s="50">
        <v>14</v>
      </c>
      <c r="K35" s="50">
        <v>0</v>
      </c>
      <c r="L35" s="50">
        <v>11</v>
      </c>
      <c r="M35" s="50">
        <v>112</v>
      </c>
      <c r="N35" s="50">
        <v>0</v>
      </c>
      <c r="O35" s="15">
        <f t="shared" si="0"/>
        <v>101</v>
      </c>
      <c r="P35" s="15">
        <f t="shared" si="1"/>
        <v>213</v>
      </c>
    </row>
    <row r="36" spans="2:20" ht="23.1" customHeight="1" x14ac:dyDescent="0.25">
      <c r="B36" s="24" t="s">
        <v>63</v>
      </c>
      <c r="C36" s="50">
        <v>20</v>
      </c>
      <c r="D36" s="50">
        <v>9</v>
      </c>
      <c r="E36" s="50">
        <v>14</v>
      </c>
      <c r="F36" s="50">
        <v>29</v>
      </c>
      <c r="G36" s="50">
        <v>1</v>
      </c>
      <c r="H36" s="50">
        <v>0</v>
      </c>
      <c r="I36" s="50">
        <v>7</v>
      </c>
      <c r="J36" s="50">
        <v>11</v>
      </c>
      <c r="K36" s="50">
        <v>1</v>
      </c>
      <c r="L36" s="50">
        <v>11</v>
      </c>
      <c r="M36" s="50">
        <v>99</v>
      </c>
      <c r="N36" s="50">
        <v>0</v>
      </c>
      <c r="O36" s="15">
        <f t="shared" si="0"/>
        <v>103</v>
      </c>
      <c r="P36" s="15">
        <f t="shared" si="1"/>
        <v>202</v>
      </c>
    </row>
    <row r="37" spans="2:20" ht="23.1" customHeight="1" x14ac:dyDescent="0.25">
      <c r="B37" s="23" t="s">
        <v>64</v>
      </c>
      <c r="C37" s="50">
        <v>19</v>
      </c>
      <c r="D37" s="50">
        <v>6</v>
      </c>
      <c r="E37" s="50">
        <v>6</v>
      </c>
      <c r="F37" s="50">
        <v>15</v>
      </c>
      <c r="G37" s="50">
        <v>0</v>
      </c>
      <c r="H37" s="50">
        <v>0</v>
      </c>
      <c r="I37" s="50">
        <v>8</v>
      </c>
      <c r="J37" s="50">
        <v>7</v>
      </c>
      <c r="K37" s="50">
        <v>1</v>
      </c>
      <c r="L37" s="50">
        <v>5</v>
      </c>
      <c r="M37" s="50">
        <v>108</v>
      </c>
      <c r="N37" s="50">
        <v>0</v>
      </c>
      <c r="O37" s="15">
        <f t="shared" si="0"/>
        <v>67</v>
      </c>
      <c r="P37" s="15">
        <f t="shared" si="1"/>
        <v>175</v>
      </c>
    </row>
    <row r="38" spans="2:20" ht="23.1" customHeight="1" x14ac:dyDescent="0.25">
      <c r="B38" s="24" t="s">
        <v>65</v>
      </c>
      <c r="C38" s="50">
        <v>28</v>
      </c>
      <c r="D38" s="50">
        <v>16</v>
      </c>
      <c r="E38" s="50">
        <v>4</v>
      </c>
      <c r="F38" s="50">
        <v>34</v>
      </c>
      <c r="G38" s="50">
        <v>0</v>
      </c>
      <c r="H38" s="50">
        <v>1</v>
      </c>
      <c r="I38" s="50">
        <v>18</v>
      </c>
      <c r="J38" s="50">
        <v>18</v>
      </c>
      <c r="K38" s="50">
        <v>1</v>
      </c>
      <c r="L38" s="50">
        <v>17</v>
      </c>
      <c r="M38" s="50">
        <v>112</v>
      </c>
      <c r="N38" s="50">
        <v>0</v>
      </c>
      <c r="O38" s="15">
        <f t="shared" si="0"/>
        <v>137</v>
      </c>
      <c r="P38" s="15">
        <f t="shared" si="1"/>
        <v>249</v>
      </c>
    </row>
    <row r="39" spans="2:20" ht="23.1" customHeight="1" x14ac:dyDescent="0.25">
      <c r="B39" s="24" t="s">
        <v>66</v>
      </c>
      <c r="C39" s="50">
        <v>28</v>
      </c>
      <c r="D39" s="50">
        <v>10</v>
      </c>
      <c r="E39" s="50">
        <v>8</v>
      </c>
      <c r="F39" s="50">
        <v>24</v>
      </c>
      <c r="G39" s="50">
        <v>1</v>
      </c>
      <c r="H39" s="50">
        <v>0</v>
      </c>
      <c r="I39" s="50">
        <v>11</v>
      </c>
      <c r="J39" s="50">
        <v>12</v>
      </c>
      <c r="K39" s="50">
        <v>0</v>
      </c>
      <c r="L39" s="50">
        <v>6</v>
      </c>
      <c r="M39" s="50">
        <v>83</v>
      </c>
      <c r="N39" s="50">
        <v>0</v>
      </c>
      <c r="O39" s="15">
        <f t="shared" si="0"/>
        <v>100</v>
      </c>
      <c r="P39" s="15">
        <f t="shared" si="1"/>
        <v>183</v>
      </c>
    </row>
    <row r="40" spans="2:20" ht="23.1" customHeight="1" x14ac:dyDescent="0.25">
      <c r="B40" s="24" t="s">
        <v>67</v>
      </c>
      <c r="C40" s="50">
        <v>32</v>
      </c>
      <c r="D40" s="50">
        <v>10</v>
      </c>
      <c r="E40" s="50">
        <v>7</v>
      </c>
      <c r="F40" s="50">
        <v>33</v>
      </c>
      <c r="G40" s="50">
        <v>0</v>
      </c>
      <c r="H40" s="50">
        <v>0</v>
      </c>
      <c r="I40" s="50">
        <v>13</v>
      </c>
      <c r="J40" s="50">
        <v>9</v>
      </c>
      <c r="K40" s="50">
        <v>2</v>
      </c>
      <c r="L40" s="50">
        <v>17</v>
      </c>
      <c r="M40" s="50">
        <v>45</v>
      </c>
      <c r="N40" s="50">
        <v>0</v>
      </c>
      <c r="O40" s="15">
        <f t="shared" si="0"/>
        <v>123</v>
      </c>
      <c r="P40" s="15">
        <f t="shared" si="1"/>
        <v>168</v>
      </c>
    </row>
    <row r="41" spans="2:20" ht="23.1" customHeight="1" x14ac:dyDescent="0.25">
      <c r="B41" s="23" t="s">
        <v>68</v>
      </c>
      <c r="C41" s="50">
        <v>15</v>
      </c>
      <c r="D41" s="50">
        <v>4</v>
      </c>
      <c r="E41" s="50">
        <v>5</v>
      </c>
      <c r="F41" s="50">
        <v>26</v>
      </c>
      <c r="G41" s="50">
        <v>0</v>
      </c>
      <c r="H41" s="50">
        <v>0</v>
      </c>
      <c r="I41" s="50">
        <v>9</v>
      </c>
      <c r="J41" s="50">
        <v>5</v>
      </c>
      <c r="K41" s="50">
        <v>6</v>
      </c>
      <c r="L41" s="50">
        <v>14</v>
      </c>
      <c r="M41" s="50">
        <v>74</v>
      </c>
      <c r="N41" s="50">
        <v>0</v>
      </c>
      <c r="O41" s="15">
        <f t="shared" si="0"/>
        <v>84</v>
      </c>
      <c r="P41" s="15">
        <f t="shared" si="1"/>
        <v>158</v>
      </c>
    </row>
    <row r="42" spans="2:20" ht="23.1" customHeight="1" x14ac:dyDescent="0.25">
      <c r="B42" s="24" t="s">
        <v>69</v>
      </c>
      <c r="C42" s="50">
        <v>31</v>
      </c>
      <c r="D42" s="50">
        <v>9</v>
      </c>
      <c r="E42" s="50">
        <v>4</v>
      </c>
      <c r="F42" s="50">
        <v>26</v>
      </c>
      <c r="G42" s="50">
        <v>0</v>
      </c>
      <c r="H42" s="50">
        <v>1</v>
      </c>
      <c r="I42" s="50">
        <v>7</v>
      </c>
      <c r="J42" s="50">
        <v>10</v>
      </c>
      <c r="K42" s="50">
        <v>6</v>
      </c>
      <c r="L42" s="50">
        <v>6</v>
      </c>
      <c r="M42" s="50">
        <v>72</v>
      </c>
      <c r="N42" s="50">
        <v>0</v>
      </c>
      <c r="O42" s="15">
        <f t="shared" si="0"/>
        <v>100</v>
      </c>
      <c r="P42" s="15">
        <f t="shared" si="1"/>
        <v>172</v>
      </c>
    </row>
    <row r="43" spans="2:20" ht="23.1" customHeight="1" x14ac:dyDescent="0.25">
      <c r="B43" s="23" t="s">
        <v>70</v>
      </c>
      <c r="C43" s="50">
        <v>16</v>
      </c>
      <c r="D43" s="50">
        <v>13</v>
      </c>
      <c r="E43" s="50">
        <v>5</v>
      </c>
      <c r="F43" s="50">
        <v>24</v>
      </c>
      <c r="G43" s="50">
        <v>1</v>
      </c>
      <c r="H43" s="50">
        <v>0</v>
      </c>
      <c r="I43" s="50">
        <v>8</v>
      </c>
      <c r="J43" s="50">
        <v>12</v>
      </c>
      <c r="K43" s="50">
        <v>2</v>
      </c>
      <c r="L43" s="50">
        <v>5</v>
      </c>
      <c r="M43" s="50">
        <v>112</v>
      </c>
      <c r="N43" s="50">
        <v>0</v>
      </c>
      <c r="O43" s="15">
        <f t="shared" si="0"/>
        <v>86</v>
      </c>
      <c r="P43" s="15">
        <f t="shared" si="1"/>
        <v>198</v>
      </c>
    </row>
    <row r="44" spans="2:20" ht="23.1" customHeight="1" x14ac:dyDescent="0.25">
      <c r="B44" s="25" t="s">
        <v>71</v>
      </c>
      <c r="C44" s="50">
        <v>20</v>
      </c>
      <c r="D44" s="50">
        <v>4</v>
      </c>
      <c r="E44" s="50">
        <v>7</v>
      </c>
      <c r="F44" s="50">
        <v>18</v>
      </c>
      <c r="G44" s="50">
        <v>0</v>
      </c>
      <c r="H44" s="50">
        <v>0</v>
      </c>
      <c r="I44" s="50">
        <v>11</v>
      </c>
      <c r="J44" s="50">
        <v>8</v>
      </c>
      <c r="K44" s="50">
        <v>3</v>
      </c>
      <c r="L44" s="50">
        <v>11</v>
      </c>
      <c r="M44" s="50">
        <v>96</v>
      </c>
      <c r="N44" s="50">
        <v>0</v>
      </c>
      <c r="O44" s="15">
        <f t="shared" si="0"/>
        <v>82</v>
      </c>
      <c r="P44" s="15">
        <f t="shared" si="1"/>
        <v>178</v>
      </c>
    </row>
    <row r="45" spans="2:20" ht="23.1" customHeight="1" x14ac:dyDescent="0.25">
      <c r="B45" s="23" t="s">
        <v>72</v>
      </c>
      <c r="C45" s="50">
        <v>26</v>
      </c>
      <c r="D45" s="50">
        <v>18</v>
      </c>
      <c r="E45" s="50">
        <v>5</v>
      </c>
      <c r="F45" s="50">
        <v>43</v>
      </c>
      <c r="G45" s="50">
        <v>0</v>
      </c>
      <c r="H45" s="50">
        <v>3</v>
      </c>
      <c r="I45" s="50">
        <v>12</v>
      </c>
      <c r="J45" s="50">
        <v>11</v>
      </c>
      <c r="K45" s="50">
        <v>0</v>
      </c>
      <c r="L45" s="50">
        <v>12</v>
      </c>
      <c r="M45" s="50">
        <v>99</v>
      </c>
      <c r="N45" s="50">
        <v>0</v>
      </c>
      <c r="O45" s="15">
        <f t="shared" si="0"/>
        <v>130</v>
      </c>
      <c r="P45" s="15">
        <f t="shared" si="1"/>
        <v>229</v>
      </c>
    </row>
    <row r="46" spans="2:20" ht="23.1" customHeight="1" x14ac:dyDescent="0.25">
      <c r="B46" s="24" t="s">
        <v>73</v>
      </c>
      <c r="C46" s="50">
        <v>21</v>
      </c>
      <c r="D46" s="50">
        <v>4</v>
      </c>
      <c r="E46" s="50">
        <v>6</v>
      </c>
      <c r="F46" s="50">
        <v>26</v>
      </c>
      <c r="G46" s="50">
        <v>0</v>
      </c>
      <c r="H46" s="50">
        <v>0</v>
      </c>
      <c r="I46" s="50">
        <v>13</v>
      </c>
      <c r="J46" s="50">
        <v>4</v>
      </c>
      <c r="K46" s="50">
        <v>2</v>
      </c>
      <c r="L46" s="50">
        <v>10</v>
      </c>
      <c r="M46" s="50">
        <v>117</v>
      </c>
      <c r="N46" s="50">
        <v>0</v>
      </c>
      <c r="O46" s="15">
        <f t="shared" si="0"/>
        <v>86</v>
      </c>
      <c r="P46" s="15">
        <f t="shared" si="1"/>
        <v>203</v>
      </c>
      <c r="R46" s="8"/>
      <c r="T46"/>
    </row>
    <row r="47" spans="2:20" ht="23.1" customHeight="1" x14ac:dyDescent="0.25">
      <c r="B47" s="24" t="s">
        <v>74</v>
      </c>
      <c r="C47" s="50">
        <v>21</v>
      </c>
      <c r="D47" s="50">
        <v>8</v>
      </c>
      <c r="E47" s="50">
        <v>1</v>
      </c>
      <c r="F47" s="50">
        <v>24</v>
      </c>
      <c r="G47" s="50">
        <v>1</v>
      </c>
      <c r="H47" s="50">
        <v>0</v>
      </c>
      <c r="I47" s="50">
        <v>7</v>
      </c>
      <c r="J47" s="50">
        <v>8</v>
      </c>
      <c r="K47" s="50">
        <v>0</v>
      </c>
      <c r="L47" s="50">
        <v>11</v>
      </c>
      <c r="M47" s="50">
        <v>111</v>
      </c>
      <c r="N47" s="50">
        <v>0</v>
      </c>
      <c r="O47" s="15">
        <f t="shared" si="0"/>
        <v>81</v>
      </c>
      <c r="P47" s="15">
        <f t="shared" si="1"/>
        <v>192</v>
      </c>
      <c r="R47" s="8"/>
      <c r="T47"/>
    </row>
    <row r="48" spans="2:20" ht="23.1" customHeight="1" x14ac:dyDescent="0.25">
      <c r="B48" s="24" t="s">
        <v>75</v>
      </c>
      <c r="C48" s="50">
        <v>30</v>
      </c>
      <c r="D48" s="50">
        <v>9</v>
      </c>
      <c r="E48" s="50">
        <v>6</v>
      </c>
      <c r="F48" s="50">
        <v>32</v>
      </c>
      <c r="G48" s="50">
        <v>3</v>
      </c>
      <c r="H48" s="50">
        <v>0</v>
      </c>
      <c r="I48" s="50">
        <v>11</v>
      </c>
      <c r="J48" s="50">
        <v>9</v>
      </c>
      <c r="K48" s="50">
        <v>1</v>
      </c>
      <c r="L48" s="50">
        <v>8</v>
      </c>
      <c r="M48" s="50">
        <v>103</v>
      </c>
      <c r="N48" s="50">
        <v>0</v>
      </c>
      <c r="O48" s="15">
        <f t="shared" si="0"/>
        <v>109</v>
      </c>
      <c r="P48" s="15">
        <f t="shared" si="1"/>
        <v>212</v>
      </c>
      <c r="R48" s="8"/>
      <c r="T48"/>
    </row>
    <row r="49" spans="2:20" ht="23.1" customHeight="1" x14ac:dyDescent="0.25">
      <c r="B49" s="23" t="s">
        <v>76</v>
      </c>
      <c r="C49" s="50">
        <v>23</v>
      </c>
      <c r="D49" s="50">
        <v>9</v>
      </c>
      <c r="E49" s="50">
        <v>5</v>
      </c>
      <c r="F49" s="50">
        <v>45</v>
      </c>
      <c r="G49" s="50">
        <v>4</v>
      </c>
      <c r="H49" s="50">
        <v>2</v>
      </c>
      <c r="I49" s="50">
        <v>11</v>
      </c>
      <c r="J49" s="50">
        <v>8</v>
      </c>
      <c r="K49" s="50">
        <v>1</v>
      </c>
      <c r="L49" s="50">
        <v>8</v>
      </c>
      <c r="M49" s="50">
        <v>85</v>
      </c>
      <c r="N49" s="50">
        <v>0</v>
      </c>
      <c r="O49" s="15">
        <f t="shared" si="0"/>
        <v>116</v>
      </c>
      <c r="P49" s="15">
        <f t="shared" si="1"/>
        <v>201</v>
      </c>
      <c r="R49" s="8"/>
      <c r="T49"/>
    </row>
    <row r="50" spans="2:20" ht="23.1" customHeight="1" x14ac:dyDescent="0.25">
      <c r="B50" s="24" t="s">
        <v>77</v>
      </c>
      <c r="C50" s="50">
        <v>30</v>
      </c>
      <c r="D50" s="50">
        <v>12</v>
      </c>
      <c r="E50" s="50">
        <v>5</v>
      </c>
      <c r="F50" s="50">
        <v>35</v>
      </c>
      <c r="G50" s="50">
        <v>2</v>
      </c>
      <c r="H50" s="50">
        <v>0</v>
      </c>
      <c r="I50" s="50">
        <v>10</v>
      </c>
      <c r="J50" s="50">
        <v>11</v>
      </c>
      <c r="K50" s="50">
        <v>1</v>
      </c>
      <c r="L50" s="50">
        <v>8</v>
      </c>
      <c r="M50" s="50">
        <v>107</v>
      </c>
      <c r="N50" s="50">
        <v>0</v>
      </c>
      <c r="O50" s="15">
        <f t="shared" si="0"/>
        <v>114</v>
      </c>
      <c r="P50" s="15">
        <f t="shared" si="1"/>
        <v>221</v>
      </c>
      <c r="R50" s="8"/>
      <c r="T50"/>
    </row>
    <row r="51" spans="2:20" ht="23.1" customHeight="1" x14ac:dyDescent="0.25">
      <c r="B51" s="24" t="s">
        <v>78</v>
      </c>
      <c r="C51" s="50">
        <v>29</v>
      </c>
      <c r="D51" s="50">
        <v>9</v>
      </c>
      <c r="E51" s="50">
        <v>8</v>
      </c>
      <c r="F51" s="50">
        <v>22</v>
      </c>
      <c r="G51" s="50">
        <v>1</v>
      </c>
      <c r="H51" s="50">
        <v>1</v>
      </c>
      <c r="I51" s="50">
        <v>8</v>
      </c>
      <c r="J51" s="50">
        <v>5</v>
      </c>
      <c r="K51" s="50">
        <v>2</v>
      </c>
      <c r="L51" s="50">
        <v>6</v>
      </c>
      <c r="M51" s="50">
        <v>110</v>
      </c>
      <c r="N51" s="50">
        <v>0</v>
      </c>
      <c r="O51" s="15">
        <f t="shared" si="0"/>
        <v>91</v>
      </c>
      <c r="P51" s="15">
        <f t="shared" si="1"/>
        <v>201</v>
      </c>
      <c r="R51" s="8"/>
      <c r="T51"/>
    </row>
    <row r="52" spans="2:20" ht="23.1" customHeight="1" x14ac:dyDescent="0.25">
      <c r="B52" s="24" t="s">
        <v>79</v>
      </c>
      <c r="C52" s="50">
        <v>29</v>
      </c>
      <c r="D52" s="50">
        <v>15</v>
      </c>
      <c r="E52" s="50">
        <v>7</v>
      </c>
      <c r="F52" s="50">
        <v>25</v>
      </c>
      <c r="G52" s="50">
        <v>0</v>
      </c>
      <c r="H52" s="50">
        <v>1</v>
      </c>
      <c r="I52" s="50">
        <v>8</v>
      </c>
      <c r="J52" s="50">
        <v>8</v>
      </c>
      <c r="K52" s="50">
        <v>4</v>
      </c>
      <c r="L52" s="50">
        <v>1</v>
      </c>
      <c r="M52" s="50">
        <v>138</v>
      </c>
      <c r="N52" s="50">
        <v>0</v>
      </c>
      <c r="O52" s="15">
        <f t="shared" si="0"/>
        <v>98</v>
      </c>
      <c r="P52" s="15">
        <f t="shared" si="1"/>
        <v>236</v>
      </c>
      <c r="R52" s="8"/>
      <c r="T52"/>
    </row>
    <row r="53" spans="2:20" ht="23.1" customHeight="1" x14ac:dyDescent="0.25">
      <c r="B53" s="23" t="s">
        <v>80</v>
      </c>
      <c r="C53" s="50">
        <v>35</v>
      </c>
      <c r="D53" s="50">
        <v>7</v>
      </c>
      <c r="E53" s="50">
        <v>8</v>
      </c>
      <c r="F53" s="50">
        <v>40</v>
      </c>
      <c r="G53" s="50">
        <v>1</v>
      </c>
      <c r="H53" s="50">
        <v>1</v>
      </c>
      <c r="I53" s="50">
        <v>15</v>
      </c>
      <c r="J53" s="50">
        <v>12</v>
      </c>
      <c r="K53" s="50">
        <v>2</v>
      </c>
      <c r="L53" s="50">
        <v>8</v>
      </c>
      <c r="M53" s="50">
        <v>102</v>
      </c>
      <c r="N53" s="50">
        <v>0</v>
      </c>
      <c r="O53" s="15">
        <f t="shared" si="0"/>
        <v>129</v>
      </c>
      <c r="P53" s="15">
        <f t="shared" si="1"/>
        <v>231</v>
      </c>
      <c r="R53" s="8"/>
      <c r="T53"/>
    </row>
    <row r="54" spans="2:20" ht="23.1" customHeight="1" x14ac:dyDescent="0.25">
      <c r="B54" s="23" t="s">
        <v>81</v>
      </c>
      <c r="C54" s="50">
        <v>33</v>
      </c>
      <c r="D54" s="50">
        <v>15</v>
      </c>
      <c r="E54" s="50">
        <v>4</v>
      </c>
      <c r="F54" s="50">
        <v>42</v>
      </c>
      <c r="G54" s="50">
        <v>3</v>
      </c>
      <c r="H54" s="50">
        <v>1</v>
      </c>
      <c r="I54" s="50">
        <v>11</v>
      </c>
      <c r="J54" s="50">
        <v>5</v>
      </c>
      <c r="K54" s="50">
        <v>4</v>
      </c>
      <c r="L54" s="50">
        <v>6</v>
      </c>
      <c r="M54" s="50">
        <v>133</v>
      </c>
      <c r="N54" s="50">
        <v>0</v>
      </c>
      <c r="O54" s="15">
        <f t="shared" si="0"/>
        <v>124</v>
      </c>
      <c r="P54" s="15">
        <f t="shared" si="1"/>
        <v>257</v>
      </c>
      <c r="R54" s="8"/>
      <c r="T54"/>
    </row>
    <row r="55" spans="2:20" ht="23.1" customHeight="1" x14ac:dyDescent="0.25">
      <c r="B55" s="23" t="s">
        <v>82</v>
      </c>
      <c r="C55" s="50">
        <v>26</v>
      </c>
      <c r="D55" s="50">
        <v>5</v>
      </c>
      <c r="E55" s="50">
        <v>5</v>
      </c>
      <c r="F55" s="50">
        <v>19</v>
      </c>
      <c r="G55" s="50">
        <v>5</v>
      </c>
      <c r="H55" s="50">
        <v>0</v>
      </c>
      <c r="I55" s="50">
        <v>11</v>
      </c>
      <c r="J55" s="50">
        <v>11</v>
      </c>
      <c r="K55" s="50">
        <v>0</v>
      </c>
      <c r="L55" s="50">
        <v>7</v>
      </c>
      <c r="M55" s="50">
        <v>137</v>
      </c>
      <c r="N55" s="50">
        <v>0</v>
      </c>
      <c r="O55" s="15">
        <f t="shared" si="0"/>
        <v>89</v>
      </c>
      <c r="P55" s="15">
        <f t="shared" si="1"/>
        <v>226</v>
      </c>
      <c r="R55" s="8"/>
      <c r="T55"/>
    </row>
    <row r="56" spans="2:20" ht="23.1" customHeight="1" x14ac:dyDescent="0.25">
      <c r="B56" s="23" t="s">
        <v>83</v>
      </c>
      <c r="C56" s="50">
        <v>36</v>
      </c>
      <c r="D56" s="50">
        <v>11</v>
      </c>
      <c r="E56" s="50">
        <v>8</v>
      </c>
      <c r="F56" s="50">
        <v>24</v>
      </c>
      <c r="G56" s="50">
        <v>2</v>
      </c>
      <c r="H56" s="50">
        <v>3</v>
      </c>
      <c r="I56" s="50">
        <v>7</v>
      </c>
      <c r="J56" s="50">
        <v>13</v>
      </c>
      <c r="K56" s="50">
        <v>5</v>
      </c>
      <c r="L56" s="50">
        <v>9</v>
      </c>
      <c r="M56" s="50">
        <v>142</v>
      </c>
      <c r="N56" s="50">
        <v>0</v>
      </c>
      <c r="O56" s="15">
        <f t="shared" si="0"/>
        <v>118</v>
      </c>
      <c r="P56" s="15">
        <f t="shared" si="1"/>
        <v>260</v>
      </c>
      <c r="R56" s="8"/>
      <c r="T56"/>
    </row>
    <row r="57" spans="2:20" ht="23.1" customHeight="1" x14ac:dyDescent="0.25">
      <c r="B57" s="23" t="s">
        <v>84</v>
      </c>
      <c r="C57" s="50">
        <v>28</v>
      </c>
      <c r="D57" s="50">
        <v>6</v>
      </c>
      <c r="E57" s="50">
        <v>13</v>
      </c>
      <c r="F57" s="50">
        <v>35</v>
      </c>
      <c r="G57" s="50">
        <v>4</v>
      </c>
      <c r="H57" s="50">
        <v>1</v>
      </c>
      <c r="I57" s="50">
        <v>10</v>
      </c>
      <c r="J57" s="50">
        <v>20</v>
      </c>
      <c r="K57" s="50">
        <v>3</v>
      </c>
      <c r="L57" s="50">
        <v>6</v>
      </c>
      <c r="M57" s="50">
        <v>130</v>
      </c>
      <c r="N57" s="50">
        <v>0</v>
      </c>
      <c r="O57" s="15">
        <f t="shared" si="0"/>
        <v>126</v>
      </c>
      <c r="P57" s="15">
        <f t="shared" si="1"/>
        <v>256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1162</v>
      </c>
      <c r="D58" s="16">
        <f t="shared" si="21"/>
        <v>435</v>
      </c>
      <c r="E58" s="16">
        <f t="shared" si="21"/>
        <v>268</v>
      </c>
      <c r="F58" s="16">
        <f t="shared" si="21"/>
        <v>1433</v>
      </c>
      <c r="G58" s="16">
        <f t="shared" si="21"/>
        <v>64</v>
      </c>
      <c r="H58" s="16">
        <f t="shared" si="21"/>
        <v>35</v>
      </c>
      <c r="I58" s="16">
        <f t="shared" si="21"/>
        <v>441</v>
      </c>
      <c r="J58" s="16">
        <f t="shared" si="21"/>
        <v>473</v>
      </c>
      <c r="K58" s="16">
        <f t="shared" si="21"/>
        <v>63</v>
      </c>
      <c r="L58" s="16">
        <f t="shared" si="21"/>
        <v>509</v>
      </c>
      <c r="M58" s="16">
        <f t="shared" si="21"/>
        <v>5964</v>
      </c>
      <c r="N58" s="16">
        <f t="shared" si="21"/>
        <v>0</v>
      </c>
      <c r="O58" s="16">
        <f t="shared" si="21"/>
        <v>4883</v>
      </c>
      <c r="P58" s="16">
        <f t="shared" si="21"/>
        <v>10847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0.10712639439476353</v>
      </c>
      <c r="D59" s="43">
        <f t="shared" si="22"/>
        <v>4.0103254356043144E-2</v>
      </c>
      <c r="E59" s="43">
        <f t="shared" si="22"/>
        <v>2.4707292338895546E-2</v>
      </c>
      <c r="F59" s="43">
        <f t="shared" si="22"/>
        <v>0.13211026090163178</v>
      </c>
      <c r="G59" s="43">
        <f t="shared" si="22"/>
        <v>5.9002489167511753E-3</v>
      </c>
      <c r="H59" s="43">
        <f t="shared" si="22"/>
        <v>3.2266986263482992E-3</v>
      </c>
      <c r="I59" s="43">
        <f t="shared" si="22"/>
        <v>4.0656402691988565E-2</v>
      </c>
      <c r="J59" s="43">
        <f t="shared" si="22"/>
        <v>4.3606527150364158E-2</v>
      </c>
      <c r="K59" s="43">
        <f t="shared" si="22"/>
        <v>5.8080575274269382E-3</v>
      </c>
      <c r="L59" s="43">
        <f t="shared" si="22"/>
        <v>4.6925417166036695E-2</v>
      </c>
      <c r="M59" s="43">
        <f t="shared" si="22"/>
        <v>0.54982944592975014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0.23796846201105878</v>
      </c>
      <c r="D60" s="44">
        <f t="shared" ref="D60:N60" si="23">D58/$O$58</f>
        <v>8.9084579152160559E-2</v>
      </c>
      <c r="E60" s="44">
        <f t="shared" si="23"/>
        <v>5.4884292443170182E-2</v>
      </c>
      <c r="F60" s="44">
        <f t="shared" si="23"/>
        <v>0.29346713086217491</v>
      </c>
      <c r="G60" s="44">
        <f t="shared" si="23"/>
        <v>1.310669670284661E-2</v>
      </c>
      <c r="H60" s="44">
        <f t="shared" si="23"/>
        <v>7.1677247593692405E-3</v>
      </c>
      <c r="I60" s="44">
        <f t="shared" si="23"/>
        <v>9.0313331968052427E-2</v>
      </c>
      <c r="J60" s="44">
        <f t="shared" si="23"/>
        <v>9.6866680319475734E-2</v>
      </c>
      <c r="K60" s="44">
        <f t="shared" si="23"/>
        <v>1.2901904566864632E-2</v>
      </c>
      <c r="L60" s="44">
        <f t="shared" si="23"/>
        <v>0.10423919721482695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1" t="str">
        <f>'29.10 Mukono-Mbalala'!G5:H5</f>
        <v>Perfect tents</v>
      </c>
      <c r="H5" s="62"/>
      <c r="I5" s="14"/>
      <c r="J5" s="2" t="s">
        <v>5</v>
      </c>
      <c r="K5" s="61" t="str">
        <f>'29.10 Mukono-Mbalala'!K5:L5</f>
        <v>Julius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Mukono-Mbalala'!D6:E6</f>
        <v>Mukono</v>
      </c>
      <c r="E6" s="62"/>
      <c r="F6" s="2" t="s">
        <v>2</v>
      </c>
      <c r="G6" s="61" t="str">
        <f>'29.10 Mukono-Mbalala'!G6:H6</f>
        <v>Mbalala</v>
      </c>
      <c r="H6" s="62"/>
      <c r="J6" s="2" t="s">
        <v>21</v>
      </c>
      <c r="K6" s="61" t="str">
        <f>'29.10 Mukono-Mbalala'!K6:L6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83</v>
      </c>
      <c r="D10" s="50">
        <v>81</v>
      </c>
      <c r="E10" s="50">
        <v>12</v>
      </c>
      <c r="F10" s="50">
        <v>61</v>
      </c>
      <c r="G10" s="50">
        <v>2</v>
      </c>
      <c r="H10" s="50">
        <v>3</v>
      </c>
      <c r="I10" s="50">
        <v>39</v>
      </c>
      <c r="J10" s="50">
        <v>21</v>
      </c>
      <c r="K10" s="50">
        <v>6</v>
      </c>
      <c r="L10" s="50">
        <v>9</v>
      </c>
      <c r="M10" s="50">
        <v>158</v>
      </c>
      <c r="N10" s="50">
        <v>0</v>
      </c>
      <c r="O10" s="15">
        <f t="shared" ref="O10:O57" si="0">SUM(C10:L10,N10)</f>
        <v>317</v>
      </c>
      <c r="P10" s="15">
        <f t="shared" ref="P10:P57" si="1">SUM(C10:N10)</f>
        <v>475</v>
      </c>
      <c r="R10" s="1" t="s">
        <v>6</v>
      </c>
      <c r="S10" s="17">
        <f t="shared" ref="S10:AF10" si="2">SUM(C10:C13)</f>
        <v>280</v>
      </c>
      <c r="T10" s="17">
        <f t="shared" si="2"/>
        <v>151</v>
      </c>
      <c r="U10" s="17">
        <f t="shared" si="2"/>
        <v>31</v>
      </c>
      <c r="V10" s="17">
        <f t="shared" si="2"/>
        <v>166</v>
      </c>
      <c r="W10" s="17">
        <f t="shared" si="2"/>
        <v>17</v>
      </c>
      <c r="X10" s="17">
        <f t="shared" si="2"/>
        <v>11</v>
      </c>
      <c r="Y10" s="17">
        <f t="shared" si="2"/>
        <v>112</v>
      </c>
      <c r="Z10" s="17">
        <f t="shared" si="2"/>
        <v>25</v>
      </c>
      <c r="AA10" s="17">
        <f t="shared" si="2"/>
        <v>19</v>
      </c>
      <c r="AB10" s="17">
        <f t="shared" si="2"/>
        <v>103</v>
      </c>
      <c r="AC10" s="17">
        <f t="shared" si="2"/>
        <v>627</v>
      </c>
      <c r="AD10" s="17">
        <f t="shared" si="2"/>
        <v>0</v>
      </c>
      <c r="AE10" s="31">
        <f t="shared" si="2"/>
        <v>915</v>
      </c>
      <c r="AF10" s="31">
        <f t="shared" si="2"/>
        <v>1542</v>
      </c>
    </row>
    <row r="11" spans="2:32" s="6" customFormat="1" ht="23.1" customHeight="1" x14ac:dyDescent="0.25">
      <c r="B11" s="23" t="s">
        <v>38</v>
      </c>
      <c r="C11" s="50">
        <v>61</v>
      </c>
      <c r="D11" s="50">
        <v>23</v>
      </c>
      <c r="E11" s="50">
        <v>6</v>
      </c>
      <c r="F11" s="50">
        <v>29</v>
      </c>
      <c r="G11" s="50">
        <v>5</v>
      </c>
      <c r="H11" s="50">
        <v>1</v>
      </c>
      <c r="I11" s="50">
        <v>43</v>
      </c>
      <c r="J11" s="50">
        <v>4</v>
      </c>
      <c r="K11" s="50">
        <v>12</v>
      </c>
      <c r="L11" s="50">
        <v>11</v>
      </c>
      <c r="M11" s="50">
        <v>125</v>
      </c>
      <c r="N11" s="50">
        <v>0</v>
      </c>
      <c r="O11" s="15">
        <f t="shared" si="0"/>
        <v>195</v>
      </c>
      <c r="P11" s="15">
        <f t="shared" si="1"/>
        <v>320</v>
      </c>
      <c r="R11" s="1" t="s">
        <v>7</v>
      </c>
      <c r="S11" s="17">
        <f t="shared" ref="S11:AF11" si="3">SUM(C14:C17)</f>
        <v>137</v>
      </c>
      <c r="T11" s="17">
        <f t="shared" si="3"/>
        <v>48</v>
      </c>
      <c r="U11" s="17">
        <f t="shared" si="3"/>
        <v>24</v>
      </c>
      <c r="V11" s="17">
        <f t="shared" si="3"/>
        <v>127</v>
      </c>
      <c r="W11" s="17">
        <f t="shared" si="3"/>
        <v>4</v>
      </c>
      <c r="X11" s="17">
        <f t="shared" si="3"/>
        <v>9</v>
      </c>
      <c r="Y11" s="17">
        <f t="shared" si="3"/>
        <v>26</v>
      </c>
      <c r="Z11" s="17">
        <f t="shared" si="3"/>
        <v>20</v>
      </c>
      <c r="AA11" s="17">
        <f t="shared" si="3"/>
        <v>17</v>
      </c>
      <c r="AB11" s="17">
        <f t="shared" si="3"/>
        <v>29</v>
      </c>
      <c r="AC11" s="17">
        <f t="shared" si="3"/>
        <v>444</v>
      </c>
      <c r="AD11" s="17">
        <f t="shared" si="3"/>
        <v>1</v>
      </c>
      <c r="AE11" s="31">
        <f t="shared" si="3"/>
        <v>442</v>
      </c>
      <c r="AF11" s="31">
        <f t="shared" si="3"/>
        <v>886</v>
      </c>
    </row>
    <row r="12" spans="2:32" ht="23.1" customHeight="1" x14ac:dyDescent="0.25">
      <c r="B12" s="23" t="s">
        <v>39</v>
      </c>
      <c r="C12" s="50">
        <v>61</v>
      </c>
      <c r="D12" s="50">
        <v>21</v>
      </c>
      <c r="E12" s="50">
        <v>9</v>
      </c>
      <c r="F12" s="50">
        <v>47</v>
      </c>
      <c r="G12" s="50">
        <v>2</v>
      </c>
      <c r="H12" s="50">
        <v>3</v>
      </c>
      <c r="I12" s="50">
        <v>14</v>
      </c>
      <c r="J12" s="50">
        <v>0</v>
      </c>
      <c r="K12" s="50">
        <v>0</v>
      </c>
      <c r="L12" s="50">
        <v>54</v>
      </c>
      <c r="M12" s="50">
        <v>185</v>
      </c>
      <c r="N12" s="50">
        <v>0</v>
      </c>
      <c r="O12" s="15">
        <f t="shared" si="0"/>
        <v>211</v>
      </c>
      <c r="P12" s="15">
        <f t="shared" si="1"/>
        <v>396</v>
      </c>
      <c r="R12" s="1" t="s">
        <v>8</v>
      </c>
      <c r="S12" s="17">
        <f t="shared" ref="S12:AF12" si="4">SUM(C18:C21)</f>
        <v>139</v>
      </c>
      <c r="T12" s="17">
        <f t="shared" si="4"/>
        <v>49</v>
      </c>
      <c r="U12" s="17">
        <f t="shared" si="4"/>
        <v>30</v>
      </c>
      <c r="V12" s="17">
        <f t="shared" si="4"/>
        <v>170</v>
      </c>
      <c r="W12" s="17">
        <f t="shared" si="4"/>
        <v>5</v>
      </c>
      <c r="X12" s="17">
        <f t="shared" si="4"/>
        <v>2</v>
      </c>
      <c r="Y12" s="17">
        <f t="shared" si="4"/>
        <v>51</v>
      </c>
      <c r="Z12" s="17">
        <f t="shared" si="4"/>
        <v>20</v>
      </c>
      <c r="AA12" s="17">
        <f t="shared" si="4"/>
        <v>19</v>
      </c>
      <c r="AB12" s="17">
        <f t="shared" si="4"/>
        <v>31</v>
      </c>
      <c r="AC12" s="17">
        <f t="shared" si="4"/>
        <v>406</v>
      </c>
      <c r="AD12" s="17">
        <f t="shared" si="4"/>
        <v>0</v>
      </c>
      <c r="AE12" s="31">
        <f t="shared" si="4"/>
        <v>516</v>
      </c>
      <c r="AF12" s="31">
        <f t="shared" si="4"/>
        <v>922</v>
      </c>
    </row>
    <row r="13" spans="2:32" ht="23.1" customHeight="1" x14ac:dyDescent="0.25">
      <c r="B13" s="23" t="s">
        <v>40</v>
      </c>
      <c r="C13" s="50">
        <v>75</v>
      </c>
      <c r="D13" s="50">
        <v>26</v>
      </c>
      <c r="E13" s="50">
        <v>4</v>
      </c>
      <c r="F13" s="50">
        <v>29</v>
      </c>
      <c r="G13" s="50">
        <v>8</v>
      </c>
      <c r="H13" s="50">
        <v>4</v>
      </c>
      <c r="I13" s="50">
        <v>16</v>
      </c>
      <c r="J13" s="50">
        <v>0</v>
      </c>
      <c r="K13" s="50">
        <v>1</v>
      </c>
      <c r="L13" s="50">
        <v>29</v>
      </c>
      <c r="M13" s="50">
        <v>159</v>
      </c>
      <c r="N13" s="50">
        <v>0</v>
      </c>
      <c r="O13" s="15">
        <f t="shared" si="0"/>
        <v>192</v>
      </c>
      <c r="P13" s="15">
        <f t="shared" si="1"/>
        <v>351</v>
      </c>
      <c r="R13" s="1" t="s">
        <v>9</v>
      </c>
      <c r="S13" s="17">
        <f t="shared" ref="S13:AF13" si="5">SUM(C22:C25)</f>
        <v>254</v>
      </c>
      <c r="T13" s="17">
        <f t="shared" si="5"/>
        <v>72</v>
      </c>
      <c r="U13" s="17">
        <f t="shared" si="5"/>
        <v>55</v>
      </c>
      <c r="V13" s="17">
        <f t="shared" si="5"/>
        <v>218</v>
      </c>
      <c r="W13" s="17">
        <f t="shared" si="5"/>
        <v>25</v>
      </c>
      <c r="X13" s="17">
        <f t="shared" si="5"/>
        <v>4</v>
      </c>
      <c r="Y13" s="17">
        <f t="shared" si="5"/>
        <v>56</v>
      </c>
      <c r="Z13" s="17">
        <f t="shared" si="5"/>
        <v>41</v>
      </c>
      <c r="AA13" s="17">
        <f t="shared" si="5"/>
        <v>26</v>
      </c>
      <c r="AB13" s="17">
        <f t="shared" si="5"/>
        <v>77</v>
      </c>
      <c r="AC13" s="17">
        <f t="shared" si="5"/>
        <v>685</v>
      </c>
      <c r="AD13" s="17">
        <f t="shared" si="5"/>
        <v>0</v>
      </c>
      <c r="AE13" s="31">
        <f t="shared" si="5"/>
        <v>828</v>
      </c>
      <c r="AF13" s="31">
        <f t="shared" si="5"/>
        <v>1513</v>
      </c>
    </row>
    <row r="14" spans="2:32" ht="23.1" customHeight="1" x14ac:dyDescent="0.25">
      <c r="B14" s="23" t="s">
        <v>41</v>
      </c>
      <c r="C14" s="50">
        <v>37</v>
      </c>
      <c r="D14" s="50">
        <v>15</v>
      </c>
      <c r="E14" s="50">
        <v>8</v>
      </c>
      <c r="F14" s="50">
        <v>38</v>
      </c>
      <c r="G14" s="50">
        <v>1</v>
      </c>
      <c r="H14" s="50">
        <v>3</v>
      </c>
      <c r="I14" s="50">
        <v>11</v>
      </c>
      <c r="J14" s="50">
        <v>4</v>
      </c>
      <c r="K14" s="50">
        <v>2</v>
      </c>
      <c r="L14" s="50">
        <v>9</v>
      </c>
      <c r="M14" s="50">
        <v>120</v>
      </c>
      <c r="N14" s="50">
        <v>0</v>
      </c>
      <c r="O14" s="15">
        <f t="shared" si="0"/>
        <v>128</v>
      </c>
      <c r="P14" s="15">
        <f t="shared" si="1"/>
        <v>248</v>
      </c>
      <c r="R14" s="1" t="s">
        <v>10</v>
      </c>
      <c r="S14" s="17">
        <f t="shared" ref="S14:AF14" si="6">SUM(C26:C29)</f>
        <v>137</v>
      </c>
      <c r="T14" s="17">
        <f t="shared" si="6"/>
        <v>25</v>
      </c>
      <c r="U14" s="17">
        <f t="shared" si="6"/>
        <v>47</v>
      </c>
      <c r="V14" s="17">
        <f t="shared" si="6"/>
        <v>130</v>
      </c>
      <c r="W14" s="17">
        <f t="shared" si="6"/>
        <v>7</v>
      </c>
      <c r="X14" s="17">
        <f t="shared" si="6"/>
        <v>11</v>
      </c>
      <c r="Y14" s="17">
        <f t="shared" si="6"/>
        <v>59</v>
      </c>
      <c r="Z14" s="17">
        <f t="shared" si="6"/>
        <v>24</v>
      </c>
      <c r="AA14" s="17">
        <f t="shared" si="6"/>
        <v>33</v>
      </c>
      <c r="AB14" s="17">
        <f t="shared" si="6"/>
        <v>171</v>
      </c>
      <c r="AC14" s="17">
        <f t="shared" si="6"/>
        <v>337</v>
      </c>
      <c r="AD14" s="17">
        <f t="shared" si="6"/>
        <v>0</v>
      </c>
      <c r="AE14" s="31">
        <f t="shared" si="6"/>
        <v>644</v>
      </c>
      <c r="AF14" s="31">
        <f t="shared" si="6"/>
        <v>981</v>
      </c>
    </row>
    <row r="15" spans="2:32" ht="23.1" customHeight="1" x14ac:dyDescent="0.25">
      <c r="B15" s="23" t="s">
        <v>42</v>
      </c>
      <c r="C15" s="50">
        <v>35</v>
      </c>
      <c r="D15" s="50">
        <v>21</v>
      </c>
      <c r="E15" s="50">
        <v>6</v>
      </c>
      <c r="F15" s="50">
        <v>36</v>
      </c>
      <c r="G15" s="50">
        <v>1</v>
      </c>
      <c r="H15" s="50">
        <v>3</v>
      </c>
      <c r="I15" s="50">
        <v>7</v>
      </c>
      <c r="J15" s="50">
        <v>9</v>
      </c>
      <c r="K15" s="50">
        <v>3</v>
      </c>
      <c r="L15" s="50">
        <v>4</v>
      </c>
      <c r="M15" s="50">
        <v>147</v>
      </c>
      <c r="N15" s="50">
        <v>1</v>
      </c>
      <c r="O15" s="15">
        <f t="shared" si="0"/>
        <v>126</v>
      </c>
      <c r="P15" s="15">
        <f t="shared" si="1"/>
        <v>273</v>
      </c>
      <c r="R15" s="1" t="s">
        <v>11</v>
      </c>
      <c r="S15" s="17">
        <f t="shared" ref="S15:AF15" si="7">SUM(C30:C33)</f>
        <v>168</v>
      </c>
      <c r="T15" s="17">
        <f t="shared" si="7"/>
        <v>43</v>
      </c>
      <c r="U15" s="17">
        <f t="shared" si="7"/>
        <v>23</v>
      </c>
      <c r="V15" s="17">
        <f t="shared" si="7"/>
        <v>225</v>
      </c>
      <c r="W15" s="17">
        <f t="shared" si="7"/>
        <v>3</v>
      </c>
      <c r="X15" s="17">
        <f t="shared" si="7"/>
        <v>1</v>
      </c>
      <c r="Y15" s="17">
        <f t="shared" si="7"/>
        <v>69</v>
      </c>
      <c r="Z15" s="17">
        <f t="shared" si="7"/>
        <v>53</v>
      </c>
      <c r="AA15" s="17">
        <f t="shared" si="7"/>
        <v>46</v>
      </c>
      <c r="AB15" s="17">
        <f t="shared" si="7"/>
        <v>106</v>
      </c>
      <c r="AC15" s="17">
        <f t="shared" si="7"/>
        <v>496</v>
      </c>
      <c r="AD15" s="17">
        <f t="shared" si="7"/>
        <v>0</v>
      </c>
      <c r="AE15" s="31">
        <f t="shared" si="7"/>
        <v>737</v>
      </c>
      <c r="AF15" s="31">
        <f t="shared" si="7"/>
        <v>1233</v>
      </c>
    </row>
    <row r="16" spans="2:32" ht="23.1" customHeight="1" x14ac:dyDescent="0.25">
      <c r="B16" s="23" t="s">
        <v>43</v>
      </c>
      <c r="C16" s="50">
        <v>46</v>
      </c>
      <c r="D16" s="50">
        <v>6</v>
      </c>
      <c r="E16" s="50">
        <v>3</v>
      </c>
      <c r="F16" s="50">
        <v>27</v>
      </c>
      <c r="G16" s="50">
        <v>1</v>
      </c>
      <c r="H16" s="50">
        <v>2</v>
      </c>
      <c r="I16" s="50">
        <v>3</v>
      </c>
      <c r="J16" s="50">
        <v>2</v>
      </c>
      <c r="K16" s="50">
        <v>1</v>
      </c>
      <c r="L16" s="50">
        <v>9</v>
      </c>
      <c r="M16" s="50">
        <v>99</v>
      </c>
      <c r="N16" s="50">
        <v>0</v>
      </c>
      <c r="O16" s="15">
        <f t="shared" si="0"/>
        <v>100</v>
      </c>
      <c r="P16" s="15">
        <f t="shared" si="1"/>
        <v>199</v>
      </c>
      <c r="R16" s="1" t="s">
        <v>12</v>
      </c>
      <c r="S16" s="17">
        <f t="shared" ref="S16:AF16" si="8">SUM(C34:C37)</f>
        <v>197</v>
      </c>
      <c r="T16" s="17">
        <f t="shared" si="8"/>
        <v>41</v>
      </c>
      <c r="U16" s="17">
        <f t="shared" si="8"/>
        <v>32</v>
      </c>
      <c r="V16" s="17">
        <f t="shared" si="8"/>
        <v>152</v>
      </c>
      <c r="W16" s="17">
        <f t="shared" si="8"/>
        <v>8</v>
      </c>
      <c r="X16" s="17">
        <f t="shared" si="8"/>
        <v>7</v>
      </c>
      <c r="Y16" s="17">
        <f t="shared" si="8"/>
        <v>87</v>
      </c>
      <c r="Z16" s="17">
        <f t="shared" si="8"/>
        <v>27</v>
      </c>
      <c r="AA16" s="17">
        <f t="shared" si="8"/>
        <v>22</v>
      </c>
      <c r="AB16" s="17">
        <f t="shared" si="8"/>
        <v>77</v>
      </c>
      <c r="AC16" s="17">
        <f t="shared" si="8"/>
        <v>555</v>
      </c>
      <c r="AD16" s="17">
        <f t="shared" si="8"/>
        <v>0</v>
      </c>
      <c r="AE16" s="31">
        <f t="shared" si="8"/>
        <v>650</v>
      </c>
      <c r="AF16" s="31">
        <f t="shared" si="8"/>
        <v>1205</v>
      </c>
    </row>
    <row r="17" spans="2:32" ht="23.1" customHeight="1" x14ac:dyDescent="0.25">
      <c r="B17" s="23" t="s">
        <v>44</v>
      </c>
      <c r="C17" s="50">
        <v>19</v>
      </c>
      <c r="D17" s="50">
        <v>6</v>
      </c>
      <c r="E17" s="50">
        <v>7</v>
      </c>
      <c r="F17" s="50">
        <v>26</v>
      </c>
      <c r="G17" s="50">
        <v>1</v>
      </c>
      <c r="H17" s="50">
        <v>1</v>
      </c>
      <c r="I17" s="50">
        <v>5</v>
      </c>
      <c r="J17" s="50">
        <v>5</v>
      </c>
      <c r="K17" s="50">
        <v>11</v>
      </c>
      <c r="L17" s="50">
        <v>7</v>
      </c>
      <c r="M17" s="50">
        <v>78</v>
      </c>
      <c r="N17" s="50">
        <v>0</v>
      </c>
      <c r="O17" s="15">
        <f t="shared" si="0"/>
        <v>88</v>
      </c>
      <c r="P17" s="15">
        <f t="shared" si="1"/>
        <v>166</v>
      </c>
      <c r="R17" s="1" t="s">
        <v>13</v>
      </c>
      <c r="S17" s="17">
        <f t="shared" ref="S17:AF17" si="9">SUM(C38:C41)</f>
        <v>182</v>
      </c>
      <c r="T17" s="17">
        <f t="shared" si="9"/>
        <v>48</v>
      </c>
      <c r="U17" s="17">
        <f t="shared" si="9"/>
        <v>33</v>
      </c>
      <c r="V17" s="17">
        <f t="shared" si="9"/>
        <v>199</v>
      </c>
      <c r="W17" s="17">
        <f t="shared" si="9"/>
        <v>33</v>
      </c>
      <c r="X17" s="17">
        <f t="shared" si="9"/>
        <v>20</v>
      </c>
      <c r="Y17" s="17">
        <f t="shared" si="9"/>
        <v>39</v>
      </c>
      <c r="Z17" s="17">
        <f t="shared" si="9"/>
        <v>56</v>
      </c>
      <c r="AA17" s="17">
        <f t="shared" si="9"/>
        <v>15</v>
      </c>
      <c r="AB17" s="17">
        <f t="shared" si="9"/>
        <v>110</v>
      </c>
      <c r="AC17" s="17">
        <f t="shared" si="9"/>
        <v>367</v>
      </c>
      <c r="AD17" s="17">
        <f t="shared" si="9"/>
        <v>0</v>
      </c>
      <c r="AE17" s="31">
        <f t="shared" si="9"/>
        <v>735</v>
      </c>
      <c r="AF17" s="31">
        <f t="shared" si="9"/>
        <v>1102</v>
      </c>
    </row>
    <row r="18" spans="2:32" ht="23.1" customHeight="1" x14ac:dyDescent="0.25">
      <c r="B18" s="23" t="s">
        <v>45</v>
      </c>
      <c r="C18" s="50">
        <v>38</v>
      </c>
      <c r="D18" s="50">
        <v>13</v>
      </c>
      <c r="E18" s="50">
        <v>4</v>
      </c>
      <c r="F18" s="50">
        <v>33</v>
      </c>
      <c r="G18" s="50">
        <v>2</v>
      </c>
      <c r="H18" s="50">
        <v>0</v>
      </c>
      <c r="I18" s="50">
        <v>12</v>
      </c>
      <c r="J18" s="50">
        <v>6</v>
      </c>
      <c r="K18" s="50">
        <v>7</v>
      </c>
      <c r="L18" s="50">
        <v>9</v>
      </c>
      <c r="M18" s="50">
        <v>101</v>
      </c>
      <c r="N18" s="50">
        <v>0</v>
      </c>
      <c r="O18" s="15">
        <f t="shared" si="0"/>
        <v>124</v>
      </c>
      <c r="P18" s="15">
        <f t="shared" si="1"/>
        <v>225</v>
      </c>
      <c r="R18" s="1" t="s">
        <v>14</v>
      </c>
      <c r="S18" s="17">
        <f t="shared" ref="S18:AF18" si="10">SUM(C42:C45)</f>
        <v>195</v>
      </c>
      <c r="T18" s="17">
        <f t="shared" si="10"/>
        <v>44</v>
      </c>
      <c r="U18" s="17">
        <f t="shared" si="10"/>
        <v>20</v>
      </c>
      <c r="V18" s="17">
        <f t="shared" si="10"/>
        <v>136</v>
      </c>
      <c r="W18" s="17">
        <f t="shared" si="10"/>
        <v>11</v>
      </c>
      <c r="X18" s="17">
        <f t="shared" si="10"/>
        <v>20</v>
      </c>
      <c r="Y18" s="17">
        <f t="shared" si="10"/>
        <v>43</v>
      </c>
      <c r="Z18" s="17">
        <f t="shared" si="10"/>
        <v>15</v>
      </c>
      <c r="AA18" s="17">
        <f t="shared" si="10"/>
        <v>28</v>
      </c>
      <c r="AB18" s="17">
        <f t="shared" si="10"/>
        <v>163</v>
      </c>
      <c r="AC18" s="17">
        <f t="shared" si="10"/>
        <v>540</v>
      </c>
      <c r="AD18" s="17">
        <f t="shared" si="10"/>
        <v>0</v>
      </c>
      <c r="AE18" s="31">
        <f t="shared" si="10"/>
        <v>675</v>
      </c>
      <c r="AF18" s="31">
        <f t="shared" si="10"/>
        <v>1215</v>
      </c>
    </row>
    <row r="19" spans="2:32" ht="23.1" customHeight="1" x14ac:dyDescent="0.25">
      <c r="B19" s="23" t="s">
        <v>46</v>
      </c>
      <c r="C19" s="50">
        <v>22</v>
      </c>
      <c r="D19" s="50">
        <v>16</v>
      </c>
      <c r="E19" s="50">
        <v>10</v>
      </c>
      <c r="F19" s="50">
        <v>36</v>
      </c>
      <c r="G19" s="50">
        <v>0</v>
      </c>
      <c r="H19" s="50">
        <v>1</v>
      </c>
      <c r="I19" s="50">
        <v>10</v>
      </c>
      <c r="J19" s="50">
        <v>6</v>
      </c>
      <c r="K19" s="50">
        <v>3</v>
      </c>
      <c r="L19" s="50">
        <v>8</v>
      </c>
      <c r="M19" s="50">
        <v>86</v>
      </c>
      <c r="N19" s="50">
        <v>0</v>
      </c>
      <c r="O19" s="15">
        <f t="shared" si="0"/>
        <v>112</v>
      </c>
      <c r="P19" s="15">
        <f t="shared" si="1"/>
        <v>198</v>
      </c>
      <c r="R19" s="1" t="s">
        <v>15</v>
      </c>
      <c r="S19" s="17">
        <f t="shared" ref="S19:AF19" si="11">SUM(C46:C49)</f>
        <v>152</v>
      </c>
      <c r="T19" s="17">
        <f t="shared" si="11"/>
        <v>47</v>
      </c>
      <c r="U19" s="17">
        <f t="shared" si="11"/>
        <v>24</v>
      </c>
      <c r="V19" s="17">
        <f t="shared" si="11"/>
        <v>213</v>
      </c>
      <c r="W19" s="17">
        <f t="shared" si="11"/>
        <v>7</v>
      </c>
      <c r="X19" s="17">
        <f t="shared" si="11"/>
        <v>2</v>
      </c>
      <c r="Y19" s="17">
        <f t="shared" si="11"/>
        <v>43</v>
      </c>
      <c r="Z19" s="17">
        <f t="shared" si="11"/>
        <v>24</v>
      </c>
      <c r="AA19" s="17">
        <f t="shared" si="11"/>
        <v>33</v>
      </c>
      <c r="AB19" s="17">
        <f t="shared" si="11"/>
        <v>138</v>
      </c>
      <c r="AC19" s="17">
        <f t="shared" si="11"/>
        <v>566</v>
      </c>
      <c r="AD19" s="17">
        <f t="shared" si="11"/>
        <v>0</v>
      </c>
      <c r="AE19" s="31">
        <f t="shared" si="11"/>
        <v>683</v>
      </c>
      <c r="AF19" s="31">
        <f t="shared" si="11"/>
        <v>1249</v>
      </c>
    </row>
    <row r="20" spans="2:32" ht="23.1" customHeight="1" x14ac:dyDescent="0.25">
      <c r="B20" s="23" t="s">
        <v>47</v>
      </c>
      <c r="C20" s="50">
        <v>23</v>
      </c>
      <c r="D20" s="50">
        <v>6</v>
      </c>
      <c r="E20" s="50">
        <v>5</v>
      </c>
      <c r="F20" s="50">
        <v>51</v>
      </c>
      <c r="G20" s="50">
        <v>0</v>
      </c>
      <c r="H20" s="50">
        <v>1</v>
      </c>
      <c r="I20" s="50">
        <v>17</v>
      </c>
      <c r="J20" s="50">
        <v>3</v>
      </c>
      <c r="K20" s="50">
        <v>7</v>
      </c>
      <c r="L20" s="50">
        <v>8</v>
      </c>
      <c r="M20" s="50">
        <v>103</v>
      </c>
      <c r="N20" s="50">
        <v>0</v>
      </c>
      <c r="O20" s="15">
        <f t="shared" si="0"/>
        <v>121</v>
      </c>
      <c r="P20" s="15">
        <f t="shared" si="1"/>
        <v>224</v>
      </c>
      <c r="R20" s="1" t="s">
        <v>16</v>
      </c>
      <c r="S20" s="17">
        <f t="shared" ref="S20:AF20" si="12">SUM(C50:C53)</f>
        <v>137</v>
      </c>
      <c r="T20" s="17">
        <f t="shared" si="12"/>
        <v>35</v>
      </c>
      <c r="U20" s="17">
        <f t="shared" si="12"/>
        <v>32</v>
      </c>
      <c r="V20" s="17">
        <f t="shared" si="12"/>
        <v>143</v>
      </c>
      <c r="W20" s="17">
        <f t="shared" si="12"/>
        <v>3</v>
      </c>
      <c r="X20" s="17">
        <f t="shared" si="12"/>
        <v>3</v>
      </c>
      <c r="Y20" s="17">
        <f t="shared" si="12"/>
        <v>33</v>
      </c>
      <c r="Z20" s="17">
        <f t="shared" si="12"/>
        <v>24</v>
      </c>
      <c r="AA20" s="17">
        <f t="shared" si="12"/>
        <v>32</v>
      </c>
      <c r="AB20" s="17">
        <f t="shared" si="12"/>
        <v>107</v>
      </c>
      <c r="AC20" s="17">
        <f t="shared" si="12"/>
        <v>645</v>
      </c>
      <c r="AD20" s="17">
        <f t="shared" si="12"/>
        <v>0</v>
      </c>
      <c r="AE20" s="31">
        <f t="shared" si="12"/>
        <v>549</v>
      </c>
      <c r="AF20" s="31">
        <f t="shared" si="12"/>
        <v>1194</v>
      </c>
    </row>
    <row r="21" spans="2:32" ht="23.1" customHeight="1" x14ac:dyDescent="0.25">
      <c r="B21" s="23" t="s">
        <v>48</v>
      </c>
      <c r="C21" s="50">
        <v>56</v>
      </c>
      <c r="D21" s="50">
        <v>14</v>
      </c>
      <c r="E21" s="50">
        <v>11</v>
      </c>
      <c r="F21" s="50">
        <v>50</v>
      </c>
      <c r="G21" s="50">
        <v>3</v>
      </c>
      <c r="H21" s="50">
        <v>0</v>
      </c>
      <c r="I21" s="50">
        <v>12</v>
      </c>
      <c r="J21" s="50">
        <v>5</v>
      </c>
      <c r="K21" s="50">
        <v>2</v>
      </c>
      <c r="L21" s="50">
        <v>6</v>
      </c>
      <c r="M21" s="50">
        <v>116</v>
      </c>
      <c r="N21" s="50">
        <v>0</v>
      </c>
      <c r="O21" s="15">
        <f t="shared" si="0"/>
        <v>159</v>
      </c>
      <c r="P21" s="15">
        <f t="shared" si="1"/>
        <v>275</v>
      </c>
      <c r="R21" s="36" t="s">
        <v>20</v>
      </c>
      <c r="S21" s="34">
        <f t="shared" ref="S21:AF21" si="13">SUM(C54:C57)</f>
        <v>173</v>
      </c>
      <c r="T21" s="17">
        <f t="shared" si="13"/>
        <v>39</v>
      </c>
      <c r="U21" s="17">
        <f t="shared" si="13"/>
        <v>35</v>
      </c>
      <c r="V21" s="17">
        <f t="shared" si="13"/>
        <v>196</v>
      </c>
      <c r="W21" s="17">
        <f t="shared" si="13"/>
        <v>18</v>
      </c>
      <c r="X21" s="17">
        <f t="shared" si="13"/>
        <v>12</v>
      </c>
      <c r="Y21" s="17">
        <f t="shared" si="13"/>
        <v>36</v>
      </c>
      <c r="Z21" s="17">
        <f t="shared" si="13"/>
        <v>23</v>
      </c>
      <c r="AA21" s="17">
        <f t="shared" si="13"/>
        <v>20</v>
      </c>
      <c r="AB21" s="17">
        <f t="shared" si="13"/>
        <v>129</v>
      </c>
      <c r="AC21" s="17">
        <f t="shared" si="13"/>
        <v>766</v>
      </c>
      <c r="AD21" s="17">
        <f t="shared" si="13"/>
        <v>0</v>
      </c>
      <c r="AE21" s="31">
        <f t="shared" si="13"/>
        <v>681</v>
      </c>
      <c r="AF21" s="31">
        <f t="shared" si="13"/>
        <v>1447</v>
      </c>
    </row>
    <row r="22" spans="2:32" ht="23.1" customHeight="1" x14ac:dyDescent="0.25">
      <c r="B22" s="23" t="s">
        <v>49</v>
      </c>
      <c r="C22" s="50">
        <v>39</v>
      </c>
      <c r="D22" s="50">
        <v>6</v>
      </c>
      <c r="E22" s="50">
        <v>10</v>
      </c>
      <c r="F22" s="50">
        <v>41</v>
      </c>
      <c r="G22" s="50">
        <v>3</v>
      </c>
      <c r="H22" s="50">
        <v>1</v>
      </c>
      <c r="I22" s="50">
        <v>12</v>
      </c>
      <c r="J22" s="50">
        <v>7</v>
      </c>
      <c r="K22" s="50">
        <v>6</v>
      </c>
      <c r="L22" s="50">
        <v>9</v>
      </c>
      <c r="M22" s="50">
        <v>191</v>
      </c>
      <c r="N22" s="50">
        <v>0</v>
      </c>
      <c r="O22" s="15">
        <f t="shared" si="0"/>
        <v>134</v>
      </c>
      <c r="P22" s="15">
        <f t="shared" si="1"/>
        <v>325</v>
      </c>
      <c r="R22" s="38" t="s">
        <v>90</v>
      </c>
      <c r="S22" s="39">
        <f>MAX(S10:S12)</f>
        <v>280</v>
      </c>
      <c r="T22" s="39">
        <f t="shared" ref="T22:AF22" si="14">MAX(T10:T12)</f>
        <v>151</v>
      </c>
      <c r="U22" s="39">
        <f t="shared" si="14"/>
        <v>31</v>
      </c>
      <c r="V22" s="39">
        <f t="shared" si="14"/>
        <v>170</v>
      </c>
      <c r="W22" s="39">
        <f t="shared" si="14"/>
        <v>17</v>
      </c>
      <c r="X22" s="39">
        <f t="shared" si="14"/>
        <v>11</v>
      </c>
      <c r="Y22" s="39">
        <f t="shared" si="14"/>
        <v>112</v>
      </c>
      <c r="Z22" s="39">
        <f t="shared" si="14"/>
        <v>25</v>
      </c>
      <c r="AA22" s="39">
        <f t="shared" si="14"/>
        <v>19</v>
      </c>
      <c r="AB22" s="39">
        <f t="shared" si="14"/>
        <v>103</v>
      </c>
      <c r="AC22" s="39">
        <f t="shared" si="14"/>
        <v>627</v>
      </c>
      <c r="AD22" s="39">
        <f t="shared" si="14"/>
        <v>1</v>
      </c>
      <c r="AE22" s="40">
        <f t="shared" si="14"/>
        <v>915</v>
      </c>
      <c r="AF22" s="40">
        <f t="shared" si="14"/>
        <v>1542</v>
      </c>
    </row>
    <row r="23" spans="2:32" ht="23.1" customHeight="1" x14ac:dyDescent="0.25">
      <c r="B23" s="23" t="s">
        <v>50</v>
      </c>
      <c r="C23" s="50">
        <v>30</v>
      </c>
      <c r="D23" s="50">
        <v>15</v>
      </c>
      <c r="E23" s="50">
        <v>12</v>
      </c>
      <c r="F23" s="50">
        <v>37</v>
      </c>
      <c r="G23" s="50">
        <v>5</v>
      </c>
      <c r="H23" s="50">
        <v>2</v>
      </c>
      <c r="I23" s="50">
        <v>6</v>
      </c>
      <c r="J23" s="50">
        <v>13</v>
      </c>
      <c r="K23" s="50">
        <v>3</v>
      </c>
      <c r="L23" s="50">
        <v>9</v>
      </c>
      <c r="M23" s="50">
        <v>154</v>
      </c>
      <c r="N23" s="50">
        <v>0</v>
      </c>
      <c r="O23" s="15">
        <f t="shared" si="0"/>
        <v>132</v>
      </c>
      <c r="P23" s="15">
        <f t="shared" si="1"/>
        <v>286</v>
      </c>
      <c r="R23" s="38" t="s">
        <v>91</v>
      </c>
      <c r="S23" s="39">
        <f>MAX(S13:S18)</f>
        <v>254</v>
      </c>
      <c r="T23" s="39">
        <f t="shared" ref="T23:AF23" si="15">MAX(T13:T18)</f>
        <v>72</v>
      </c>
      <c r="U23" s="39">
        <f t="shared" si="15"/>
        <v>55</v>
      </c>
      <c r="V23" s="39">
        <f t="shared" si="15"/>
        <v>225</v>
      </c>
      <c r="W23" s="39">
        <f t="shared" si="15"/>
        <v>33</v>
      </c>
      <c r="X23" s="39">
        <f t="shared" si="15"/>
        <v>20</v>
      </c>
      <c r="Y23" s="39">
        <f t="shared" si="15"/>
        <v>87</v>
      </c>
      <c r="Z23" s="39">
        <f t="shared" si="15"/>
        <v>56</v>
      </c>
      <c r="AA23" s="39">
        <f t="shared" si="15"/>
        <v>46</v>
      </c>
      <c r="AB23" s="39">
        <f t="shared" si="15"/>
        <v>171</v>
      </c>
      <c r="AC23" s="39">
        <f t="shared" si="15"/>
        <v>685</v>
      </c>
      <c r="AD23" s="39">
        <f t="shared" si="15"/>
        <v>0</v>
      </c>
      <c r="AE23" s="40">
        <f t="shared" si="15"/>
        <v>828</v>
      </c>
      <c r="AF23" s="40">
        <f t="shared" si="15"/>
        <v>1513</v>
      </c>
    </row>
    <row r="24" spans="2:32" ht="23.1" customHeight="1" x14ac:dyDescent="0.25">
      <c r="B24" s="23" t="s">
        <v>51</v>
      </c>
      <c r="C24" s="50">
        <v>116</v>
      </c>
      <c r="D24" s="50">
        <v>32</v>
      </c>
      <c r="E24" s="50">
        <v>23</v>
      </c>
      <c r="F24" s="50">
        <v>100</v>
      </c>
      <c r="G24" s="50">
        <v>16</v>
      </c>
      <c r="H24" s="50">
        <v>0</v>
      </c>
      <c r="I24" s="50">
        <v>19</v>
      </c>
      <c r="J24" s="50">
        <v>8</v>
      </c>
      <c r="K24" s="50">
        <v>5</v>
      </c>
      <c r="L24" s="50">
        <v>39</v>
      </c>
      <c r="M24" s="50">
        <v>216</v>
      </c>
      <c r="N24" s="50">
        <v>0</v>
      </c>
      <c r="O24" s="15">
        <f t="shared" si="0"/>
        <v>358</v>
      </c>
      <c r="P24" s="15">
        <f t="shared" si="1"/>
        <v>574</v>
      </c>
      <c r="R24" s="38" t="s">
        <v>92</v>
      </c>
      <c r="S24" s="39">
        <f>MAX(S19:S21)</f>
        <v>173</v>
      </c>
      <c r="T24" s="39">
        <f t="shared" ref="T24:AF24" si="16">MAX(T19:T21)</f>
        <v>47</v>
      </c>
      <c r="U24" s="39">
        <f t="shared" si="16"/>
        <v>35</v>
      </c>
      <c r="V24" s="39">
        <f t="shared" si="16"/>
        <v>213</v>
      </c>
      <c r="W24" s="39">
        <f t="shared" si="16"/>
        <v>18</v>
      </c>
      <c r="X24" s="39">
        <f t="shared" si="16"/>
        <v>12</v>
      </c>
      <c r="Y24" s="39">
        <f t="shared" si="16"/>
        <v>43</v>
      </c>
      <c r="Z24" s="39">
        <f t="shared" si="16"/>
        <v>24</v>
      </c>
      <c r="AA24" s="39">
        <f t="shared" si="16"/>
        <v>33</v>
      </c>
      <c r="AB24" s="39">
        <f t="shared" si="16"/>
        <v>138</v>
      </c>
      <c r="AC24" s="39">
        <f t="shared" si="16"/>
        <v>766</v>
      </c>
      <c r="AD24" s="39">
        <f t="shared" si="16"/>
        <v>0</v>
      </c>
      <c r="AE24" s="40">
        <f t="shared" si="16"/>
        <v>683</v>
      </c>
      <c r="AF24" s="40">
        <f t="shared" si="16"/>
        <v>1447</v>
      </c>
    </row>
    <row r="25" spans="2:32" ht="23.1" customHeight="1" x14ac:dyDescent="0.25">
      <c r="B25" s="23" t="s">
        <v>52</v>
      </c>
      <c r="C25" s="50">
        <v>69</v>
      </c>
      <c r="D25" s="50">
        <v>19</v>
      </c>
      <c r="E25" s="50">
        <v>10</v>
      </c>
      <c r="F25" s="50">
        <v>40</v>
      </c>
      <c r="G25" s="50">
        <v>1</v>
      </c>
      <c r="H25" s="50">
        <v>1</v>
      </c>
      <c r="I25" s="50">
        <v>19</v>
      </c>
      <c r="J25" s="50">
        <v>13</v>
      </c>
      <c r="K25" s="50">
        <v>12</v>
      </c>
      <c r="L25" s="50">
        <v>20</v>
      </c>
      <c r="M25" s="50">
        <v>124</v>
      </c>
      <c r="N25" s="50">
        <v>0</v>
      </c>
      <c r="O25" s="15">
        <f t="shared" si="0"/>
        <v>204</v>
      </c>
      <c r="P25" s="15">
        <f t="shared" si="1"/>
        <v>328</v>
      </c>
      <c r="R25" s="37" t="s">
        <v>85</v>
      </c>
      <c r="S25" s="35">
        <f t="shared" ref="S25:AF25" si="17">SUM(S10:S12)</f>
        <v>556</v>
      </c>
      <c r="T25" s="16">
        <f t="shared" si="17"/>
        <v>248</v>
      </c>
      <c r="U25" s="16">
        <f t="shared" si="17"/>
        <v>85</v>
      </c>
      <c r="V25" s="16">
        <f t="shared" si="17"/>
        <v>463</v>
      </c>
      <c r="W25" s="16">
        <f t="shared" si="17"/>
        <v>26</v>
      </c>
      <c r="X25" s="16">
        <f t="shared" si="17"/>
        <v>22</v>
      </c>
      <c r="Y25" s="16">
        <f t="shared" si="17"/>
        <v>189</v>
      </c>
      <c r="Z25" s="16">
        <f t="shared" si="17"/>
        <v>65</v>
      </c>
      <c r="AA25" s="16">
        <f t="shared" si="17"/>
        <v>55</v>
      </c>
      <c r="AB25" s="16">
        <f t="shared" si="17"/>
        <v>163</v>
      </c>
      <c r="AC25" s="16">
        <f t="shared" si="17"/>
        <v>1477</v>
      </c>
      <c r="AD25" s="16">
        <f t="shared" si="17"/>
        <v>1</v>
      </c>
      <c r="AE25" s="32">
        <f t="shared" si="17"/>
        <v>1873</v>
      </c>
      <c r="AF25" s="32">
        <f t="shared" si="17"/>
        <v>3350</v>
      </c>
    </row>
    <row r="26" spans="2:32" ht="23.1" customHeight="1" x14ac:dyDescent="0.25">
      <c r="B26" s="23" t="s">
        <v>53</v>
      </c>
      <c r="C26" s="50">
        <v>28</v>
      </c>
      <c r="D26" s="50">
        <v>8</v>
      </c>
      <c r="E26" s="50">
        <v>9</v>
      </c>
      <c r="F26" s="50">
        <v>49</v>
      </c>
      <c r="G26" s="50">
        <v>0</v>
      </c>
      <c r="H26" s="50">
        <v>0</v>
      </c>
      <c r="I26" s="50">
        <v>15</v>
      </c>
      <c r="J26" s="50">
        <v>7</v>
      </c>
      <c r="K26" s="50">
        <v>6</v>
      </c>
      <c r="L26" s="50">
        <v>6</v>
      </c>
      <c r="M26" s="50">
        <v>119</v>
      </c>
      <c r="N26" s="50">
        <v>0</v>
      </c>
      <c r="O26" s="15">
        <f t="shared" si="0"/>
        <v>128</v>
      </c>
      <c r="P26" s="15">
        <f t="shared" si="1"/>
        <v>247</v>
      </c>
      <c r="R26" s="28" t="s">
        <v>86</v>
      </c>
      <c r="S26" s="16">
        <f t="shared" ref="S26:AF26" si="18">SUM(S13:S18)</f>
        <v>1133</v>
      </c>
      <c r="T26" s="16">
        <f t="shared" si="18"/>
        <v>273</v>
      </c>
      <c r="U26" s="16">
        <f t="shared" si="18"/>
        <v>210</v>
      </c>
      <c r="V26" s="16">
        <f t="shared" si="18"/>
        <v>1060</v>
      </c>
      <c r="W26" s="16">
        <f t="shared" si="18"/>
        <v>87</v>
      </c>
      <c r="X26" s="16">
        <f t="shared" si="18"/>
        <v>63</v>
      </c>
      <c r="Y26" s="16">
        <f t="shared" si="18"/>
        <v>353</v>
      </c>
      <c r="Z26" s="16">
        <f t="shared" si="18"/>
        <v>216</v>
      </c>
      <c r="AA26" s="16">
        <f t="shared" si="18"/>
        <v>170</v>
      </c>
      <c r="AB26" s="16">
        <f t="shared" si="18"/>
        <v>704</v>
      </c>
      <c r="AC26" s="16">
        <f t="shared" si="18"/>
        <v>2980</v>
      </c>
      <c r="AD26" s="16">
        <f t="shared" si="18"/>
        <v>0</v>
      </c>
      <c r="AE26" s="32">
        <f t="shared" si="18"/>
        <v>4269</v>
      </c>
      <c r="AF26" s="32">
        <f t="shared" si="18"/>
        <v>7249</v>
      </c>
    </row>
    <row r="27" spans="2:32" ht="23.1" customHeight="1" x14ac:dyDescent="0.25">
      <c r="B27" s="23" t="s">
        <v>54</v>
      </c>
      <c r="C27" s="50">
        <v>45</v>
      </c>
      <c r="D27" s="50">
        <v>5</v>
      </c>
      <c r="E27" s="50">
        <v>15</v>
      </c>
      <c r="F27" s="50">
        <v>42</v>
      </c>
      <c r="G27" s="50">
        <v>4</v>
      </c>
      <c r="H27" s="50">
        <v>2</v>
      </c>
      <c r="I27" s="50">
        <v>20</v>
      </c>
      <c r="J27" s="50">
        <v>8</v>
      </c>
      <c r="K27" s="50">
        <v>3</v>
      </c>
      <c r="L27" s="50">
        <v>14</v>
      </c>
      <c r="M27" s="50">
        <v>106</v>
      </c>
      <c r="N27" s="50">
        <v>0</v>
      </c>
      <c r="O27" s="15">
        <f t="shared" si="0"/>
        <v>158</v>
      </c>
      <c r="P27" s="15">
        <f t="shared" si="1"/>
        <v>264</v>
      </c>
      <c r="R27" s="29" t="s">
        <v>87</v>
      </c>
      <c r="S27" s="16">
        <f t="shared" ref="S27:AF27" si="19">SUM(S19:S21)</f>
        <v>462</v>
      </c>
      <c r="T27" s="16">
        <f t="shared" si="19"/>
        <v>121</v>
      </c>
      <c r="U27" s="16">
        <f t="shared" si="19"/>
        <v>91</v>
      </c>
      <c r="V27" s="16">
        <f t="shared" si="19"/>
        <v>552</v>
      </c>
      <c r="W27" s="16">
        <f t="shared" si="19"/>
        <v>28</v>
      </c>
      <c r="X27" s="16">
        <f t="shared" si="19"/>
        <v>17</v>
      </c>
      <c r="Y27" s="16">
        <f t="shared" si="19"/>
        <v>112</v>
      </c>
      <c r="Z27" s="16">
        <f t="shared" si="19"/>
        <v>71</v>
      </c>
      <c r="AA27" s="16">
        <f t="shared" si="19"/>
        <v>85</v>
      </c>
      <c r="AB27" s="16">
        <f t="shared" si="19"/>
        <v>374</v>
      </c>
      <c r="AC27" s="16">
        <f t="shared" si="19"/>
        <v>1977</v>
      </c>
      <c r="AD27" s="16">
        <f t="shared" si="19"/>
        <v>0</v>
      </c>
      <c r="AE27" s="32">
        <f t="shared" si="19"/>
        <v>1913</v>
      </c>
      <c r="AF27" s="32">
        <f t="shared" si="19"/>
        <v>3890</v>
      </c>
    </row>
    <row r="28" spans="2:32" ht="23.1" customHeight="1" x14ac:dyDescent="0.25">
      <c r="B28" s="23" t="s">
        <v>55</v>
      </c>
      <c r="C28" s="50">
        <v>41</v>
      </c>
      <c r="D28" s="50">
        <v>7</v>
      </c>
      <c r="E28" s="50">
        <v>6</v>
      </c>
      <c r="F28" s="50">
        <v>37</v>
      </c>
      <c r="G28" s="50">
        <v>1</v>
      </c>
      <c r="H28" s="50">
        <v>0</v>
      </c>
      <c r="I28" s="50">
        <v>11</v>
      </c>
      <c r="J28" s="50">
        <v>5</v>
      </c>
      <c r="K28" s="50">
        <v>4</v>
      </c>
      <c r="L28" s="50">
        <v>12</v>
      </c>
      <c r="M28" s="50">
        <v>112</v>
      </c>
      <c r="N28" s="50">
        <v>0</v>
      </c>
      <c r="O28" s="15">
        <f t="shared" si="0"/>
        <v>124</v>
      </c>
      <c r="P28" s="15">
        <f t="shared" si="1"/>
        <v>236</v>
      </c>
      <c r="R28" s="5" t="s">
        <v>17</v>
      </c>
      <c r="S28" s="16">
        <f t="shared" ref="S28:AF28" si="20">SUM(S10:S21)</f>
        <v>2151</v>
      </c>
      <c r="T28" s="16">
        <f t="shared" si="20"/>
        <v>642</v>
      </c>
      <c r="U28" s="16">
        <f t="shared" si="20"/>
        <v>386</v>
      </c>
      <c r="V28" s="16">
        <f t="shared" si="20"/>
        <v>2075</v>
      </c>
      <c r="W28" s="16">
        <f t="shared" si="20"/>
        <v>141</v>
      </c>
      <c r="X28" s="16">
        <f t="shared" si="20"/>
        <v>102</v>
      </c>
      <c r="Y28" s="16">
        <f t="shared" si="20"/>
        <v>654</v>
      </c>
      <c r="Z28" s="16">
        <f t="shared" si="20"/>
        <v>352</v>
      </c>
      <c r="AA28" s="16">
        <f t="shared" si="20"/>
        <v>310</v>
      </c>
      <c r="AB28" s="16">
        <f t="shared" si="20"/>
        <v>1241</v>
      </c>
      <c r="AC28" s="16">
        <f t="shared" si="20"/>
        <v>6434</v>
      </c>
      <c r="AD28" s="16">
        <f t="shared" si="20"/>
        <v>1</v>
      </c>
      <c r="AE28" s="32">
        <f t="shared" si="20"/>
        <v>8055</v>
      </c>
      <c r="AF28" s="32">
        <f t="shared" si="20"/>
        <v>14489</v>
      </c>
    </row>
    <row r="29" spans="2:32" ht="23.1" customHeight="1" x14ac:dyDescent="0.25">
      <c r="B29" s="23" t="s">
        <v>56</v>
      </c>
      <c r="C29" s="50">
        <v>23</v>
      </c>
      <c r="D29" s="50">
        <v>5</v>
      </c>
      <c r="E29" s="50">
        <v>17</v>
      </c>
      <c r="F29" s="50">
        <v>2</v>
      </c>
      <c r="G29" s="50">
        <v>2</v>
      </c>
      <c r="H29" s="50">
        <v>9</v>
      </c>
      <c r="I29" s="50">
        <v>13</v>
      </c>
      <c r="J29" s="50">
        <v>4</v>
      </c>
      <c r="K29" s="50">
        <v>20</v>
      </c>
      <c r="L29" s="50">
        <v>139</v>
      </c>
      <c r="M29" s="50">
        <v>0</v>
      </c>
      <c r="N29" s="50">
        <v>0</v>
      </c>
      <c r="O29" s="15">
        <f t="shared" si="0"/>
        <v>234</v>
      </c>
      <c r="P29" s="15">
        <f t="shared" si="1"/>
        <v>234</v>
      </c>
      <c r="R29"/>
      <c r="S29" s="20"/>
      <c r="T29" s="19"/>
    </row>
    <row r="30" spans="2:32" ht="23.1" customHeight="1" x14ac:dyDescent="0.25">
      <c r="B30" s="23" t="s">
        <v>57</v>
      </c>
      <c r="C30" s="50">
        <v>24</v>
      </c>
      <c r="D30" s="50">
        <v>8</v>
      </c>
      <c r="E30" s="50">
        <v>8</v>
      </c>
      <c r="F30" s="50">
        <v>55</v>
      </c>
      <c r="G30" s="50">
        <v>0</v>
      </c>
      <c r="H30" s="50">
        <v>0</v>
      </c>
      <c r="I30" s="50">
        <v>14</v>
      </c>
      <c r="J30" s="50">
        <v>13</v>
      </c>
      <c r="K30" s="50">
        <v>11</v>
      </c>
      <c r="L30" s="50">
        <v>23</v>
      </c>
      <c r="M30" s="50">
        <v>105</v>
      </c>
      <c r="N30" s="50">
        <v>0</v>
      </c>
      <c r="O30" s="15">
        <f t="shared" si="0"/>
        <v>156</v>
      </c>
      <c r="P30" s="15">
        <f t="shared" si="1"/>
        <v>261</v>
      </c>
    </row>
    <row r="31" spans="2:32" ht="23.1" customHeight="1" x14ac:dyDescent="0.25">
      <c r="B31" s="24" t="s">
        <v>58</v>
      </c>
      <c r="C31" s="50">
        <v>64</v>
      </c>
      <c r="D31" s="50">
        <v>24</v>
      </c>
      <c r="E31" s="50">
        <v>8</v>
      </c>
      <c r="F31" s="50">
        <v>50</v>
      </c>
      <c r="G31" s="50">
        <v>1</v>
      </c>
      <c r="H31" s="50">
        <v>1</v>
      </c>
      <c r="I31" s="50">
        <v>18</v>
      </c>
      <c r="J31" s="50">
        <v>9</v>
      </c>
      <c r="K31" s="50">
        <v>14</v>
      </c>
      <c r="L31" s="50">
        <v>46</v>
      </c>
      <c r="M31" s="50">
        <v>109</v>
      </c>
      <c r="N31" s="50">
        <v>0</v>
      </c>
      <c r="O31" s="15">
        <f t="shared" si="0"/>
        <v>235</v>
      </c>
      <c r="P31" s="15">
        <f t="shared" si="1"/>
        <v>344</v>
      </c>
    </row>
    <row r="32" spans="2:32" ht="23.1" customHeight="1" x14ac:dyDescent="0.25">
      <c r="B32" s="24" t="s">
        <v>59</v>
      </c>
      <c r="C32" s="50">
        <v>34</v>
      </c>
      <c r="D32" s="50">
        <v>3</v>
      </c>
      <c r="E32" s="50">
        <v>4</v>
      </c>
      <c r="F32" s="50">
        <v>34</v>
      </c>
      <c r="G32" s="50">
        <v>0</v>
      </c>
      <c r="H32" s="50">
        <v>0</v>
      </c>
      <c r="I32" s="50">
        <v>12</v>
      </c>
      <c r="J32" s="50">
        <v>11</v>
      </c>
      <c r="K32" s="50">
        <v>6</v>
      </c>
      <c r="L32" s="50">
        <v>19</v>
      </c>
      <c r="M32" s="50">
        <v>121</v>
      </c>
      <c r="N32" s="50">
        <v>0</v>
      </c>
      <c r="O32" s="15">
        <f t="shared" si="0"/>
        <v>123</v>
      </c>
      <c r="P32" s="15">
        <f t="shared" si="1"/>
        <v>244</v>
      </c>
    </row>
    <row r="33" spans="2:20" ht="23.1" customHeight="1" x14ac:dyDescent="0.25">
      <c r="B33" s="23" t="s">
        <v>60</v>
      </c>
      <c r="C33" s="50">
        <v>46</v>
      </c>
      <c r="D33" s="50">
        <v>8</v>
      </c>
      <c r="E33" s="50">
        <v>3</v>
      </c>
      <c r="F33" s="50">
        <v>86</v>
      </c>
      <c r="G33" s="50">
        <v>2</v>
      </c>
      <c r="H33" s="50">
        <v>0</v>
      </c>
      <c r="I33" s="50">
        <v>25</v>
      </c>
      <c r="J33" s="50">
        <v>20</v>
      </c>
      <c r="K33" s="50">
        <v>15</v>
      </c>
      <c r="L33" s="50">
        <v>18</v>
      </c>
      <c r="M33" s="50">
        <v>161</v>
      </c>
      <c r="N33" s="50">
        <v>0</v>
      </c>
      <c r="O33" s="15">
        <f t="shared" si="0"/>
        <v>223</v>
      </c>
      <c r="P33" s="15">
        <f t="shared" si="1"/>
        <v>384</v>
      </c>
    </row>
    <row r="34" spans="2:20" ht="23.1" customHeight="1" x14ac:dyDescent="0.25">
      <c r="B34" s="24" t="s">
        <v>61</v>
      </c>
      <c r="C34" s="50">
        <v>34</v>
      </c>
      <c r="D34" s="50">
        <v>3</v>
      </c>
      <c r="E34" s="50">
        <v>9</v>
      </c>
      <c r="F34" s="50">
        <v>51</v>
      </c>
      <c r="G34" s="50">
        <v>2</v>
      </c>
      <c r="H34" s="50">
        <v>2</v>
      </c>
      <c r="I34" s="50">
        <v>17</v>
      </c>
      <c r="J34" s="50">
        <v>6</v>
      </c>
      <c r="K34" s="50">
        <v>2</v>
      </c>
      <c r="L34" s="50">
        <v>23</v>
      </c>
      <c r="M34" s="50">
        <v>98</v>
      </c>
      <c r="N34" s="50">
        <v>0</v>
      </c>
      <c r="O34" s="15">
        <f t="shared" si="0"/>
        <v>149</v>
      </c>
      <c r="P34" s="15">
        <f t="shared" si="1"/>
        <v>247</v>
      </c>
    </row>
    <row r="35" spans="2:20" ht="23.1" customHeight="1" x14ac:dyDescent="0.25">
      <c r="B35" s="24" t="s">
        <v>62</v>
      </c>
      <c r="C35" s="50">
        <v>37</v>
      </c>
      <c r="D35" s="50">
        <v>4</v>
      </c>
      <c r="E35" s="50">
        <v>4</v>
      </c>
      <c r="F35" s="50">
        <v>32</v>
      </c>
      <c r="G35" s="50">
        <v>2</v>
      </c>
      <c r="H35" s="50">
        <v>1</v>
      </c>
      <c r="I35" s="50">
        <v>19</v>
      </c>
      <c r="J35" s="50">
        <v>3</v>
      </c>
      <c r="K35" s="50">
        <v>3</v>
      </c>
      <c r="L35" s="50">
        <v>12</v>
      </c>
      <c r="M35" s="50">
        <v>101</v>
      </c>
      <c r="N35" s="50">
        <v>0</v>
      </c>
      <c r="O35" s="15">
        <f t="shared" si="0"/>
        <v>117</v>
      </c>
      <c r="P35" s="15">
        <f t="shared" si="1"/>
        <v>218</v>
      </c>
    </row>
    <row r="36" spans="2:20" ht="23.1" customHeight="1" x14ac:dyDescent="0.25">
      <c r="B36" s="24" t="s">
        <v>63</v>
      </c>
      <c r="C36" s="50">
        <v>73</v>
      </c>
      <c r="D36" s="50">
        <v>13</v>
      </c>
      <c r="E36" s="50">
        <v>5</v>
      </c>
      <c r="F36" s="50">
        <v>45</v>
      </c>
      <c r="G36" s="50">
        <v>1</v>
      </c>
      <c r="H36" s="50">
        <v>1</v>
      </c>
      <c r="I36" s="50">
        <v>23</v>
      </c>
      <c r="J36" s="50">
        <v>7</v>
      </c>
      <c r="K36" s="50">
        <v>4</v>
      </c>
      <c r="L36" s="50">
        <v>31</v>
      </c>
      <c r="M36" s="50">
        <v>217</v>
      </c>
      <c r="N36" s="50">
        <v>0</v>
      </c>
      <c r="O36" s="15">
        <f t="shared" si="0"/>
        <v>203</v>
      </c>
      <c r="P36" s="15">
        <f t="shared" si="1"/>
        <v>420</v>
      </c>
    </row>
    <row r="37" spans="2:20" ht="23.1" customHeight="1" x14ac:dyDescent="0.25">
      <c r="B37" s="23" t="s">
        <v>64</v>
      </c>
      <c r="C37" s="50">
        <v>53</v>
      </c>
      <c r="D37" s="50">
        <v>21</v>
      </c>
      <c r="E37" s="50">
        <v>14</v>
      </c>
      <c r="F37" s="50">
        <v>24</v>
      </c>
      <c r="G37" s="50">
        <v>3</v>
      </c>
      <c r="H37" s="50">
        <v>3</v>
      </c>
      <c r="I37" s="50">
        <v>28</v>
      </c>
      <c r="J37" s="50">
        <v>11</v>
      </c>
      <c r="K37" s="50">
        <v>13</v>
      </c>
      <c r="L37" s="50">
        <v>11</v>
      </c>
      <c r="M37" s="50">
        <v>139</v>
      </c>
      <c r="N37" s="50">
        <v>0</v>
      </c>
      <c r="O37" s="15">
        <f t="shared" si="0"/>
        <v>181</v>
      </c>
      <c r="P37" s="15">
        <f t="shared" si="1"/>
        <v>320</v>
      </c>
    </row>
    <row r="38" spans="2:20" ht="23.1" customHeight="1" x14ac:dyDescent="0.25">
      <c r="B38" s="24" t="s">
        <v>65</v>
      </c>
      <c r="C38" s="50">
        <v>41</v>
      </c>
      <c r="D38" s="50">
        <v>8</v>
      </c>
      <c r="E38" s="50">
        <v>5</v>
      </c>
      <c r="F38" s="50">
        <v>36</v>
      </c>
      <c r="G38" s="50">
        <v>2</v>
      </c>
      <c r="H38" s="50">
        <v>2</v>
      </c>
      <c r="I38" s="50">
        <v>16</v>
      </c>
      <c r="J38" s="50">
        <v>12</v>
      </c>
      <c r="K38" s="50">
        <v>5</v>
      </c>
      <c r="L38" s="50">
        <v>14</v>
      </c>
      <c r="M38" s="50">
        <v>109</v>
      </c>
      <c r="N38" s="50">
        <v>0</v>
      </c>
      <c r="O38" s="15">
        <f t="shared" si="0"/>
        <v>141</v>
      </c>
      <c r="P38" s="15">
        <f t="shared" si="1"/>
        <v>250</v>
      </c>
    </row>
    <row r="39" spans="2:20" ht="23.1" customHeight="1" x14ac:dyDescent="0.25">
      <c r="B39" s="24" t="s">
        <v>66</v>
      </c>
      <c r="C39" s="50">
        <v>44</v>
      </c>
      <c r="D39" s="50">
        <v>11</v>
      </c>
      <c r="E39" s="50">
        <v>13</v>
      </c>
      <c r="F39" s="50">
        <v>62</v>
      </c>
      <c r="G39" s="50">
        <v>26</v>
      </c>
      <c r="H39" s="50">
        <v>3</v>
      </c>
      <c r="I39" s="50">
        <v>15</v>
      </c>
      <c r="J39" s="50">
        <v>10</v>
      </c>
      <c r="K39" s="50">
        <v>4</v>
      </c>
      <c r="L39" s="50">
        <v>26</v>
      </c>
      <c r="M39" s="50">
        <v>66</v>
      </c>
      <c r="N39" s="50">
        <v>0</v>
      </c>
      <c r="O39" s="15">
        <f t="shared" si="0"/>
        <v>214</v>
      </c>
      <c r="P39" s="15">
        <f t="shared" si="1"/>
        <v>280</v>
      </c>
    </row>
    <row r="40" spans="2:20" ht="23.1" customHeight="1" x14ac:dyDescent="0.25">
      <c r="B40" s="24" t="s">
        <v>67</v>
      </c>
      <c r="C40" s="50">
        <v>61</v>
      </c>
      <c r="D40" s="50">
        <v>5</v>
      </c>
      <c r="E40" s="50">
        <v>1</v>
      </c>
      <c r="F40" s="50">
        <v>60</v>
      </c>
      <c r="G40" s="50">
        <v>3</v>
      </c>
      <c r="H40" s="50">
        <v>7</v>
      </c>
      <c r="I40" s="50">
        <v>5</v>
      </c>
      <c r="J40" s="50">
        <v>13</v>
      </c>
      <c r="K40" s="50">
        <v>3</v>
      </c>
      <c r="L40" s="50">
        <v>16</v>
      </c>
      <c r="M40" s="50">
        <v>101</v>
      </c>
      <c r="N40" s="50">
        <v>0</v>
      </c>
      <c r="O40" s="15">
        <f t="shared" si="0"/>
        <v>174</v>
      </c>
      <c r="P40" s="15">
        <f t="shared" si="1"/>
        <v>275</v>
      </c>
    </row>
    <row r="41" spans="2:20" ht="23.1" customHeight="1" x14ac:dyDescent="0.25">
      <c r="B41" s="23" t="s">
        <v>68</v>
      </c>
      <c r="C41" s="50">
        <v>36</v>
      </c>
      <c r="D41" s="50">
        <v>24</v>
      </c>
      <c r="E41" s="50">
        <v>14</v>
      </c>
      <c r="F41" s="50">
        <v>41</v>
      </c>
      <c r="G41" s="50">
        <v>2</v>
      </c>
      <c r="H41" s="50">
        <v>8</v>
      </c>
      <c r="I41" s="50">
        <v>3</v>
      </c>
      <c r="J41" s="50">
        <v>21</v>
      </c>
      <c r="K41" s="50">
        <v>3</v>
      </c>
      <c r="L41" s="50">
        <v>54</v>
      </c>
      <c r="M41" s="50">
        <v>91</v>
      </c>
      <c r="N41" s="50">
        <v>0</v>
      </c>
      <c r="O41" s="15">
        <f t="shared" si="0"/>
        <v>206</v>
      </c>
      <c r="P41" s="15">
        <f t="shared" si="1"/>
        <v>297</v>
      </c>
    </row>
    <row r="42" spans="2:20" ht="23.1" customHeight="1" x14ac:dyDescent="0.25">
      <c r="B42" s="24" t="s">
        <v>69</v>
      </c>
      <c r="C42" s="50">
        <v>61</v>
      </c>
      <c r="D42" s="50">
        <v>6</v>
      </c>
      <c r="E42" s="50">
        <v>4</v>
      </c>
      <c r="F42" s="50">
        <v>32</v>
      </c>
      <c r="G42" s="50">
        <v>1</v>
      </c>
      <c r="H42" s="50">
        <v>13</v>
      </c>
      <c r="I42" s="50">
        <v>7</v>
      </c>
      <c r="J42" s="50">
        <v>6</v>
      </c>
      <c r="K42" s="50">
        <v>3</v>
      </c>
      <c r="L42" s="50">
        <v>69</v>
      </c>
      <c r="M42" s="50">
        <v>178</v>
      </c>
      <c r="N42" s="50">
        <v>0</v>
      </c>
      <c r="O42" s="15">
        <f t="shared" si="0"/>
        <v>202</v>
      </c>
      <c r="P42" s="15">
        <f t="shared" si="1"/>
        <v>380</v>
      </c>
    </row>
    <row r="43" spans="2:20" ht="23.1" customHeight="1" x14ac:dyDescent="0.25">
      <c r="B43" s="23" t="s">
        <v>70</v>
      </c>
      <c r="C43" s="50">
        <v>36</v>
      </c>
      <c r="D43" s="50">
        <v>16</v>
      </c>
      <c r="E43" s="50">
        <v>4</v>
      </c>
      <c r="F43" s="50">
        <v>46</v>
      </c>
      <c r="G43" s="50">
        <v>3</v>
      </c>
      <c r="H43" s="50">
        <v>0</v>
      </c>
      <c r="I43" s="50">
        <v>8</v>
      </c>
      <c r="J43" s="50">
        <v>0</v>
      </c>
      <c r="K43" s="50">
        <v>14</v>
      </c>
      <c r="L43" s="50">
        <v>42</v>
      </c>
      <c r="M43" s="50">
        <v>96</v>
      </c>
      <c r="N43" s="50">
        <v>0</v>
      </c>
      <c r="O43" s="15">
        <f t="shared" si="0"/>
        <v>169</v>
      </c>
      <c r="P43" s="15">
        <f t="shared" si="1"/>
        <v>265</v>
      </c>
    </row>
    <row r="44" spans="2:20" ht="23.1" customHeight="1" x14ac:dyDescent="0.25">
      <c r="B44" s="25" t="s">
        <v>71</v>
      </c>
      <c r="C44" s="50">
        <v>40</v>
      </c>
      <c r="D44" s="50">
        <v>12</v>
      </c>
      <c r="E44" s="50">
        <v>8</v>
      </c>
      <c r="F44" s="50">
        <v>31</v>
      </c>
      <c r="G44" s="50">
        <v>1</v>
      </c>
      <c r="H44" s="50">
        <v>4</v>
      </c>
      <c r="I44" s="50">
        <v>12</v>
      </c>
      <c r="J44" s="50">
        <v>2</v>
      </c>
      <c r="K44" s="50">
        <v>2</v>
      </c>
      <c r="L44" s="50">
        <v>17</v>
      </c>
      <c r="M44" s="50">
        <v>150</v>
      </c>
      <c r="N44" s="50">
        <v>0</v>
      </c>
      <c r="O44" s="15">
        <f t="shared" si="0"/>
        <v>129</v>
      </c>
      <c r="P44" s="15">
        <f t="shared" si="1"/>
        <v>279</v>
      </c>
    </row>
    <row r="45" spans="2:20" ht="23.1" customHeight="1" x14ac:dyDescent="0.25">
      <c r="B45" s="23" t="s">
        <v>72</v>
      </c>
      <c r="C45" s="50">
        <v>58</v>
      </c>
      <c r="D45" s="50">
        <v>10</v>
      </c>
      <c r="E45" s="50">
        <v>4</v>
      </c>
      <c r="F45" s="50">
        <v>27</v>
      </c>
      <c r="G45" s="50">
        <v>6</v>
      </c>
      <c r="H45" s="50">
        <v>3</v>
      </c>
      <c r="I45" s="50">
        <v>16</v>
      </c>
      <c r="J45" s="50">
        <v>7</v>
      </c>
      <c r="K45" s="50">
        <v>9</v>
      </c>
      <c r="L45" s="50">
        <v>35</v>
      </c>
      <c r="M45" s="50">
        <v>116</v>
      </c>
      <c r="N45" s="50">
        <v>0</v>
      </c>
      <c r="O45" s="15">
        <f t="shared" si="0"/>
        <v>175</v>
      </c>
      <c r="P45" s="15">
        <f t="shared" si="1"/>
        <v>291</v>
      </c>
    </row>
    <row r="46" spans="2:20" ht="23.1" customHeight="1" x14ac:dyDescent="0.25">
      <c r="B46" s="24" t="s">
        <v>73</v>
      </c>
      <c r="C46" s="50">
        <v>57</v>
      </c>
      <c r="D46" s="50">
        <v>4</v>
      </c>
      <c r="E46" s="50">
        <v>13</v>
      </c>
      <c r="F46" s="50">
        <v>72</v>
      </c>
      <c r="G46" s="50">
        <v>1</v>
      </c>
      <c r="H46" s="50">
        <v>0</v>
      </c>
      <c r="I46" s="50">
        <v>7</v>
      </c>
      <c r="J46" s="50">
        <v>6</v>
      </c>
      <c r="K46" s="50">
        <v>4</v>
      </c>
      <c r="L46" s="50">
        <v>31</v>
      </c>
      <c r="M46" s="50">
        <v>144</v>
      </c>
      <c r="N46" s="50">
        <v>0</v>
      </c>
      <c r="O46" s="15">
        <f t="shared" si="0"/>
        <v>195</v>
      </c>
      <c r="P46" s="15">
        <f t="shared" si="1"/>
        <v>339</v>
      </c>
      <c r="R46" s="8"/>
      <c r="T46"/>
    </row>
    <row r="47" spans="2:20" ht="23.1" customHeight="1" x14ac:dyDescent="0.25">
      <c r="B47" s="24" t="s">
        <v>74</v>
      </c>
      <c r="C47" s="50">
        <v>33</v>
      </c>
      <c r="D47" s="50">
        <v>13</v>
      </c>
      <c r="E47" s="50">
        <v>1</v>
      </c>
      <c r="F47" s="50">
        <v>46</v>
      </c>
      <c r="G47" s="50">
        <v>3</v>
      </c>
      <c r="H47" s="50">
        <v>0</v>
      </c>
      <c r="I47" s="50">
        <v>8</v>
      </c>
      <c r="J47" s="50">
        <v>2</v>
      </c>
      <c r="K47" s="50">
        <v>3</v>
      </c>
      <c r="L47" s="50">
        <v>28</v>
      </c>
      <c r="M47" s="50">
        <v>161</v>
      </c>
      <c r="N47" s="50">
        <v>0</v>
      </c>
      <c r="O47" s="15">
        <f t="shared" si="0"/>
        <v>137</v>
      </c>
      <c r="P47" s="15">
        <f t="shared" si="1"/>
        <v>298</v>
      </c>
      <c r="R47" s="8"/>
      <c r="T47"/>
    </row>
    <row r="48" spans="2:20" ht="23.1" customHeight="1" x14ac:dyDescent="0.25">
      <c r="B48" s="24" t="s">
        <v>75</v>
      </c>
      <c r="C48" s="50">
        <v>46</v>
      </c>
      <c r="D48" s="50">
        <v>20</v>
      </c>
      <c r="E48" s="50">
        <v>5</v>
      </c>
      <c r="F48" s="50">
        <v>63</v>
      </c>
      <c r="G48" s="50">
        <v>1</v>
      </c>
      <c r="H48" s="50">
        <v>0</v>
      </c>
      <c r="I48" s="50">
        <v>23</v>
      </c>
      <c r="J48" s="50">
        <v>4</v>
      </c>
      <c r="K48" s="50">
        <v>19</v>
      </c>
      <c r="L48" s="50">
        <v>48</v>
      </c>
      <c r="M48" s="50">
        <v>129</v>
      </c>
      <c r="N48" s="50">
        <v>0</v>
      </c>
      <c r="O48" s="15">
        <f t="shared" si="0"/>
        <v>229</v>
      </c>
      <c r="P48" s="15">
        <f t="shared" si="1"/>
        <v>358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10</v>
      </c>
      <c r="E49" s="50">
        <v>5</v>
      </c>
      <c r="F49" s="50">
        <v>32</v>
      </c>
      <c r="G49" s="50">
        <v>2</v>
      </c>
      <c r="H49" s="50">
        <v>2</v>
      </c>
      <c r="I49" s="50">
        <v>5</v>
      </c>
      <c r="J49" s="50">
        <v>12</v>
      </c>
      <c r="K49" s="50">
        <v>7</v>
      </c>
      <c r="L49" s="50">
        <v>31</v>
      </c>
      <c r="M49" s="50">
        <v>132</v>
      </c>
      <c r="N49" s="50">
        <v>0</v>
      </c>
      <c r="O49" s="15">
        <f t="shared" si="0"/>
        <v>122</v>
      </c>
      <c r="P49" s="15">
        <f t="shared" si="1"/>
        <v>254</v>
      </c>
      <c r="R49" s="8"/>
      <c r="T49"/>
    </row>
    <row r="50" spans="2:20" ht="23.1" customHeight="1" x14ac:dyDescent="0.25">
      <c r="B50" s="24" t="s">
        <v>77</v>
      </c>
      <c r="C50" s="50">
        <v>69</v>
      </c>
      <c r="D50" s="50">
        <v>8</v>
      </c>
      <c r="E50" s="50">
        <v>6</v>
      </c>
      <c r="F50" s="50">
        <v>41</v>
      </c>
      <c r="G50" s="50">
        <v>2</v>
      </c>
      <c r="H50" s="50">
        <v>0</v>
      </c>
      <c r="I50" s="50">
        <v>13</v>
      </c>
      <c r="J50" s="50">
        <v>10</v>
      </c>
      <c r="K50" s="50">
        <v>5</v>
      </c>
      <c r="L50" s="50">
        <v>27</v>
      </c>
      <c r="M50" s="50">
        <v>86</v>
      </c>
      <c r="N50" s="50">
        <v>0</v>
      </c>
      <c r="O50" s="15">
        <f t="shared" si="0"/>
        <v>181</v>
      </c>
      <c r="P50" s="15">
        <f t="shared" si="1"/>
        <v>267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8</v>
      </c>
      <c r="E51" s="50">
        <v>3</v>
      </c>
      <c r="F51" s="50">
        <v>16</v>
      </c>
      <c r="G51" s="50">
        <v>0</v>
      </c>
      <c r="H51" s="50">
        <v>3</v>
      </c>
      <c r="I51" s="50">
        <v>4</v>
      </c>
      <c r="J51" s="50">
        <v>3</v>
      </c>
      <c r="K51" s="50">
        <v>14</v>
      </c>
      <c r="L51" s="50">
        <v>33</v>
      </c>
      <c r="M51" s="50">
        <v>194</v>
      </c>
      <c r="N51" s="50">
        <v>0</v>
      </c>
      <c r="O51" s="15">
        <f t="shared" si="0"/>
        <v>98</v>
      </c>
      <c r="P51" s="15">
        <f t="shared" si="1"/>
        <v>292</v>
      </c>
      <c r="R51" s="8"/>
      <c r="T51"/>
    </row>
    <row r="52" spans="2:20" ht="23.1" customHeight="1" x14ac:dyDescent="0.25">
      <c r="B52" s="24" t="s">
        <v>79</v>
      </c>
      <c r="C52" s="50">
        <v>13</v>
      </c>
      <c r="D52" s="50">
        <v>11</v>
      </c>
      <c r="E52" s="50">
        <v>18</v>
      </c>
      <c r="F52" s="50">
        <v>42</v>
      </c>
      <c r="G52" s="50">
        <v>0</v>
      </c>
      <c r="H52" s="50">
        <v>0</v>
      </c>
      <c r="I52" s="50">
        <v>2</v>
      </c>
      <c r="J52" s="50">
        <v>3</v>
      </c>
      <c r="K52" s="50">
        <v>4</v>
      </c>
      <c r="L52" s="50">
        <v>24</v>
      </c>
      <c r="M52" s="50">
        <v>153</v>
      </c>
      <c r="N52" s="50">
        <v>0</v>
      </c>
      <c r="O52" s="15">
        <f t="shared" si="0"/>
        <v>117</v>
      </c>
      <c r="P52" s="15">
        <f t="shared" si="1"/>
        <v>270</v>
      </c>
      <c r="R52" s="8"/>
      <c r="T52"/>
    </row>
    <row r="53" spans="2:20" ht="23.1" customHeight="1" x14ac:dyDescent="0.25">
      <c r="B53" s="23" t="s">
        <v>80</v>
      </c>
      <c r="C53" s="50">
        <v>41</v>
      </c>
      <c r="D53" s="50">
        <v>8</v>
      </c>
      <c r="E53" s="50">
        <v>5</v>
      </c>
      <c r="F53" s="50">
        <v>44</v>
      </c>
      <c r="G53" s="50">
        <v>1</v>
      </c>
      <c r="H53" s="50">
        <v>0</v>
      </c>
      <c r="I53" s="50">
        <v>14</v>
      </c>
      <c r="J53" s="50">
        <v>8</v>
      </c>
      <c r="K53" s="50">
        <v>9</v>
      </c>
      <c r="L53" s="50">
        <v>23</v>
      </c>
      <c r="M53" s="50">
        <v>212</v>
      </c>
      <c r="N53" s="50">
        <v>0</v>
      </c>
      <c r="O53" s="15">
        <f t="shared" si="0"/>
        <v>153</v>
      </c>
      <c r="P53" s="15">
        <f t="shared" si="1"/>
        <v>365</v>
      </c>
      <c r="R53" s="8"/>
      <c r="T53"/>
    </row>
    <row r="54" spans="2:20" ht="23.1" customHeight="1" x14ac:dyDescent="0.25">
      <c r="B54" s="23" t="s">
        <v>81</v>
      </c>
      <c r="C54" s="50">
        <v>54</v>
      </c>
      <c r="D54" s="50">
        <v>11</v>
      </c>
      <c r="E54" s="50">
        <v>19</v>
      </c>
      <c r="F54" s="50">
        <v>46</v>
      </c>
      <c r="G54" s="50">
        <v>3</v>
      </c>
      <c r="H54" s="50">
        <v>9</v>
      </c>
      <c r="I54" s="50">
        <v>9</v>
      </c>
      <c r="J54" s="50">
        <v>4</v>
      </c>
      <c r="K54" s="50">
        <v>1</v>
      </c>
      <c r="L54" s="50">
        <v>29</v>
      </c>
      <c r="M54" s="50">
        <v>136</v>
      </c>
      <c r="N54" s="50">
        <v>0</v>
      </c>
      <c r="O54" s="15">
        <f t="shared" si="0"/>
        <v>185</v>
      </c>
      <c r="P54" s="15">
        <f t="shared" si="1"/>
        <v>321</v>
      </c>
      <c r="R54" s="8"/>
      <c r="T54"/>
    </row>
    <row r="55" spans="2:20" ht="23.1" customHeight="1" x14ac:dyDescent="0.25">
      <c r="B55" s="23" t="s">
        <v>82</v>
      </c>
      <c r="C55" s="50">
        <v>45</v>
      </c>
      <c r="D55" s="50">
        <v>16</v>
      </c>
      <c r="E55" s="50">
        <v>8</v>
      </c>
      <c r="F55" s="50">
        <v>51</v>
      </c>
      <c r="G55" s="50">
        <v>4</v>
      </c>
      <c r="H55" s="50">
        <v>2</v>
      </c>
      <c r="I55" s="50">
        <v>7</v>
      </c>
      <c r="J55" s="50">
        <v>3</v>
      </c>
      <c r="K55" s="50">
        <v>2</v>
      </c>
      <c r="L55" s="50">
        <v>28</v>
      </c>
      <c r="M55" s="50">
        <v>230</v>
      </c>
      <c r="N55" s="50">
        <v>0</v>
      </c>
      <c r="O55" s="15">
        <f t="shared" si="0"/>
        <v>166</v>
      </c>
      <c r="P55" s="15">
        <f t="shared" si="1"/>
        <v>396</v>
      </c>
      <c r="R55" s="8"/>
      <c r="T55"/>
    </row>
    <row r="56" spans="2:20" ht="23.1" customHeight="1" x14ac:dyDescent="0.25">
      <c r="B56" s="23" t="s">
        <v>83</v>
      </c>
      <c r="C56" s="50">
        <v>31</v>
      </c>
      <c r="D56" s="50">
        <v>5</v>
      </c>
      <c r="E56" s="50">
        <v>2</v>
      </c>
      <c r="F56" s="50">
        <v>58</v>
      </c>
      <c r="G56" s="50">
        <v>8</v>
      </c>
      <c r="H56" s="50">
        <v>1</v>
      </c>
      <c r="I56" s="50">
        <v>14</v>
      </c>
      <c r="J56" s="50">
        <v>9</v>
      </c>
      <c r="K56" s="50">
        <v>14</v>
      </c>
      <c r="L56" s="50">
        <v>32</v>
      </c>
      <c r="M56" s="50">
        <v>186</v>
      </c>
      <c r="N56" s="50">
        <v>0</v>
      </c>
      <c r="O56" s="15">
        <f t="shared" si="0"/>
        <v>174</v>
      </c>
      <c r="P56" s="15">
        <f t="shared" si="1"/>
        <v>360</v>
      </c>
      <c r="R56" s="8"/>
      <c r="T56"/>
    </row>
    <row r="57" spans="2:20" ht="23.1" customHeight="1" x14ac:dyDescent="0.25">
      <c r="B57" s="23" t="s">
        <v>84</v>
      </c>
      <c r="C57" s="50">
        <v>43</v>
      </c>
      <c r="D57" s="50">
        <v>7</v>
      </c>
      <c r="E57" s="50">
        <v>6</v>
      </c>
      <c r="F57" s="50">
        <v>41</v>
      </c>
      <c r="G57" s="50">
        <v>3</v>
      </c>
      <c r="H57" s="50">
        <v>0</v>
      </c>
      <c r="I57" s="50">
        <v>6</v>
      </c>
      <c r="J57" s="50">
        <v>7</v>
      </c>
      <c r="K57" s="50">
        <v>3</v>
      </c>
      <c r="L57" s="50">
        <v>40</v>
      </c>
      <c r="M57" s="50">
        <v>214</v>
      </c>
      <c r="N57" s="50">
        <v>0</v>
      </c>
      <c r="O57" s="15">
        <f t="shared" si="0"/>
        <v>156</v>
      </c>
      <c r="P57" s="15">
        <f t="shared" si="1"/>
        <v>370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2151</v>
      </c>
      <c r="D58" s="16">
        <f t="shared" si="21"/>
        <v>642</v>
      </c>
      <c r="E58" s="16">
        <f t="shared" si="21"/>
        <v>386</v>
      </c>
      <c r="F58" s="16">
        <f t="shared" si="21"/>
        <v>2075</v>
      </c>
      <c r="G58" s="16">
        <f t="shared" si="21"/>
        <v>141</v>
      </c>
      <c r="H58" s="16">
        <f t="shared" si="21"/>
        <v>102</v>
      </c>
      <c r="I58" s="16">
        <f t="shared" si="21"/>
        <v>654</v>
      </c>
      <c r="J58" s="16">
        <f t="shared" si="21"/>
        <v>352</v>
      </c>
      <c r="K58" s="16">
        <f t="shared" si="21"/>
        <v>310</v>
      </c>
      <c r="L58" s="16">
        <f t="shared" si="21"/>
        <v>1241</v>
      </c>
      <c r="M58" s="16">
        <f t="shared" si="21"/>
        <v>6434</v>
      </c>
      <c r="N58" s="16">
        <f t="shared" si="21"/>
        <v>1</v>
      </c>
      <c r="O58" s="16">
        <f t="shared" si="21"/>
        <v>8055</v>
      </c>
      <c r="P58" s="16">
        <f t="shared" si="21"/>
        <v>14489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0.14845745047967424</v>
      </c>
      <c r="D59" s="43">
        <f t="shared" si="22"/>
        <v>4.4309476154323971E-2</v>
      </c>
      <c r="E59" s="43">
        <f t="shared" si="22"/>
        <v>2.6640899993098214E-2</v>
      </c>
      <c r="F59" s="43">
        <f t="shared" si="22"/>
        <v>0.14321209193181034</v>
      </c>
      <c r="G59" s="43">
        <f t="shared" si="22"/>
        <v>9.7315204638001238E-3</v>
      </c>
      <c r="H59" s="43">
        <f t="shared" si="22"/>
        <v>7.0398233142383877E-3</v>
      </c>
      <c r="I59" s="43">
        <f t="shared" si="22"/>
        <v>4.5137690661881426E-2</v>
      </c>
      <c r="J59" s="43">
        <f t="shared" si="22"/>
        <v>2.4294292221685415E-2</v>
      </c>
      <c r="K59" s="43">
        <f t="shared" si="22"/>
        <v>2.1395541445234315E-2</v>
      </c>
      <c r="L59" s="43">
        <f t="shared" si="22"/>
        <v>8.5651183656567056E-2</v>
      </c>
      <c r="M59" s="43">
        <f t="shared" si="22"/>
        <v>0.44406101180205676</v>
      </c>
      <c r="N59" s="43">
        <f t="shared" si="22"/>
        <v>6.9017875629788112E-5</v>
      </c>
      <c r="R59" s="8"/>
      <c r="T59"/>
    </row>
    <row r="60" spans="2:20" ht="23.1" customHeight="1" x14ac:dyDescent="0.25">
      <c r="B60" s="42" t="s">
        <v>94</v>
      </c>
      <c r="C60" s="44">
        <f>C58/$O$58</f>
        <v>0.26703910614525139</v>
      </c>
      <c r="D60" s="44">
        <f t="shared" ref="D60:N60" si="23">D58/$O$58</f>
        <v>7.9702048417132215E-2</v>
      </c>
      <c r="E60" s="44">
        <f t="shared" si="23"/>
        <v>4.7920546244568589E-2</v>
      </c>
      <c r="F60" s="44">
        <f t="shared" si="23"/>
        <v>0.25760397268777158</v>
      </c>
      <c r="G60" s="44">
        <f t="shared" si="23"/>
        <v>1.7504655493482308E-2</v>
      </c>
      <c r="H60" s="44">
        <f t="shared" si="23"/>
        <v>1.266294227188082E-2</v>
      </c>
      <c r="I60" s="44">
        <f t="shared" si="23"/>
        <v>8.1191806331471134E-2</v>
      </c>
      <c r="J60" s="44">
        <f t="shared" si="23"/>
        <v>4.3699565487274987E-2</v>
      </c>
      <c r="K60" s="44">
        <f t="shared" si="23"/>
        <v>3.8485412787088766E-2</v>
      </c>
      <c r="L60" s="44">
        <f t="shared" si="23"/>
        <v>0.15406579764121664</v>
      </c>
      <c r="M60" s="44"/>
      <c r="N60" s="44">
        <f t="shared" si="23"/>
        <v>1.2414649286157667E-4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Mbalala-Mukono'!C3:G3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'30.10.Mukono-Mbalala'!D5</f>
        <v>30.10.19</v>
      </c>
      <c r="E5" s="3"/>
      <c r="F5" s="41" t="s">
        <v>1</v>
      </c>
      <c r="G5" s="61" t="str">
        <f>'29.10 Mukono-Mbalala'!G5:H5</f>
        <v>Perfect tents</v>
      </c>
      <c r="H5" s="62"/>
      <c r="I5" s="14"/>
      <c r="J5" s="2" t="s">
        <v>5</v>
      </c>
      <c r="K5" s="61" t="s">
        <v>169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Mbalala-Mukono'!D6:E6</f>
        <v>Mbalala</v>
      </c>
      <c r="E6" s="62"/>
      <c r="F6" s="2" t="s">
        <v>2</v>
      </c>
      <c r="G6" s="61" t="str">
        <f>'29.10 Mbalala-Mukono'!G6:H6</f>
        <v>Mukono</v>
      </c>
      <c r="H6" s="62"/>
      <c r="J6" s="2" t="s">
        <v>21</v>
      </c>
      <c r="K6" s="61" t="str">
        <f>'29.10 Mukono-Mbalala'!K6:L6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</v>
      </c>
      <c r="D10" s="50">
        <v>20</v>
      </c>
      <c r="E10" s="50">
        <v>14</v>
      </c>
      <c r="F10" s="50">
        <v>22</v>
      </c>
      <c r="G10" s="50">
        <v>1</v>
      </c>
      <c r="H10" s="50">
        <v>0</v>
      </c>
      <c r="I10" s="50">
        <v>14</v>
      </c>
      <c r="J10" s="50">
        <v>7</v>
      </c>
      <c r="K10" s="50">
        <v>3</v>
      </c>
      <c r="L10" s="50">
        <v>15</v>
      </c>
      <c r="M10" s="50">
        <v>150</v>
      </c>
      <c r="N10" s="50">
        <v>0</v>
      </c>
      <c r="O10" s="15">
        <f t="shared" ref="O10:O57" si="0">SUM(C10:L10,N10)</f>
        <v>108</v>
      </c>
      <c r="P10" s="15">
        <f t="shared" ref="P10:P57" si="1">SUM(C10:N10)</f>
        <v>258</v>
      </c>
      <c r="R10" s="1" t="s">
        <v>6</v>
      </c>
      <c r="S10" s="17">
        <f t="shared" ref="S10:AF10" si="2">SUM(C10:C13)</f>
        <v>48</v>
      </c>
      <c r="T10" s="17">
        <f t="shared" si="2"/>
        <v>51</v>
      </c>
      <c r="U10" s="17">
        <f t="shared" si="2"/>
        <v>40</v>
      </c>
      <c r="V10" s="17">
        <f t="shared" si="2"/>
        <v>71</v>
      </c>
      <c r="W10" s="17">
        <f t="shared" si="2"/>
        <v>9</v>
      </c>
      <c r="X10" s="17">
        <f t="shared" si="2"/>
        <v>2</v>
      </c>
      <c r="Y10" s="17">
        <f t="shared" si="2"/>
        <v>45</v>
      </c>
      <c r="Z10" s="17">
        <f t="shared" si="2"/>
        <v>27</v>
      </c>
      <c r="AA10" s="17">
        <f t="shared" si="2"/>
        <v>17</v>
      </c>
      <c r="AB10" s="17">
        <f t="shared" si="2"/>
        <v>182</v>
      </c>
      <c r="AC10" s="17">
        <f t="shared" si="2"/>
        <v>387</v>
      </c>
      <c r="AD10" s="17">
        <f t="shared" si="2"/>
        <v>0</v>
      </c>
      <c r="AE10" s="31">
        <f t="shared" si="2"/>
        <v>492</v>
      </c>
      <c r="AF10" s="31">
        <f t="shared" si="2"/>
        <v>879</v>
      </c>
    </row>
    <row r="11" spans="2:32" s="6" customFormat="1" ht="23.1" customHeight="1" x14ac:dyDescent="0.25">
      <c r="B11" s="23" t="s">
        <v>38</v>
      </c>
      <c r="C11" s="50">
        <v>15</v>
      </c>
      <c r="D11" s="50">
        <v>9</v>
      </c>
      <c r="E11" s="50">
        <v>10</v>
      </c>
      <c r="F11" s="50">
        <v>24</v>
      </c>
      <c r="G11" s="50">
        <v>2</v>
      </c>
      <c r="H11" s="50">
        <v>1</v>
      </c>
      <c r="I11" s="50">
        <v>8</v>
      </c>
      <c r="J11" s="50">
        <v>1</v>
      </c>
      <c r="K11" s="50">
        <v>9</v>
      </c>
      <c r="L11" s="50">
        <v>130</v>
      </c>
      <c r="M11" s="50">
        <v>0</v>
      </c>
      <c r="N11" s="50">
        <v>0</v>
      </c>
      <c r="O11" s="15">
        <f t="shared" si="0"/>
        <v>209</v>
      </c>
      <c r="P11" s="15">
        <f t="shared" si="1"/>
        <v>209</v>
      </c>
      <c r="R11" s="1" t="s">
        <v>7</v>
      </c>
      <c r="S11" s="17">
        <f t="shared" ref="S11:AF11" si="3">SUM(C14:C17)</f>
        <v>98</v>
      </c>
      <c r="T11" s="17">
        <f t="shared" si="3"/>
        <v>33</v>
      </c>
      <c r="U11" s="17">
        <f t="shared" si="3"/>
        <v>26</v>
      </c>
      <c r="V11" s="17">
        <f t="shared" si="3"/>
        <v>124</v>
      </c>
      <c r="W11" s="17">
        <f t="shared" si="3"/>
        <v>8</v>
      </c>
      <c r="X11" s="17">
        <f t="shared" si="3"/>
        <v>4</v>
      </c>
      <c r="Y11" s="17">
        <f t="shared" si="3"/>
        <v>21</v>
      </c>
      <c r="Z11" s="17">
        <f t="shared" si="3"/>
        <v>20</v>
      </c>
      <c r="AA11" s="17">
        <f t="shared" si="3"/>
        <v>5</v>
      </c>
      <c r="AB11" s="17">
        <f t="shared" si="3"/>
        <v>50</v>
      </c>
      <c r="AC11" s="17">
        <f t="shared" si="3"/>
        <v>568</v>
      </c>
      <c r="AD11" s="17">
        <f t="shared" si="3"/>
        <v>0</v>
      </c>
      <c r="AE11" s="31">
        <f t="shared" si="3"/>
        <v>389</v>
      </c>
      <c r="AF11" s="31">
        <f t="shared" si="3"/>
        <v>957</v>
      </c>
    </row>
    <row r="12" spans="2:32" ht="23.1" customHeight="1" x14ac:dyDescent="0.25">
      <c r="B12" s="23" t="s">
        <v>39</v>
      </c>
      <c r="C12" s="50">
        <v>13</v>
      </c>
      <c r="D12" s="50">
        <v>10</v>
      </c>
      <c r="E12" s="50">
        <v>7</v>
      </c>
      <c r="F12" s="50">
        <v>15</v>
      </c>
      <c r="G12" s="50">
        <v>1</v>
      </c>
      <c r="H12" s="50">
        <v>1</v>
      </c>
      <c r="I12" s="50">
        <v>9</v>
      </c>
      <c r="J12" s="50">
        <v>11</v>
      </c>
      <c r="K12" s="50">
        <v>2</v>
      </c>
      <c r="L12" s="50">
        <v>18</v>
      </c>
      <c r="M12" s="50">
        <v>116</v>
      </c>
      <c r="N12" s="50">
        <v>0</v>
      </c>
      <c r="O12" s="15">
        <f t="shared" si="0"/>
        <v>87</v>
      </c>
      <c r="P12" s="15">
        <f t="shared" si="1"/>
        <v>203</v>
      </c>
      <c r="R12" s="1" t="s">
        <v>8</v>
      </c>
      <c r="S12" s="17">
        <f t="shared" ref="S12:AF12" si="4">SUM(C18:C21)</f>
        <v>82</v>
      </c>
      <c r="T12" s="17">
        <f t="shared" si="4"/>
        <v>34</v>
      </c>
      <c r="U12" s="17">
        <f t="shared" si="4"/>
        <v>16</v>
      </c>
      <c r="V12" s="17">
        <f t="shared" si="4"/>
        <v>130</v>
      </c>
      <c r="W12" s="17">
        <f t="shared" si="4"/>
        <v>6</v>
      </c>
      <c r="X12" s="17">
        <f t="shared" si="4"/>
        <v>3</v>
      </c>
      <c r="Y12" s="17">
        <f t="shared" si="4"/>
        <v>41</v>
      </c>
      <c r="Z12" s="17">
        <f t="shared" si="4"/>
        <v>22</v>
      </c>
      <c r="AA12" s="17">
        <f t="shared" si="4"/>
        <v>12</v>
      </c>
      <c r="AB12" s="17">
        <f t="shared" si="4"/>
        <v>49</v>
      </c>
      <c r="AC12" s="17">
        <f t="shared" si="4"/>
        <v>554</v>
      </c>
      <c r="AD12" s="17">
        <f t="shared" si="4"/>
        <v>0</v>
      </c>
      <c r="AE12" s="31">
        <f t="shared" si="4"/>
        <v>395</v>
      </c>
      <c r="AF12" s="31">
        <f t="shared" si="4"/>
        <v>949</v>
      </c>
    </row>
    <row r="13" spans="2:32" ht="23.1" customHeight="1" x14ac:dyDescent="0.25">
      <c r="B13" s="23" t="s">
        <v>40</v>
      </c>
      <c r="C13" s="50">
        <v>8</v>
      </c>
      <c r="D13" s="50">
        <v>12</v>
      </c>
      <c r="E13" s="50">
        <v>9</v>
      </c>
      <c r="F13" s="50">
        <v>10</v>
      </c>
      <c r="G13" s="50">
        <v>5</v>
      </c>
      <c r="H13" s="50">
        <v>0</v>
      </c>
      <c r="I13" s="50">
        <v>14</v>
      </c>
      <c r="J13" s="50">
        <v>8</v>
      </c>
      <c r="K13" s="50">
        <v>3</v>
      </c>
      <c r="L13" s="50">
        <v>19</v>
      </c>
      <c r="M13" s="50">
        <v>121</v>
      </c>
      <c r="N13" s="50">
        <v>0</v>
      </c>
      <c r="O13" s="15">
        <f t="shared" si="0"/>
        <v>88</v>
      </c>
      <c r="P13" s="15">
        <f t="shared" si="1"/>
        <v>209</v>
      </c>
      <c r="R13" s="1" t="s">
        <v>9</v>
      </c>
      <c r="S13" s="17">
        <f t="shared" ref="S13:AF13" si="5">SUM(C22:C25)</f>
        <v>71</v>
      </c>
      <c r="T13" s="17">
        <f t="shared" si="5"/>
        <v>32</v>
      </c>
      <c r="U13" s="17">
        <f t="shared" si="5"/>
        <v>19</v>
      </c>
      <c r="V13" s="17">
        <f t="shared" si="5"/>
        <v>113</v>
      </c>
      <c r="W13" s="17">
        <f t="shared" si="5"/>
        <v>5</v>
      </c>
      <c r="X13" s="17">
        <f t="shared" si="5"/>
        <v>2</v>
      </c>
      <c r="Y13" s="17">
        <f t="shared" si="5"/>
        <v>31</v>
      </c>
      <c r="Z13" s="17">
        <f t="shared" si="5"/>
        <v>23</v>
      </c>
      <c r="AA13" s="17">
        <f t="shared" si="5"/>
        <v>10</v>
      </c>
      <c r="AB13" s="17">
        <f t="shared" si="5"/>
        <v>56</v>
      </c>
      <c r="AC13" s="17">
        <f t="shared" si="5"/>
        <v>504</v>
      </c>
      <c r="AD13" s="17">
        <f t="shared" si="5"/>
        <v>0</v>
      </c>
      <c r="AE13" s="31">
        <f t="shared" si="5"/>
        <v>362</v>
      </c>
      <c r="AF13" s="31">
        <f t="shared" si="5"/>
        <v>866</v>
      </c>
    </row>
    <row r="14" spans="2:32" ht="23.1" customHeight="1" x14ac:dyDescent="0.25">
      <c r="B14" s="23" t="s">
        <v>41</v>
      </c>
      <c r="C14" s="50">
        <v>28</v>
      </c>
      <c r="D14" s="50">
        <v>11</v>
      </c>
      <c r="E14" s="50">
        <v>7</v>
      </c>
      <c r="F14" s="50">
        <v>28</v>
      </c>
      <c r="G14" s="50">
        <v>3</v>
      </c>
      <c r="H14" s="50">
        <v>1</v>
      </c>
      <c r="I14" s="50">
        <v>8</v>
      </c>
      <c r="J14" s="50">
        <v>2</v>
      </c>
      <c r="K14" s="50">
        <v>2</v>
      </c>
      <c r="L14" s="50">
        <v>22</v>
      </c>
      <c r="M14" s="50">
        <v>163</v>
      </c>
      <c r="N14" s="50">
        <v>0</v>
      </c>
      <c r="O14" s="15">
        <f t="shared" si="0"/>
        <v>112</v>
      </c>
      <c r="P14" s="15">
        <f t="shared" si="1"/>
        <v>275</v>
      </c>
      <c r="R14" s="1" t="s">
        <v>10</v>
      </c>
      <c r="S14" s="17">
        <f t="shared" ref="S14:AF14" si="6">SUM(C26:C29)</f>
        <v>87</v>
      </c>
      <c r="T14" s="17">
        <f t="shared" si="6"/>
        <v>29</v>
      </c>
      <c r="U14" s="17">
        <f t="shared" si="6"/>
        <v>25</v>
      </c>
      <c r="V14" s="17">
        <f t="shared" si="6"/>
        <v>129</v>
      </c>
      <c r="W14" s="17">
        <f t="shared" si="6"/>
        <v>3</v>
      </c>
      <c r="X14" s="17">
        <f t="shared" si="6"/>
        <v>2</v>
      </c>
      <c r="Y14" s="17">
        <f t="shared" si="6"/>
        <v>42</v>
      </c>
      <c r="Z14" s="17">
        <f t="shared" si="6"/>
        <v>27</v>
      </c>
      <c r="AA14" s="17">
        <f t="shared" si="6"/>
        <v>14</v>
      </c>
      <c r="AB14" s="17">
        <f t="shared" si="6"/>
        <v>43</v>
      </c>
      <c r="AC14" s="17">
        <f t="shared" si="6"/>
        <v>442</v>
      </c>
      <c r="AD14" s="17">
        <f t="shared" si="6"/>
        <v>0</v>
      </c>
      <c r="AE14" s="31">
        <f t="shared" si="6"/>
        <v>401</v>
      </c>
      <c r="AF14" s="31">
        <f t="shared" si="6"/>
        <v>843</v>
      </c>
    </row>
    <row r="15" spans="2:32" ht="23.1" customHeight="1" x14ac:dyDescent="0.25">
      <c r="B15" s="23" t="s">
        <v>42</v>
      </c>
      <c r="C15" s="50">
        <v>23</v>
      </c>
      <c r="D15" s="50">
        <v>8</v>
      </c>
      <c r="E15" s="50">
        <v>7</v>
      </c>
      <c r="F15" s="50">
        <v>34</v>
      </c>
      <c r="G15" s="50">
        <v>3</v>
      </c>
      <c r="H15" s="50">
        <v>2</v>
      </c>
      <c r="I15" s="50">
        <v>2</v>
      </c>
      <c r="J15" s="50">
        <v>8</v>
      </c>
      <c r="K15" s="50">
        <v>0</v>
      </c>
      <c r="L15" s="50">
        <v>12</v>
      </c>
      <c r="M15" s="50">
        <v>107</v>
      </c>
      <c r="N15" s="50">
        <v>0</v>
      </c>
      <c r="O15" s="15">
        <f t="shared" si="0"/>
        <v>99</v>
      </c>
      <c r="P15" s="15">
        <f t="shared" si="1"/>
        <v>206</v>
      </c>
      <c r="R15" s="1" t="s">
        <v>11</v>
      </c>
      <c r="S15" s="17">
        <f t="shared" ref="S15:AF15" si="7">SUM(C30:C33)</f>
        <v>105</v>
      </c>
      <c r="T15" s="17">
        <f t="shared" si="7"/>
        <v>27</v>
      </c>
      <c r="U15" s="17">
        <f t="shared" si="7"/>
        <v>21</v>
      </c>
      <c r="V15" s="17">
        <f t="shared" si="7"/>
        <v>109</v>
      </c>
      <c r="W15" s="17">
        <f t="shared" si="7"/>
        <v>8</v>
      </c>
      <c r="X15" s="17">
        <f t="shared" si="7"/>
        <v>4</v>
      </c>
      <c r="Y15" s="17">
        <f t="shared" si="7"/>
        <v>25</v>
      </c>
      <c r="Z15" s="17">
        <f t="shared" si="7"/>
        <v>42</v>
      </c>
      <c r="AA15" s="17">
        <f t="shared" si="7"/>
        <v>9</v>
      </c>
      <c r="AB15" s="17">
        <f t="shared" si="7"/>
        <v>38</v>
      </c>
      <c r="AC15" s="17">
        <f t="shared" si="7"/>
        <v>409</v>
      </c>
      <c r="AD15" s="17">
        <f t="shared" si="7"/>
        <v>0</v>
      </c>
      <c r="AE15" s="31">
        <f t="shared" si="7"/>
        <v>388</v>
      </c>
      <c r="AF15" s="31">
        <f t="shared" si="7"/>
        <v>797</v>
      </c>
    </row>
    <row r="16" spans="2:32" ht="23.1" customHeight="1" x14ac:dyDescent="0.25">
      <c r="B16" s="23" t="s">
        <v>43</v>
      </c>
      <c r="C16" s="50">
        <v>17</v>
      </c>
      <c r="D16" s="50">
        <v>8</v>
      </c>
      <c r="E16" s="50">
        <v>3</v>
      </c>
      <c r="F16" s="50">
        <v>21</v>
      </c>
      <c r="G16" s="50">
        <v>0</v>
      </c>
      <c r="H16" s="50">
        <v>0</v>
      </c>
      <c r="I16" s="50">
        <v>5</v>
      </c>
      <c r="J16" s="50">
        <v>7</v>
      </c>
      <c r="K16" s="50">
        <v>0</v>
      </c>
      <c r="L16" s="50">
        <v>7</v>
      </c>
      <c r="M16" s="50">
        <v>148</v>
      </c>
      <c r="N16" s="50">
        <v>0</v>
      </c>
      <c r="O16" s="15">
        <f t="shared" si="0"/>
        <v>68</v>
      </c>
      <c r="P16" s="15">
        <f t="shared" si="1"/>
        <v>216</v>
      </c>
      <c r="R16" s="1" t="s">
        <v>12</v>
      </c>
      <c r="S16" s="17">
        <f t="shared" ref="S16:AF16" si="8">SUM(C34:C37)</f>
        <v>103</v>
      </c>
      <c r="T16" s="17">
        <f t="shared" si="8"/>
        <v>33</v>
      </c>
      <c r="U16" s="17">
        <f t="shared" si="8"/>
        <v>29</v>
      </c>
      <c r="V16" s="17">
        <f t="shared" si="8"/>
        <v>131</v>
      </c>
      <c r="W16" s="17">
        <f t="shared" si="8"/>
        <v>2</v>
      </c>
      <c r="X16" s="17">
        <f t="shared" si="8"/>
        <v>4</v>
      </c>
      <c r="Y16" s="17">
        <f t="shared" si="8"/>
        <v>40</v>
      </c>
      <c r="Z16" s="17">
        <f t="shared" si="8"/>
        <v>35</v>
      </c>
      <c r="AA16" s="17">
        <f t="shared" si="8"/>
        <v>19</v>
      </c>
      <c r="AB16" s="17">
        <f t="shared" si="8"/>
        <v>47</v>
      </c>
      <c r="AC16" s="17">
        <f t="shared" si="8"/>
        <v>416</v>
      </c>
      <c r="AD16" s="17">
        <f t="shared" si="8"/>
        <v>0</v>
      </c>
      <c r="AE16" s="31">
        <f t="shared" si="8"/>
        <v>443</v>
      </c>
      <c r="AF16" s="31">
        <f t="shared" si="8"/>
        <v>859</v>
      </c>
    </row>
    <row r="17" spans="2:32" ht="23.1" customHeight="1" x14ac:dyDescent="0.25">
      <c r="B17" s="23" t="s">
        <v>44</v>
      </c>
      <c r="C17" s="50">
        <v>30</v>
      </c>
      <c r="D17" s="50">
        <v>6</v>
      </c>
      <c r="E17" s="50">
        <v>9</v>
      </c>
      <c r="F17" s="50">
        <v>41</v>
      </c>
      <c r="G17" s="50">
        <v>2</v>
      </c>
      <c r="H17" s="50">
        <v>1</v>
      </c>
      <c r="I17" s="50">
        <v>6</v>
      </c>
      <c r="J17" s="50">
        <v>3</v>
      </c>
      <c r="K17" s="50">
        <v>3</v>
      </c>
      <c r="L17" s="50">
        <v>9</v>
      </c>
      <c r="M17" s="50">
        <v>150</v>
      </c>
      <c r="N17" s="50">
        <v>0</v>
      </c>
      <c r="O17" s="15">
        <f t="shared" si="0"/>
        <v>110</v>
      </c>
      <c r="P17" s="15">
        <f t="shared" si="1"/>
        <v>260</v>
      </c>
      <c r="R17" s="1" t="s">
        <v>13</v>
      </c>
      <c r="S17" s="17">
        <f t="shared" ref="S17:AF17" si="9">SUM(C38:C41)</f>
        <v>105</v>
      </c>
      <c r="T17" s="17">
        <f t="shared" si="9"/>
        <v>38</v>
      </c>
      <c r="U17" s="17">
        <f t="shared" si="9"/>
        <v>28</v>
      </c>
      <c r="V17" s="17">
        <f t="shared" si="9"/>
        <v>126</v>
      </c>
      <c r="W17" s="17">
        <f t="shared" si="9"/>
        <v>10</v>
      </c>
      <c r="X17" s="17">
        <f t="shared" si="9"/>
        <v>1</v>
      </c>
      <c r="Y17" s="17">
        <f t="shared" si="9"/>
        <v>46</v>
      </c>
      <c r="Z17" s="17">
        <f t="shared" si="9"/>
        <v>42</v>
      </c>
      <c r="AA17" s="17">
        <f t="shared" si="9"/>
        <v>12</v>
      </c>
      <c r="AB17" s="17">
        <f t="shared" si="9"/>
        <v>37</v>
      </c>
      <c r="AC17" s="17">
        <f t="shared" si="9"/>
        <v>358</v>
      </c>
      <c r="AD17" s="17">
        <f t="shared" si="9"/>
        <v>0</v>
      </c>
      <c r="AE17" s="31">
        <f t="shared" si="9"/>
        <v>445</v>
      </c>
      <c r="AF17" s="31">
        <f t="shared" si="9"/>
        <v>803</v>
      </c>
    </row>
    <row r="18" spans="2:32" ht="23.1" customHeight="1" x14ac:dyDescent="0.25">
      <c r="B18" s="23" t="s">
        <v>45</v>
      </c>
      <c r="C18" s="50">
        <v>25</v>
      </c>
      <c r="D18" s="50">
        <v>9</v>
      </c>
      <c r="E18" s="50">
        <v>1</v>
      </c>
      <c r="F18" s="50">
        <v>33</v>
      </c>
      <c r="G18" s="50">
        <v>3</v>
      </c>
      <c r="H18" s="50">
        <v>1</v>
      </c>
      <c r="I18" s="50">
        <v>12</v>
      </c>
      <c r="J18" s="50">
        <v>4</v>
      </c>
      <c r="K18" s="50">
        <v>4</v>
      </c>
      <c r="L18" s="50">
        <v>11</v>
      </c>
      <c r="M18" s="50">
        <v>138</v>
      </c>
      <c r="N18" s="50">
        <v>0</v>
      </c>
      <c r="O18" s="15">
        <f t="shared" si="0"/>
        <v>103</v>
      </c>
      <c r="P18" s="15">
        <f t="shared" si="1"/>
        <v>241</v>
      </c>
      <c r="R18" s="1" t="s">
        <v>14</v>
      </c>
      <c r="S18" s="17">
        <f t="shared" ref="S18:AF18" si="10">SUM(C42:C45)</f>
        <v>94</v>
      </c>
      <c r="T18" s="17">
        <f t="shared" si="10"/>
        <v>53</v>
      </c>
      <c r="U18" s="17">
        <f t="shared" si="10"/>
        <v>37</v>
      </c>
      <c r="V18" s="17">
        <f t="shared" si="10"/>
        <v>94</v>
      </c>
      <c r="W18" s="17">
        <f t="shared" si="10"/>
        <v>2</v>
      </c>
      <c r="X18" s="17">
        <f t="shared" si="10"/>
        <v>10</v>
      </c>
      <c r="Y18" s="17">
        <f t="shared" si="10"/>
        <v>44</v>
      </c>
      <c r="Z18" s="17">
        <f t="shared" si="10"/>
        <v>24</v>
      </c>
      <c r="AA18" s="17">
        <f t="shared" si="10"/>
        <v>13</v>
      </c>
      <c r="AB18" s="17">
        <f t="shared" si="10"/>
        <v>38</v>
      </c>
      <c r="AC18" s="17">
        <f t="shared" si="10"/>
        <v>376</v>
      </c>
      <c r="AD18" s="17">
        <f t="shared" si="10"/>
        <v>0</v>
      </c>
      <c r="AE18" s="31">
        <f t="shared" si="10"/>
        <v>409</v>
      </c>
      <c r="AF18" s="31">
        <f t="shared" si="10"/>
        <v>785</v>
      </c>
    </row>
    <row r="19" spans="2:32" ht="23.1" customHeight="1" x14ac:dyDescent="0.25">
      <c r="B19" s="23" t="s">
        <v>46</v>
      </c>
      <c r="C19" s="50">
        <v>17</v>
      </c>
      <c r="D19" s="50">
        <v>9</v>
      </c>
      <c r="E19" s="50">
        <v>8</v>
      </c>
      <c r="F19" s="50">
        <v>38</v>
      </c>
      <c r="G19" s="50">
        <v>1</v>
      </c>
      <c r="H19" s="50">
        <v>0</v>
      </c>
      <c r="I19" s="50">
        <v>11</v>
      </c>
      <c r="J19" s="50">
        <v>9</v>
      </c>
      <c r="K19" s="50">
        <v>5</v>
      </c>
      <c r="L19" s="50">
        <v>14</v>
      </c>
      <c r="M19" s="50">
        <v>145</v>
      </c>
      <c r="N19" s="50">
        <v>0</v>
      </c>
      <c r="O19" s="15">
        <f t="shared" si="0"/>
        <v>112</v>
      </c>
      <c r="P19" s="15">
        <f t="shared" si="1"/>
        <v>257</v>
      </c>
      <c r="R19" s="1" t="s">
        <v>15</v>
      </c>
      <c r="S19" s="17">
        <f t="shared" ref="S19:AF19" si="11">SUM(C46:C49)</f>
        <v>105</v>
      </c>
      <c r="T19" s="17">
        <f t="shared" si="11"/>
        <v>45</v>
      </c>
      <c r="U19" s="17">
        <f t="shared" si="11"/>
        <v>31</v>
      </c>
      <c r="V19" s="17">
        <f t="shared" si="11"/>
        <v>117</v>
      </c>
      <c r="W19" s="17">
        <f t="shared" si="11"/>
        <v>9</v>
      </c>
      <c r="X19" s="17">
        <f t="shared" si="11"/>
        <v>0</v>
      </c>
      <c r="Y19" s="17">
        <f t="shared" si="11"/>
        <v>31</v>
      </c>
      <c r="Z19" s="17">
        <f t="shared" si="11"/>
        <v>40</v>
      </c>
      <c r="AA19" s="17">
        <f t="shared" si="11"/>
        <v>9</v>
      </c>
      <c r="AB19" s="17">
        <f t="shared" si="11"/>
        <v>33</v>
      </c>
      <c r="AC19" s="17">
        <f t="shared" si="11"/>
        <v>461</v>
      </c>
      <c r="AD19" s="17">
        <f t="shared" si="11"/>
        <v>0</v>
      </c>
      <c r="AE19" s="31">
        <f t="shared" si="11"/>
        <v>420</v>
      </c>
      <c r="AF19" s="31">
        <f t="shared" si="11"/>
        <v>881</v>
      </c>
    </row>
    <row r="20" spans="2:32" ht="23.1" customHeight="1" x14ac:dyDescent="0.25">
      <c r="B20" s="23" t="s">
        <v>47</v>
      </c>
      <c r="C20" s="50">
        <v>20</v>
      </c>
      <c r="D20" s="50">
        <v>5</v>
      </c>
      <c r="E20" s="50">
        <v>3</v>
      </c>
      <c r="F20" s="50">
        <v>30</v>
      </c>
      <c r="G20" s="50">
        <v>1</v>
      </c>
      <c r="H20" s="50">
        <v>0</v>
      </c>
      <c r="I20" s="50">
        <v>12</v>
      </c>
      <c r="J20" s="50">
        <v>2</v>
      </c>
      <c r="K20" s="50">
        <v>3</v>
      </c>
      <c r="L20" s="50">
        <v>17</v>
      </c>
      <c r="M20" s="50">
        <v>148</v>
      </c>
      <c r="N20" s="50">
        <v>0</v>
      </c>
      <c r="O20" s="15">
        <f t="shared" si="0"/>
        <v>93</v>
      </c>
      <c r="P20" s="15">
        <f t="shared" si="1"/>
        <v>241</v>
      </c>
      <c r="R20" s="1" t="s">
        <v>16</v>
      </c>
      <c r="S20" s="17">
        <f t="shared" ref="S20:AF20" si="12">SUM(C50:C53)</f>
        <v>133</v>
      </c>
      <c r="T20" s="17">
        <f t="shared" si="12"/>
        <v>40</v>
      </c>
      <c r="U20" s="17">
        <f t="shared" si="12"/>
        <v>30</v>
      </c>
      <c r="V20" s="17">
        <f t="shared" si="12"/>
        <v>127</v>
      </c>
      <c r="W20" s="17">
        <f t="shared" si="12"/>
        <v>4</v>
      </c>
      <c r="X20" s="17">
        <f t="shared" si="12"/>
        <v>4</v>
      </c>
      <c r="Y20" s="17">
        <f t="shared" si="12"/>
        <v>42</v>
      </c>
      <c r="Z20" s="17">
        <f t="shared" si="12"/>
        <v>37</v>
      </c>
      <c r="AA20" s="17">
        <f t="shared" si="12"/>
        <v>20</v>
      </c>
      <c r="AB20" s="17">
        <f t="shared" si="12"/>
        <v>21</v>
      </c>
      <c r="AC20" s="17">
        <f t="shared" si="12"/>
        <v>439</v>
      </c>
      <c r="AD20" s="17">
        <f t="shared" si="12"/>
        <v>0</v>
      </c>
      <c r="AE20" s="31">
        <f t="shared" si="12"/>
        <v>458</v>
      </c>
      <c r="AF20" s="31">
        <f t="shared" si="12"/>
        <v>897</v>
      </c>
    </row>
    <row r="21" spans="2:32" ht="23.1" customHeight="1" x14ac:dyDescent="0.25">
      <c r="B21" s="23" t="s">
        <v>48</v>
      </c>
      <c r="C21" s="50">
        <v>20</v>
      </c>
      <c r="D21" s="50">
        <v>11</v>
      </c>
      <c r="E21" s="50">
        <v>4</v>
      </c>
      <c r="F21" s="50">
        <v>29</v>
      </c>
      <c r="G21" s="50">
        <v>1</v>
      </c>
      <c r="H21" s="50">
        <v>2</v>
      </c>
      <c r="I21" s="50">
        <v>6</v>
      </c>
      <c r="J21" s="50">
        <v>7</v>
      </c>
      <c r="K21" s="50">
        <v>0</v>
      </c>
      <c r="L21" s="50">
        <v>7</v>
      </c>
      <c r="M21" s="50">
        <v>123</v>
      </c>
      <c r="N21" s="50">
        <v>0</v>
      </c>
      <c r="O21" s="15">
        <f t="shared" si="0"/>
        <v>87</v>
      </c>
      <c r="P21" s="15">
        <f t="shared" si="1"/>
        <v>210</v>
      </c>
      <c r="R21" s="36" t="s">
        <v>20</v>
      </c>
      <c r="S21" s="34">
        <f t="shared" ref="S21:AF21" si="13">SUM(C54:C57)</f>
        <v>131</v>
      </c>
      <c r="T21" s="17">
        <f t="shared" si="13"/>
        <v>43</v>
      </c>
      <c r="U21" s="17">
        <f t="shared" si="13"/>
        <v>37</v>
      </c>
      <c r="V21" s="17">
        <f t="shared" si="13"/>
        <v>120</v>
      </c>
      <c r="W21" s="17">
        <f t="shared" si="13"/>
        <v>9</v>
      </c>
      <c r="X21" s="17">
        <f t="shared" si="13"/>
        <v>4</v>
      </c>
      <c r="Y21" s="17">
        <f t="shared" si="13"/>
        <v>40</v>
      </c>
      <c r="Z21" s="17">
        <f t="shared" si="13"/>
        <v>28</v>
      </c>
      <c r="AA21" s="17">
        <f t="shared" si="13"/>
        <v>13</v>
      </c>
      <c r="AB21" s="17">
        <f t="shared" si="13"/>
        <v>39</v>
      </c>
      <c r="AC21" s="17">
        <f t="shared" si="13"/>
        <v>514</v>
      </c>
      <c r="AD21" s="17">
        <f t="shared" si="13"/>
        <v>0</v>
      </c>
      <c r="AE21" s="31">
        <f t="shared" si="13"/>
        <v>464</v>
      </c>
      <c r="AF21" s="31">
        <f t="shared" si="13"/>
        <v>978</v>
      </c>
    </row>
    <row r="22" spans="2:32" ht="23.1" customHeight="1" x14ac:dyDescent="0.25">
      <c r="B22" s="23" t="s">
        <v>49</v>
      </c>
      <c r="C22" s="50">
        <v>17</v>
      </c>
      <c r="D22" s="50">
        <v>7</v>
      </c>
      <c r="E22" s="50">
        <v>5</v>
      </c>
      <c r="F22" s="50">
        <v>22</v>
      </c>
      <c r="G22" s="50">
        <v>2</v>
      </c>
      <c r="H22" s="50">
        <v>1</v>
      </c>
      <c r="I22" s="50">
        <v>9</v>
      </c>
      <c r="J22" s="50">
        <v>7</v>
      </c>
      <c r="K22" s="50">
        <v>1</v>
      </c>
      <c r="L22" s="50">
        <v>9</v>
      </c>
      <c r="M22" s="50">
        <v>143</v>
      </c>
      <c r="N22" s="50">
        <v>0</v>
      </c>
      <c r="O22" s="15">
        <f t="shared" si="0"/>
        <v>80</v>
      </c>
      <c r="P22" s="15">
        <f t="shared" si="1"/>
        <v>223</v>
      </c>
      <c r="R22" s="38" t="s">
        <v>90</v>
      </c>
      <c r="S22" s="39">
        <f>MAX(S10:S12)</f>
        <v>98</v>
      </c>
      <c r="T22" s="39">
        <f t="shared" ref="T22:AF22" si="14">MAX(T10:T12)</f>
        <v>51</v>
      </c>
      <c r="U22" s="39">
        <f t="shared" si="14"/>
        <v>40</v>
      </c>
      <c r="V22" s="39">
        <f t="shared" si="14"/>
        <v>130</v>
      </c>
      <c r="W22" s="39">
        <f t="shared" si="14"/>
        <v>9</v>
      </c>
      <c r="X22" s="39">
        <f t="shared" si="14"/>
        <v>4</v>
      </c>
      <c r="Y22" s="39">
        <f t="shared" si="14"/>
        <v>45</v>
      </c>
      <c r="Z22" s="39">
        <f t="shared" si="14"/>
        <v>27</v>
      </c>
      <c r="AA22" s="39">
        <f t="shared" si="14"/>
        <v>17</v>
      </c>
      <c r="AB22" s="39">
        <f t="shared" si="14"/>
        <v>182</v>
      </c>
      <c r="AC22" s="39">
        <f t="shared" si="14"/>
        <v>568</v>
      </c>
      <c r="AD22" s="39">
        <f t="shared" si="14"/>
        <v>0</v>
      </c>
      <c r="AE22" s="40">
        <f t="shared" si="14"/>
        <v>492</v>
      </c>
      <c r="AF22" s="40">
        <f t="shared" si="14"/>
        <v>957</v>
      </c>
    </row>
    <row r="23" spans="2:32" ht="23.1" customHeight="1" x14ac:dyDescent="0.25">
      <c r="B23" s="23" t="s">
        <v>50</v>
      </c>
      <c r="C23" s="50">
        <v>11</v>
      </c>
      <c r="D23" s="50">
        <v>3</v>
      </c>
      <c r="E23" s="50">
        <v>3</v>
      </c>
      <c r="F23" s="50">
        <v>32</v>
      </c>
      <c r="G23" s="50">
        <v>1</v>
      </c>
      <c r="H23" s="50">
        <v>1</v>
      </c>
      <c r="I23" s="50">
        <v>3</v>
      </c>
      <c r="J23" s="50">
        <v>2</v>
      </c>
      <c r="K23" s="50">
        <v>2</v>
      </c>
      <c r="L23" s="50">
        <v>6</v>
      </c>
      <c r="M23" s="50">
        <v>103</v>
      </c>
      <c r="N23" s="50">
        <v>0</v>
      </c>
      <c r="O23" s="15">
        <f t="shared" si="0"/>
        <v>64</v>
      </c>
      <c r="P23" s="15">
        <f t="shared" si="1"/>
        <v>167</v>
      </c>
      <c r="R23" s="38" t="s">
        <v>91</v>
      </c>
      <c r="S23" s="39">
        <f>MAX(S13:S18)</f>
        <v>105</v>
      </c>
      <c r="T23" s="39">
        <f t="shared" ref="T23:AF23" si="15">MAX(T13:T18)</f>
        <v>53</v>
      </c>
      <c r="U23" s="39">
        <f t="shared" si="15"/>
        <v>37</v>
      </c>
      <c r="V23" s="39">
        <f t="shared" si="15"/>
        <v>131</v>
      </c>
      <c r="W23" s="39">
        <f t="shared" si="15"/>
        <v>10</v>
      </c>
      <c r="X23" s="39">
        <f t="shared" si="15"/>
        <v>10</v>
      </c>
      <c r="Y23" s="39">
        <f t="shared" si="15"/>
        <v>46</v>
      </c>
      <c r="Z23" s="39">
        <f t="shared" si="15"/>
        <v>42</v>
      </c>
      <c r="AA23" s="39">
        <f t="shared" si="15"/>
        <v>19</v>
      </c>
      <c r="AB23" s="39">
        <f t="shared" si="15"/>
        <v>56</v>
      </c>
      <c r="AC23" s="39">
        <f t="shared" si="15"/>
        <v>504</v>
      </c>
      <c r="AD23" s="39">
        <f t="shared" si="15"/>
        <v>0</v>
      </c>
      <c r="AE23" s="40">
        <f t="shared" si="15"/>
        <v>445</v>
      </c>
      <c r="AF23" s="40">
        <f t="shared" si="15"/>
        <v>866</v>
      </c>
    </row>
    <row r="24" spans="2:32" ht="23.1" customHeight="1" x14ac:dyDescent="0.25">
      <c r="B24" s="23" t="s">
        <v>51</v>
      </c>
      <c r="C24" s="50">
        <v>27</v>
      </c>
      <c r="D24" s="50">
        <v>15</v>
      </c>
      <c r="E24" s="50">
        <v>6</v>
      </c>
      <c r="F24" s="50">
        <v>34</v>
      </c>
      <c r="G24" s="50">
        <v>1</v>
      </c>
      <c r="H24" s="50">
        <v>0</v>
      </c>
      <c r="I24" s="50">
        <v>14</v>
      </c>
      <c r="J24" s="50">
        <v>6</v>
      </c>
      <c r="K24" s="50">
        <v>4</v>
      </c>
      <c r="L24" s="50">
        <v>28</v>
      </c>
      <c r="M24" s="50">
        <v>118</v>
      </c>
      <c r="N24" s="50">
        <v>0</v>
      </c>
      <c r="O24" s="15">
        <f t="shared" si="0"/>
        <v>135</v>
      </c>
      <c r="P24" s="15">
        <f t="shared" si="1"/>
        <v>253</v>
      </c>
      <c r="R24" s="38" t="s">
        <v>92</v>
      </c>
      <c r="S24" s="39">
        <f>MAX(S19:S21)</f>
        <v>133</v>
      </c>
      <c r="T24" s="39">
        <f t="shared" ref="T24:AF24" si="16">MAX(T19:T21)</f>
        <v>45</v>
      </c>
      <c r="U24" s="39">
        <f t="shared" si="16"/>
        <v>37</v>
      </c>
      <c r="V24" s="39">
        <f t="shared" si="16"/>
        <v>127</v>
      </c>
      <c r="W24" s="39">
        <f t="shared" si="16"/>
        <v>9</v>
      </c>
      <c r="X24" s="39">
        <f t="shared" si="16"/>
        <v>4</v>
      </c>
      <c r="Y24" s="39">
        <f t="shared" si="16"/>
        <v>42</v>
      </c>
      <c r="Z24" s="39">
        <f t="shared" si="16"/>
        <v>40</v>
      </c>
      <c r="AA24" s="39">
        <f t="shared" si="16"/>
        <v>20</v>
      </c>
      <c r="AB24" s="39">
        <f t="shared" si="16"/>
        <v>39</v>
      </c>
      <c r="AC24" s="39">
        <f t="shared" si="16"/>
        <v>514</v>
      </c>
      <c r="AD24" s="39">
        <f t="shared" si="16"/>
        <v>0</v>
      </c>
      <c r="AE24" s="40">
        <f t="shared" si="16"/>
        <v>464</v>
      </c>
      <c r="AF24" s="40">
        <f t="shared" si="16"/>
        <v>978</v>
      </c>
    </row>
    <row r="25" spans="2:32" ht="23.1" customHeight="1" x14ac:dyDescent="0.25">
      <c r="B25" s="23" t="s">
        <v>52</v>
      </c>
      <c r="C25" s="50">
        <v>16</v>
      </c>
      <c r="D25" s="50">
        <v>7</v>
      </c>
      <c r="E25" s="50">
        <v>5</v>
      </c>
      <c r="F25" s="50">
        <v>25</v>
      </c>
      <c r="G25" s="50">
        <v>1</v>
      </c>
      <c r="H25" s="50">
        <v>0</v>
      </c>
      <c r="I25" s="50">
        <v>5</v>
      </c>
      <c r="J25" s="50">
        <v>8</v>
      </c>
      <c r="K25" s="50">
        <v>3</v>
      </c>
      <c r="L25" s="50">
        <v>13</v>
      </c>
      <c r="M25" s="50">
        <v>140</v>
      </c>
      <c r="N25" s="50">
        <v>0</v>
      </c>
      <c r="O25" s="15">
        <f t="shared" si="0"/>
        <v>83</v>
      </c>
      <c r="P25" s="15">
        <f t="shared" si="1"/>
        <v>223</v>
      </c>
      <c r="R25" s="37" t="s">
        <v>85</v>
      </c>
      <c r="S25" s="35">
        <f t="shared" ref="S25:AF25" si="17">SUM(S10:S12)</f>
        <v>228</v>
      </c>
      <c r="T25" s="16">
        <f t="shared" si="17"/>
        <v>118</v>
      </c>
      <c r="U25" s="16">
        <f t="shared" si="17"/>
        <v>82</v>
      </c>
      <c r="V25" s="16">
        <f t="shared" si="17"/>
        <v>325</v>
      </c>
      <c r="W25" s="16">
        <f t="shared" si="17"/>
        <v>23</v>
      </c>
      <c r="X25" s="16">
        <f t="shared" si="17"/>
        <v>9</v>
      </c>
      <c r="Y25" s="16">
        <f t="shared" si="17"/>
        <v>107</v>
      </c>
      <c r="Z25" s="16">
        <f t="shared" si="17"/>
        <v>69</v>
      </c>
      <c r="AA25" s="16">
        <f t="shared" si="17"/>
        <v>34</v>
      </c>
      <c r="AB25" s="16">
        <f t="shared" si="17"/>
        <v>281</v>
      </c>
      <c r="AC25" s="16">
        <f t="shared" si="17"/>
        <v>1509</v>
      </c>
      <c r="AD25" s="16">
        <f t="shared" si="17"/>
        <v>0</v>
      </c>
      <c r="AE25" s="32">
        <f t="shared" si="17"/>
        <v>1276</v>
      </c>
      <c r="AF25" s="32">
        <f t="shared" si="17"/>
        <v>2785</v>
      </c>
    </row>
    <row r="26" spans="2:32" ht="23.1" customHeight="1" x14ac:dyDescent="0.25">
      <c r="B26" s="23" t="s">
        <v>53</v>
      </c>
      <c r="C26" s="50">
        <v>23</v>
      </c>
      <c r="D26" s="50">
        <v>6</v>
      </c>
      <c r="E26" s="50">
        <v>4</v>
      </c>
      <c r="F26" s="50">
        <v>30</v>
      </c>
      <c r="G26" s="50">
        <v>2</v>
      </c>
      <c r="H26" s="50">
        <v>1</v>
      </c>
      <c r="I26" s="50">
        <v>9</v>
      </c>
      <c r="J26" s="50">
        <v>9</v>
      </c>
      <c r="K26" s="50">
        <v>6</v>
      </c>
      <c r="L26" s="50">
        <v>14</v>
      </c>
      <c r="M26" s="50">
        <v>122</v>
      </c>
      <c r="N26" s="50">
        <v>0</v>
      </c>
      <c r="O26" s="15">
        <f t="shared" si="0"/>
        <v>104</v>
      </c>
      <c r="P26" s="15">
        <f t="shared" si="1"/>
        <v>226</v>
      </c>
      <c r="R26" s="28" t="s">
        <v>86</v>
      </c>
      <c r="S26" s="16">
        <f t="shared" ref="S26:AF26" si="18">SUM(S13:S18)</f>
        <v>565</v>
      </c>
      <c r="T26" s="16">
        <f t="shared" si="18"/>
        <v>212</v>
      </c>
      <c r="U26" s="16">
        <f t="shared" si="18"/>
        <v>159</v>
      </c>
      <c r="V26" s="16">
        <f t="shared" si="18"/>
        <v>702</v>
      </c>
      <c r="W26" s="16">
        <f t="shared" si="18"/>
        <v>30</v>
      </c>
      <c r="X26" s="16">
        <f t="shared" si="18"/>
        <v>23</v>
      </c>
      <c r="Y26" s="16">
        <f t="shared" si="18"/>
        <v>228</v>
      </c>
      <c r="Z26" s="16">
        <f t="shared" si="18"/>
        <v>193</v>
      </c>
      <c r="AA26" s="16">
        <f t="shared" si="18"/>
        <v>77</v>
      </c>
      <c r="AB26" s="16">
        <f t="shared" si="18"/>
        <v>259</v>
      </c>
      <c r="AC26" s="16">
        <f t="shared" si="18"/>
        <v>2505</v>
      </c>
      <c r="AD26" s="16">
        <f t="shared" si="18"/>
        <v>0</v>
      </c>
      <c r="AE26" s="32">
        <f t="shared" si="18"/>
        <v>2448</v>
      </c>
      <c r="AF26" s="32">
        <f t="shared" si="18"/>
        <v>4953</v>
      </c>
    </row>
    <row r="27" spans="2:32" ht="23.1" customHeight="1" x14ac:dyDescent="0.25">
      <c r="B27" s="23" t="s">
        <v>54</v>
      </c>
      <c r="C27" s="50">
        <v>26</v>
      </c>
      <c r="D27" s="50">
        <v>7</v>
      </c>
      <c r="E27" s="50">
        <v>12</v>
      </c>
      <c r="F27" s="50">
        <v>38</v>
      </c>
      <c r="G27" s="50">
        <v>0</v>
      </c>
      <c r="H27" s="50">
        <v>0</v>
      </c>
      <c r="I27" s="50">
        <v>9</v>
      </c>
      <c r="J27" s="50">
        <v>8</v>
      </c>
      <c r="K27" s="50">
        <v>1</v>
      </c>
      <c r="L27" s="50">
        <v>8</v>
      </c>
      <c r="M27" s="50">
        <v>120</v>
      </c>
      <c r="N27" s="50">
        <v>0</v>
      </c>
      <c r="O27" s="15">
        <f t="shared" si="0"/>
        <v>109</v>
      </c>
      <c r="P27" s="15">
        <f t="shared" si="1"/>
        <v>229</v>
      </c>
      <c r="R27" s="29" t="s">
        <v>87</v>
      </c>
      <c r="S27" s="16">
        <f t="shared" ref="S27:AF27" si="19">SUM(S19:S21)</f>
        <v>369</v>
      </c>
      <c r="T27" s="16">
        <f t="shared" si="19"/>
        <v>128</v>
      </c>
      <c r="U27" s="16">
        <f t="shared" si="19"/>
        <v>98</v>
      </c>
      <c r="V27" s="16">
        <f t="shared" si="19"/>
        <v>364</v>
      </c>
      <c r="W27" s="16">
        <f t="shared" si="19"/>
        <v>22</v>
      </c>
      <c r="X27" s="16">
        <f t="shared" si="19"/>
        <v>8</v>
      </c>
      <c r="Y27" s="16">
        <f t="shared" si="19"/>
        <v>113</v>
      </c>
      <c r="Z27" s="16">
        <f t="shared" si="19"/>
        <v>105</v>
      </c>
      <c r="AA27" s="16">
        <f t="shared" si="19"/>
        <v>42</v>
      </c>
      <c r="AB27" s="16">
        <f t="shared" si="19"/>
        <v>93</v>
      </c>
      <c r="AC27" s="16">
        <f t="shared" si="19"/>
        <v>1414</v>
      </c>
      <c r="AD27" s="16">
        <f t="shared" si="19"/>
        <v>0</v>
      </c>
      <c r="AE27" s="32">
        <f t="shared" si="19"/>
        <v>1342</v>
      </c>
      <c r="AF27" s="32">
        <f t="shared" si="19"/>
        <v>2756</v>
      </c>
    </row>
    <row r="28" spans="2:32" ht="23.1" customHeight="1" x14ac:dyDescent="0.25">
      <c r="B28" s="23" t="s">
        <v>55</v>
      </c>
      <c r="C28" s="50">
        <v>21</v>
      </c>
      <c r="D28" s="50">
        <v>11</v>
      </c>
      <c r="E28" s="50">
        <v>5</v>
      </c>
      <c r="F28" s="50">
        <v>27</v>
      </c>
      <c r="G28" s="50">
        <v>1</v>
      </c>
      <c r="H28" s="50">
        <v>1</v>
      </c>
      <c r="I28" s="50">
        <v>11</v>
      </c>
      <c r="J28" s="50">
        <v>1</v>
      </c>
      <c r="K28" s="50">
        <v>2</v>
      </c>
      <c r="L28" s="50">
        <v>10</v>
      </c>
      <c r="M28" s="50">
        <v>111</v>
      </c>
      <c r="N28" s="50">
        <v>0</v>
      </c>
      <c r="O28" s="15">
        <f t="shared" si="0"/>
        <v>90</v>
      </c>
      <c r="P28" s="15">
        <f t="shared" si="1"/>
        <v>201</v>
      </c>
      <c r="R28" s="5" t="s">
        <v>17</v>
      </c>
      <c r="S28" s="16">
        <f t="shared" ref="S28:AF28" si="20">SUM(S10:S21)</f>
        <v>1162</v>
      </c>
      <c r="T28" s="16">
        <f t="shared" si="20"/>
        <v>458</v>
      </c>
      <c r="U28" s="16">
        <f t="shared" si="20"/>
        <v>339</v>
      </c>
      <c r="V28" s="16">
        <f t="shared" si="20"/>
        <v>1391</v>
      </c>
      <c r="W28" s="16">
        <f t="shared" si="20"/>
        <v>75</v>
      </c>
      <c r="X28" s="16">
        <f t="shared" si="20"/>
        <v>40</v>
      </c>
      <c r="Y28" s="16">
        <f t="shared" si="20"/>
        <v>448</v>
      </c>
      <c r="Z28" s="16">
        <f t="shared" si="20"/>
        <v>367</v>
      </c>
      <c r="AA28" s="16">
        <f t="shared" si="20"/>
        <v>153</v>
      </c>
      <c r="AB28" s="16">
        <f t="shared" si="20"/>
        <v>633</v>
      </c>
      <c r="AC28" s="16">
        <f t="shared" si="20"/>
        <v>5428</v>
      </c>
      <c r="AD28" s="16">
        <f t="shared" si="20"/>
        <v>0</v>
      </c>
      <c r="AE28" s="32">
        <f t="shared" si="20"/>
        <v>5066</v>
      </c>
      <c r="AF28" s="32">
        <f t="shared" si="20"/>
        <v>10494</v>
      </c>
    </row>
    <row r="29" spans="2:32" ht="23.1" customHeight="1" x14ac:dyDescent="0.25">
      <c r="B29" s="23" t="s">
        <v>56</v>
      </c>
      <c r="C29" s="50">
        <v>17</v>
      </c>
      <c r="D29" s="50">
        <v>5</v>
      </c>
      <c r="E29" s="50">
        <v>4</v>
      </c>
      <c r="F29" s="50">
        <v>34</v>
      </c>
      <c r="G29" s="50">
        <v>0</v>
      </c>
      <c r="H29" s="50">
        <v>0</v>
      </c>
      <c r="I29" s="50">
        <v>13</v>
      </c>
      <c r="J29" s="50">
        <v>9</v>
      </c>
      <c r="K29" s="50">
        <v>5</v>
      </c>
      <c r="L29" s="50">
        <v>11</v>
      </c>
      <c r="M29" s="50">
        <v>89</v>
      </c>
      <c r="N29" s="50">
        <v>0</v>
      </c>
      <c r="O29" s="15">
        <f t="shared" si="0"/>
        <v>98</v>
      </c>
      <c r="P29" s="15">
        <f t="shared" si="1"/>
        <v>187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14</v>
      </c>
      <c r="E30" s="50">
        <v>8</v>
      </c>
      <c r="F30" s="50">
        <v>32</v>
      </c>
      <c r="G30" s="50">
        <v>4</v>
      </c>
      <c r="H30" s="50">
        <v>2</v>
      </c>
      <c r="I30" s="50">
        <v>10</v>
      </c>
      <c r="J30" s="50">
        <v>10</v>
      </c>
      <c r="K30" s="50">
        <v>1</v>
      </c>
      <c r="L30" s="50">
        <v>13</v>
      </c>
      <c r="M30" s="50">
        <v>103</v>
      </c>
      <c r="N30" s="50">
        <v>0</v>
      </c>
      <c r="O30" s="15">
        <f t="shared" si="0"/>
        <v>119</v>
      </c>
      <c r="P30" s="15">
        <f t="shared" si="1"/>
        <v>222</v>
      </c>
    </row>
    <row r="31" spans="2:32" ht="23.1" customHeight="1" x14ac:dyDescent="0.25">
      <c r="B31" s="24" t="s">
        <v>58</v>
      </c>
      <c r="C31" s="50">
        <v>21</v>
      </c>
      <c r="D31" s="50">
        <v>4</v>
      </c>
      <c r="E31" s="50">
        <v>4</v>
      </c>
      <c r="F31" s="50">
        <v>28</v>
      </c>
      <c r="G31" s="50">
        <v>0</v>
      </c>
      <c r="H31" s="50">
        <v>2</v>
      </c>
      <c r="I31" s="50">
        <v>4</v>
      </c>
      <c r="J31" s="50">
        <v>11</v>
      </c>
      <c r="K31" s="50">
        <v>2</v>
      </c>
      <c r="L31" s="50">
        <v>8</v>
      </c>
      <c r="M31" s="50">
        <v>97</v>
      </c>
      <c r="N31" s="50">
        <v>0</v>
      </c>
      <c r="O31" s="15">
        <f t="shared" si="0"/>
        <v>84</v>
      </c>
      <c r="P31" s="15">
        <f t="shared" si="1"/>
        <v>181</v>
      </c>
    </row>
    <row r="32" spans="2:32" ht="23.1" customHeight="1" x14ac:dyDescent="0.25">
      <c r="B32" s="24" t="s">
        <v>59</v>
      </c>
      <c r="C32" s="50">
        <v>28</v>
      </c>
      <c r="D32" s="50">
        <v>5</v>
      </c>
      <c r="E32" s="50">
        <v>3</v>
      </c>
      <c r="F32" s="50">
        <v>24</v>
      </c>
      <c r="G32" s="50">
        <v>2</v>
      </c>
      <c r="H32" s="50">
        <v>0</v>
      </c>
      <c r="I32" s="50">
        <v>5</v>
      </c>
      <c r="J32" s="50">
        <v>10</v>
      </c>
      <c r="K32" s="50">
        <v>3</v>
      </c>
      <c r="L32" s="50">
        <v>10</v>
      </c>
      <c r="M32" s="50">
        <v>118</v>
      </c>
      <c r="N32" s="50">
        <v>0</v>
      </c>
      <c r="O32" s="15">
        <f t="shared" si="0"/>
        <v>90</v>
      </c>
      <c r="P32" s="15">
        <f t="shared" si="1"/>
        <v>208</v>
      </c>
    </row>
    <row r="33" spans="2:20" ht="23.1" customHeight="1" x14ac:dyDescent="0.25">
      <c r="B33" s="23" t="s">
        <v>60</v>
      </c>
      <c r="C33" s="50">
        <v>31</v>
      </c>
      <c r="D33" s="50">
        <v>4</v>
      </c>
      <c r="E33" s="50">
        <v>6</v>
      </c>
      <c r="F33" s="50">
        <v>25</v>
      </c>
      <c r="G33" s="50">
        <v>2</v>
      </c>
      <c r="H33" s="50">
        <v>0</v>
      </c>
      <c r="I33" s="50">
        <v>6</v>
      </c>
      <c r="J33" s="50">
        <v>11</v>
      </c>
      <c r="K33" s="50">
        <v>3</v>
      </c>
      <c r="L33" s="50">
        <v>7</v>
      </c>
      <c r="M33" s="50">
        <v>91</v>
      </c>
      <c r="N33" s="50">
        <v>0</v>
      </c>
      <c r="O33" s="15">
        <f t="shared" si="0"/>
        <v>95</v>
      </c>
      <c r="P33" s="15">
        <f t="shared" si="1"/>
        <v>186</v>
      </c>
    </row>
    <row r="34" spans="2:20" ht="23.1" customHeight="1" x14ac:dyDescent="0.25">
      <c r="B34" s="24" t="s">
        <v>61</v>
      </c>
      <c r="C34" s="50">
        <v>20</v>
      </c>
      <c r="D34" s="50">
        <v>6</v>
      </c>
      <c r="E34" s="50">
        <v>8</v>
      </c>
      <c r="F34" s="50">
        <v>40</v>
      </c>
      <c r="G34" s="50">
        <v>1</v>
      </c>
      <c r="H34" s="50">
        <v>3</v>
      </c>
      <c r="I34" s="50">
        <v>11</v>
      </c>
      <c r="J34" s="50">
        <v>15</v>
      </c>
      <c r="K34" s="50">
        <v>4</v>
      </c>
      <c r="L34" s="50">
        <v>15</v>
      </c>
      <c r="M34" s="50">
        <v>110</v>
      </c>
      <c r="N34" s="50">
        <v>0</v>
      </c>
      <c r="O34" s="15">
        <f t="shared" si="0"/>
        <v>123</v>
      </c>
      <c r="P34" s="15">
        <f t="shared" si="1"/>
        <v>233</v>
      </c>
    </row>
    <row r="35" spans="2:20" ht="23.1" customHeight="1" x14ac:dyDescent="0.25">
      <c r="B35" s="24" t="s">
        <v>62</v>
      </c>
      <c r="C35" s="50">
        <v>26</v>
      </c>
      <c r="D35" s="50">
        <v>7</v>
      </c>
      <c r="E35" s="50">
        <v>7</v>
      </c>
      <c r="F35" s="50">
        <v>29</v>
      </c>
      <c r="G35" s="50">
        <v>0</v>
      </c>
      <c r="H35" s="50">
        <v>0</v>
      </c>
      <c r="I35" s="50">
        <v>14</v>
      </c>
      <c r="J35" s="50">
        <v>9</v>
      </c>
      <c r="K35" s="50">
        <v>9</v>
      </c>
      <c r="L35" s="50">
        <v>15</v>
      </c>
      <c r="M35" s="50">
        <v>116</v>
      </c>
      <c r="N35" s="50">
        <v>0</v>
      </c>
      <c r="O35" s="15">
        <f t="shared" si="0"/>
        <v>116</v>
      </c>
      <c r="P35" s="15">
        <f t="shared" si="1"/>
        <v>232</v>
      </c>
    </row>
    <row r="36" spans="2:20" ht="23.1" customHeight="1" x14ac:dyDescent="0.25">
      <c r="B36" s="24" t="s">
        <v>63</v>
      </c>
      <c r="C36" s="50">
        <v>27</v>
      </c>
      <c r="D36" s="50">
        <v>9</v>
      </c>
      <c r="E36" s="50">
        <v>6</v>
      </c>
      <c r="F36" s="50">
        <v>32</v>
      </c>
      <c r="G36" s="50">
        <v>1</v>
      </c>
      <c r="H36" s="50">
        <v>1</v>
      </c>
      <c r="I36" s="50">
        <v>9</v>
      </c>
      <c r="J36" s="50">
        <v>3</v>
      </c>
      <c r="K36" s="50">
        <v>5</v>
      </c>
      <c r="L36" s="50">
        <v>11</v>
      </c>
      <c r="M36" s="50">
        <v>85</v>
      </c>
      <c r="N36" s="50">
        <v>0</v>
      </c>
      <c r="O36" s="15">
        <f t="shared" si="0"/>
        <v>104</v>
      </c>
      <c r="P36" s="15">
        <f t="shared" si="1"/>
        <v>189</v>
      </c>
    </row>
    <row r="37" spans="2:20" ht="23.1" customHeight="1" x14ac:dyDescent="0.25">
      <c r="B37" s="23" t="s">
        <v>64</v>
      </c>
      <c r="C37" s="50">
        <v>30</v>
      </c>
      <c r="D37" s="50">
        <v>11</v>
      </c>
      <c r="E37" s="50">
        <v>8</v>
      </c>
      <c r="F37" s="50">
        <v>30</v>
      </c>
      <c r="G37" s="50">
        <v>0</v>
      </c>
      <c r="H37" s="50">
        <v>0</v>
      </c>
      <c r="I37" s="50">
        <v>6</v>
      </c>
      <c r="J37" s="50">
        <v>8</v>
      </c>
      <c r="K37" s="50">
        <v>1</v>
      </c>
      <c r="L37" s="50">
        <v>6</v>
      </c>
      <c r="M37" s="50">
        <v>105</v>
      </c>
      <c r="N37" s="50">
        <v>0</v>
      </c>
      <c r="O37" s="15">
        <f t="shared" si="0"/>
        <v>100</v>
      </c>
      <c r="P37" s="15">
        <f t="shared" si="1"/>
        <v>205</v>
      </c>
    </row>
    <row r="38" spans="2:20" ht="23.1" customHeight="1" x14ac:dyDescent="0.25">
      <c r="B38" s="24" t="s">
        <v>65</v>
      </c>
      <c r="C38" s="50">
        <v>26</v>
      </c>
      <c r="D38" s="50">
        <v>11</v>
      </c>
      <c r="E38" s="50">
        <v>5</v>
      </c>
      <c r="F38" s="50">
        <v>35</v>
      </c>
      <c r="G38" s="50">
        <v>1</v>
      </c>
      <c r="H38" s="50">
        <v>0</v>
      </c>
      <c r="I38" s="50">
        <v>13</v>
      </c>
      <c r="J38" s="50">
        <v>12</v>
      </c>
      <c r="K38" s="50">
        <v>3</v>
      </c>
      <c r="L38" s="50">
        <v>16</v>
      </c>
      <c r="M38" s="50">
        <v>85</v>
      </c>
      <c r="N38" s="50">
        <v>0</v>
      </c>
      <c r="O38" s="15">
        <f t="shared" si="0"/>
        <v>122</v>
      </c>
      <c r="P38" s="15">
        <f t="shared" si="1"/>
        <v>207</v>
      </c>
    </row>
    <row r="39" spans="2:20" ht="23.1" customHeight="1" x14ac:dyDescent="0.25">
      <c r="B39" s="24" t="s">
        <v>66</v>
      </c>
      <c r="C39" s="50">
        <v>21</v>
      </c>
      <c r="D39" s="50">
        <v>9</v>
      </c>
      <c r="E39" s="50">
        <v>7</v>
      </c>
      <c r="F39" s="50">
        <v>30</v>
      </c>
      <c r="G39" s="50">
        <v>1</v>
      </c>
      <c r="H39" s="50">
        <v>1</v>
      </c>
      <c r="I39" s="50">
        <v>16</v>
      </c>
      <c r="J39" s="50">
        <v>9</v>
      </c>
      <c r="K39" s="50">
        <v>2</v>
      </c>
      <c r="L39" s="50">
        <v>6</v>
      </c>
      <c r="M39" s="50">
        <v>79</v>
      </c>
      <c r="N39" s="50">
        <v>0</v>
      </c>
      <c r="O39" s="15">
        <f t="shared" si="0"/>
        <v>102</v>
      </c>
      <c r="P39" s="15">
        <f t="shared" si="1"/>
        <v>181</v>
      </c>
    </row>
    <row r="40" spans="2:20" ht="23.1" customHeight="1" x14ac:dyDescent="0.25">
      <c r="B40" s="24" t="s">
        <v>67</v>
      </c>
      <c r="C40" s="50">
        <v>30</v>
      </c>
      <c r="D40" s="50">
        <v>6</v>
      </c>
      <c r="E40" s="50">
        <v>6</v>
      </c>
      <c r="F40" s="50">
        <v>31</v>
      </c>
      <c r="G40" s="50">
        <v>7</v>
      </c>
      <c r="H40" s="50">
        <v>0</v>
      </c>
      <c r="I40" s="50">
        <v>7</v>
      </c>
      <c r="J40" s="50">
        <v>7</v>
      </c>
      <c r="K40" s="50">
        <v>0</v>
      </c>
      <c r="L40" s="50">
        <v>9</v>
      </c>
      <c r="M40" s="50">
        <v>85</v>
      </c>
      <c r="N40" s="50">
        <v>0</v>
      </c>
      <c r="O40" s="15">
        <f t="shared" si="0"/>
        <v>103</v>
      </c>
      <c r="P40" s="15">
        <f t="shared" si="1"/>
        <v>188</v>
      </c>
    </row>
    <row r="41" spans="2:20" ht="23.1" customHeight="1" x14ac:dyDescent="0.25">
      <c r="B41" s="23" t="s">
        <v>68</v>
      </c>
      <c r="C41" s="50">
        <v>28</v>
      </c>
      <c r="D41" s="50">
        <v>12</v>
      </c>
      <c r="E41" s="50">
        <v>10</v>
      </c>
      <c r="F41" s="50">
        <v>30</v>
      </c>
      <c r="G41" s="50">
        <v>1</v>
      </c>
      <c r="H41" s="50">
        <v>0</v>
      </c>
      <c r="I41" s="50">
        <v>10</v>
      </c>
      <c r="J41" s="50">
        <v>14</v>
      </c>
      <c r="K41" s="50">
        <v>7</v>
      </c>
      <c r="L41" s="50">
        <v>6</v>
      </c>
      <c r="M41" s="50">
        <v>109</v>
      </c>
      <c r="N41" s="50">
        <v>0</v>
      </c>
      <c r="O41" s="15">
        <f t="shared" si="0"/>
        <v>118</v>
      </c>
      <c r="P41" s="15">
        <f t="shared" si="1"/>
        <v>227</v>
      </c>
    </row>
    <row r="42" spans="2:20" ht="23.1" customHeight="1" x14ac:dyDescent="0.25">
      <c r="B42" s="24" t="s">
        <v>69</v>
      </c>
      <c r="C42" s="50">
        <v>25</v>
      </c>
      <c r="D42" s="50">
        <v>14</v>
      </c>
      <c r="E42" s="50">
        <v>14</v>
      </c>
      <c r="F42" s="50">
        <v>34</v>
      </c>
      <c r="G42" s="50">
        <v>0</v>
      </c>
      <c r="H42" s="50">
        <v>1</v>
      </c>
      <c r="I42" s="50">
        <v>12</v>
      </c>
      <c r="J42" s="50">
        <v>6</v>
      </c>
      <c r="K42" s="50">
        <v>0</v>
      </c>
      <c r="L42" s="50">
        <v>16</v>
      </c>
      <c r="M42" s="50">
        <v>107</v>
      </c>
      <c r="N42" s="50">
        <v>0</v>
      </c>
      <c r="O42" s="15">
        <f t="shared" si="0"/>
        <v>122</v>
      </c>
      <c r="P42" s="15">
        <f t="shared" si="1"/>
        <v>229</v>
      </c>
    </row>
    <row r="43" spans="2:20" ht="23.1" customHeight="1" x14ac:dyDescent="0.25">
      <c r="B43" s="23" t="s">
        <v>70</v>
      </c>
      <c r="C43" s="50">
        <v>22</v>
      </c>
      <c r="D43" s="50">
        <v>6</v>
      </c>
      <c r="E43" s="50">
        <v>7</v>
      </c>
      <c r="F43" s="50">
        <v>18</v>
      </c>
      <c r="G43" s="50">
        <v>0</v>
      </c>
      <c r="H43" s="50">
        <v>8</v>
      </c>
      <c r="I43" s="50">
        <v>10</v>
      </c>
      <c r="J43" s="50">
        <v>11</v>
      </c>
      <c r="K43" s="50">
        <v>5</v>
      </c>
      <c r="L43" s="50">
        <v>5</v>
      </c>
      <c r="M43" s="50">
        <v>76</v>
      </c>
      <c r="N43" s="50">
        <v>0</v>
      </c>
      <c r="O43" s="15">
        <f t="shared" si="0"/>
        <v>92</v>
      </c>
      <c r="P43" s="15">
        <f t="shared" si="1"/>
        <v>168</v>
      </c>
    </row>
    <row r="44" spans="2:20" ht="23.1" customHeight="1" x14ac:dyDescent="0.25">
      <c r="B44" s="25" t="s">
        <v>71</v>
      </c>
      <c r="C44" s="50">
        <v>24</v>
      </c>
      <c r="D44" s="50">
        <v>15</v>
      </c>
      <c r="E44" s="50">
        <v>9</v>
      </c>
      <c r="F44" s="50">
        <v>17</v>
      </c>
      <c r="G44" s="50">
        <v>2</v>
      </c>
      <c r="H44" s="50">
        <v>1</v>
      </c>
      <c r="I44" s="50">
        <v>14</v>
      </c>
      <c r="J44" s="50">
        <v>4</v>
      </c>
      <c r="K44" s="50">
        <v>4</v>
      </c>
      <c r="L44" s="50">
        <v>6</v>
      </c>
      <c r="M44" s="50">
        <v>89</v>
      </c>
      <c r="N44" s="50">
        <v>0</v>
      </c>
      <c r="O44" s="15">
        <f t="shared" si="0"/>
        <v>96</v>
      </c>
      <c r="P44" s="15">
        <f t="shared" si="1"/>
        <v>185</v>
      </c>
    </row>
    <row r="45" spans="2:20" ht="23.1" customHeight="1" x14ac:dyDescent="0.25">
      <c r="B45" s="23" t="s">
        <v>72</v>
      </c>
      <c r="C45" s="50">
        <v>23</v>
      </c>
      <c r="D45" s="50">
        <v>18</v>
      </c>
      <c r="E45" s="50">
        <v>7</v>
      </c>
      <c r="F45" s="50">
        <v>25</v>
      </c>
      <c r="G45" s="50">
        <v>0</v>
      </c>
      <c r="H45" s="50">
        <v>0</v>
      </c>
      <c r="I45" s="50">
        <v>8</v>
      </c>
      <c r="J45" s="50">
        <v>3</v>
      </c>
      <c r="K45" s="50">
        <v>4</v>
      </c>
      <c r="L45" s="50">
        <v>11</v>
      </c>
      <c r="M45" s="50">
        <v>104</v>
      </c>
      <c r="N45" s="50">
        <v>0</v>
      </c>
      <c r="O45" s="15">
        <f t="shared" si="0"/>
        <v>99</v>
      </c>
      <c r="P45" s="15">
        <f t="shared" si="1"/>
        <v>203</v>
      </c>
    </row>
    <row r="46" spans="2:20" ht="23.1" customHeight="1" x14ac:dyDescent="0.25">
      <c r="B46" s="24" t="s">
        <v>73</v>
      </c>
      <c r="C46" s="50">
        <v>25</v>
      </c>
      <c r="D46" s="50">
        <v>13</v>
      </c>
      <c r="E46" s="50">
        <v>8</v>
      </c>
      <c r="F46" s="50">
        <v>21</v>
      </c>
      <c r="G46" s="50">
        <v>1</v>
      </c>
      <c r="H46" s="50">
        <v>0</v>
      </c>
      <c r="I46" s="50">
        <v>13</v>
      </c>
      <c r="J46" s="50">
        <v>8</v>
      </c>
      <c r="K46" s="50">
        <v>2</v>
      </c>
      <c r="L46" s="50">
        <v>6</v>
      </c>
      <c r="M46" s="50">
        <v>117</v>
      </c>
      <c r="N46" s="50">
        <v>0</v>
      </c>
      <c r="O46" s="15">
        <f t="shared" si="0"/>
        <v>97</v>
      </c>
      <c r="P46" s="15">
        <f t="shared" si="1"/>
        <v>214</v>
      </c>
      <c r="R46" s="8"/>
      <c r="T46"/>
    </row>
    <row r="47" spans="2:20" ht="23.1" customHeight="1" x14ac:dyDescent="0.25">
      <c r="B47" s="24" t="s">
        <v>74</v>
      </c>
      <c r="C47" s="50">
        <v>26</v>
      </c>
      <c r="D47" s="50">
        <v>10</v>
      </c>
      <c r="E47" s="50">
        <v>4</v>
      </c>
      <c r="F47" s="50">
        <v>30</v>
      </c>
      <c r="G47" s="50">
        <v>3</v>
      </c>
      <c r="H47" s="50">
        <v>0</v>
      </c>
      <c r="I47" s="50">
        <v>7</v>
      </c>
      <c r="J47" s="50">
        <v>9</v>
      </c>
      <c r="K47" s="50">
        <v>2</v>
      </c>
      <c r="L47" s="50">
        <v>8</v>
      </c>
      <c r="M47" s="50">
        <v>114</v>
      </c>
      <c r="N47" s="50">
        <v>0</v>
      </c>
      <c r="O47" s="15">
        <f t="shared" si="0"/>
        <v>99</v>
      </c>
      <c r="P47" s="15">
        <f t="shared" si="1"/>
        <v>213</v>
      </c>
      <c r="R47" s="8"/>
      <c r="T47"/>
    </row>
    <row r="48" spans="2:20" ht="23.1" customHeight="1" x14ac:dyDescent="0.25">
      <c r="B48" s="24" t="s">
        <v>75</v>
      </c>
      <c r="C48" s="50">
        <v>33</v>
      </c>
      <c r="D48" s="50">
        <v>13</v>
      </c>
      <c r="E48" s="50">
        <v>6</v>
      </c>
      <c r="F48" s="50">
        <v>40</v>
      </c>
      <c r="G48" s="50">
        <v>3</v>
      </c>
      <c r="H48" s="50">
        <v>0</v>
      </c>
      <c r="I48" s="50">
        <v>6</v>
      </c>
      <c r="J48" s="50">
        <v>13</v>
      </c>
      <c r="K48" s="50">
        <v>3</v>
      </c>
      <c r="L48" s="50">
        <v>14</v>
      </c>
      <c r="M48" s="50">
        <v>118</v>
      </c>
      <c r="N48" s="50">
        <v>0</v>
      </c>
      <c r="O48" s="15">
        <f t="shared" si="0"/>
        <v>131</v>
      </c>
      <c r="P48" s="15">
        <f t="shared" si="1"/>
        <v>249</v>
      </c>
      <c r="R48" s="8"/>
      <c r="T48"/>
    </row>
    <row r="49" spans="2:20" ht="23.1" customHeight="1" x14ac:dyDescent="0.25">
      <c r="B49" s="23" t="s">
        <v>76</v>
      </c>
      <c r="C49" s="50">
        <v>21</v>
      </c>
      <c r="D49" s="50">
        <v>9</v>
      </c>
      <c r="E49" s="50">
        <v>13</v>
      </c>
      <c r="F49" s="50">
        <v>26</v>
      </c>
      <c r="G49" s="50">
        <v>2</v>
      </c>
      <c r="H49" s="50">
        <v>0</v>
      </c>
      <c r="I49" s="50">
        <v>5</v>
      </c>
      <c r="J49" s="50">
        <v>10</v>
      </c>
      <c r="K49" s="50">
        <v>2</v>
      </c>
      <c r="L49" s="50">
        <v>5</v>
      </c>
      <c r="M49" s="50">
        <v>112</v>
      </c>
      <c r="N49" s="50">
        <v>0</v>
      </c>
      <c r="O49" s="15">
        <f t="shared" si="0"/>
        <v>93</v>
      </c>
      <c r="P49" s="15">
        <f t="shared" si="1"/>
        <v>205</v>
      </c>
      <c r="R49" s="8"/>
      <c r="T49"/>
    </row>
    <row r="50" spans="2:20" ht="23.1" customHeight="1" x14ac:dyDescent="0.25">
      <c r="B50" s="24" t="s">
        <v>77</v>
      </c>
      <c r="C50" s="50">
        <v>42</v>
      </c>
      <c r="D50" s="50">
        <v>11</v>
      </c>
      <c r="E50" s="50">
        <v>7</v>
      </c>
      <c r="F50" s="50">
        <v>37</v>
      </c>
      <c r="G50" s="50">
        <v>1</v>
      </c>
      <c r="H50" s="50">
        <v>2</v>
      </c>
      <c r="I50" s="50">
        <v>14</v>
      </c>
      <c r="J50" s="50">
        <v>5</v>
      </c>
      <c r="K50" s="50">
        <v>8</v>
      </c>
      <c r="L50" s="50">
        <v>4</v>
      </c>
      <c r="M50" s="50">
        <v>97</v>
      </c>
      <c r="N50" s="50">
        <v>0</v>
      </c>
      <c r="O50" s="15">
        <f t="shared" si="0"/>
        <v>131</v>
      </c>
      <c r="P50" s="15">
        <f t="shared" si="1"/>
        <v>228</v>
      </c>
      <c r="R50" s="8"/>
      <c r="T50"/>
    </row>
    <row r="51" spans="2:20" ht="23.1" customHeight="1" x14ac:dyDescent="0.25">
      <c r="B51" s="24" t="s">
        <v>78</v>
      </c>
      <c r="C51" s="50">
        <v>21</v>
      </c>
      <c r="D51" s="50">
        <v>7</v>
      </c>
      <c r="E51" s="50">
        <v>6</v>
      </c>
      <c r="F51" s="50">
        <v>31</v>
      </c>
      <c r="G51" s="50">
        <v>1</v>
      </c>
      <c r="H51" s="50">
        <v>1</v>
      </c>
      <c r="I51" s="50">
        <v>9</v>
      </c>
      <c r="J51" s="50">
        <v>9</v>
      </c>
      <c r="K51" s="50">
        <v>7</v>
      </c>
      <c r="L51" s="50">
        <v>5</v>
      </c>
      <c r="M51" s="50">
        <v>96</v>
      </c>
      <c r="N51" s="50">
        <v>0</v>
      </c>
      <c r="O51" s="15">
        <f t="shared" si="0"/>
        <v>97</v>
      </c>
      <c r="P51" s="15">
        <f t="shared" si="1"/>
        <v>193</v>
      </c>
      <c r="R51" s="8"/>
      <c r="T51"/>
    </row>
    <row r="52" spans="2:20" ht="23.1" customHeight="1" x14ac:dyDescent="0.25">
      <c r="B52" s="24" t="s">
        <v>79</v>
      </c>
      <c r="C52" s="50">
        <v>40</v>
      </c>
      <c r="D52" s="50">
        <v>10</v>
      </c>
      <c r="E52" s="50">
        <v>8</v>
      </c>
      <c r="F52" s="50">
        <v>38</v>
      </c>
      <c r="G52" s="50">
        <v>1</v>
      </c>
      <c r="H52" s="50">
        <v>0</v>
      </c>
      <c r="I52" s="50">
        <v>11</v>
      </c>
      <c r="J52" s="50">
        <v>13</v>
      </c>
      <c r="K52" s="50">
        <v>0</v>
      </c>
      <c r="L52" s="50">
        <v>8</v>
      </c>
      <c r="M52" s="50">
        <v>138</v>
      </c>
      <c r="N52" s="50">
        <v>0</v>
      </c>
      <c r="O52" s="15">
        <f t="shared" si="0"/>
        <v>129</v>
      </c>
      <c r="P52" s="15">
        <f t="shared" si="1"/>
        <v>267</v>
      </c>
      <c r="R52" s="8"/>
      <c r="T52"/>
    </row>
    <row r="53" spans="2:20" ht="23.1" customHeight="1" x14ac:dyDescent="0.25">
      <c r="B53" s="23" t="s">
        <v>80</v>
      </c>
      <c r="C53" s="50">
        <v>30</v>
      </c>
      <c r="D53" s="50">
        <v>12</v>
      </c>
      <c r="E53" s="50">
        <v>9</v>
      </c>
      <c r="F53" s="50">
        <v>21</v>
      </c>
      <c r="G53" s="50">
        <v>1</v>
      </c>
      <c r="H53" s="50">
        <v>1</v>
      </c>
      <c r="I53" s="50">
        <v>8</v>
      </c>
      <c r="J53" s="50">
        <v>10</v>
      </c>
      <c r="K53" s="50">
        <v>5</v>
      </c>
      <c r="L53" s="50">
        <v>4</v>
      </c>
      <c r="M53" s="50">
        <v>108</v>
      </c>
      <c r="N53" s="50">
        <v>0</v>
      </c>
      <c r="O53" s="15">
        <f t="shared" si="0"/>
        <v>101</v>
      </c>
      <c r="P53" s="15">
        <f t="shared" si="1"/>
        <v>209</v>
      </c>
      <c r="R53" s="8"/>
      <c r="T53"/>
    </row>
    <row r="54" spans="2:20" ht="23.1" customHeight="1" x14ac:dyDescent="0.25">
      <c r="B54" s="23" t="s">
        <v>81</v>
      </c>
      <c r="C54" s="50">
        <v>40</v>
      </c>
      <c r="D54" s="50">
        <v>9</v>
      </c>
      <c r="E54" s="50">
        <v>6</v>
      </c>
      <c r="F54" s="50">
        <v>28</v>
      </c>
      <c r="G54" s="50">
        <v>1</v>
      </c>
      <c r="H54" s="50">
        <v>0</v>
      </c>
      <c r="I54" s="50">
        <v>12</v>
      </c>
      <c r="J54" s="50">
        <v>6</v>
      </c>
      <c r="K54" s="50">
        <v>2</v>
      </c>
      <c r="L54" s="50">
        <v>9</v>
      </c>
      <c r="M54" s="50">
        <v>119</v>
      </c>
      <c r="N54" s="50">
        <v>0</v>
      </c>
      <c r="O54" s="15">
        <f t="shared" si="0"/>
        <v>113</v>
      </c>
      <c r="P54" s="15">
        <f t="shared" si="1"/>
        <v>232</v>
      </c>
      <c r="R54" s="8"/>
      <c r="T54"/>
    </row>
    <row r="55" spans="2:20" ht="23.1" customHeight="1" x14ac:dyDescent="0.25">
      <c r="B55" s="23" t="s">
        <v>82</v>
      </c>
      <c r="C55" s="50">
        <v>30</v>
      </c>
      <c r="D55" s="50">
        <v>8</v>
      </c>
      <c r="E55" s="50">
        <v>11</v>
      </c>
      <c r="F55" s="50">
        <v>35</v>
      </c>
      <c r="G55" s="50">
        <v>2</v>
      </c>
      <c r="H55" s="50">
        <v>1</v>
      </c>
      <c r="I55" s="50">
        <v>8</v>
      </c>
      <c r="J55" s="50">
        <v>8</v>
      </c>
      <c r="K55" s="50">
        <v>2</v>
      </c>
      <c r="L55" s="50">
        <v>7</v>
      </c>
      <c r="M55" s="50">
        <v>113</v>
      </c>
      <c r="N55" s="50">
        <v>0</v>
      </c>
      <c r="O55" s="15">
        <f t="shared" si="0"/>
        <v>112</v>
      </c>
      <c r="P55" s="15">
        <f t="shared" si="1"/>
        <v>225</v>
      </c>
      <c r="R55" s="8"/>
      <c r="T55"/>
    </row>
    <row r="56" spans="2:20" ht="23.1" customHeight="1" x14ac:dyDescent="0.25">
      <c r="B56" s="23" t="s">
        <v>83</v>
      </c>
      <c r="C56" s="50">
        <v>31</v>
      </c>
      <c r="D56" s="50">
        <v>13</v>
      </c>
      <c r="E56" s="50">
        <v>15</v>
      </c>
      <c r="F56" s="50">
        <v>27</v>
      </c>
      <c r="G56" s="50">
        <v>3</v>
      </c>
      <c r="H56" s="50">
        <v>2</v>
      </c>
      <c r="I56" s="50">
        <v>12</v>
      </c>
      <c r="J56" s="50">
        <v>5</v>
      </c>
      <c r="K56" s="50">
        <v>4</v>
      </c>
      <c r="L56" s="50">
        <v>11</v>
      </c>
      <c r="M56" s="50">
        <v>150</v>
      </c>
      <c r="N56" s="50">
        <v>0</v>
      </c>
      <c r="O56" s="15">
        <f t="shared" si="0"/>
        <v>123</v>
      </c>
      <c r="P56" s="15">
        <f t="shared" si="1"/>
        <v>273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13</v>
      </c>
      <c r="E57" s="50">
        <v>5</v>
      </c>
      <c r="F57" s="50">
        <v>30</v>
      </c>
      <c r="G57" s="50">
        <v>3</v>
      </c>
      <c r="H57" s="50">
        <v>1</v>
      </c>
      <c r="I57" s="50">
        <v>8</v>
      </c>
      <c r="J57" s="50">
        <v>9</v>
      </c>
      <c r="K57" s="50">
        <v>5</v>
      </c>
      <c r="L57" s="50">
        <v>12</v>
      </c>
      <c r="M57" s="50">
        <v>132</v>
      </c>
      <c r="N57" s="50">
        <v>0</v>
      </c>
      <c r="O57" s="15">
        <f t="shared" si="0"/>
        <v>116</v>
      </c>
      <c r="P57" s="15">
        <f t="shared" si="1"/>
        <v>248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1162</v>
      </c>
      <c r="D58" s="16">
        <f t="shared" si="21"/>
        <v>458</v>
      </c>
      <c r="E58" s="16">
        <f t="shared" si="21"/>
        <v>339</v>
      </c>
      <c r="F58" s="16">
        <f t="shared" si="21"/>
        <v>1391</v>
      </c>
      <c r="G58" s="16">
        <f t="shared" si="21"/>
        <v>75</v>
      </c>
      <c r="H58" s="16">
        <f t="shared" si="21"/>
        <v>40</v>
      </c>
      <c r="I58" s="16">
        <f t="shared" si="21"/>
        <v>448</v>
      </c>
      <c r="J58" s="16">
        <f t="shared" si="21"/>
        <v>367</v>
      </c>
      <c r="K58" s="16">
        <f t="shared" si="21"/>
        <v>153</v>
      </c>
      <c r="L58" s="16">
        <f t="shared" si="21"/>
        <v>633</v>
      </c>
      <c r="M58" s="16">
        <f t="shared" si="21"/>
        <v>5428</v>
      </c>
      <c r="N58" s="16">
        <f t="shared" si="21"/>
        <v>0</v>
      </c>
      <c r="O58" s="16">
        <f t="shared" si="21"/>
        <v>5066</v>
      </c>
      <c r="P58" s="16">
        <f t="shared" si="21"/>
        <v>10494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0.11072994091862016</v>
      </c>
      <c r="D59" s="43">
        <f t="shared" si="22"/>
        <v>4.3643987040213453E-2</v>
      </c>
      <c r="E59" s="43">
        <f t="shared" si="22"/>
        <v>3.2304173813607777E-2</v>
      </c>
      <c r="F59" s="43">
        <f t="shared" si="22"/>
        <v>0.1325519344387269</v>
      </c>
      <c r="G59" s="43">
        <f t="shared" si="22"/>
        <v>7.1469411092052598E-3</v>
      </c>
      <c r="H59" s="43">
        <f t="shared" si="22"/>
        <v>3.8117019249094722E-3</v>
      </c>
      <c r="I59" s="43">
        <f t="shared" si="22"/>
        <v>4.2691061558986089E-2</v>
      </c>
      <c r="J59" s="43">
        <f t="shared" si="22"/>
        <v>3.4972365161044405E-2</v>
      </c>
      <c r="K59" s="43">
        <f t="shared" si="22"/>
        <v>1.4579759862778732E-2</v>
      </c>
      <c r="L59" s="43">
        <f t="shared" si="22"/>
        <v>6.0320182961692392E-2</v>
      </c>
      <c r="M59" s="43">
        <f t="shared" si="22"/>
        <v>0.51724795121021538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0.22937228582708252</v>
      </c>
      <c r="D60" s="44">
        <f t="shared" ref="D60:N60" si="23">D58/$O$58</f>
        <v>9.040663245163838E-2</v>
      </c>
      <c r="E60" s="44">
        <f t="shared" si="23"/>
        <v>6.6916699565732332E-2</v>
      </c>
      <c r="F60" s="44">
        <f t="shared" si="23"/>
        <v>0.27457560205290171</v>
      </c>
      <c r="G60" s="44">
        <f t="shared" si="23"/>
        <v>1.4804579549940782E-2</v>
      </c>
      <c r="H60" s="44">
        <f t="shared" si="23"/>
        <v>7.895775759968417E-3</v>
      </c>
      <c r="I60" s="44">
        <f t="shared" si="23"/>
        <v>8.8432688511646262E-2</v>
      </c>
      <c r="J60" s="44">
        <f t="shared" si="23"/>
        <v>7.244374259771022E-2</v>
      </c>
      <c r="K60" s="44">
        <f t="shared" si="23"/>
        <v>3.0201342281879196E-2</v>
      </c>
      <c r="L60" s="44">
        <f t="shared" si="23"/>
        <v>0.1249506514015002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1" t="str">
        <f>'29.10 Mukono-Mbalala'!G5:H5</f>
        <v>Perfect tents</v>
      </c>
      <c r="H5" s="62"/>
      <c r="I5" s="14"/>
      <c r="J5" s="2" t="s">
        <v>5</v>
      </c>
      <c r="K5" s="61" t="s">
        <v>172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Mukono-Mbalala'!D6:E6</f>
        <v>Mukono</v>
      </c>
      <c r="E6" s="62"/>
      <c r="F6" s="2" t="s">
        <v>2</v>
      </c>
      <c r="G6" s="61" t="str">
        <f>'29.10 Mukono-Mbalala'!G6:H6</f>
        <v>Mbalala</v>
      </c>
      <c r="H6" s="62"/>
      <c r="J6" s="2" t="s">
        <v>21</v>
      </c>
      <c r="K6" s="61" t="str">
        <f>'29.10 Mukono-Mbalala'!K6:L6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45</v>
      </c>
      <c r="D10" s="50">
        <v>7</v>
      </c>
      <c r="E10" s="50">
        <v>4</v>
      </c>
      <c r="F10" s="50">
        <v>19</v>
      </c>
      <c r="G10" s="50">
        <v>2</v>
      </c>
      <c r="H10" s="50">
        <v>1</v>
      </c>
      <c r="I10" s="50">
        <v>3</v>
      </c>
      <c r="J10" s="50">
        <v>10</v>
      </c>
      <c r="K10" s="50">
        <v>4</v>
      </c>
      <c r="L10" s="50">
        <v>17</v>
      </c>
      <c r="M10" s="50">
        <v>48</v>
      </c>
      <c r="N10" s="50">
        <v>0</v>
      </c>
      <c r="O10" s="15">
        <f t="shared" ref="O10:O57" si="0">SUM(C10:L10,N10)</f>
        <v>112</v>
      </c>
      <c r="P10" s="15">
        <f t="shared" ref="P10:P57" si="1">SUM(C10:N10)</f>
        <v>160</v>
      </c>
      <c r="R10" s="1" t="s">
        <v>6</v>
      </c>
      <c r="S10" s="17">
        <f t="shared" ref="S10:AF10" si="2">SUM(C10:C13)</f>
        <v>140</v>
      </c>
      <c r="T10" s="17">
        <f t="shared" si="2"/>
        <v>29</v>
      </c>
      <c r="U10" s="17">
        <f t="shared" si="2"/>
        <v>33</v>
      </c>
      <c r="V10" s="17">
        <f t="shared" si="2"/>
        <v>118</v>
      </c>
      <c r="W10" s="17">
        <f t="shared" si="2"/>
        <v>5</v>
      </c>
      <c r="X10" s="17">
        <f t="shared" si="2"/>
        <v>4</v>
      </c>
      <c r="Y10" s="17">
        <f t="shared" si="2"/>
        <v>16</v>
      </c>
      <c r="Z10" s="17">
        <f t="shared" si="2"/>
        <v>28</v>
      </c>
      <c r="AA10" s="17">
        <f t="shared" si="2"/>
        <v>17</v>
      </c>
      <c r="AB10" s="17">
        <f t="shared" si="2"/>
        <v>28</v>
      </c>
      <c r="AC10" s="17">
        <f t="shared" si="2"/>
        <v>247</v>
      </c>
      <c r="AD10" s="17">
        <f t="shared" si="2"/>
        <v>0</v>
      </c>
      <c r="AE10" s="31">
        <f t="shared" si="2"/>
        <v>418</v>
      </c>
      <c r="AF10" s="31">
        <f t="shared" si="2"/>
        <v>665</v>
      </c>
    </row>
    <row r="11" spans="2:32" s="6" customFormat="1" ht="23.1" customHeight="1" x14ac:dyDescent="0.25">
      <c r="B11" s="23" t="s">
        <v>38</v>
      </c>
      <c r="C11" s="50">
        <v>33</v>
      </c>
      <c r="D11" s="50">
        <v>13</v>
      </c>
      <c r="E11" s="50">
        <v>13</v>
      </c>
      <c r="F11" s="50">
        <v>38</v>
      </c>
      <c r="G11" s="50">
        <v>2</v>
      </c>
      <c r="H11" s="50">
        <v>2</v>
      </c>
      <c r="I11" s="50">
        <v>2</v>
      </c>
      <c r="J11" s="50">
        <v>8</v>
      </c>
      <c r="K11" s="50">
        <v>7</v>
      </c>
      <c r="L11" s="50">
        <v>4</v>
      </c>
      <c r="M11" s="50">
        <v>59</v>
      </c>
      <c r="N11" s="50">
        <v>0</v>
      </c>
      <c r="O11" s="15">
        <f t="shared" si="0"/>
        <v>122</v>
      </c>
      <c r="P11" s="15">
        <f t="shared" si="1"/>
        <v>181</v>
      </c>
      <c r="R11" s="1" t="s">
        <v>7</v>
      </c>
      <c r="S11" s="17">
        <f t="shared" ref="S11:AF11" si="3">SUM(C14:C17)</f>
        <v>114</v>
      </c>
      <c r="T11" s="17">
        <f t="shared" si="3"/>
        <v>18</v>
      </c>
      <c r="U11" s="17">
        <f t="shared" si="3"/>
        <v>36</v>
      </c>
      <c r="V11" s="17">
        <f t="shared" si="3"/>
        <v>118</v>
      </c>
      <c r="W11" s="17">
        <f t="shared" si="3"/>
        <v>2</v>
      </c>
      <c r="X11" s="17">
        <f t="shared" si="3"/>
        <v>2</v>
      </c>
      <c r="Y11" s="17">
        <f t="shared" si="3"/>
        <v>24</v>
      </c>
      <c r="Z11" s="17">
        <f t="shared" si="3"/>
        <v>12</v>
      </c>
      <c r="AA11" s="17">
        <f t="shared" si="3"/>
        <v>11</v>
      </c>
      <c r="AB11" s="17">
        <f t="shared" si="3"/>
        <v>27</v>
      </c>
      <c r="AC11" s="17">
        <f t="shared" si="3"/>
        <v>307</v>
      </c>
      <c r="AD11" s="17">
        <f t="shared" si="3"/>
        <v>0</v>
      </c>
      <c r="AE11" s="31">
        <f t="shared" si="3"/>
        <v>364</v>
      </c>
      <c r="AF11" s="31">
        <f t="shared" si="3"/>
        <v>671</v>
      </c>
    </row>
    <row r="12" spans="2:32" ht="23.1" customHeight="1" x14ac:dyDescent="0.25">
      <c r="B12" s="23" t="s">
        <v>39</v>
      </c>
      <c r="C12" s="50">
        <v>31</v>
      </c>
      <c r="D12" s="50">
        <v>2</v>
      </c>
      <c r="E12" s="50">
        <v>7</v>
      </c>
      <c r="F12" s="50">
        <v>27</v>
      </c>
      <c r="G12" s="50">
        <v>0</v>
      </c>
      <c r="H12" s="50">
        <v>0</v>
      </c>
      <c r="I12" s="50">
        <v>3</v>
      </c>
      <c r="J12" s="50">
        <v>4</v>
      </c>
      <c r="K12" s="50">
        <v>4</v>
      </c>
      <c r="L12" s="50">
        <v>5</v>
      </c>
      <c r="M12" s="50">
        <v>55</v>
      </c>
      <c r="N12" s="50">
        <v>0</v>
      </c>
      <c r="O12" s="15">
        <f t="shared" si="0"/>
        <v>83</v>
      </c>
      <c r="P12" s="15">
        <f t="shared" si="1"/>
        <v>138</v>
      </c>
      <c r="R12" s="1" t="s">
        <v>8</v>
      </c>
      <c r="S12" s="17">
        <f t="shared" ref="S12:AF12" si="4">SUM(C18:C21)</f>
        <v>113</v>
      </c>
      <c r="T12" s="17">
        <f t="shared" si="4"/>
        <v>20</v>
      </c>
      <c r="U12" s="17">
        <f t="shared" si="4"/>
        <v>36</v>
      </c>
      <c r="V12" s="17">
        <f t="shared" si="4"/>
        <v>111</v>
      </c>
      <c r="W12" s="17">
        <f t="shared" si="4"/>
        <v>7</v>
      </c>
      <c r="X12" s="17">
        <f t="shared" si="4"/>
        <v>1</v>
      </c>
      <c r="Y12" s="17">
        <f t="shared" si="4"/>
        <v>42</v>
      </c>
      <c r="Z12" s="17">
        <f t="shared" si="4"/>
        <v>13</v>
      </c>
      <c r="AA12" s="17">
        <f t="shared" si="4"/>
        <v>11</v>
      </c>
      <c r="AB12" s="17">
        <f t="shared" si="4"/>
        <v>20</v>
      </c>
      <c r="AC12" s="17">
        <f t="shared" si="4"/>
        <v>228</v>
      </c>
      <c r="AD12" s="17">
        <f t="shared" si="4"/>
        <v>0</v>
      </c>
      <c r="AE12" s="31">
        <f t="shared" si="4"/>
        <v>374</v>
      </c>
      <c r="AF12" s="31">
        <f t="shared" si="4"/>
        <v>602</v>
      </c>
    </row>
    <row r="13" spans="2:32" ht="23.1" customHeight="1" x14ac:dyDescent="0.25">
      <c r="B13" s="23" t="s">
        <v>40</v>
      </c>
      <c r="C13" s="50">
        <v>31</v>
      </c>
      <c r="D13" s="50">
        <v>7</v>
      </c>
      <c r="E13" s="50">
        <v>9</v>
      </c>
      <c r="F13" s="50">
        <v>34</v>
      </c>
      <c r="G13" s="50">
        <v>1</v>
      </c>
      <c r="H13" s="50">
        <v>1</v>
      </c>
      <c r="I13" s="50">
        <v>8</v>
      </c>
      <c r="J13" s="50">
        <v>6</v>
      </c>
      <c r="K13" s="50">
        <v>2</v>
      </c>
      <c r="L13" s="50">
        <v>2</v>
      </c>
      <c r="M13" s="50">
        <v>85</v>
      </c>
      <c r="N13" s="50">
        <v>0</v>
      </c>
      <c r="O13" s="15">
        <f t="shared" si="0"/>
        <v>101</v>
      </c>
      <c r="P13" s="15">
        <f t="shared" si="1"/>
        <v>186</v>
      </c>
      <c r="R13" s="1" t="s">
        <v>9</v>
      </c>
      <c r="S13" s="17">
        <f t="shared" ref="S13:AF13" si="5">SUM(C22:C25)</f>
        <v>114</v>
      </c>
      <c r="T13" s="17">
        <f t="shared" si="5"/>
        <v>15</v>
      </c>
      <c r="U13" s="17">
        <f t="shared" si="5"/>
        <v>18</v>
      </c>
      <c r="V13" s="17">
        <f t="shared" si="5"/>
        <v>101</v>
      </c>
      <c r="W13" s="17">
        <f t="shared" si="5"/>
        <v>3</v>
      </c>
      <c r="X13" s="17">
        <f t="shared" si="5"/>
        <v>1</v>
      </c>
      <c r="Y13" s="17">
        <f t="shared" si="5"/>
        <v>29</v>
      </c>
      <c r="Z13" s="17">
        <f t="shared" si="5"/>
        <v>26</v>
      </c>
      <c r="AA13" s="17">
        <f t="shared" si="5"/>
        <v>11</v>
      </c>
      <c r="AB13" s="17">
        <f t="shared" si="5"/>
        <v>34</v>
      </c>
      <c r="AC13" s="17">
        <f t="shared" si="5"/>
        <v>275</v>
      </c>
      <c r="AD13" s="17">
        <f t="shared" si="5"/>
        <v>0</v>
      </c>
      <c r="AE13" s="31">
        <f t="shared" si="5"/>
        <v>352</v>
      </c>
      <c r="AF13" s="31">
        <f t="shared" si="5"/>
        <v>627</v>
      </c>
    </row>
    <row r="14" spans="2:32" ht="23.1" customHeight="1" x14ac:dyDescent="0.25">
      <c r="B14" s="23" t="s">
        <v>41</v>
      </c>
      <c r="C14" s="50">
        <v>21</v>
      </c>
      <c r="D14" s="50">
        <v>6</v>
      </c>
      <c r="E14" s="50">
        <v>8</v>
      </c>
      <c r="F14" s="50">
        <v>40</v>
      </c>
      <c r="G14" s="50">
        <v>0</v>
      </c>
      <c r="H14" s="50">
        <v>0</v>
      </c>
      <c r="I14" s="50">
        <v>4</v>
      </c>
      <c r="J14" s="50">
        <v>4</v>
      </c>
      <c r="K14" s="50">
        <v>5</v>
      </c>
      <c r="L14" s="50">
        <v>10</v>
      </c>
      <c r="M14" s="50">
        <v>81</v>
      </c>
      <c r="N14" s="50">
        <v>0</v>
      </c>
      <c r="O14" s="15">
        <f t="shared" si="0"/>
        <v>98</v>
      </c>
      <c r="P14" s="15">
        <f t="shared" si="1"/>
        <v>179</v>
      </c>
      <c r="R14" s="1" t="s">
        <v>10</v>
      </c>
      <c r="S14" s="17">
        <f t="shared" ref="S14:AF14" si="6">SUM(C26:C29)</f>
        <v>119</v>
      </c>
      <c r="T14" s="17">
        <f t="shared" si="6"/>
        <v>19</v>
      </c>
      <c r="U14" s="17">
        <f t="shared" si="6"/>
        <v>31</v>
      </c>
      <c r="V14" s="17">
        <f t="shared" si="6"/>
        <v>118</v>
      </c>
      <c r="W14" s="17">
        <f t="shared" si="6"/>
        <v>8</v>
      </c>
      <c r="X14" s="17">
        <f t="shared" si="6"/>
        <v>2</v>
      </c>
      <c r="Y14" s="17">
        <f t="shared" si="6"/>
        <v>38</v>
      </c>
      <c r="Z14" s="17">
        <f t="shared" si="6"/>
        <v>25</v>
      </c>
      <c r="AA14" s="17">
        <f t="shared" si="6"/>
        <v>7</v>
      </c>
      <c r="AB14" s="17">
        <f t="shared" si="6"/>
        <v>42</v>
      </c>
      <c r="AC14" s="17">
        <f t="shared" si="6"/>
        <v>219</v>
      </c>
      <c r="AD14" s="17">
        <f t="shared" si="6"/>
        <v>0</v>
      </c>
      <c r="AE14" s="31">
        <f t="shared" si="6"/>
        <v>409</v>
      </c>
      <c r="AF14" s="31">
        <f t="shared" si="6"/>
        <v>628</v>
      </c>
    </row>
    <row r="15" spans="2:32" ht="23.1" customHeight="1" x14ac:dyDescent="0.25">
      <c r="B15" s="23" t="s">
        <v>42</v>
      </c>
      <c r="C15" s="50">
        <v>24</v>
      </c>
      <c r="D15" s="50">
        <v>3</v>
      </c>
      <c r="E15" s="50">
        <v>9</v>
      </c>
      <c r="F15" s="50">
        <v>24</v>
      </c>
      <c r="G15" s="50">
        <v>1</v>
      </c>
      <c r="H15" s="50">
        <v>0</v>
      </c>
      <c r="I15" s="50">
        <v>10</v>
      </c>
      <c r="J15" s="50">
        <v>2</v>
      </c>
      <c r="K15" s="50">
        <v>1</v>
      </c>
      <c r="L15" s="50">
        <v>2</v>
      </c>
      <c r="M15" s="50">
        <v>82</v>
      </c>
      <c r="N15" s="50">
        <v>0</v>
      </c>
      <c r="O15" s="15">
        <f t="shared" si="0"/>
        <v>76</v>
      </c>
      <c r="P15" s="15">
        <f t="shared" si="1"/>
        <v>158</v>
      </c>
      <c r="R15" s="1" t="s">
        <v>11</v>
      </c>
      <c r="S15" s="17">
        <f t="shared" ref="S15:AF15" si="7">SUM(C30:C33)</f>
        <v>90</v>
      </c>
      <c r="T15" s="17">
        <f t="shared" si="7"/>
        <v>31</v>
      </c>
      <c r="U15" s="17">
        <f t="shared" si="7"/>
        <v>26</v>
      </c>
      <c r="V15" s="17">
        <f t="shared" si="7"/>
        <v>109</v>
      </c>
      <c r="W15" s="17">
        <f t="shared" si="7"/>
        <v>7</v>
      </c>
      <c r="X15" s="17">
        <f t="shared" si="7"/>
        <v>3</v>
      </c>
      <c r="Y15" s="17">
        <f t="shared" si="7"/>
        <v>22</v>
      </c>
      <c r="Z15" s="17">
        <f t="shared" si="7"/>
        <v>29</v>
      </c>
      <c r="AA15" s="17">
        <f t="shared" si="7"/>
        <v>12</v>
      </c>
      <c r="AB15" s="17">
        <f t="shared" si="7"/>
        <v>40</v>
      </c>
      <c r="AC15" s="17">
        <f t="shared" si="7"/>
        <v>223</v>
      </c>
      <c r="AD15" s="17">
        <f t="shared" si="7"/>
        <v>0</v>
      </c>
      <c r="AE15" s="31">
        <f t="shared" si="7"/>
        <v>369</v>
      </c>
      <c r="AF15" s="31">
        <f t="shared" si="7"/>
        <v>592</v>
      </c>
    </row>
    <row r="16" spans="2:32" ht="23.1" customHeight="1" x14ac:dyDescent="0.25">
      <c r="B16" s="23" t="s">
        <v>43</v>
      </c>
      <c r="C16" s="50">
        <v>41</v>
      </c>
      <c r="D16" s="50">
        <v>4</v>
      </c>
      <c r="E16" s="50">
        <v>8</v>
      </c>
      <c r="F16" s="50">
        <v>23</v>
      </c>
      <c r="G16" s="50">
        <v>0</v>
      </c>
      <c r="H16" s="50">
        <v>2</v>
      </c>
      <c r="I16" s="50">
        <v>8</v>
      </c>
      <c r="J16" s="50">
        <v>2</v>
      </c>
      <c r="K16" s="50">
        <v>4</v>
      </c>
      <c r="L16" s="50">
        <v>13</v>
      </c>
      <c r="M16" s="50">
        <v>69</v>
      </c>
      <c r="N16" s="50">
        <v>0</v>
      </c>
      <c r="O16" s="15">
        <f t="shared" si="0"/>
        <v>105</v>
      </c>
      <c r="P16" s="15">
        <f t="shared" si="1"/>
        <v>174</v>
      </c>
      <c r="R16" s="1" t="s">
        <v>12</v>
      </c>
      <c r="S16" s="17">
        <f t="shared" ref="S16:AF16" si="8">SUM(C34:C37)</f>
        <v>125</v>
      </c>
      <c r="T16" s="17">
        <f t="shared" si="8"/>
        <v>25</v>
      </c>
      <c r="U16" s="17">
        <f t="shared" si="8"/>
        <v>16</v>
      </c>
      <c r="V16" s="17">
        <f t="shared" si="8"/>
        <v>102</v>
      </c>
      <c r="W16" s="17">
        <f t="shared" si="8"/>
        <v>6</v>
      </c>
      <c r="X16" s="17">
        <f t="shared" si="8"/>
        <v>1</v>
      </c>
      <c r="Y16" s="17">
        <f t="shared" si="8"/>
        <v>30</v>
      </c>
      <c r="Z16" s="17">
        <f t="shared" si="8"/>
        <v>29</v>
      </c>
      <c r="AA16" s="17">
        <f t="shared" si="8"/>
        <v>10</v>
      </c>
      <c r="AB16" s="17">
        <f t="shared" si="8"/>
        <v>62</v>
      </c>
      <c r="AC16" s="17">
        <f t="shared" si="8"/>
        <v>273</v>
      </c>
      <c r="AD16" s="17">
        <f t="shared" si="8"/>
        <v>0</v>
      </c>
      <c r="AE16" s="31">
        <f t="shared" si="8"/>
        <v>406</v>
      </c>
      <c r="AF16" s="31">
        <f t="shared" si="8"/>
        <v>679</v>
      </c>
    </row>
    <row r="17" spans="2:32" ht="23.1" customHeight="1" x14ac:dyDescent="0.25">
      <c r="B17" s="23" t="s">
        <v>44</v>
      </c>
      <c r="C17" s="50">
        <v>28</v>
      </c>
      <c r="D17" s="50">
        <v>5</v>
      </c>
      <c r="E17" s="50">
        <v>11</v>
      </c>
      <c r="F17" s="50">
        <v>31</v>
      </c>
      <c r="G17" s="50">
        <v>1</v>
      </c>
      <c r="H17" s="50">
        <v>0</v>
      </c>
      <c r="I17" s="50">
        <v>2</v>
      </c>
      <c r="J17" s="50">
        <v>4</v>
      </c>
      <c r="K17" s="50">
        <v>1</v>
      </c>
      <c r="L17" s="50">
        <v>2</v>
      </c>
      <c r="M17" s="50">
        <v>75</v>
      </c>
      <c r="N17" s="50">
        <v>0</v>
      </c>
      <c r="O17" s="15">
        <f t="shared" si="0"/>
        <v>85</v>
      </c>
      <c r="P17" s="15">
        <f t="shared" si="1"/>
        <v>160</v>
      </c>
      <c r="R17" s="1" t="s">
        <v>13</v>
      </c>
      <c r="S17" s="17">
        <f t="shared" ref="S17:AF17" si="9">SUM(C38:C41)</f>
        <v>101</v>
      </c>
      <c r="T17" s="17">
        <f t="shared" si="9"/>
        <v>34</v>
      </c>
      <c r="U17" s="17">
        <f t="shared" si="9"/>
        <v>19</v>
      </c>
      <c r="V17" s="17">
        <f t="shared" si="9"/>
        <v>126</v>
      </c>
      <c r="W17" s="17">
        <f t="shared" si="9"/>
        <v>4</v>
      </c>
      <c r="X17" s="17">
        <f t="shared" si="9"/>
        <v>4</v>
      </c>
      <c r="Y17" s="17">
        <f t="shared" si="9"/>
        <v>41</v>
      </c>
      <c r="Z17" s="17">
        <f t="shared" si="9"/>
        <v>26</v>
      </c>
      <c r="AA17" s="17">
        <f t="shared" si="9"/>
        <v>17</v>
      </c>
      <c r="AB17" s="17">
        <f t="shared" si="9"/>
        <v>58</v>
      </c>
      <c r="AC17" s="17">
        <f t="shared" si="9"/>
        <v>212</v>
      </c>
      <c r="AD17" s="17">
        <f t="shared" si="9"/>
        <v>0</v>
      </c>
      <c r="AE17" s="31">
        <f t="shared" si="9"/>
        <v>430</v>
      </c>
      <c r="AF17" s="31">
        <f t="shared" si="9"/>
        <v>642</v>
      </c>
    </row>
    <row r="18" spans="2:32" ht="23.1" customHeight="1" x14ac:dyDescent="0.25">
      <c r="B18" s="23" t="s">
        <v>45</v>
      </c>
      <c r="C18" s="50">
        <v>32</v>
      </c>
      <c r="D18" s="50">
        <v>4</v>
      </c>
      <c r="E18" s="50">
        <v>8</v>
      </c>
      <c r="F18" s="50">
        <v>24</v>
      </c>
      <c r="G18" s="50">
        <v>0</v>
      </c>
      <c r="H18" s="50">
        <v>1</v>
      </c>
      <c r="I18" s="50">
        <v>10</v>
      </c>
      <c r="J18" s="50">
        <v>4</v>
      </c>
      <c r="K18" s="50">
        <v>1</v>
      </c>
      <c r="L18" s="50">
        <v>8</v>
      </c>
      <c r="M18" s="50">
        <v>54</v>
      </c>
      <c r="N18" s="50">
        <v>0</v>
      </c>
      <c r="O18" s="15">
        <f t="shared" si="0"/>
        <v>92</v>
      </c>
      <c r="P18" s="15">
        <f t="shared" si="1"/>
        <v>146</v>
      </c>
      <c r="R18" s="1" t="s">
        <v>14</v>
      </c>
      <c r="S18" s="17">
        <f t="shared" ref="S18:AF18" si="10">SUM(C42:C45)</f>
        <v>87</v>
      </c>
      <c r="T18" s="17">
        <f t="shared" si="10"/>
        <v>10</v>
      </c>
      <c r="U18" s="17">
        <f t="shared" si="10"/>
        <v>21</v>
      </c>
      <c r="V18" s="17">
        <f t="shared" si="10"/>
        <v>95</v>
      </c>
      <c r="W18" s="17">
        <f t="shared" si="10"/>
        <v>7</v>
      </c>
      <c r="X18" s="17">
        <f t="shared" si="10"/>
        <v>0</v>
      </c>
      <c r="Y18" s="17">
        <f t="shared" si="10"/>
        <v>28</v>
      </c>
      <c r="Z18" s="17">
        <f t="shared" si="10"/>
        <v>18</v>
      </c>
      <c r="AA18" s="17">
        <f t="shared" si="10"/>
        <v>7</v>
      </c>
      <c r="AB18" s="17">
        <f t="shared" si="10"/>
        <v>42</v>
      </c>
      <c r="AC18" s="17">
        <f t="shared" si="10"/>
        <v>141</v>
      </c>
      <c r="AD18" s="17">
        <f t="shared" si="10"/>
        <v>0</v>
      </c>
      <c r="AE18" s="31">
        <f t="shared" si="10"/>
        <v>315</v>
      </c>
      <c r="AF18" s="31">
        <f t="shared" si="10"/>
        <v>456</v>
      </c>
    </row>
    <row r="19" spans="2:32" ht="23.1" customHeight="1" x14ac:dyDescent="0.25">
      <c r="B19" s="23" t="s">
        <v>46</v>
      </c>
      <c r="C19" s="50">
        <v>19</v>
      </c>
      <c r="D19" s="50">
        <v>4</v>
      </c>
      <c r="E19" s="50">
        <v>7</v>
      </c>
      <c r="F19" s="50">
        <v>23</v>
      </c>
      <c r="G19" s="50">
        <v>1</v>
      </c>
      <c r="H19" s="50">
        <v>0</v>
      </c>
      <c r="I19" s="50">
        <v>9</v>
      </c>
      <c r="J19" s="50">
        <v>2</v>
      </c>
      <c r="K19" s="50">
        <v>4</v>
      </c>
      <c r="L19" s="50">
        <v>2</v>
      </c>
      <c r="M19" s="50">
        <v>49</v>
      </c>
      <c r="N19" s="50">
        <v>0</v>
      </c>
      <c r="O19" s="15">
        <f t="shared" si="0"/>
        <v>71</v>
      </c>
      <c r="P19" s="15">
        <f t="shared" si="1"/>
        <v>120</v>
      </c>
      <c r="R19" s="1" t="s">
        <v>15</v>
      </c>
      <c r="S19" s="17">
        <f t="shared" ref="S19:AF19" si="11">SUM(C46:C49)</f>
        <v>99</v>
      </c>
      <c r="T19" s="17">
        <f t="shared" si="11"/>
        <v>15</v>
      </c>
      <c r="U19" s="17">
        <f t="shared" si="11"/>
        <v>15</v>
      </c>
      <c r="V19" s="17">
        <f t="shared" si="11"/>
        <v>125</v>
      </c>
      <c r="W19" s="17">
        <f t="shared" si="11"/>
        <v>6</v>
      </c>
      <c r="X19" s="17">
        <f t="shared" si="11"/>
        <v>2</v>
      </c>
      <c r="Y19" s="17">
        <f t="shared" si="11"/>
        <v>29</v>
      </c>
      <c r="Z19" s="17">
        <f t="shared" si="11"/>
        <v>28</v>
      </c>
      <c r="AA19" s="17">
        <f t="shared" si="11"/>
        <v>6</v>
      </c>
      <c r="AB19" s="17">
        <f t="shared" si="11"/>
        <v>69</v>
      </c>
      <c r="AC19" s="17">
        <f t="shared" si="11"/>
        <v>265</v>
      </c>
      <c r="AD19" s="17">
        <f t="shared" si="11"/>
        <v>0</v>
      </c>
      <c r="AE19" s="31">
        <f t="shared" si="11"/>
        <v>394</v>
      </c>
      <c r="AF19" s="31">
        <f t="shared" si="11"/>
        <v>659</v>
      </c>
    </row>
    <row r="20" spans="2:32" ht="23.1" customHeight="1" x14ac:dyDescent="0.25">
      <c r="B20" s="23" t="s">
        <v>47</v>
      </c>
      <c r="C20" s="50">
        <v>38</v>
      </c>
      <c r="D20" s="50">
        <v>8</v>
      </c>
      <c r="E20" s="50">
        <v>12</v>
      </c>
      <c r="F20" s="50">
        <v>26</v>
      </c>
      <c r="G20" s="50">
        <v>3</v>
      </c>
      <c r="H20" s="50">
        <v>0</v>
      </c>
      <c r="I20" s="50">
        <v>13</v>
      </c>
      <c r="J20" s="50">
        <v>3</v>
      </c>
      <c r="K20" s="50">
        <v>2</v>
      </c>
      <c r="L20" s="50">
        <v>2</v>
      </c>
      <c r="M20" s="50">
        <v>61</v>
      </c>
      <c r="N20" s="50">
        <v>0</v>
      </c>
      <c r="O20" s="15">
        <f t="shared" si="0"/>
        <v>107</v>
      </c>
      <c r="P20" s="15">
        <f t="shared" si="1"/>
        <v>168</v>
      </c>
      <c r="R20" s="1" t="s">
        <v>16</v>
      </c>
      <c r="S20" s="17">
        <f t="shared" ref="S20:AF20" si="12">SUM(C50:C53)</f>
        <v>119</v>
      </c>
      <c r="T20" s="17">
        <f t="shared" si="12"/>
        <v>31</v>
      </c>
      <c r="U20" s="17">
        <f t="shared" si="12"/>
        <v>30</v>
      </c>
      <c r="V20" s="17">
        <f t="shared" si="12"/>
        <v>95</v>
      </c>
      <c r="W20" s="17">
        <f t="shared" si="12"/>
        <v>7</v>
      </c>
      <c r="X20" s="17">
        <f t="shared" si="12"/>
        <v>1</v>
      </c>
      <c r="Y20" s="17">
        <f t="shared" si="12"/>
        <v>31</v>
      </c>
      <c r="Z20" s="17">
        <f t="shared" si="12"/>
        <v>22</v>
      </c>
      <c r="AA20" s="17">
        <f t="shared" si="12"/>
        <v>17</v>
      </c>
      <c r="AB20" s="17">
        <f t="shared" si="12"/>
        <v>62</v>
      </c>
      <c r="AC20" s="17">
        <f t="shared" si="12"/>
        <v>396</v>
      </c>
      <c r="AD20" s="17">
        <f t="shared" si="12"/>
        <v>0</v>
      </c>
      <c r="AE20" s="31">
        <f t="shared" si="12"/>
        <v>415</v>
      </c>
      <c r="AF20" s="31">
        <f t="shared" si="12"/>
        <v>811</v>
      </c>
    </row>
    <row r="21" spans="2:32" ht="23.1" customHeight="1" x14ac:dyDescent="0.25">
      <c r="B21" s="23" t="s">
        <v>48</v>
      </c>
      <c r="C21" s="50">
        <v>24</v>
      </c>
      <c r="D21" s="50">
        <v>4</v>
      </c>
      <c r="E21" s="50">
        <v>9</v>
      </c>
      <c r="F21" s="50">
        <v>38</v>
      </c>
      <c r="G21" s="50">
        <v>3</v>
      </c>
      <c r="H21" s="50">
        <v>0</v>
      </c>
      <c r="I21" s="50">
        <v>10</v>
      </c>
      <c r="J21" s="50">
        <v>4</v>
      </c>
      <c r="K21" s="50">
        <v>4</v>
      </c>
      <c r="L21" s="50">
        <v>8</v>
      </c>
      <c r="M21" s="50">
        <v>64</v>
      </c>
      <c r="N21" s="50">
        <v>0</v>
      </c>
      <c r="O21" s="15">
        <f t="shared" si="0"/>
        <v>104</v>
      </c>
      <c r="P21" s="15">
        <f t="shared" si="1"/>
        <v>168</v>
      </c>
      <c r="R21" s="36" t="s">
        <v>20</v>
      </c>
      <c r="S21" s="34">
        <f t="shared" ref="S21:AF21" si="13">SUM(C54:C57)</f>
        <v>152</v>
      </c>
      <c r="T21" s="17">
        <f t="shared" si="13"/>
        <v>21</v>
      </c>
      <c r="U21" s="17">
        <f t="shared" si="13"/>
        <v>26</v>
      </c>
      <c r="V21" s="17">
        <f t="shared" si="13"/>
        <v>135</v>
      </c>
      <c r="W21" s="17">
        <f t="shared" si="13"/>
        <v>7</v>
      </c>
      <c r="X21" s="17">
        <f t="shared" si="13"/>
        <v>2</v>
      </c>
      <c r="Y21" s="17">
        <f t="shared" si="13"/>
        <v>30</v>
      </c>
      <c r="Z21" s="17">
        <f t="shared" si="13"/>
        <v>34</v>
      </c>
      <c r="AA21" s="17">
        <f t="shared" si="13"/>
        <v>5</v>
      </c>
      <c r="AB21" s="17">
        <f t="shared" si="13"/>
        <v>73</v>
      </c>
      <c r="AC21" s="17">
        <f t="shared" si="13"/>
        <v>677</v>
      </c>
      <c r="AD21" s="17">
        <f t="shared" si="13"/>
        <v>0</v>
      </c>
      <c r="AE21" s="31">
        <f t="shared" si="13"/>
        <v>485</v>
      </c>
      <c r="AF21" s="31">
        <f t="shared" si="13"/>
        <v>1162</v>
      </c>
    </row>
    <row r="22" spans="2:32" ht="23.1" customHeight="1" x14ac:dyDescent="0.25">
      <c r="B22" s="23" t="s">
        <v>49</v>
      </c>
      <c r="C22" s="50">
        <v>33</v>
      </c>
      <c r="D22" s="50">
        <v>5</v>
      </c>
      <c r="E22" s="50">
        <v>7</v>
      </c>
      <c r="F22" s="50">
        <v>31</v>
      </c>
      <c r="G22" s="50">
        <v>1</v>
      </c>
      <c r="H22" s="50">
        <v>0</v>
      </c>
      <c r="I22" s="50">
        <v>10</v>
      </c>
      <c r="J22" s="50">
        <v>6</v>
      </c>
      <c r="K22" s="50">
        <v>3</v>
      </c>
      <c r="L22" s="50">
        <v>8</v>
      </c>
      <c r="M22" s="50">
        <v>68</v>
      </c>
      <c r="N22" s="50">
        <v>0</v>
      </c>
      <c r="O22" s="15">
        <f t="shared" si="0"/>
        <v>104</v>
      </c>
      <c r="P22" s="15">
        <f t="shared" si="1"/>
        <v>172</v>
      </c>
      <c r="R22" s="38" t="s">
        <v>90</v>
      </c>
      <c r="S22" s="39">
        <f>MAX(S10:S12)</f>
        <v>140</v>
      </c>
      <c r="T22" s="39">
        <f t="shared" ref="T22:AF22" si="14">MAX(T10:T12)</f>
        <v>29</v>
      </c>
      <c r="U22" s="39">
        <f t="shared" si="14"/>
        <v>36</v>
      </c>
      <c r="V22" s="39">
        <f t="shared" si="14"/>
        <v>118</v>
      </c>
      <c r="W22" s="39">
        <f t="shared" si="14"/>
        <v>7</v>
      </c>
      <c r="X22" s="39">
        <f t="shared" si="14"/>
        <v>4</v>
      </c>
      <c r="Y22" s="39">
        <f t="shared" si="14"/>
        <v>42</v>
      </c>
      <c r="Z22" s="39">
        <f t="shared" si="14"/>
        <v>28</v>
      </c>
      <c r="AA22" s="39">
        <f t="shared" si="14"/>
        <v>17</v>
      </c>
      <c r="AB22" s="39">
        <f t="shared" si="14"/>
        <v>28</v>
      </c>
      <c r="AC22" s="39">
        <f t="shared" si="14"/>
        <v>307</v>
      </c>
      <c r="AD22" s="39">
        <f t="shared" si="14"/>
        <v>0</v>
      </c>
      <c r="AE22" s="40">
        <f t="shared" si="14"/>
        <v>418</v>
      </c>
      <c r="AF22" s="40">
        <f t="shared" si="14"/>
        <v>671</v>
      </c>
    </row>
    <row r="23" spans="2:32" ht="23.1" customHeight="1" x14ac:dyDescent="0.25">
      <c r="B23" s="23" t="s">
        <v>50</v>
      </c>
      <c r="C23" s="50">
        <v>29</v>
      </c>
      <c r="D23" s="50">
        <v>6</v>
      </c>
      <c r="E23" s="50">
        <v>1</v>
      </c>
      <c r="F23" s="50">
        <v>18</v>
      </c>
      <c r="G23" s="50">
        <v>0</v>
      </c>
      <c r="H23" s="50">
        <v>0</v>
      </c>
      <c r="I23" s="50">
        <v>2</v>
      </c>
      <c r="J23" s="50">
        <v>2</v>
      </c>
      <c r="K23" s="50">
        <v>3</v>
      </c>
      <c r="L23" s="50">
        <v>5</v>
      </c>
      <c r="M23" s="50">
        <v>54</v>
      </c>
      <c r="N23" s="50">
        <v>0</v>
      </c>
      <c r="O23" s="15">
        <f t="shared" si="0"/>
        <v>66</v>
      </c>
      <c r="P23" s="15">
        <f t="shared" si="1"/>
        <v>120</v>
      </c>
      <c r="R23" s="38" t="s">
        <v>91</v>
      </c>
      <c r="S23" s="39">
        <f>MAX(S13:S18)</f>
        <v>125</v>
      </c>
      <c r="T23" s="39">
        <f t="shared" ref="T23:AF23" si="15">MAX(T13:T18)</f>
        <v>34</v>
      </c>
      <c r="U23" s="39">
        <f t="shared" si="15"/>
        <v>31</v>
      </c>
      <c r="V23" s="39">
        <f t="shared" si="15"/>
        <v>126</v>
      </c>
      <c r="W23" s="39">
        <f t="shared" si="15"/>
        <v>8</v>
      </c>
      <c r="X23" s="39">
        <f t="shared" si="15"/>
        <v>4</v>
      </c>
      <c r="Y23" s="39">
        <f t="shared" si="15"/>
        <v>41</v>
      </c>
      <c r="Z23" s="39">
        <f t="shared" si="15"/>
        <v>29</v>
      </c>
      <c r="AA23" s="39">
        <f t="shared" si="15"/>
        <v>17</v>
      </c>
      <c r="AB23" s="39">
        <f t="shared" si="15"/>
        <v>62</v>
      </c>
      <c r="AC23" s="39">
        <f t="shared" si="15"/>
        <v>275</v>
      </c>
      <c r="AD23" s="39">
        <f t="shared" si="15"/>
        <v>0</v>
      </c>
      <c r="AE23" s="40">
        <f t="shared" si="15"/>
        <v>430</v>
      </c>
      <c r="AF23" s="40">
        <f t="shared" si="15"/>
        <v>679</v>
      </c>
    </row>
    <row r="24" spans="2:32" ht="23.1" customHeight="1" x14ac:dyDescent="0.25">
      <c r="B24" s="23" t="s">
        <v>51</v>
      </c>
      <c r="C24" s="50">
        <v>30</v>
      </c>
      <c r="D24" s="50">
        <v>4</v>
      </c>
      <c r="E24" s="50">
        <v>1</v>
      </c>
      <c r="F24" s="50">
        <v>23</v>
      </c>
      <c r="G24" s="50">
        <v>0</v>
      </c>
      <c r="H24" s="50">
        <v>0</v>
      </c>
      <c r="I24" s="50">
        <v>9</v>
      </c>
      <c r="J24" s="50">
        <v>7</v>
      </c>
      <c r="K24" s="50">
        <v>1</v>
      </c>
      <c r="L24" s="50">
        <v>7</v>
      </c>
      <c r="M24" s="50">
        <v>59</v>
      </c>
      <c r="N24" s="50">
        <v>0</v>
      </c>
      <c r="O24" s="15">
        <f t="shared" si="0"/>
        <v>82</v>
      </c>
      <c r="P24" s="15">
        <f t="shared" si="1"/>
        <v>141</v>
      </c>
      <c r="R24" s="38" t="s">
        <v>92</v>
      </c>
      <c r="S24" s="39">
        <f>MAX(S19:S21)</f>
        <v>152</v>
      </c>
      <c r="T24" s="39">
        <f t="shared" ref="T24:AF24" si="16">MAX(T19:T21)</f>
        <v>31</v>
      </c>
      <c r="U24" s="39">
        <f t="shared" si="16"/>
        <v>30</v>
      </c>
      <c r="V24" s="39">
        <f t="shared" si="16"/>
        <v>135</v>
      </c>
      <c r="W24" s="39">
        <f t="shared" si="16"/>
        <v>7</v>
      </c>
      <c r="X24" s="39">
        <f t="shared" si="16"/>
        <v>2</v>
      </c>
      <c r="Y24" s="39">
        <f t="shared" si="16"/>
        <v>31</v>
      </c>
      <c r="Z24" s="39">
        <f t="shared" si="16"/>
        <v>34</v>
      </c>
      <c r="AA24" s="39">
        <f t="shared" si="16"/>
        <v>17</v>
      </c>
      <c r="AB24" s="39">
        <f t="shared" si="16"/>
        <v>73</v>
      </c>
      <c r="AC24" s="39">
        <f t="shared" si="16"/>
        <v>677</v>
      </c>
      <c r="AD24" s="39">
        <f t="shared" si="16"/>
        <v>0</v>
      </c>
      <c r="AE24" s="40">
        <f t="shared" si="16"/>
        <v>485</v>
      </c>
      <c r="AF24" s="40">
        <f t="shared" si="16"/>
        <v>1162</v>
      </c>
    </row>
    <row r="25" spans="2:32" ht="23.1" customHeight="1" x14ac:dyDescent="0.25">
      <c r="B25" s="23" t="s">
        <v>52</v>
      </c>
      <c r="C25" s="50">
        <v>22</v>
      </c>
      <c r="D25" s="50">
        <v>0</v>
      </c>
      <c r="E25" s="50">
        <v>9</v>
      </c>
      <c r="F25" s="50">
        <v>29</v>
      </c>
      <c r="G25" s="50">
        <v>2</v>
      </c>
      <c r="H25" s="50">
        <v>1</v>
      </c>
      <c r="I25" s="50">
        <v>8</v>
      </c>
      <c r="J25" s="50">
        <v>11</v>
      </c>
      <c r="K25" s="50">
        <v>4</v>
      </c>
      <c r="L25" s="50">
        <v>14</v>
      </c>
      <c r="M25" s="50">
        <v>94</v>
      </c>
      <c r="N25" s="50">
        <v>0</v>
      </c>
      <c r="O25" s="15">
        <f t="shared" si="0"/>
        <v>100</v>
      </c>
      <c r="P25" s="15">
        <f t="shared" si="1"/>
        <v>194</v>
      </c>
      <c r="R25" s="37" t="s">
        <v>85</v>
      </c>
      <c r="S25" s="35">
        <f t="shared" ref="S25:AF25" si="17">SUM(S10:S12)</f>
        <v>367</v>
      </c>
      <c r="T25" s="16">
        <f t="shared" si="17"/>
        <v>67</v>
      </c>
      <c r="U25" s="16">
        <f t="shared" si="17"/>
        <v>105</v>
      </c>
      <c r="V25" s="16">
        <f t="shared" si="17"/>
        <v>347</v>
      </c>
      <c r="W25" s="16">
        <f t="shared" si="17"/>
        <v>14</v>
      </c>
      <c r="X25" s="16">
        <f t="shared" si="17"/>
        <v>7</v>
      </c>
      <c r="Y25" s="16">
        <f t="shared" si="17"/>
        <v>82</v>
      </c>
      <c r="Z25" s="16">
        <f t="shared" si="17"/>
        <v>53</v>
      </c>
      <c r="AA25" s="16">
        <f t="shared" si="17"/>
        <v>39</v>
      </c>
      <c r="AB25" s="16">
        <f t="shared" si="17"/>
        <v>75</v>
      </c>
      <c r="AC25" s="16">
        <f t="shared" si="17"/>
        <v>782</v>
      </c>
      <c r="AD25" s="16">
        <f t="shared" si="17"/>
        <v>0</v>
      </c>
      <c r="AE25" s="32">
        <f t="shared" si="17"/>
        <v>1156</v>
      </c>
      <c r="AF25" s="32">
        <f t="shared" si="17"/>
        <v>1938</v>
      </c>
    </row>
    <row r="26" spans="2:32" ht="23.1" customHeight="1" x14ac:dyDescent="0.25">
      <c r="B26" s="23" t="s">
        <v>53</v>
      </c>
      <c r="C26" s="50">
        <v>27</v>
      </c>
      <c r="D26" s="50">
        <v>5</v>
      </c>
      <c r="E26" s="50">
        <v>3</v>
      </c>
      <c r="F26" s="50">
        <v>22</v>
      </c>
      <c r="G26" s="50">
        <v>7</v>
      </c>
      <c r="H26" s="50">
        <v>2</v>
      </c>
      <c r="I26" s="50">
        <v>8</v>
      </c>
      <c r="J26" s="50">
        <v>5</v>
      </c>
      <c r="K26" s="50">
        <v>1</v>
      </c>
      <c r="L26" s="50">
        <v>7</v>
      </c>
      <c r="M26" s="50">
        <v>43</v>
      </c>
      <c r="N26" s="50">
        <v>0</v>
      </c>
      <c r="O26" s="15">
        <f t="shared" si="0"/>
        <v>87</v>
      </c>
      <c r="P26" s="15">
        <f t="shared" si="1"/>
        <v>130</v>
      </c>
      <c r="R26" s="28" t="s">
        <v>86</v>
      </c>
      <c r="S26" s="16">
        <f t="shared" ref="S26:AF26" si="18">SUM(S13:S18)</f>
        <v>636</v>
      </c>
      <c r="T26" s="16">
        <f t="shared" si="18"/>
        <v>134</v>
      </c>
      <c r="U26" s="16">
        <f t="shared" si="18"/>
        <v>131</v>
      </c>
      <c r="V26" s="16">
        <f t="shared" si="18"/>
        <v>651</v>
      </c>
      <c r="W26" s="16">
        <f t="shared" si="18"/>
        <v>35</v>
      </c>
      <c r="X26" s="16">
        <f t="shared" si="18"/>
        <v>11</v>
      </c>
      <c r="Y26" s="16">
        <f t="shared" si="18"/>
        <v>188</v>
      </c>
      <c r="Z26" s="16">
        <f t="shared" si="18"/>
        <v>153</v>
      </c>
      <c r="AA26" s="16">
        <f t="shared" si="18"/>
        <v>64</v>
      </c>
      <c r="AB26" s="16">
        <f t="shared" si="18"/>
        <v>278</v>
      </c>
      <c r="AC26" s="16">
        <f t="shared" si="18"/>
        <v>1343</v>
      </c>
      <c r="AD26" s="16">
        <f t="shared" si="18"/>
        <v>0</v>
      </c>
      <c r="AE26" s="32">
        <f t="shared" si="18"/>
        <v>2281</v>
      </c>
      <c r="AF26" s="32">
        <f t="shared" si="18"/>
        <v>3624</v>
      </c>
    </row>
    <row r="27" spans="2:32" ht="23.1" customHeight="1" x14ac:dyDescent="0.25">
      <c r="B27" s="23" t="s">
        <v>54</v>
      </c>
      <c r="C27" s="50">
        <v>24</v>
      </c>
      <c r="D27" s="50">
        <v>3</v>
      </c>
      <c r="E27" s="50">
        <v>9</v>
      </c>
      <c r="F27" s="50">
        <v>33</v>
      </c>
      <c r="G27" s="50">
        <v>0</v>
      </c>
      <c r="H27" s="50">
        <v>0</v>
      </c>
      <c r="I27" s="50">
        <v>10</v>
      </c>
      <c r="J27" s="50">
        <v>7</v>
      </c>
      <c r="K27" s="50">
        <v>2</v>
      </c>
      <c r="L27" s="50">
        <v>13</v>
      </c>
      <c r="M27" s="50">
        <v>62</v>
      </c>
      <c r="N27" s="50">
        <v>0</v>
      </c>
      <c r="O27" s="15">
        <f t="shared" si="0"/>
        <v>101</v>
      </c>
      <c r="P27" s="15">
        <f t="shared" si="1"/>
        <v>163</v>
      </c>
      <c r="R27" s="29" t="s">
        <v>87</v>
      </c>
      <c r="S27" s="16">
        <f t="shared" ref="S27:AF27" si="19">SUM(S19:S21)</f>
        <v>370</v>
      </c>
      <c r="T27" s="16">
        <f t="shared" si="19"/>
        <v>67</v>
      </c>
      <c r="U27" s="16">
        <f t="shared" si="19"/>
        <v>71</v>
      </c>
      <c r="V27" s="16">
        <f t="shared" si="19"/>
        <v>355</v>
      </c>
      <c r="W27" s="16">
        <f t="shared" si="19"/>
        <v>20</v>
      </c>
      <c r="X27" s="16">
        <f t="shared" si="19"/>
        <v>5</v>
      </c>
      <c r="Y27" s="16">
        <f t="shared" si="19"/>
        <v>90</v>
      </c>
      <c r="Z27" s="16">
        <f t="shared" si="19"/>
        <v>84</v>
      </c>
      <c r="AA27" s="16">
        <f t="shared" si="19"/>
        <v>28</v>
      </c>
      <c r="AB27" s="16">
        <f t="shared" si="19"/>
        <v>204</v>
      </c>
      <c r="AC27" s="16">
        <f t="shared" si="19"/>
        <v>1338</v>
      </c>
      <c r="AD27" s="16">
        <f t="shared" si="19"/>
        <v>0</v>
      </c>
      <c r="AE27" s="32">
        <f t="shared" si="19"/>
        <v>1294</v>
      </c>
      <c r="AF27" s="32">
        <f t="shared" si="19"/>
        <v>2632</v>
      </c>
    </row>
    <row r="28" spans="2:32" ht="23.1" customHeight="1" x14ac:dyDescent="0.25">
      <c r="B28" s="23" t="s">
        <v>55</v>
      </c>
      <c r="C28" s="50">
        <v>38</v>
      </c>
      <c r="D28" s="50">
        <v>4</v>
      </c>
      <c r="E28" s="50">
        <v>10</v>
      </c>
      <c r="F28" s="50">
        <v>40</v>
      </c>
      <c r="G28" s="50">
        <v>1</v>
      </c>
      <c r="H28" s="50">
        <v>0</v>
      </c>
      <c r="I28" s="50">
        <v>10</v>
      </c>
      <c r="J28" s="50">
        <v>5</v>
      </c>
      <c r="K28" s="50">
        <v>2</v>
      </c>
      <c r="L28" s="50">
        <v>11</v>
      </c>
      <c r="M28" s="50">
        <v>56</v>
      </c>
      <c r="N28" s="50">
        <v>0</v>
      </c>
      <c r="O28" s="15">
        <f t="shared" si="0"/>
        <v>121</v>
      </c>
      <c r="P28" s="15">
        <f t="shared" si="1"/>
        <v>177</v>
      </c>
      <c r="R28" s="5" t="s">
        <v>17</v>
      </c>
      <c r="S28" s="16">
        <f t="shared" ref="S28:AF28" si="20">SUM(S10:S21)</f>
        <v>1373</v>
      </c>
      <c r="T28" s="16">
        <f t="shared" si="20"/>
        <v>268</v>
      </c>
      <c r="U28" s="16">
        <f t="shared" si="20"/>
        <v>307</v>
      </c>
      <c r="V28" s="16">
        <f t="shared" si="20"/>
        <v>1353</v>
      </c>
      <c r="W28" s="16">
        <f t="shared" si="20"/>
        <v>69</v>
      </c>
      <c r="X28" s="16">
        <f t="shared" si="20"/>
        <v>23</v>
      </c>
      <c r="Y28" s="16">
        <f t="shared" si="20"/>
        <v>360</v>
      </c>
      <c r="Z28" s="16">
        <f t="shared" si="20"/>
        <v>290</v>
      </c>
      <c r="AA28" s="16">
        <f t="shared" si="20"/>
        <v>131</v>
      </c>
      <c r="AB28" s="16">
        <f t="shared" si="20"/>
        <v>557</v>
      </c>
      <c r="AC28" s="16">
        <f t="shared" si="20"/>
        <v>3463</v>
      </c>
      <c r="AD28" s="16">
        <f t="shared" si="20"/>
        <v>0</v>
      </c>
      <c r="AE28" s="32">
        <f t="shared" si="20"/>
        <v>4731</v>
      </c>
      <c r="AF28" s="32">
        <f t="shared" si="20"/>
        <v>8194</v>
      </c>
    </row>
    <row r="29" spans="2:32" ht="23.1" customHeight="1" x14ac:dyDescent="0.25">
      <c r="B29" s="23" t="s">
        <v>56</v>
      </c>
      <c r="C29" s="50">
        <v>30</v>
      </c>
      <c r="D29" s="50">
        <v>7</v>
      </c>
      <c r="E29" s="50">
        <v>9</v>
      </c>
      <c r="F29" s="50">
        <v>23</v>
      </c>
      <c r="G29" s="50">
        <v>0</v>
      </c>
      <c r="H29" s="50">
        <v>0</v>
      </c>
      <c r="I29" s="50">
        <v>10</v>
      </c>
      <c r="J29" s="50">
        <v>8</v>
      </c>
      <c r="K29" s="50">
        <v>2</v>
      </c>
      <c r="L29" s="50">
        <v>11</v>
      </c>
      <c r="M29" s="50">
        <v>58</v>
      </c>
      <c r="N29" s="50">
        <v>0</v>
      </c>
      <c r="O29" s="15">
        <f t="shared" si="0"/>
        <v>100</v>
      </c>
      <c r="P29" s="15">
        <f t="shared" si="1"/>
        <v>158</v>
      </c>
      <c r="R29"/>
      <c r="S29" s="20"/>
      <c r="T29" s="19"/>
    </row>
    <row r="30" spans="2:32" ht="23.1" customHeight="1" x14ac:dyDescent="0.25">
      <c r="B30" s="23" t="s">
        <v>57</v>
      </c>
      <c r="C30" s="50">
        <v>17</v>
      </c>
      <c r="D30" s="50">
        <v>8</v>
      </c>
      <c r="E30" s="50">
        <v>9</v>
      </c>
      <c r="F30" s="50">
        <v>20</v>
      </c>
      <c r="G30" s="50">
        <v>4</v>
      </c>
      <c r="H30" s="50">
        <v>0</v>
      </c>
      <c r="I30" s="50">
        <v>7</v>
      </c>
      <c r="J30" s="50">
        <v>4</v>
      </c>
      <c r="K30" s="50">
        <v>3</v>
      </c>
      <c r="L30" s="50">
        <v>2</v>
      </c>
      <c r="M30" s="50">
        <v>61</v>
      </c>
      <c r="N30" s="50">
        <v>0</v>
      </c>
      <c r="O30" s="15">
        <f t="shared" si="0"/>
        <v>74</v>
      </c>
      <c r="P30" s="15">
        <f t="shared" si="1"/>
        <v>135</v>
      </c>
    </row>
    <row r="31" spans="2:32" ht="23.1" customHeight="1" x14ac:dyDescent="0.25">
      <c r="B31" s="24" t="s">
        <v>58</v>
      </c>
      <c r="C31" s="50">
        <v>16</v>
      </c>
      <c r="D31" s="50">
        <v>8</v>
      </c>
      <c r="E31" s="50">
        <v>7</v>
      </c>
      <c r="F31" s="50">
        <v>38</v>
      </c>
      <c r="G31" s="50">
        <v>0</v>
      </c>
      <c r="H31" s="50">
        <v>1</v>
      </c>
      <c r="I31" s="50">
        <v>4</v>
      </c>
      <c r="J31" s="50">
        <v>15</v>
      </c>
      <c r="K31" s="50">
        <v>3</v>
      </c>
      <c r="L31" s="50">
        <v>15</v>
      </c>
      <c r="M31" s="50">
        <v>85</v>
      </c>
      <c r="N31" s="50">
        <v>0</v>
      </c>
      <c r="O31" s="15">
        <f t="shared" si="0"/>
        <v>107</v>
      </c>
      <c r="P31" s="15">
        <f t="shared" si="1"/>
        <v>192</v>
      </c>
    </row>
    <row r="32" spans="2:32" ht="23.1" customHeight="1" x14ac:dyDescent="0.25">
      <c r="B32" s="24" t="s">
        <v>59</v>
      </c>
      <c r="C32" s="50">
        <v>31</v>
      </c>
      <c r="D32" s="50">
        <v>10</v>
      </c>
      <c r="E32" s="50">
        <v>7</v>
      </c>
      <c r="F32" s="50">
        <v>34</v>
      </c>
      <c r="G32" s="50">
        <v>2</v>
      </c>
      <c r="H32" s="50">
        <v>0</v>
      </c>
      <c r="I32" s="50">
        <v>6</v>
      </c>
      <c r="J32" s="50">
        <v>7</v>
      </c>
      <c r="K32" s="50">
        <v>5</v>
      </c>
      <c r="L32" s="50">
        <v>12</v>
      </c>
      <c r="M32" s="50">
        <v>38</v>
      </c>
      <c r="N32" s="50">
        <v>0</v>
      </c>
      <c r="O32" s="15">
        <f t="shared" si="0"/>
        <v>114</v>
      </c>
      <c r="P32" s="15">
        <f t="shared" si="1"/>
        <v>152</v>
      </c>
    </row>
    <row r="33" spans="2:20" ht="23.1" customHeight="1" x14ac:dyDescent="0.25">
      <c r="B33" s="23" t="s">
        <v>60</v>
      </c>
      <c r="C33" s="50">
        <v>26</v>
      </c>
      <c r="D33" s="50">
        <v>5</v>
      </c>
      <c r="E33" s="50">
        <v>3</v>
      </c>
      <c r="F33" s="50">
        <v>17</v>
      </c>
      <c r="G33" s="50">
        <v>1</v>
      </c>
      <c r="H33" s="50">
        <v>2</v>
      </c>
      <c r="I33" s="50">
        <v>5</v>
      </c>
      <c r="J33" s="50">
        <v>3</v>
      </c>
      <c r="K33" s="50">
        <v>1</v>
      </c>
      <c r="L33" s="50">
        <v>11</v>
      </c>
      <c r="M33" s="50">
        <v>39</v>
      </c>
      <c r="N33" s="50">
        <v>0</v>
      </c>
      <c r="O33" s="15">
        <f t="shared" si="0"/>
        <v>74</v>
      </c>
      <c r="P33" s="15">
        <f t="shared" si="1"/>
        <v>113</v>
      </c>
    </row>
    <row r="34" spans="2:20" ht="23.1" customHeight="1" x14ac:dyDescent="0.25">
      <c r="B34" s="24" t="s">
        <v>61</v>
      </c>
      <c r="C34" s="50">
        <v>39</v>
      </c>
      <c r="D34" s="50">
        <v>5</v>
      </c>
      <c r="E34" s="50">
        <v>7</v>
      </c>
      <c r="F34" s="50">
        <v>20</v>
      </c>
      <c r="G34" s="50">
        <v>1</v>
      </c>
      <c r="H34" s="50">
        <v>1</v>
      </c>
      <c r="I34" s="50">
        <v>11</v>
      </c>
      <c r="J34" s="50">
        <v>6</v>
      </c>
      <c r="K34" s="50">
        <v>0</v>
      </c>
      <c r="L34" s="50">
        <v>14</v>
      </c>
      <c r="M34" s="50">
        <v>44</v>
      </c>
      <c r="N34" s="50">
        <v>0</v>
      </c>
      <c r="O34" s="15">
        <f t="shared" si="0"/>
        <v>104</v>
      </c>
      <c r="P34" s="15">
        <f t="shared" si="1"/>
        <v>148</v>
      </c>
    </row>
    <row r="35" spans="2:20" ht="23.1" customHeight="1" x14ac:dyDescent="0.25">
      <c r="B35" s="24" t="s">
        <v>62</v>
      </c>
      <c r="C35" s="50">
        <v>27</v>
      </c>
      <c r="D35" s="50">
        <v>4</v>
      </c>
      <c r="E35" s="50">
        <v>4</v>
      </c>
      <c r="F35" s="50">
        <v>27</v>
      </c>
      <c r="G35" s="50">
        <v>1</v>
      </c>
      <c r="H35" s="50">
        <v>0</v>
      </c>
      <c r="I35" s="50">
        <v>8</v>
      </c>
      <c r="J35" s="50">
        <v>7</v>
      </c>
      <c r="K35" s="50">
        <v>6</v>
      </c>
      <c r="L35" s="50">
        <v>16</v>
      </c>
      <c r="M35" s="50">
        <v>60</v>
      </c>
      <c r="N35" s="50">
        <v>0</v>
      </c>
      <c r="O35" s="15">
        <f t="shared" si="0"/>
        <v>100</v>
      </c>
      <c r="P35" s="15">
        <f t="shared" si="1"/>
        <v>160</v>
      </c>
    </row>
    <row r="36" spans="2:20" ht="23.1" customHeight="1" x14ac:dyDescent="0.25">
      <c r="B36" s="24" t="s">
        <v>63</v>
      </c>
      <c r="C36" s="50">
        <v>36</v>
      </c>
      <c r="D36" s="50">
        <v>9</v>
      </c>
      <c r="E36" s="50">
        <v>4</v>
      </c>
      <c r="F36" s="50">
        <v>28</v>
      </c>
      <c r="G36" s="50">
        <v>2</v>
      </c>
      <c r="H36" s="50">
        <v>0</v>
      </c>
      <c r="I36" s="50">
        <v>9</v>
      </c>
      <c r="J36" s="50">
        <v>11</v>
      </c>
      <c r="K36" s="50">
        <v>2</v>
      </c>
      <c r="L36" s="50">
        <v>18</v>
      </c>
      <c r="M36" s="50">
        <v>105</v>
      </c>
      <c r="N36" s="50">
        <v>0</v>
      </c>
      <c r="O36" s="15">
        <f t="shared" si="0"/>
        <v>119</v>
      </c>
      <c r="P36" s="15">
        <f t="shared" si="1"/>
        <v>224</v>
      </c>
    </row>
    <row r="37" spans="2:20" ht="23.1" customHeight="1" x14ac:dyDescent="0.25">
      <c r="B37" s="23" t="s">
        <v>64</v>
      </c>
      <c r="C37" s="50">
        <v>23</v>
      </c>
      <c r="D37" s="50">
        <v>7</v>
      </c>
      <c r="E37" s="50">
        <v>1</v>
      </c>
      <c r="F37" s="50">
        <v>27</v>
      </c>
      <c r="G37" s="50">
        <v>2</v>
      </c>
      <c r="H37" s="50">
        <v>0</v>
      </c>
      <c r="I37" s="50">
        <v>2</v>
      </c>
      <c r="J37" s="50">
        <v>5</v>
      </c>
      <c r="K37" s="50">
        <v>2</v>
      </c>
      <c r="L37" s="50">
        <v>14</v>
      </c>
      <c r="M37" s="50">
        <v>64</v>
      </c>
      <c r="N37" s="50">
        <v>0</v>
      </c>
      <c r="O37" s="15">
        <f t="shared" si="0"/>
        <v>83</v>
      </c>
      <c r="P37" s="15">
        <f t="shared" si="1"/>
        <v>147</v>
      </c>
    </row>
    <row r="38" spans="2:20" ht="23.1" customHeight="1" x14ac:dyDescent="0.25">
      <c r="B38" s="24" t="s">
        <v>65</v>
      </c>
      <c r="C38" s="50">
        <v>26</v>
      </c>
      <c r="D38" s="50">
        <v>18</v>
      </c>
      <c r="E38" s="50">
        <v>3</v>
      </c>
      <c r="F38" s="50">
        <v>32</v>
      </c>
      <c r="G38" s="50">
        <v>2</v>
      </c>
      <c r="H38" s="50">
        <v>0</v>
      </c>
      <c r="I38" s="50">
        <v>9</v>
      </c>
      <c r="J38" s="50">
        <v>5</v>
      </c>
      <c r="K38" s="50">
        <v>4</v>
      </c>
      <c r="L38" s="50">
        <v>16</v>
      </c>
      <c r="M38" s="50">
        <v>82</v>
      </c>
      <c r="N38" s="50">
        <v>0</v>
      </c>
      <c r="O38" s="15">
        <f t="shared" si="0"/>
        <v>115</v>
      </c>
      <c r="P38" s="15">
        <f t="shared" si="1"/>
        <v>197</v>
      </c>
    </row>
    <row r="39" spans="2:20" ht="23.1" customHeight="1" x14ac:dyDescent="0.25">
      <c r="B39" s="24" t="s">
        <v>66</v>
      </c>
      <c r="C39" s="50">
        <v>22</v>
      </c>
      <c r="D39" s="50">
        <v>11</v>
      </c>
      <c r="E39" s="50">
        <v>7</v>
      </c>
      <c r="F39" s="50">
        <v>29</v>
      </c>
      <c r="G39" s="50">
        <v>0</v>
      </c>
      <c r="H39" s="50">
        <v>0</v>
      </c>
      <c r="I39" s="50">
        <v>9</v>
      </c>
      <c r="J39" s="50">
        <v>7</v>
      </c>
      <c r="K39" s="50">
        <v>5</v>
      </c>
      <c r="L39" s="50">
        <v>17</v>
      </c>
      <c r="M39" s="50">
        <v>82</v>
      </c>
      <c r="N39" s="50">
        <v>0</v>
      </c>
      <c r="O39" s="15">
        <f t="shared" si="0"/>
        <v>107</v>
      </c>
      <c r="P39" s="15">
        <f t="shared" si="1"/>
        <v>189</v>
      </c>
    </row>
    <row r="40" spans="2:20" ht="23.1" customHeight="1" x14ac:dyDescent="0.25">
      <c r="B40" s="24" t="s">
        <v>67</v>
      </c>
      <c r="C40" s="50">
        <v>26</v>
      </c>
      <c r="D40" s="50">
        <v>4</v>
      </c>
      <c r="E40" s="50">
        <v>3</v>
      </c>
      <c r="F40" s="50">
        <v>37</v>
      </c>
      <c r="G40" s="50">
        <v>1</v>
      </c>
      <c r="H40" s="50">
        <v>1</v>
      </c>
      <c r="I40" s="50">
        <v>11</v>
      </c>
      <c r="J40" s="50">
        <v>5</v>
      </c>
      <c r="K40" s="50">
        <v>3</v>
      </c>
      <c r="L40" s="50">
        <v>17</v>
      </c>
      <c r="M40" s="50">
        <v>28</v>
      </c>
      <c r="N40" s="50">
        <v>0</v>
      </c>
      <c r="O40" s="15">
        <f t="shared" si="0"/>
        <v>108</v>
      </c>
      <c r="P40" s="15">
        <f t="shared" si="1"/>
        <v>136</v>
      </c>
    </row>
    <row r="41" spans="2:20" ht="23.1" customHeight="1" x14ac:dyDescent="0.25">
      <c r="B41" s="23" t="s">
        <v>68</v>
      </c>
      <c r="C41" s="50">
        <v>27</v>
      </c>
      <c r="D41" s="50">
        <v>1</v>
      </c>
      <c r="E41" s="50">
        <v>6</v>
      </c>
      <c r="F41" s="50">
        <v>28</v>
      </c>
      <c r="G41" s="50">
        <v>1</v>
      </c>
      <c r="H41" s="50">
        <v>3</v>
      </c>
      <c r="I41" s="50">
        <v>12</v>
      </c>
      <c r="J41" s="50">
        <v>9</v>
      </c>
      <c r="K41" s="50">
        <v>5</v>
      </c>
      <c r="L41" s="50">
        <v>8</v>
      </c>
      <c r="M41" s="50">
        <v>20</v>
      </c>
      <c r="N41" s="50">
        <v>0</v>
      </c>
      <c r="O41" s="15">
        <f t="shared" si="0"/>
        <v>100</v>
      </c>
      <c r="P41" s="15">
        <f t="shared" si="1"/>
        <v>120</v>
      </c>
    </row>
    <row r="42" spans="2:20" ht="23.1" customHeight="1" x14ac:dyDescent="0.25">
      <c r="B42" s="24" t="s">
        <v>69</v>
      </c>
      <c r="C42" s="50">
        <v>19</v>
      </c>
      <c r="D42" s="50">
        <v>1</v>
      </c>
      <c r="E42" s="50">
        <v>7</v>
      </c>
      <c r="F42" s="50">
        <v>20</v>
      </c>
      <c r="G42" s="50">
        <v>1</v>
      </c>
      <c r="H42" s="50">
        <v>0</v>
      </c>
      <c r="I42" s="50">
        <v>4</v>
      </c>
      <c r="J42" s="50">
        <v>3</v>
      </c>
      <c r="K42" s="50">
        <v>1</v>
      </c>
      <c r="L42" s="50">
        <v>7</v>
      </c>
      <c r="M42" s="50">
        <v>13</v>
      </c>
      <c r="N42" s="50">
        <v>0</v>
      </c>
      <c r="O42" s="15">
        <f t="shared" si="0"/>
        <v>63</v>
      </c>
      <c r="P42" s="15">
        <f t="shared" si="1"/>
        <v>76</v>
      </c>
    </row>
    <row r="43" spans="2:20" ht="23.1" customHeight="1" x14ac:dyDescent="0.25">
      <c r="B43" s="23" t="s">
        <v>70</v>
      </c>
      <c r="C43" s="50">
        <v>19</v>
      </c>
      <c r="D43" s="50">
        <v>2</v>
      </c>
      <c r="E43" s="50">
        <v>2</v>
      </c>
      <c r="F43" s="50">
        <v>19</v>
      </c>
      <c r="G43" s="50">
        <v>2</v>
      </c>
      <c r="H43" s="50">
        <v>0</v>
      </c>
      <c r="I43" s="50">
        <v>7</v>
      </c>
      <c r="J43" s="50">
        <v>3</v>
      </c>
      <c r="K43" s="50">
        <v>3</v>
      </c>
      <c r="L43" s="50">
        <v>11</v>
      </c>
      <c r="M43" s="50">
        <v>30</v>
      </c>
      <c r="N43" s="50">
        <v>0</v>
      </c>
      <c r="O43" s="15">
        <f t="shared" si="0"/>
        <v>68</v>
      </c>
      <c r="P43" s="15">
        <f t="shared" si="1"/>
        <v>98</v>
      </c>
    </row>
    <row r="44" spans="2:20" ht="23.1" customHeight="1" x14ac:dyDescent="0.25">
      <c r="B44" s="25" t="s">
        <v>71</v>
      </c>
      <c r="C44" s="50">
        <v>30</v>
      </c>
      <c r="D44" s="50">
        <v>4</v>
      </c>
      <c r="E44" s="50">
        <v>6</v>
      </c>
      <c r="F44" s="50">
        <v>31</v>
      </c>
      <c r="G44" s="50">
        <v>2</v>
      </c>
      <c r="H44" s="50">
        <v>0</v>
      </c>
      <c r="I44" s="50">
        <v>10</v>
      </c>
      <c r="J44" s="50">
        <v>8</v>
      </c>
      <c r="K44" s="50">
        <v>2</v>
      </c>
      <c r="L44" s="50">
        <v>11</v>
      </c>
      <c r="M44" s="50">
        <v>49</v>
      </c>
      <c r="N44" s="50">
        <v>0</v>
      </c>
      <c r="O44" s="15">
        <f t="shared" si="0"/>
        <v>104</v>
      </c>
      <c r="P44" s="15">
        <f t="shared" si="1"/>
        <v>153</v>
      </c>
    </row>
    <row r="45" spans="2:20" ht="23.1" customHeight="1" x14ac:dyDescent="0.25">
      <c r="B45" s="23" t="s">
        <v>72</v>
      </c>
      <c r="C45" s="50">
        <v>19</v>
      </c>
      <c r="D45" s="50">
        <v>3</v>
      </c>
      <c r="E45" s="50">
        <v>6</v>
      </c>
      <c r="F45" s="50">
        <v>25</v>
      </c>
      <c r="G45" s="50">
        <v>2</v>
      </c>
      <c r="H45" s="50">
        <v>0</v>
      </c>
      <c r="I45" s="50">
        <v>7</v>
      </c>
      <c r="J45" s="50">
        <v>4</v>
      </c>
      <c r="K45" s="50">
        <v>1</v>
      </c>
      <c r="L45" s="50">
        <v>13</v>
      </c>
      <c r="M45" s="50">
        <v>49</v>
      </c>
      <c r="N45" s="50">
        <v>0</v>
      </c>
      <c r="O45" s="15">
        <f t="shared" si="0"/>
        <v>80</v>
      </c>
      <c r="P45" s="15">
        <f t="shared" si="1"/>
        <v>129</v>
      </c>
    </row>
    <row r="46" spans="2:20" ht="23.1" customHeight="1" x14ac:dyDescent="0.25">
      <c r="B46" s="24" t="s">
        <v>73</v>
      </c>
      <c r="C46" s="50">
        <v>30</v>
      </c>
      <c r="D46" s="50">
        <v>7</v>
      </c>
      <c r="E46" s="50">
        <v>4</v>
      </c>
      <c r="F46" s="50">
        <v>30</v>
      </c>
      <c r="G46" s="50">
        <v>0</v>
      </c>
      <c r="H46" s="50">
        <v>1</v>
      </c>
      <c r="I46" s="50">
        <v>7</v>
      </c>
      <c r="J46" s="50">
        <v>0</v>
      </c>
      <c r="K46" s="50">
        <v>1</v>
      </c>
      <c r="L46" s="50">
        <v>20</v>
      </c>
      <c r="M46" s="50">
        <v>33</v>
      </c>
      <c r="N46" s="50">
        <v>0</v>
      </c>
      <c r="O46" s="15">
        <f t="shared" si="0"/>
        <v>100</v>
      </c>
      <c r="P46" s="15">
        <f t="shared" si="1"/>
        <v>133</v>
      </c>
      <c r="R46" s="8"/>
      <c r="T46"/>
    </row>
    <row r="47" spans="2:20" ht="23.1" customHeight="1" x14ac:dyDescent="0.25">
      <c r="B47" s="24" t="s">
        <v>74</v>
      </c>
      <c r="C47" s="50">
        <v>14</v>
      </c>
      <c r="D47" s="50">
        <v>1</v>
      </c>
      <c r="E47" s="50">
        <v>4</v>
      </c>
      <c r="F47" s="50">
        <v>23</v>
      </c>
      <c r="G47" s="50">
        <v>3</v>
      </c>
      <c r="H47" s="50">
        <v>0</v>
      </c>
      <c r="I47" s="50">
        <v>9</v>
      </c>
      <c r="J47" s="50">
        <v>4</v>
      </c>
      <c r="K47" s="50">
        <v>1</v>
      </c>
      <c r="L47" s="50">
        <v>13</v>
      </c>
      <c r="M47" s="50">
        <v>58</v>
      </c>
      <c r="N47" s="50">
        <v>0</v>
      </c>
      <c r="O47" s="15">
        <f t="shared" si="0"/>
        <v>72</v>
      </c>
      <c r="P47" s="15">
        <f t="shared" si="1"/>
        <v>130</v>
      </c>
      <c r="R47" s="8"/>
      <c r="T47"/>
    </row>
    <row r="48" spans="2:20" ht="23.1" customHeight="1" x14ac:dyDescent="0.25">
      <c r="B48" s="24" t="s">
        <v>75</v>
      </c>
      <c r="C48" s="50">
        <v>25</v>
      </c>
      <c r="D48" s="50">
        <v>3</v>
      </c>
      <c r="E48" s="50">
        <v>3</v>
      </c>
      <c r="F48" s="50">
        <v>25</v>
      </c>
      <c r="G48" s="50">
        <v>1</v>
      </c>
      <c r="H48" s="50">
        <v>0</v>
      </c>
      <c r="I48" s="50">
        <v>2</v>
      </c>
      <c r="J48" s="50">
        <v>10</v>
      </c>
      <c r="K48" s="50">
        <v>2</v>
      </c>
      <c r="L48" s="50">
        <v>13</v>
      </c>
      <c r="M48" s="50">
        <v>78</v>
      </c>
      <c r="N48" s="50">
        <v>0</v>
      </c>
      <c r="O48" s="15">
        <f t="shared" si="0"/>
        <v>84</v>
      </c>
      <c r="P48" s="15">
        <f t="shared" si="1"/>
        <v>162</v>
      </c>
      <c r="R48" s="8"/>
      <c r="T48"/>
    </row>
    <row r="49" spans="2:20" ht="23.1" customHeight="1" x14ac:dyDescent="0.25">
      <c r="B49" s="23" t="s">
        <v>76</v>
      </c>
      <c r="C49" s="50">
        <v>30</v>
      </c>
      <c r="D49" s="50">
        <v>4</v>
      </c>
      <c r="E49" s="50">
        <v>4</v>
      </c>
      <c r="F49" s="50">
        <v>47</v>
      </c>
      <c r="G49" s="50">
        <v>2</v>
      </c>
      <c r="H49" s="50">
        <v>1</v>
      </c>
      <c r="I49" s="50">
        <v>11</v>
      </c>
      <c r="J49" s="50">
        <v>14</v>
      </c>
      <c r="K49" s="50">
        <v>2</v>
      </c>
      <c r="L49" s="50">
        <v>23</v>
      </c>
      <c r="M49" s="50">
        <v>96</v>
      </c>
      <c r="N49" s="50">
        <v>0</v>
      </c>
      <c r="O49" s="15">
        <f t="shared" si="0"/>
        <v>138</v>
      </c>
      <c r="P49" s="15">
        <f t="shared" si="1"/>
        <v>234</v>
      </c>
      <c r="R49" s="8"/>
      <c r="T49"/>
    </row>
    <row r="50" spans="2:20" ht="23.1" customHeight="1" x14ac:dyDescent="0.25">
      <c r="B50" s="24" t="s">
        <v>77</v>
      </c>
      <c r="C50" s="50">
        <v>21</v>
      </c>
      <c r="D50" s="50">
        <v>16</v>
      </c>
      <c r="E50" s="50">
        <v>5</v>
      </c>
      <c r="F50" s="50">
        <v>34</v>
      </c>
      <c r="G50" s="50">
        <v>3</v>
      </c>
      <c r="H50" s="50">
        <v>1</v>
      </c>
      <c r="I50" s="50">
        <v>8</v>
      </c>
      <c r="J50" s="50">
        <v>5</v>
      </c>
      <c r="K50" s="50">
        <v>6</v>
      </c>
      <c r="L50" s="50">
        <v>13</v>
      </c>
      <c r="M50" s="50">
        <v>98</v>
      </c>
      <c r="N50" s="50">
        <v>0</v>
      </c>
      <c r="O50" s="15">
        <f t="shared" si="0"/>
        <v>112</v>
      </c>
      <c r="P50" s="15">
        <f t="shared" si="1"/>
        <v>210</v>
      </c>
      <c r="R50" s="8"/>
      <c r="T50"/>
    </row>
    <row r="51" spans="2:20" ht="23.1" customHeight="1" x14ac:dyDescent="0.25">
      <c r="B51" s="24" t="s">
        <v>78</v>
      </c>
      <c r="C51" s="50">
        <v>28</v>
      </c>
      <c r="D51" s="50">
        <v>5</v>
      </c>
      <c r="E51" s="50">
        <v>6</v>
      </c>
      <c r="F51" s="50">
        <v>19</v>
      </c>
      <c r="G51" s="50">
        <v>0</v>
      </c>
      <c r="H51" s="50">
        <v>0</v>
      </c>
      <c r="I51" s="50">
        <v>3</v>
      </c>
      <c r="J51" s="50">
        <v>7</v>
      </c>
      <c r="K51" s="50">
        <v>4</v>
      </c>
      <c r="L51" s="50">
        <v>11</v>
      </c>
      <c r="M51" s="50">
        <v>83</v>
      </c>
      <c r="N51" s="50">
        <v>0</v>
      </c>
      <c r="O51" s="15">
        <f t="shared" si="0"/>
        <v>83</v>
      </c>
      <c r="P51" s="15">
        <f t="shared" si="1"/>
        <v>166</v>
      </c>
      <c r="R51" s="8"/>
      <c r="T51"/>
    </row>
    <row r="52" spans="2:20" ht="23.1" customHeight="1" x14ac:dyDescent="0.25">
      <c r="B52" s="24" t="s">
        <v>79</v>
      </c>
      <c r="C52" s="50">
        <v>40</v>
      </c>
      <c r="D52" s="50">
        <v>7</v>
      </c>
      <c r="E52" s="50">
        <v>12</v>
      </c>
      <c r="F52" s="50">
        <v>18</v>
      </c>
      <c r="G52" s="50">
        <v>2</v>
      </c>
      <c r="H52" s="50">
        <v>0</v>
      </c>
      <c r="I52" s="50">
        <v>10</v>
      </c>
      <c r="J52" s="50">
        <v>6</v>
      </c>
      <c r="K52" s="50">
        <v>5</v>
      </c>
      <c r="L52" s="50">
        <v>15</v>
      </c>
      <c r="M52" s="50">
        <v>92</v>
      </c>
      <c r="N52" s="50">
        <v>0</v>
      </c>
      <c r="O52" s="15">
        <f t="shared" si="0"/>
        <v>115</v>
      </c>
      <c r="P52" s="15">
        <f t="shared" si="1"/>
        <v>207</v>
      </c>
      <c r="R52" s="8"/>
      <c r="T52"/>
    </row>
    <row r="53" spans="2:20" ht="23.1" customHeight="1" x14ac:dyDescent="0.25">
      <c r="B53" s="23" t="s">
        <v>80</v>
      </c>
      <c r="C53" s="50">
        <v>30</v>
      </c>
      <c r="D53" s="50">
        <v>3</v>
      </c>
      <c r="E53" s="50">
        <v>7</v>
      </c>
      <c r="F53" s="50">
        <v>24</v>
      </c>
      <c r="G53" s="50">
        <v>2</v>
      </c>
      <c r="H53" s="50">
        <v>0</v>
      </c>
      <c r="I53" s="50">
        <v>10</v>
      </c>
      <c r="J53" s="50">
        <v>4</v>
      </c>
      <c r="K53" s="50">
        <v>2</v>
      </c>
      <c r="L53" s="50">
        <v>23</v>
      </c>
      <c r="M53" s="50">
        <v>123</v>
      </c>
      <c r="N53" s="50">
        <v>0</v>
      </c>
      <c r="O53" s="15">
        <f t="shared" si="0"/>
        <v>105</v>
      </c>
      <c r="P53" s="15">
        <f t="shared" si="1"/>
        <v>228</v>
      </c>
      <c r="R53" s="8"/>
      <c r="T53"/>
    </row>
    <row r="54" spans="2:20" ht="23.1" customHeight="1" x14ac:dyDescent="0.25">
      <c r="B54" s="23" t="s">
        <v>81</v>
      </c>
      <c r="C54" s="50">
        <v>35</v>
      </c>
      <c r="D54" s="50">
        <v>6</v>
      </c>
      <c r="E54" s="50">
        <v>5</v>
      </c>
      <c r="F54" s="50">
        <v>27</v>
      </c>
      <c r="G54" s="50">
        <v>1</v>
      </c>
      <c r="H54" s="50">
        <v>0</v>
      </c>
      <c r="I54" s="50">
        <v>6</v>
      </c>
      <c r="J54" s="50">
        <v>6</v>
      </c>
      <c r="K54" s="50">
        <v>0</v>
      </c>
      <c r="L54" s="50">
        <v>13</v>
      </c>
      <c r="M54" s="50">
        <v>180</v>
      </c>
      <c r="N54" s="50">
        <v>0</v>
      </c>
      <c r="O54" s="15">
        <f t="shared" si="0"/>
        <v>99</v>
      </c>
      <c r="P54" s="15">
        <f t="shared" si="1"/>
        <v>279</v>
      </c>
      <c r="R54" s="8"/>
      <c r="T54"/>
    </row>
    <row r="55" spans="2:20" ht="23.1" customHeight="1" x14ac:dyDescent="0.25">
      <c r="B55" s="23" t="s">
        <v>82</v>
      </c>
      <c r="C55" s="50">
        <v>31</v>
      </c>
      <c r="D55" s="50">
        <v>8</v>
      </c>
      <c r="E55" s="50">
        <v>5</v>
      </c>
      <c r="F55" s="50">
        <v>38</v>
      </c>
      <c r="G55" s="50">
        <v>3</v>
      </c>
      <c r="H55" s="50">
        <v>0</v>
      </c>
      <c r="I55" s="50">
        <v>8</v>
      </c>
      <c r="J55" s="50">
        <v>9</v>
      </c>
      <c r="K55" s="50">
        <v>3</v>
      </c>
      <c r="L55" s="50">
        <v>16</v>
      </c>
      <c r="M55" s="50">
        <v>172</v>
      </c>
      <c r="N55" s="50">
        <v>0</v>
      </c>
      <c r="O55" s="15">
        <f t="shared" si="0"/>
        <v>121</v>
      </c>
      <c r="P55" s="15">
        <f t="shared" si="1"/>
        <v>293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2</v>
      </c>
      <c r="E56" s="50">
        <v>8</v>
      </c>
      <c r="F56" s="50">
        <v>46</v>
      </c>
      <c r="G56" s="50">
        <v>1</v>
      </c>
      <c r="H56" s="50">
        <v>1</v>
      </c>
      <c r="I56" s="50">
        <v>11</v>
      </c>
      <c r="J56" s="50">
        <v>9</v>
      </c>
      <c r="K56" s="50">
        <v>0</v>
      </c>
      <c r="L56" s="50">
        <v>27</v>
      </c>
      <c r="M56" s="50">
        <v>141</v>
      </c>
      <c r="N56" s="50">
        <v>0</v>
      </c>
      <c r="O56" s="15">
        <f t="shared" si="0"/>
        <v>155</v>
      </c>
      <c r="P56" s="15">
        <f t="shared" si="1"/>
        <v>296</v>
      </c>
      <c r="R56" s="8"/>
      <c r="T56"/>
    </row>
    <row r="57" spans="2:20" ht="23.1" customHeight="1" x14ac:dyDescent="0.25">
      <c r="B57" s="23" t="s">
        <v>84</v>
      </c>
      <c r="C57" s="50">
        <v>36</v>
      </c>
      <c r="D57" s="50">
        <v>5</v>
      </c>
      <c r="E57" s="50">
        <v>8</v>
      </c>
      <c r="F57" s="50">
        <v>24</v>
      </c>
      <c r="G57" s="50">
        <v>2</v>
      </c>
      <c r="H57" s="50">
        <v>1</v>
      </c>
      <c r="I57" s="50">
        <v>5</v>
      </c>
      <c r="J57" s="50">
        <v>10</v>
      </c>
      <c r="K57" s="50">
        <v>2</v>
      </c>
      <c r="L57" s="50">
        <v>17</v>
      </c>
      <c r="M57" s="50">
        <v>184</v>
      </c>
      <c r="N57" s="50">
        <v>0</v>
      </c>
      <c r="O57" s="15">
        <f t="shared" si="0"/>
        <v>110</v>
      </c>
      <c r="P57" s="15">
        <f t="shared" si="1"/>
        <v>294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1373</v>
      </c>
      <c r="D58" s="16">
        <f t="shared" si="21"/>
        <v>268</v>
      </c>
      <c r="E58" s="16">
        <f t="shared" si="21"/>
        <v>307</v>
      </c>
      <c r="F58" s="16">
        <f t="shared" si="21"/>
        <v>1353</v>
      </c>
      <c r="G58" s="16">
        <f t="shared" si="21"/>
        <v>69</v>
      </c>
      <c r="H58" s="16">
        <f t="shared" si="21"/>
        <v>23</v>
      </c>
      <c r="I58" s="16">
        <f t="shared" si="21"/>
        <v>360</v>
      </c>
      <c r="J58" s="16">
        <f t="shared" si="21"/>
        <v>290</v>
      </c>
      <c r="K58" s="16">
        <f t="shared" si="21"/>
        <v>131</v>
      </c>
      <c r="L58" s="16">
        <f t="shared" si="21"/>
        <v>557</v>
      </c>
      <c r="M58" s="16">
        <f t="shared" si="21"/>
        <v>3463</v>
      </c>
      <c r="N58" s="16">
        <f t="shared" si="21"/>
        <v>0</v>
      </c>
      <c r="O58" s="16">
        <f t="shared" si="21"/>
        <v>4731</v>
      </c>
      <c r="P58" s="16">
        <f t="shared" si="21"/>
        <v>8194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0.16756163046131314</v>
      </c>
      <c r="D59" s="43">
        <f t="shared" si="22"/>
        <v>3.2706858677080793E-2</v>
      </c>
      <c r="E59" s="43">
        <f t="shared" si="22"/>
        <v>3.7466438857700755E-2</v>
      </c>
      <c r="F59" s="43">
        <f t="shared" si="22"/>
        <v>0.16512082011227727</v>
      </c>
      <c r="G59" s="43">
        <f t="shared" si="22"/>
        <v>8.4207957041737853E-3</v>
      </c>
      <c r="H59" s="43">
        <f t="shared" si="22"/>
        <v>2.8069319013912619E-3</v>
      </c>
      <c r="I59" s="43">
        <f t="shared" si="22"/>
        <v>4.3934586282645835E-2</v>
      </c>
      <c r="J59" s="43">
        <f t="shared" si="22"/>
        <v>3.5391750061020258E-2</v>
      </c>
      <c r="K59" s="43">
        <f t="shared" si="22"/>
        <v>1.5987307786185012E-2</v>
      </c>
      <c r="L59" s="43">
        <f t="shared" si="22"/>
        <v>6.797656822064925E-2</v>
      </c>
      <c r="M59" s="43">
        <f t="shared" si="22"/>
        <v>0.4226263119355626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0.29021348552103149</v>
      </c>
      <c r="D60" s="44">
        <f t="shared" ref="D60:N60" si="23">D58/$O$58</f>
        <v>5.6647643204396532E-2</v>
      </c>
      <c r="E60" s="44">
        <f t="shared" si="23"/>
        <v>6.4891143521454239E-2</v>
      </c>
      <c r="F60" s="44">
        <f t="shared" si="23"/>
        <v>0.28598604946100192</v>
      </c>
      <c r="G60" s="44">
        <f t="shared" si="23"/>
        <v>1.4584654407102092E-2</v>
      </c>
      <c r="H60" s="44">
        <f t="shared" si="23"/>
        <v>4.8615514690340308E-3</v>
      </c>
      <c r="I60" s="44">
        <f t="shared" si="23"/>
        <v>7.6093849080532655E-2</v>
      </c>
      <c r="J60" s="44">
        <f t="shared" si="23"/>
        <v>6.1297822870429085E-2</v>
      </c>
      <c r="K60" s="44">
        <f t="shared" si="23"/>
        <v>2.7689706193193827E-2</v>
      </c>
      <c r="L60" s="44">
        <f t="shared" si="23"/>
        <v>0.11773409427182414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Mbalala-Mukono'!C3:G3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'31.10 Mukono-Mbalala'!D5</f>
        <v>31.10.19</v>
      </c>
      <c r="E5" s="3"/>
      <c r="F5" s="41" t="s">
        <v>1</v>
      </c>
      <c r="G5" s="61" t="str">
        <f>'29.10 Mukono-Mbalala'!G5:H5</f>
        <v>Perfect tents</v>
      </c>
      <c r="H5" s="62"/>
      <c r="I5" s="14"/>
      <c r="J5" s="2" t="s">
        <v>5</v>
      </c>
      <c r="K5" s="61" t="s">
        <v>173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Mbalala-Mukono'!D6:E6</f>
        <v>Mbalala</v>
      </c>
      <c r="E6" s="62"/>
      <c r="F6" s="2" t="s">
        <v>2</v>
      </c>
      <c r="G6" s="61" t="str">
        <f>'29.10 Mbalala-Mukono'!G6:H6</f>
        <v>Mukono</v>
      </c>
      <c r="H6" s="62"/>
      <c r="J6" s="2" t="s">
        <v>21</v>
      </c>
      <c r="K6" s="61" t="str">
        <f>'29.10 Mukono-Mbalala'!K6:L6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4</v>
      </c>
      <c r="E10" s="50">
        <v>5</v>
      </c>
      <c r="F10" s="50">
        <v>15</v>
      </c>
      <c r="G10" s="50">
        <v>3</v>
      </c>
      <c r="H10" s="50">
        <v>1</v>
      </c>
      <c r="I10" s="50">
        <v>4</v>
      </c>
      <c r="J10" s="50">
        <v>3</v>
      </c>
      <c r="K10" s="50">
        <v>1</v>
      </c>
      <c r="L10" s="50">
        <v>14</v>
      </c>
      <c r="M10" s="50">
        <v>130</v>
      </c>
      <c r="N10" s="50">
        <v>0</v>
      </c>
      <c r="O10" s="15">
        <f t="shared" ref="O10:O57" si="0">SUM(C10:L10,N10)</f>
        <v>73</v>
      </c>
      <c r="P10" s="15">
        <f t="shared" ref="P10:P57" si="1">SUM(C10:N10)</f>
        <v>203</v>
      </c>
      <c r="R10" s="1" t="s">
        <v>6</v>
      </c>
      <c r="S10" s="17">
        <f t="shared" ref="S10:AF10" si="2">SUM(C10:C13)</f>
        <v>101</v>
      </c>
      <c r="T10" s="17">
        <f t="shared" si="2"/>
        <v>20</v>
      </c>
      <c r="U10" s="17">
        <f t="shared" si="2"/>
        <v>17</v>
      </c>
      <c r="V10" s="17">
        <f t="shared" si="2"/>
        <v>81</v>
      </c>
      <c r="W10" s="17">
        <f t="shared" si="2"/>
        <v>10</v>
      </c>
      <c r="X10" s="17">
        <f t="shared" si="2"/>
        <v>2</v>
      </c>
      <c r="Y10" s="17">
        <f t="shared" si="2"/>
        <v>16</v>
      </c>
      <c r="Z10" s="17">
        <f t="shared" si="2"/>
        <v>19</v>
      </c>
      <c r="AA10" s="17">
        <f t="shared" si="2"/>
        <v>12</v>
      </c>
      <c r="AB10" s="17">
        <f t="shared" si="2"/>
        <v>50</v>
      </c>
      <c r="AC10" s="17">
        <f t="shared" si="2"/>
        <v>520</v>
      </c>
      <c r="AD10" s="17">
        <f t="shared" si="2"/>
        <v>0</v>
      </c>
      <c r="AE10" s="31">
        <f t="shared" si="2"/>
        <v>328</v>
      </c>
      <c r="AF10" s="31">
        <f t="shared" si="2"/>
        <v>848</v>
      </c>
    </row>
    <row r="11" spans="2:32" s="6" customFormat="1" ht="23.1" customHeight="1" x14ac:dyDescent="0.25">
      <c r="B11" s="23" t="s">
        <v>38</v>
      </c>
      <c r="C11" s="50">
        <v>25</v>
      </c>
      <c r="D11" s="50">
        <v>5</v>
      </c>
      <c r="E11" s="50">
        <v>0</v>
      </c>
      <c r="F11" s="50">
        <v>0</v>
      </c>
      <c r="G11" s="50">
        <v>3</v>
      </c>
      <c r="H11" s="50">
        <v>0</v>
      </c>
      <c r="I11" s="50">
        <v>5</v>
      </c>
      <c r="J11" s="50">
        <v>7</v>
      </c>
      <c r="K11" s="50">
        <v>3</v>
      </c>
      <c r="L11" s="50">
        <v>12</v>
      </c>
      <c r="M11" s="50">
        <v>120</v>
      </c>
      <c r="N11" s="50">
        <v>0</v>
      </c>
      <c r="O11" s="15">
        <f t="shared" si="0"/>
        <v>60</v>
      </c>
      <c r="P11" s="15">
        <f t="shared" si="1"/>
        <v>180</v>
      </c>
      <c r="R11" s="1" t="s">
        <v>7</v>
      </c>
      <c r="S11" s="17">
        <f t="shared" ref="S11:AF11" si="3">SUM(C14:C17)</f>
        <v>103</v>
      </c>
      <c r="T11" s="17">
        <f t="shared" si="3"/>
        <v>25</v>
      </c>
      <c r="U11" s="17">
        <f t="shared" si="3"/>
        <v>27</v>
      </c>
      <c r="V11" s="17">
        <f t="shared" si="3"/>
        <v>127</v>
      </c>
      <c r="W11" s="17">
        <f t="shared" si="3"/>
        <v>10</v>
      </c>
      <c r="X11" s="17">
        <f t="shared" si="3"/>
        <v>8</v>
      </c>
      <c r="Y11" s="17">
        <f t="shared" si="3"/>
        <v>19</v>
      </c>
      <c r="Z11" s="17">
        <f t="shared" si="3"/>
        <v>22</v>
      </c>
      <c r="AA11" s="17">
        <f t="shared" si="3"/>
        <v>8</v>
      </c>
      <c r="AB11" s="17">
        <f t="shared" si="3"/>
        <v>48</v>
      </c>
      <c r="AC11" s="17">
        <f t="shared" si="3"/>
        <v>634</v>
      </c>
      <c r="AD11" s="17">
        <f t="shared" si="3"/>
        <v>1</v>
      </c>
      <c r="AE11" s="31">
        <f t="shared" si="3"/>
        <v>398</v>
      </c>
      <c r="AF11" s="31">
        <f t="shared" si="3"/>
        <v>1032</v>
      </c>
    </row>
    <row r="12" spans="2:32" ht="23.1" customHeight="1" x14ac:dyDescent="0.25">
      <c r="B12" s="23" t="s">
        <v>39</v>
      </c>
      <c r="C12" s="50">
        <v>28</v>
      </c>
      <c r="D12" s="50">
        <v>7</v>
      </c>
      <c r="E12" s="50">
        <v>5</v>
      </c>
      <c r="F12" s="50">
        <v>36</v>
      </c>
      <c r="G12" s="50">
        <v>1</v>
      </c>
      <c r="H12" s="50">
        <v>0</v>
      </c>
      <c r="I12" s="50">
        <v>3</v>
      </c>
      <c r="J12" s="50">
        <v>6</v>
      </c>
      <c r="K12" s="50">
        <v>4</v>
      </c>
      <c r="L12" s="50">
        <v>10</v>
      </c>
      <c r="M12" s="50">
        <v>115</v>
      </c>
      <c r="N12" s="50">
        <v>0</v>
      </c>
      <c r="O12" s="15">
        <f t="shared" si="0"/>
        <v>100</v>
      </c>
      <c r="P12" s="15">
        <f t="shared" si="1"/>
        <v>215</v>
      </c>
      <c r="R12" s="1" t="s">
        <v>8</v>
      </c>
      <c r="S12" s="17">
        <f t="shared" ref="S12:AF12" si="4">SUM(C18:C21)</f>
        <v>100</v>
      </c>
      <c r="T12" s="17">
        <f t="shared" si="4"/>
        <v>34</v>
      </c>
      <c r="U12" s="17">
        <f t="shared" si="4"/>
        <v>18</v>
      </c>
      <c r="V12" s="17">
        <f t="shared" si="4"/>
        <v>123</v>
      </c>
      <c r="W12" s="17">
        <f t="shared" si="4"/>
        <v>9</v>
      </c>
      <c r="X12" s="17">
        <f t="shared" si="4"/>
        <v>4</v>
      </c>
      <c r="Y12" s="17">
        <f t="shared" si="4"/>
        <v>36</v>
      </c>
      <c r="Z12" s="17">
        <f t="shared" si="4"/>
        <v>13</v>
      </c>
      <c r="AA12" s="17">
        <f t="shared" si="4"/>
        <v>8</v>
      </c>
      <c r="AB12" s="17">
        <f t="shared" si="4"/>
        <v>38</v>
      </c>
      <c r="AC12" s="17">
        <f t="shared" si="4"/>
        <v>477</v>
      </c>
      <c r="AD12" s="17">
        <f t="shared" si="4"/>
        <v>0</v>
      </c>
      <c r="AE12" s="31">
        <f t="shared" si="4"/>
        <v>383</v>
      </c>
      <c r="AF12" s="31">
        <f t="shared" si="4"/>
        <v>860</v>
      </c>
    </row>
    <row r="13" spans="2:32" ht="23.1" customHeight="1" x14ac:dyDescent="0.25">
      <c r="B13" s="23" t="s">
        <v>40</v>
      </c>
      <c r="C13" s="50">
        <v>25</v>
      </c>
      <c r="D13" s="50">
        <v>4</v>
      </c>
      <c r="E13" s="50">
        <v>7</v>
      </c>
      <c r="F13" s="50">
        <v>30</v>
      </c>
      <c r="G13" s="50">
        <v>3</v>
      </c>
      <c r="H13" s="50">
        <v>1</v>
      </c>
      <c r="I13" s="50">
        <v>4</v>
      </c>
      <c r="J13" s="50">
        <v>3</v>
      </c>
      <c r="K13" s="50">
        <v>4</v>
      </c>
      <c r="L13" s="50">
        <v>14</v>
      </c>
      <c r="M13" s="50">
        <v>155</v>
      </c>
      <c r="N13" s="50">
        <v>0</v>
      </c>
      <c r="O13" s="15">
        <f t="shared" si="0"/>
        <v>95</v>
      </c>
      <c r="P13" s="15">
        <f t="shared" si="1"/>
        <v>250</v>
      </c>
      <c r="R13" s="1" t="s">
        <v>9</v>
      </c>
      <c r="S13" s="17">
        <f t="shared" ref="S13:AF13" si="5">SUM(C22:C25)</f>
        <v>71</v>
      </c>
      <c r="T13" s="17">
        <f t="shared" si="5"/>
        <v>28</v>
      </c>
      <c r="U13" s="17">
        <f t="shared" si="5"/>
        <v>17</v>
      </c>
      <c r="V13" s="17">
        <f t="shared" si="5"/>
        <v>114</v>
      </c>
      <c r="W13" s="17">
        <f t="shared" si="5"/>
        <v>11</v>
      </c>
      <c r="X13" s="17">
        <f t="shared" si="5"/>
        <v>1</v>
      </c>
      <c r="Y13" s="17">
        <f t="shared" si="5"/>
        <v>37</v>
      </c>
      <c r="Z13" s="17">
        <f t="shared" si="5"/>
        <v>18</v>
      </c>
      <c r="AA13" s="17">
        <f t="shared" si="5"/>
        <v>15</v>
      </c>
      <c r="AB13" s="17">
        <f t="shared" si="5"/>
        <v>40</v>
      </c>
      <c r="AC13" s="17">
        <f t="shared" si="5"/>
        <v>474</v>
      </c>
      <c r="AD13" s="17">
        <f t="shared" si="5"/>
        <v>1</v>
      </c>
      <c r="AE13" s="31">
        <f t="shared" si="5"/>
        <v>353</v>
      </c>
      <c r="AF13" s="31">
        <f t="shared" si="5"/>
        <v>827</v>
      </c>
    </row>
    <row r="14" spans="2:32" ht="23.1" customHeight="1" x14ac:dyDescent="0.25">
      <c r="B14" s="23" t="s">
        <v>41</v>
      </c>
      <c r="C14" s="50">
        <v>36</v>
      </c>
      <c r="D14" s="50">
        <v>10</v>
      </c>
      <c r="E14" s="50">
        <v>8</v>
      </c>
      <c r="F14" s="50">
        <v>38</v>
      </c>
      <c r="G14" s="50">
        <v>5</v>
      </c>
      <c r="H14" s="50">
        <v>2</v>
      </c>
      <c r="I14" s="50">
        <v>3</v>
      </c>
      <c r="J14" s="50">
        <v>8</v>
      </c>
      <c r="K14" s="50">
        <v>2</v>
      </c>
      <c r="L14" s="50">
        <v>12</v>
      </c>
      <c r="M14" s="50">
        <v>174</v>
      </c>
      <c r="N14" s="50">
        <v>0</v>
      </c>
      <c r="O14" s="15">
        <f t="shared" si="0"/>
        <v>124</v>
      </c>
      <c r="P14" s="15">
        <f t="shared" si="1"/>
        <v>298</v>
      </c>
      <c r="R14" s="1" t="s">
        <v>10</v>
      </c>
      <c r="S14" s="17">
        <f t="shared" ref="S14:AF14" si="6">SUM(C26:C29)</f>
        <v>84</v>
      </c>
      <c r="T14" s="17">
        <f t="shared" si="6"/>
        <v>29</v>
      </c>
      <c r="U14" s="17">
        <f t="shared" si="6"/>
        <v>23</v>
      </c>
      <c r="V14" s="17">
        <f t="shared" si="6"/>
        <v>102</v>
      </c>
      <c r="W14" s="17">
        <f t="shared" si="6"/>
        <v>5</v>
      </c>
      <c r="X14" s="17">
        <f t="shared" si="6"/>
        <v>2</v>
      </c>
      <c r="Y14" s="17">
        <f t="shared" si="6"/>
        <v>40</v>
      </c>
      <c r="Z14" s="17">
        <f t="shared" si="6"/>
        <v>34</v>
      </c>
      <c r="AA14" s="17">
        <f t="shared" si="6"/>
        <v>8</v>
      </c>
      <c r="AB14" s="17">
        <f t="shared" si="6"/>
        <v>40</v>
      </c>
      <c r="AC14" s="17">
        <f t="shared" si="6"/>
        <v>498</v>
      </c>
      <c r="AD14" s="17">
        <f t="shared" si="6"/>
        <v>0</v>
      </c>
      <c r="AE14" s="31">
        <f t="shared" si="6"/>
        <v>367</v>
      </c>
      <c r="AF14" s="31">
        <f t="shared" si="6"/>
        <v>865</v>
      </c>
    </row>
    <row r="15" spans="2:32" ht="23.1" customHeight="1" x14ac:dyDescent="0.25">
      <c r="B15" s="23" t="s">
        <v>42</v>
      </c>
      <c r="C15" s="50">
        <v>22</v>
      </c>
      <c r="D15" s="50">
        <v>5</v>
      </c>
      <c r="E15" s="50">
        <v>5</v>
      </c>
      <c r="F15" s="50">
        <v>33</v>
      </c>
      <c r="G15" s="50">
        <v>2</v>
      </c>
      <c r="H15" s="50">
        <v>0</v>
      </c>
      <c r="I15" s="50">
        <v>7</v>
      </c>
      <c r="J15" s="50">
        <v>5</v>
      </c>
      <c r="K15" s="50">
        <v>3</v>
      </c>
      <c r="L15" s="50">
        <v>12</v>
      </c>
      <c r="M15" s="50">
        <v>147</v>
      </c>
      <c r="N15" s="50">
        <v>0</v>
      </c>
      <c r="O15" s="15">
        <f t="shared" si="0"/>
        <v>94</v>
      </c>
      <c r="P15" s="15">
        <f t="shared" si="1"/>
        <v>241</v>
      </c>
      <c r="R15" s="1" t="s">
        <v>11</v>
      </c>
      <c r="S15" s="17">
        <f t="shared" ref="S15:AF15" si="7">SUM(C30:C33)</f>
        <v>93</v>
      </c>
      <c r="T15" s="17">
        <f t="shared" si="7"/>
        <v>44</v>
      </c>
      <c r="U15" s="17">
        <f t="shared" si="7"/>
        <v>22</v>
      </c>
      <c r="V15" s="17">
        <f t="shared" si="7"/>
        <v>106</v>
      </c>
      <c r="W15" s="17">
        <f t="shared" si="7"/>
        <v>5</v>
      </c>
      <c r="X15" s="17">
        <f t="shared" si="7"/>
        <v>1</v>
      </c>
      <c r="Y15" s="17">
        <f t="shared" si="7"/>
        <v>38</v>
      </c>
      <c r="Z15" s="17">
        <f t="shared" si="7"/>
        <v>33</v>
      </c>
      <c r="AA15" s="17">
        <f t="shared" si="7"/>
        <v>10</v>
      </c>
      <c r="AB15" s="17">
        <f t="shared" si="7"/>
        <v>40</v>
      </c>
      <c r="AC15" s="17">
        <f t="shared" si="7"/>
        <v>340</v>
      </c>
      <c r="AD15" s="17">
        <f t="shared" si="7"/>
        <v>0</v>
      </c>
      <c r="AE15" s="31">
        <f t="shared" si="7"/>
        <v>392</v>
      </c>
      <c r="AF15" s="31">
        <f t="shared" si="7"/>
        <v>732</v>
      </c>
    </row>
    <row r="16" spans="2:32" ht="23.1" customHeight="1" x14ac:dyDescent="0.25">
      <c r="B16" s="23" t="s">
        <v>43</v>
      </c>
      <c r="C16" s="50">
        <v>29</v>
      </c>
      <c r="D16" s="50">
        <v>4</v>
      </c>
      <c r="E16" s="50">
        <v>9</v>
      </c>
      <c r="F16" s="50">
        <v>30</v>
      </c>
      <c r="G16" s="50">
        <v>0</v>
      </c>
      <c r="H16" s="50">
        <v>1</v>
      </c>
      <c r="I16" s="50">
        <v>4</v>
      </c>
      <c r="J16" s="50">
        <v>5</v>
      </c>
      <c r="K16" s="50">
        <v>1</v>
      </c>
      <c r="L16" s="50">
        <v>14</v>
      </c>
      <c r="M16" s="50">
        <v>138</v>
      </c>
      <c r="N16" s="50">
        <v>0</v>
      </c>
      <c r="O16" s="15">
        <f t="shared" si="0"/>
        <v>97</v>
      </c>
      <c r="P16" s="15">
        <f t="shared" si="1"/>
        <v>235</v>
      </c>
      <c r="R16" s="1" t="s">
        <v>12</v>
      </c>
      <c r="S16" s="17">
        <f t="shared" ref="S16:AF16" si="8">SUM(C34:C37)</f>
        <v>96</v>
      </c>
      <c r="T16" s="17">
        <f t="shared" si="8"/>
        <v>35</v>
      </c>
      <c r="U16" s="17">
        <f t="shared" si="8"/>
        <v>30</v>
      </c>
      <c r="V16" s="17">
        <f t="shared" si="8"/>
        <v>99</v>
      </c>
      <c r="W16" s="17">
        <f t="shared" si="8"/>
        <v>2</v>
      </c>
      <c r="X16" s="17">
        <f t="shared" si="8"/>
        <v>2</v>
      </c>
      <c r="Y16" s="17">
        <f t="shared" si="8"/>
        <v>36</v>
      </c>
      <c r="Z16" s="17">
        <f t="shared" si="8"/>
        <v>19</v>
      </c>
      <c r="AA16" s="17">
        <f t="shared" si="8"/>
        <v>9</v>
      </c>
      <c r="AB16" s="17">
        <f t="shared" si="8"/>
        <v>57</v>
      </c>
      <c r="AC16" s="17">
        <f t="shared" si="8"/>
        <v>390</v>
      </c>
      <c r="AD16" s="17">
        <f t="shared" si="8"/>
        <v>0</v>
      </c>
      <c r="AE16" s="31">
        <f t="shared" si="8"/>
        <v>385</v>
      </c>
      <c r="AF16" s="31">
        <f t="shared" si="8"/>
        <v>775</v>
      </c>
    </row>
    <row r="17" spans="2:32" ht="23.1" customHeight="1" x14ac:dyDescent="0.25">
      <c r="B17" s="23" t="s">
        <v>44</v>
      </c>
      <c r="C17" s="50">
        <v>16</v>
      </c>
      <c r="D17" s="50">
        <v>6</v>
      </c>
      <c r="E17" s="50">
        <v>5</v>
      </c>
      <c r="F17" s="50">
        <v>26</v>
      </c>
      <c r="G17" s="50">
        <v>3</v>
      </c>
      <c r="H17" s="50">
        <v>5</v>
      </c>
      <c r="I17" s="50">
        <v>5</v>
      </c>
      <c r="J17" s="50">
        <v>4</v>
      </c>
      <c r="K17" s="50">
        <v>2</v>
      </c>
      <c r="L17" s="50">
        <v>10</v>
      </c>
      <c r="M17" s="50">
        <v>175</v>
      </c>
      <c r="N17" s="50">
        <v>1</v>
      </c>
      <c r="O17" s="15">
        <f t="shared" si="0"/>
        <v>83</v>
      </c>
      <c r="P17" s="15">
        <f t="shared" si="1"/>
        <v>258</v>
      </c>
      <c r="R17" s="1" t="s">
        <v>13</v>
      </c>
      <c r="S17" s="17">
        <f t="shared" ref="S17:AF17" si="9">SUM(C38:C41)</f>
        <v>124</v>
      </c>
      <c r="T17" s="17">
        <f t="shared" si="9"/>
        <v>42</v>
      </c>
      <c r="U17" s="17">
        <f t="shared" si="9"/>
        <v>31</v>
      </c>
      <c r="V17" s="17">
        <f t="shared" si="9"/>
        <v>116</v>
      </c>
      <c r="W17" s="17">
        <f t="shared" si="9"/>
        <v>2</v>
      </c>
      <c r="X17" s="17">
        <f t="shared" si="9"/>
        <v>1</v>
      </c>
      <c r="Y17" s="17">
        <f t="shared" si="9"/>
        <v>46</v>
      </c>
      <c r="Z17" s="17">
        <f t="shared" si="9"/>
        <v>30</v>
      </c>
      <c r="AA17" s="17">
        <f t="shared" si="9"/>
        <v>11</v>
      </c>
      <c r="AB17" s="17">
        <f t="shared" si="9"/>
        <v>51</v>
      </c>
      <c r="AC17" s="17">
        <f t="shared" si="9"/>
        <v>261</v>
      </c>
      <c r="AD17" s="17">
        <f t="shared" si="9"/>
        <v>0</v>
      </c>
      <c r="AE17" s="31">
        <f t="shared" si="9"/>
        <v>454</v>
      </c>
      <c r="AF17" s="31">
        <f t="shared" si="9"/>
        <v>715</v>
      </c>
    </row>
    <row r="18" spans="2:32" ht="23.1" customHeight="1" x14ac:dyDescent="0.25">
      <c r="B18" s="23" t="s">
        <v>45</v>
      </c>
      <c r="C18" s="50">
        <v>27</v>
      </c>
      <c r="D18" s="50">
        <v>7</v>
      </c>
      <c r="E18" s="50">
        <v>1</v>
      </c>
      <c r="F18" s="50">
        <v>28</v>
      </c>
      <c r="G18" s="50">
        <v>4</v>
      </c>
      <c r="H18" s="50">
        <v>1</v>
      </c>
      <c r="I18" s="50">
        <v>11</v>
      </c>
      <c r="J18" s="50">
        <v>5</v>
      </c>
      <c r="K18" s="50">
        <v>2</v>
      </c>
      <c r="L18" s="50">
        <v>5</v>
      </c>
      <c r="M18" s="50">
        <v>141</v>
      </c>
      <c r="N18" s="50">
        <v>0</v>
      </c>
      <c r="O18" s="15">
        <f t="shared" si="0"/>
        <v>91</v>
      </c>
      <c r="P18" s="15">
        <f t="shared" si="1"/>
        <v>232</v>
      </c>
      <c r="R18" s="1" t="s">
        <v>14</v>
      </c>
      <c r="S18" s="17">
        <f t="shared" ref="S18:AF18" si="10">SUM(C42:C45)</f>
        <v>107</v>
      </c>
      <c r="T18" s="17">
        <f t="shared" si="10"/>
        <v>58</v>
      </c>
      <c r="U18" s="17">
        <f t="shared" si="10"/>
        <v>25</v>
      </c>
      <c r="V18" s="17">
        <f t="shared" si="10"/>
        <v>128</v>
      </c>
      <c r="W18" s="17">
        <f t="shared" si="10"/>
        <v>4</v>
      </c>
      <c r="X18" s="17">
        <f t="shared" si="10"/>
        <v>2</v>
      </c>
      <c r="Y18" s="17">
        <f t="shared" si="10"/>
        <v>22</v>
      </c>
      <c r="Z18" s="17">
        <f t="shared" si="10"/>
        <v>23</v>
      </c>
      <c r="AA18" s="17">
        <f t="shared" si="10"/>
        <v>12</v>
      </c>
      <c r="AB18" s="17">
        <f t="shared" si="10"/>
        <v>35</v>
      </c>
      <c r="AC18" s="17">
        <f t="shared" si="10"/>
        <v>169</v>
      </c>
      <c r="AD18" s="17">
        <f t="shared" si="10"/>
        <v>0</v>
      </c>
      <c r="AE18" s="31">
        <f t="shared" si="10"/>
        <v>416</v>
      </c>
      <c r="AF18" s="31">
        <f t="shared" si="10"/>
        <v>585</v>
      </c>
    </row>
    <row r="19" spans="2:32" ht="23.1" customHeight="1" x14ac:dyDescent="0.25">
      <c r="B19" s="23" t="s">
        <v>46</v>
      </c>
      <c r="C19" s="50">
        <v>24</v>
      </c>
      <c r="D19" s="50">
        <v>10</v>
      </c>
      <c r="E19" s="50">
        <v>7</v>
      </c>
      <c r="F19" s="50">
        <v>36</v>
      </c>
      <c r="G19" s="50">
        <v>0</v>
      </c>
      <c r="H19" s="50">
        <v>1</v>
      </c>
      <c r="I19" s="50">
        <v>10</v>
      </c>
      <c r="J19" s="50">
        <v>1</v>
      </c>
      <c r="K19" s="50">
        <v>2</v>
      </c>
      <c r="L19" s="50">
        <v>12</v>
      </c>
      <c r="M19" s="50">
        <v>101</v>
      </c>
      <c r="N19" s="50">
        <v>0</v>
      </c>
      <c r="O19" s="15">
        <f t="shared" si="0"/>
        <v>103</v>
      </c>
      <c r="P19" s="15">
        <f t="shared" si="1"/>
        <v>204</v>
      </c>
      <c r="R19" s="1" t="s">
        <v>15</v>
      </c>
      <c r="S19" s="17">
        <f t="shared" ref="S19:AF19" si="11">SUM(C46:C49)</f>
        <v>98</v>
      </c>
      <c r="T19" s="17">
        <f t="shared" si="11"/>
        <v>39</v>
      </c>
      <c r="U19" s="17">
        <f t="shared" si="11"/>
        <v>16</v>
      </c>
      <c r="V19" s="17">
        <f t="shared" si="11"/>
        <v>103</v>
      </c>
      <c r="W19" s="17">
        <f t="shared" si="11"/>
        <v>5</v>
      </c>
      <c r="X19" s="17">
        <f t="shared" si="11"/>
        <v>1</v>
      </c>
      <c r="Y19" s="17">
        <f t="shared" si="11"/>
        <v>21</v>
      </c>
      <c r="Z19" s="17">
        <f t="shared" si="11"/>
        <v>19</v>
      </c>
      <c r="AA19" s="17">
        <f t="shared" si="11"/>
        <v>11</v>
      </c>
      <c r="AB19" s="17">
        <f t="shared" si="11"/>
        <v>27</v>
      </c>
      <c r="AC19" s="17">
        <f t="shared" si="11"/>
        <v>198</v>
      </c>
      <c r="AD19" s="17">
        <f t="shared" si="11"/>
        <v>0</v>
      </c>
      <c r="AE19" s="31">
        <f t="shared" si="11"/>
        <v>340</v>
      </c>
      <c r="AF19" s="31">
        <f t="shared" si="11"/>
        <v>538</v>
      </c>
    </row>
    <row r="20" spans="2:32" ht="23.1" customHeight="1" x14ac:dyDescent="0.25">
      <c r="B20" s="23" t="s">
        <v>47</v>
      </c>
      <c r="C20" s="50">
        <v>29</v>
      </c>
      <c r="D20" s="50">
        <v>9</v>
      </c>
      <c r="E20" s="50">
        <v>7</v>
      </c>
      <c r="F20" s="50">
        <v>34</v>
      </c>
      <c r="G20" s="50">
        <v>2</v>
      </c>
      <c r="H20" s="50">
        <v>2</v>
      </c>
      <c r="I20" s="50">
        <v>3</v>
      </c>
      <c r="J20" s="50">
        <v>4</v>
      </c>
      <c r="K20" s="50">
        <v>3</v>
      </c>
      <c r="L20" s="50">
        <v>10</v>
      </c>
      <c r="M20" s="50">
        <v>125</v>
      </c>
      <c r="N20" s="50">
        <v>0</v>
      </c>
      <c r="O20" s="15">
        <f t="shared" si="0"/>
        <v>103</v>
      </c>
      <c r="P20" s="15">
        <f t="shared" si="1"/>
        <v>228</v>
      </c>
      <c r="R20" s="1" t="s">
        <v>16</v>
      </c>
      <c r="S20" s="17">
        <f t="shared" ref="S20:AF20" si="12">SUM(C50:C53)</f>
        <v>170</v>
      </c>
      <c r="T20" s="17">
        <f t="shared" si="12"/>
        <v>55</v>
      </c>
      <c r="U20" s="17">
        <f t="shared" si="12"/>
        <v>26</v>
      </c>
      <c r="V20" s="17">
        <f t="shared" si="12"/>
        <v>112</v>
      </c>
      <c r="W20" s="17">
        <f t="shared" si="12"/>
        <v>6</v>
      </c>
      <c r="X20" s="17">
        <f t="shared" si="12"/>
        <v>1</v>
      </c>
      <c r="Y20" s="17">
        <f t="shared" si="12"/>
        <v>32</v>
      </c>
      <c r="Z20" s="17">
        <f t="shared" si="12"/>
        <v>27</v>
      </c>
      <c r="AA20" s="17">
        <f t="shared" si="12"/>
        <v>12</v>
      </c>
      <c r="AB20" s="17">
        <f t="shared" si="12"/>
        <v>29</v>
      </c>
      <c r="AC20" s="17">
        <f t="shared" si="12"/>
        <v>506</v>
      </c>
      <c r="AD20" s="17">
        <f t="shared" si="12"/>
        <v>0</v>
      </c>
      <c r="AE20" s="31">
        <f t="shared" si="12"/>
        <v>470</v>
      </c>
      <c r="AF20" s="31">
        <f t="shared" si="12"/>
        <v>976</v>
      </c>
    </row>
    <row r="21" spans="2:32" ht="23.1" customHeight="1" x14ac:dyDescent="0.25">
      <c r="B21" s="23" t="s">
        <v>48</v>
      </c>
      <c r="C21" s="50">
        <v>20</v>
      </c>
      <c r="D21" s="50">
        <v>8</v>
      </c>
      <c r="E21" s="50">
        <v>3</v>
      </c>
      <c r="F21" s="50">
        <v>25</v>
      </c>
      <c r="G21" s="50">
        <v>3</v>
      </c>
      <c r="H21" s="50">
        <v>0</v>
      </c>
      <c r="I21" s="50">
        <v>12</v>
      </c>
      <c r="J21" s="50">
        <v>3</v>
      </c>
      <c r="K21" s="50">
        <v>1</v>
      </c>
      <c r="L21" s="50">
        <v>11</v>
      </c>
      <c r="M21" s="50">
        <v>110</v>
      </c>
      <c r="N21" s="50">
        <v>0</v>
      </c>
      <c r="O21" s="15">
        <f t="shared" si="0"/>
        <v>86</v>
      </c>
      <c r="P21" s="15">
        <f t="shared" si="1"/>
        <v>196</v>
      </c>
      <c r="R21" s="36" t="s">
        <v>20</v>
      </c>
      <c r="S21" s="34">
        <f t="shared" ref="S21:AF21" si="13">SUM(C54:C57)</f>
        <v>176</v>
      </c>
      <c r="T21" s="17">
        <f t="shared" si="13"/>
        <v>70</v>
      </c>
      <c r="U21" s="17">
        <f t="shared" si="13"/>
        <v>47</v>
      </c>
      <c r="V21" s="17">
        <f t="shared" si="13"/>
        <v>167</v>
      </c>
      <c r="W21" s="17">
        <f t="shared" si="13"/>
        <v>16</v>
      </c>
      <c r="X21" s="17">
        <f t="shared" si="13"/>
        <v>6</v>
      </c>
      <c r="Y21" s="17">
        <f t="shared" si="13"/>
        <v>43</v>
      </c>
      <c r="Z21" s="17">
        <f t="shared" si="13"/>
        <v>29</v>
      </c>
      <c r="AA21" s="17">
        <f t="shared" si="13"/>
        <v>11</v>
      </c>
      <c r="AB21" s="17">
        <f t="shared" si="13"/>
        <v>40</v>
      </c>
      <c r="AC21" s="17">
        <f t="shared" si="13"/>
        <v>595</v>
      </c>
      <c r="AD21" s="17">
        <f t="shared" si="13"/>
        <v>0</v>
      </c>
      <c r="AE21" s="31">
        <f t="shared" si="13"/>
        <v>605</v>
      </c>
      <c r="AF21" s="31">
        <f t="shared" si="13"/>
        <v>1200</v>
      </c>
    </row>
    <row r="22" spans="2:32" ht="23.1" customHeight="1" x14ac:dyDescent="0.25">
      <c r="B22" s="23" t="s">
        <v>49</v>
      </c>
      <c r="C22" s="50">
        <v>18</v>
      </c>
      <c r="D22" s="50">
        <v>5</v>
      </c>
      <c r="E22" s="50">
        <v>1</v>
      </c>
      <c r="F22" s="50">
        <v>15</v>
      </c>
      <c r="G22" s="50">
        <v>1</v>
      </c>
      <c r="H22" s="50">
        <v>0</v>
      </c>
      <c r="I22" s="50">
        <v>3</v>
      </c>
      <c r="J22" s="50">
        <v>0</v>
      </c>
      <c r="K22" s="50">
        <v>2</v>
      </c>
      <c r="L22" s="50">
        <v>9</v>
      </c>
      <c r="M22" s="50">
        <v>110</v>
      </c>
      <c r="N22" s="50">
        <v>0</v>
      </c>
      <c r="O22" s="15">
        <f t="shared" si="0"/>
        <v>54</v>
      </c>
      <c r="P22" s="15">
        <f t="shared" si="1"/>
        <v>164</v>
      </c>
      <c r="R22" s="38" t="s">
        <v>90</v>
      </c>
      <c r="S22" s="39">
        <f>MAX(S10:S12)</f>
        <v>103</v>
      </c>
      <c r="T22" s="39">
        <f t="shared" ref="T22:AF22" si="14">MAX(T10:T12)</f>
        <v>34</v>
      </c>
      <c r="U22" s="39">
        <f t="shared" si="14"/>
        <v>27</v>
      </c>
      <c r="V22" s="39">
        <f t="shared" si="14"/>
        <v>127</v>
      </c>
      <c r="W22" s="39">
        <f t="shared" si="14"/>
        <v>10</v>
      </c>
      <c r="X22" s="39">
        <f t="shared" si="14"/>
        <v>8</v>
      </c>
      <c r="Y22" s="39">
        <f t="shared" si="14"/>
        <v>36</v>
      </c>
      <c r="Z22" s="39">
        <f t="shared" si="14"/>
        <v>22</v>
      </c>
      <c r="AA22" s="39">
        <f t="shared" si="14"/>
        <v>12</v>
      </c>
      <c r="AB22" s="39">
        <f t="shared" si="14"/>
        <v>50</v>
      </c>
      <c r="AC22" s="39">
        <f t="shared" si="14"/>
        <v>634</v>
      </c>
      <c r="AD22" s="39">
        <f t="shared" si="14"/>
        <v>1</v>
      </c>
      <c r="AE22" s="40">
        <f t="shared" si="14"/>
        <v>398</v>
      </c>
      <c r="AF22" s="40">
        <f t="shared" si="14"/>
        <v>1032</v>
      </c>
    </row>
    <row r="23" spans="2:32" ht="23.1" customHeight="1" x14ac:dyDescent="0.25">
      <c r="B23" s="23" t="s">
        <v>50</v>
      </c>
      <c r="C23" s="50">
        <v>18</v>
      </c>
      <c r="D23" s="50">
        <v>8</v>
      </c>
      <c r="E23" s="50">
        <v>2</v>
      </c>
      <c r="F23" s="50">
        <v>31</v>
      </c>
      <c r="G23" s="50">
        <v>1</v>
      </c>
      <c r="H23" s="50">
        <v>1</v>
      </c>
      <c r="I23" s="50">
        <v>7</v>
      </c>
      <c r="J23" s="50">
        <v>6</v>
      </c>
      <c r="K23" s="50">
        <v>4</v>
      </c>
      <c r="L23" s="50">
        <v>12</v>
      </c>
      <c r="M23" s="50">
        <v>105</v>
      </c>
      <c r="N23" s="50">
        <v>0</v>
      </c>
      <c r="O23" s="15">
        <f t="shared" si="0"/>
        <v>90</v>
      </c>
      <c r="P23" s="15">
        <f t="shared" si="1"/>
        <v>195</v>
      </c>
      <c r="R23" s="38" t="s">
        <v>91</v>
      </c>
      <c r="S23" s="39">
        <f>MAX(S13:S18)</f>
        <v>124</v>
      </c>
      <c r="T23" s="39">
        <f t="shared" ref="T23:AF23" si="15">MAX(T13:T18)</f>
        <v>58</v>
      </c>
      <c r="U23" s="39">
        <f t="shared" si="15"/>
        <v>31</v>
      </c>
      <c r="V23" s="39">
        <f t="shared" si="15"/>
        <v>128</v>
      </c>
      <c r="W23" s="39">
        <f t="shared" si="15"/>
        <v>11</v>
      </c>
      <c r="X23" s="39">
        <f t="shared" si="15"/>
        <v>2</v>
      </c>
      <c r="Y23" s="39">
        <f t="shared" si="15"/>
        <v>46</v>
      </c>
      <c r="Z23" s="39">
        <f t="shared" si="15"/>
        <v>34</v>
      </c>
      <c r="AA23" s="39">
        <f t="shared" si="15"/>
        <v>15</v>
      </c>
      <c r="AB23" s="39">
        <f t="shared" si="15"/>
        <v>57</v>
      </c>
      <c r="AC23" s="39">
        <f t="shared" si="15"/>
        <v>498</v>
      </c>
      <c r="AD23" s="39">
        <f t="shared" si="15"/>
        <v>1</v>
      </c>
      <c r="AE23" s="40">
        <f t="shared" si="15"/>
        <v>454</v>
      </c>
      <c r="AF23" s="40">
        <f t="shared" si="15"/>
        <v>865</v>
      </c>
    </row>
    <row r="24" spans="2:32" ht="23.1" customHeight="1" x14ac:dyDescent="0.25">
      <c r="B24" s="23" t="s">
        <v>51</v>
      </c>
      <c r="C24" s="50">
        <v>19</v>
      </c>
      <c r="D24" s="50">
        <v>8</v>
      </c>
      <c r="E24" s="50">
        <v>7</v>
      </c>
      <c r="F24" s="50">
        <v>38</v>
      </c>
      <c r="G24" s="50">
        <v>7</v>
      </c>
      <c r="H24" s="50">
        <v>0</v>
      </c>
      <c r="I24" s="50">
        <v>13</v>
      </c>
      <c r="J24" s="50">
        <v>9</v>
      </c>
      <c r="K24" s="50">
        <v>3</v>
      </c>
      <c r="L24" s="50">
        <v>9</v>
      </c>
      <c r="M24" s="50">
        <v>130</v>
      </c>
      <c r="N24" s="50">
        <v>1</v>
      </c>
      <c r="O24" s="15">
        <f t="shared" si="0"/>
        <v>114</v>
      </c>
      <c r="P24" s="15">
        <f t="shared" si="1"/>
        <v>244</v>
      </c>
      <c r="R24" s="38" t="s">
        <v>92</v>
      </c>
      <c r="S24" s="39">
        <f>MAX(S19:S21)</f>
        <v>176</v>
      </c>
      <c r="T24" s="39">
        <f t="shared" ref="T24:AF24" si="16">MAX(T19:T21)</f>
        <v>70</v>
      </c>
      <c r="U24" s="39">
        <f t="shared" si="16"/>
        <v>47</v>
      </c>
      <c r="V24" s="39">
        <f t="shared" si="16"/>
        <v>167</v>
      </c>
      <c r="W24" s="39">
        <f t="shared" si="16"/>
        <v>16</v>
      </c>
      <c r="X24" s="39">
        <f t="shared" si="16"/>
        <v>6</v>
      </c>
      <c r="Y24" s="39">
        <f t="shared" si="16"/>
        <v>43</v>
      </c>
      <c r="Z24" s="39">
        <f t="shared" si="16"/>
        <v>29</v>
      </c>
      <c r="AA24" s="39">
        <f t="shared" si="16"/>
        <v>12</v>
      </c>
      <c r="AB24" s="39">
        <f t="shared" si="16"/>
        <v>40</v>
      </c>
      <c r="AC24" s="39">
        <f t="shared" si="16"/>
        <v>595</v>
      </c>
      <c r="AD24" s="39">
        <f t="shared" si="16"/>
        <v>0</v>
      </c>
      <c r="AE24" s="40">
        <f t="shared" si="16"/>
        <v>605</v>
      </c>
      <c r="AF24" s="40">
        <f t="shared" si="16"/>
        <v>1200</v>
      </c>
    </row>
    <row r="25" spans="2:32" ht="23.1" customHeight="1" x14ac:dyDescent="0.25">
      <c r="B25" s="23" t="s">
        <v>52</v>
      </c>
      <c r="C25" s="50">
        <v>16</v>
      </c>
      <c r="D25" s="50">
        <v>7</v>
      </c>
      <c r="E25" s="50">
        <v>7</v>
      </c>
      <c r="F25" s="50">
        <v>30</v>
      </c>
      <c r="G25" s="50">
        <v>2</v>
      </c>
      <c r="H25" s="50">
        <v>0</v>
      </c>
      <c r="I25" s="50">
        <v>14</v>
      </c>
      <c r="J25" s="50">
        <v>3</v>
      </c>
      <c r="K25" s="50">
        <v>6</v>
      </c>
      <c r="L25" s="50">
        <v>10</v>
      </c>
      <c r="M25" s="50">
        <v>129</v>
      </c>
      <c r="N25" s="50">
        <v>0</v>
      </c>
      <c r="O25" s="15">
        <f t="shared" si="0"/>
        <v>95</v>
      </c>
      <c r="P25" s="15">
        <f t="shared" si="1"/>
        <v>224</v>
      </c>
      <c r="R25" s="37" t="s">
        <v>85</v>
      </c>
      <c r="S25" s="35">
        <f t="shared" ref="S25:AF25" si="17">SUM(S10:S12)</f>
        <v>304</v>
      </c>
      <c r="T25" s="16">
        <f t="shared" si="17"/>
        <v>79</v>
      </c>
      <c r="U25" s="16">
        <f t="shared" si="17"/>
        <v>62</v>
      </c>
      <c r="V25" s="16">
        <f t="shared" si="17"/>
        <v>331</v>
      </c>
      <c r="W25" s="16">
        <f t="shared" si="17"/>
        <v>29</v>
      </c>
      <c r="X25" s="16">
        <f t="shared" si="17"/>
        <v>14</v>
      </c>
      <c r="Y25" s="16">
        <f t="shared" si="17"/>
        <v>71</v>
      </c>
      <c r="Z25" s="16">
        <f t="shared" si="17"/>
        <v>54</v>
      </c>
      <c r="AA25" s="16">
        <f t="shared" si="17"/>
        <v>28</v>
      </c>
      <c r="AB25" s="16">
        <f t="shared" si="17"/>
        <v>136</v>
      </c>
      <c r="AC25" s="16">
        <f t="shared" si="17"/>
        <v>1631</v>
      </c>
      <c r="AD25" s="16">
        <f t="shared" si="17"/>
        <v>1</v>
      </c>
      <c r="AE25" s="32">
        <f t="shared" si="17"/>
        <v>1109</v>
      </c>
      <c r="AF25" s="32">
        <f t="shared" si="17"/>
        <v>2740</v>
      </c>
    </row>
    <row r="26" spans="2:32" ht="23.1" customHeight="1" x14ac:dyDescent="0.25">
      <c r="B26" s="23" t="s">
        <v>53</v>
      </c>
      <c r="C26" s="50">
        <v>17</v>
      </c>
      <c r="D26" s="50">
        <v>6</v>
      </c>
      <c r="E26" s="50">
        <v>4</v>
      </c>
      <c r="F26" s="50">
        <v>25</v>
      </c>
      <c r="G26" s="50">
        <v>1</v>
      </c>
      <c r="H26" s="50">
        <v>0</v>
      </c>
      <c r="I26" s="50">
        <v>5</v>
      </c>
      <c r="J26" s="50">
        <v>8</v>
      </c>
      <c r="K26" s="50">
        <v>1</v>
      </c>
      <c r="L26" s="50">
        <v>8</v>
      </c>
      <c r="M26" s="50">
        <v>125</v>
      </c>
      <c r="N26" s="50">
        <v>0</v>
      </c>
      <c r="O26" s="15">
        <f t="shared" si="0"/>
        <v>75</v>
      </c>
      <c r="P26" s="15">
        <f t="shared" si="1"/>
        <v>200</v>
      </c>
      <c r="R26" s="28" t="s">
        <v>86</v>
      </c>
      <c r="S26" s="16">
        <f t="shared" ref="S26:AF26" si="18">SUM(S13:S18)</f>
        <v>575</v>
      </c>
      <c r="T26" s="16">
        <f t="shared" si="18"/>
        <v>236</v>
      </c>
      <c r="U26" s="16">
        <f t="shared" si="18"/>
        <v>148</v>
      </c>
      <c r="V26" s="16">
        <f t="shared" si="18"/>
        <v>665</v>
      </c>
      <c r="W26" s="16">
        <f t="shared" si="18"/>
        <v>29</v>
      </c>
      <c r="X26" s="16">
        <f t="shared" si="18"/>
        <v>9</v>
      </c>
      <c r="Y26" s="16">
        <f t="shared" si="18"/>
        <v>219</v>
      </c>
      <c r="Z26" s="16">
        <f t="shared" si="18"/>
        <v>157</v>
      </c>
      <c r="AA26" s="16">
        <f t="shared" si="18"/>
        <v>65</v>
      </c>
      <c r="AB26" s="16">
        <f t="shared" si="18"/>
        <v>263</v>
      </c>
      <c r="AC26" s="16">
        <f t="shared" si="18"/>
        <v>2132</v>
      </c>
      <c r="AD26" s="16">
        <f t="shared" si="18"/>
        <v>1</v>
      </c>
      <c r="AE26" s="32">
        <f t="shared" si="18"/>
        <v>2367</v>
      </c>
      <c r="AF26" s="32">
        <f t="shared" si="18"/>
        <v>4499</v>
      </c>
    </row>
    <row r="27" spans="2:32" ht="23.1" customHeight="1" x14ac:dyDescent="0.25">
      <c r="B27" s="23" t="s">
        <v>54</v>
      </c>
      <c r="C27" s="50">
        <v>17</v>
      </c>
      <c r="D27" s="50">
        <v>8</v>
      </c>
      <c r="E27" s="50">
        <v>5</v>
      </c>
      <c r="F27" s="50">
        <v>28</v>
      </c>
      <c r="G27" s="50">
        <v>1</v>
      </c>
      <c r="H27" s="50">
        <v>1</v>
      </c>
      <c r="I27" s="50">
        <v>13</v>
      </c>
      <c r="J27" s="50">
        <v>10</v>
      </c>
      <c r="K27" s="50">
        <v>4</v>
      </c>
      <c r="L27" s="50">
        <v>10</v>
      </c>
      <c r="M27" s="50">
        <v>133</v>
      </c>
      <c r="N27" s="50">
        <v>0</v>
      </c>
      <c r="O27" s="15">
        <f t="shared" si="0"/>
        <v>97</v>
      </c>
      <c r="P27" s="15">
        <f t="shared" si="1"/>
        <v>230</v>
      </c>
      <c r="R27" s="29" t="s">
        <v>87</v>
      </c>
      <c r="S27" s="16">
        <f t="shared" ref="S27:AF27" si="19">SUM(S19:S21)</f>
        <v>444</v>
      </c>
      <c r="T27" s="16">
        <f t="shared" si="19"/>
        <v>164</v>
      </c>
      <c r="U27" s="16">
        <f t="shared" si="19"/>
        <v>89</v>
      </c>
      <c r="V27" s="16">
        <f t="shared" si="19"/>
        <v>382</v>
      </c>
      <c r="W27" s="16">
        <f t="shared" si="19"/>
        <v>27</v>
      </c>
      <c r="X27" s="16">
        <f t="shared" si="19"/>
        <v>8</v>
      </c>
      <c r="Y27" s="16">
        <f t="shared" si="19"/>
        <v>96</v>
      </c>
      <c r="Z27" s="16">
        <f t="shared" si="19"/>
        <v>75</v>
      </c>
      <c r="AA27" s="16">
        <f t="shared" si="19"/>
        <v>34</v>
      </c>
      <c r="AB27" s="16">
        <f t="shared" si="19"/>
        <v>96</v>
      </c>
      <c r="AC27" s="16">
        <f t="shared" si="19"/>
        <v>1299</v>
      </c>
      <c r="AD27" s="16">
        <f t="shared" si="19"/>
        <v>0</v>
      </c>
      <c r="AE27" s="32">
        <f t="shared" si="19"/>
        <v>1415</v>
      </c>
      <c r="AF27" s="32">
        <f t="shared" si="19"/>
        <v>2714</v>
      </c>
    </row>
    <row r="28" spans="2:32" ht="23.1" customHeight="1" x14ac:dyDescent="0.25">
      <c r="B28" s="23" t="s">
        <v>55</v>
      </c>
      <c r="C28" s="50">
        <v>17</v>
      </c>
      <c r="D28" s="50">
        <v>3</v>
      </c>
      <c r="E28" s="50">
        <v>5</v>
      </c>
      <c r="F28" s="50">
        <v>24</v>
      </c>
      <c r="G28" s="50">
        <v>3</v>
      </c>
      <c r="H28" s="50">
        <v>0</v>
      </c>
      <c r="I28" s="50">
        <v>13</v>
      </c>
      <c r="J28" s="50">
        <v>8</v>
      </c>
      <c r="K28" s="50">
        <v>1</v>
      </c>
      <c r="L28" s="50">
        <v>4</v>
      </c>
      <c r="M28" s="50">
        <v>145</v>
      </c>
      <c r="N28" s="50">
        <v>0</v>
      </c>
      <c r="O28" s="15">
        <f t="shared" si="0"/>
        <v>78</v>
      </c>
      <c r="P28" s="15">
        <f t="shared" si="1"/>
        <v>223</v>
      </c>
      <c r="R28" s="5" t="s">
        <v>17</v>
      </c>
      <c r="S28" s="16">
        <f t="shared" ref="S28:AF28" si="20">SUM(S10:S21)</f>
        <v>1323</v>
      </c>
      <c r="T28" s="16">
        <f t="shared" si="20"/>
        <v>479</v>
      </c>
      <c r="U28" s="16">
        <f t="shared" si="20"/>
        <v>299</v>
      </c>
      <c r="V28" s="16">
        <f t="shared" si="20"/>
        <v>1378</v>
      </c>
      <c r="W28" s="16">
        <f t="shared" si="20"/>
        <v>85</v>
      </c>
      <c r="X28" s="16">
        <f t="shared" si="20"/>
        <v>31</v>
      </c>
      <c r="Y28" s="16">
        <f t="shared" si="20"/>
        <v>386</v>
      </c>
      <c r="Z28" s="16">
        <f t="shared" si="20"/>
        <v>286</v>
      </c>
      <c r="AA28" s="16">
        <f t="shared" si="20"/>
        <v>127</v>
      </c>
      <c r="AB28" s="16">
        <f t="shared" si="20"/>
        <v>495</v>
      </c>
      <c r="AC28" s="16">
        <f t="shared" si="20"/>
        <v>5062</v>
      </c>
      <c r="AD28" s="16">
        <f t="shared" si="20"/>
        <v>2</v>
      </c>
      <c r="AE28" s="32">
        <f t="shared" si="20"/>
        <v>4891</v>
      </c>
      <c r="AF28" s="32">
        <f t="shared" si="20"/>
        <v>9953</v>
      </c>
    </row>
    <row r="29" spans="2:32" ht="23.1" customHeight="1" x14ac:dyDescent="0.25">
      <c r="B29" s="23" t="s">
        <v>56</v>
      </c>
      <c r="C29" s="50">
        <v>33</v>
      </c>
      <c r="D29" s="50">
        <v>12</v>
      </c>
      <c r="E29" s="50">
        <v>9</v>
      </c>
      <c r="F29" s="50">
        <v>25</v>
      </c>
      <c r="G29" s="50">
        <v>0</v>
      </c>
      <c r="H29" s="50">
        <v>1</v>
      </c>
      <c r="I29" s="50">
        <v>9</v>
      </c>
      <c r="J29" s="50">
        <v>8</v>
      </c>
      <c r="K29" s="50">
        <v>2</v>
      </c>
      <c r="L29" s="50">
        <v>18</v>
      </c>
      <c r="M29" s="50">
        <v>95</v>
      </c>
      <c r="N29" s="50">
        <v>0</v>
      </c>
      <c r="O29" s="15">
        <f t="shared" si="0"/>
        <v>117</v>
      </c>
      <c r="P29" s="15">
        <f t="shared" si="1"/>
        <v>212</v>
      </c>
      <c r="R29"/>
      <c r="S29" s="20"/>
      <c r="T29" s="19"/>
    </row>
    <row r="30" spans="2:32" ht="23.1" customHeight="1" x14ac:dyDescent="0.25">
      <c r="B30" s="23" t="s">
        <v>57</v>
      </c>
      <c r="C30" s="50">
        <v>24</v>
      </c>
      <c r="D30" s="50">
        <v>10</v>
      </c>
      <c r="E30" s="50">
        <v>2</v>
      </c>
      <c r="F30" s="50">
        <v>29</v>
      </c>
      <c r="G30" s="50">
        <v>0</v>
      </c>
      <c r="H30" s="50">
        <v>1</v>
      </c>
      <c r="I30" s="50">
        <v>10</v>
      </c>
      <c r="J30" s="50">
        <v>8</v>
      </c>
      <c r="K30" s="50">
        <v>1</v>
      </c>
      <c r="L30" s="50">
        <v>5</v>
      </c>
      <c r="M30" s="50">
        <v>101</v>
      </c>
      <c r="N30" s="50">
        <v>0</v>
      </c>
      <c r="O30" s="15">
        <f t="shared" si="0"/>
        <v>90</v>
      </c>
      <c r="P30" s="15">
        <f t="shared" si="1"/>
        <v>191</v>
      </c>
    </row>
    <row r="31" spans="2:32" ht="23.1" customHeight="1" x14ac:dyDescent="0.25">
      <c r="B31" s="24" t="s">
        <v>58</v>
      </c>
      <c r="C31" s="50">
        <v>17</v>
      </c>
      <c r="D31" s="50">
        <v>8</v>
      </c>
      <c r="E31" s="50">
        <v>3</v>
      </c>
      <c r="F31" s="50">
        <v>22</v>
      </c>
      <c r="G31" s="50">
        <v>0</v>
      </c>
      <c r="H31" s="50">
        <v>0</v>
      </c>
      <c r="I31" s="50">
        <v>11</v>
      </c>
      <c r="J31" s="50">
        <v>7</v>
      </c>
      <c r="K31" s="50">
        <v>3</v>
      </c>
      <c r="L31" s="50">
        <v>8</v>
      </c>
      <c r="M31" s="50">
        <v>82</v>
      </c>
      <c r="N31" s="50">
        <v>0</v>
      </c>
      <c r="O31" s="15">
        <f t="shared" si="0"/>
        <v>79</v>
      </c>
      <c r="P31" s="15">
        <f t="shared" si="1"/>
        <v>161</v>
      </c>
    </row>
    <row r="32" spans="2:32" ht="23.1" customHeight="1" x14ac:dyDescent="0.25">
      <c r="B32" s="24" t="s">
        <v>59</v>
      </c>
      <c r="C32" s="50">
        <v>27</v>
      </c>
      <c r="D32" s="50">
        <v>12</v>
      </c>
      <c r="E32" s="50">
        <v>5</v>
      </c>
      <c r="F32" s="50">
        <v>21</v>
      </c>
      <c r="G32" s="50">
        <v>4</v>
      </c>
      <c r="H32" s="50">
        <v>0</v>
      </c>
      <c r="I32" s="50">
        <v>11</v>
      </c>
      <c r="J32" s="50">
        <v>11</v>
      </c>
      <c r="K32" s="50">
        <v>4</v>
      </c>
      <c r="L32" s="50">
        <v>9</v>
      </c>
      <c r="M32" s="50">
        <v>65</v>
      </c>
      <c r="N32" s="50">
        <v>0</v>
      </c>
      <c r="O32" s="15">
        <f t="shared" si="0"/>
        <v>104</v>
      </c>
      <c r="P32" s="15">
        <f t="shared" si="1"/>
        <v>169</v>
      </c>
    </row>
    <row r="33" spans="2:20" ht="23.1" customHeight="1" x14ac:dyDescent="0.25">
      <c r="B33" s="23" t="s">
        <v>60</v>
      </c>
      <c r="C33" s="50">
        <v>25</v>
      </c>
      <c r="D33" s="50">
        <v>14</v>
      </c>
      <c r="E33" s="50">
        <v>12</v>
      </c>
      <c r="F33" s="50">
        <v>34</v>
      </c>
      <c r="G33" s="50">
        <v>1</v>
      </c>
      <c r="H33" s="50">
        <v>0</v>
      </c>
      <c r="I33" s="50">
        <v>6</v>
      </c>
      <c r="J33" s="50">
        <v>7</v>
      </c>
      <c r="K33" s="50">
        <v>2</v>
      </c>
      <c r="L33" s="50">
        <v>18</v>
      </c>
      <c r="M33" s="50">
        <v>92</v>
      </c>
      <c r="N33" s="50">
        <v>0</v>
      </c>
      <c r="O33" s="15">
        <f t="shared" si="0"/>
        <v>119</v>
      </c>
      <c r="P33" s="15">
        <f t="shared" si="1"/>
        <v>211</v>
      </c>
    </row>
    <row r="34" spans="2:20" ht="23.1" customHeight="1" x14ac:dyDescent="0.25">
      <c r="B34" s="24" t="s">
        <v>61</v>
      </c>
      <c r="C34" s="50">
        <v>18</v>
      </c>
      <c r="D34" s="50">
        <v>9</v>
      </c>
      <c r="E34" s="50">
        <v>3</v>
      </c>
      <c r="F34" s="50">
        <v>24</v>
      </c>
      <c r="G34" s="50">
        <v>1</v>
      </c>
      <c r="H34" s="50">
        <v>1</v>
      </c>
      <c r="I34" s="50">
        <v>11</v>
      </c>
      <c r="J34" s="50">
        <v>5</v>
      </c>
      <c r="K34" s="50">
        <v>2</v>
      </c>
      <c r="L34" s="50">
        <v>13</v>
      </c>
      <c r="M34" s="50">
        <v>86</v>
      </c>
      <c r="N34" s="50">
        <v>0</v>
      </c>
      <c r="O34" s="15">
        <f t="shared" si="0"/>
        <v>87</v>
      </c>
      <c r="P34" s="15">
        <f t="shared" si="1"/>
        <v>173</v>
      </c>
    </row>
    <row r="35" spans="2:20" ht="23.1" customHeight="1" x14ac:dyDescent="0.25">
      <c r="B35" s="24" t="s">
        <v>62</v>
      </c>
      <c r="C35" s="50">
        <v>25</v>
      </c>
      <c r="D35" s="50">
        <v>10</v>
      </c>
      <c r="E35" s="50">
        <v>9</v>
      </c>
      <c r="F35" s="50">
        <v>26</v>
      </c>
      <c r="G35" s="50">
        <v>0</v>
      </c>
      <c r="H35" s="50">
        <v>1</v>
      </c>
      <c r="I35" s="50">
        <v>7</v>
      </c>
      <c r="J35" s="50">
        <v>2</v>
      </c>
      <c r="K35" s="50">
        <v>4</v>
      </c>
      <c r="L35" s="50">
        <v>15</v>
      </c>
      <c r="M35" s="50">
        <v>98</v>
      </c>
      <c r="N35" s="50">
        <v>0</v>
      </c>
      <c r="O35" s="15">
        <f t="shared" si="0"/>
        <v>99</v>
      </c>
      <c r="P35" s="15">
        <f t="shared" si="1"/>
        <v>197</v>
      </c>
    </row>
    <row r="36" spans="2:20" ht="23.1" customHeight="1" x14ac:dyDescent="0.25">
      <c r="B36" s="24" t="s">
        <v>63</v>
      </c>
      <c r="C36" s="50">
        <v>21</v>
      </c>
      <c r="D36" s="50">
        <v>9</v>
      </c>
      <c r="E36" s="50">
        <v>10</v>
      </c>
      <c r="F36" s="50">
        <v>28</v>
      </c>
      <c r="G36" s="50">
        <v>0</v>
      </c>
      <c r="H36" s="50">
        <v>0</v>
      </c>
      <c r="I36" s="50">
        <v>11</v>
      </c>
      <c r="J36" s="50">
        <v>8</v>
      </c>
      <c r="K36" s="50">
        <v>3</v>
      </c>
      <c r="L36" s="50">
        <v>13</v>
      </c>
      <c r="M36" s="50">
        <v>97</v>
      </c>
      <c r="N36" s="50">
        <v>0</v>
      </c>
      <c r="O36" s="15">
        <f t="shared" si="0"/>
        <v>103</v>
      </c>
      <c r="P36" s="15">
        <f t="shared" si="1"/>
        <v>200</v>
      </c>
    </row>
    <row r="37" spans="2:20" ht="23.1" customHeight="1" x14ac:dyDescent="0.25">
      <c r="B37" s="23" t="s">
        <v>64</v>
      </c>
      <c r="C37" s="50">
        <v>32</v>
      </c>
      <c r="D37" s="50">
        <v>7</v>
      </c>
      <c r="E37" s="50">
        <v>8</v>
      </c>
      <c r="F37" s="50">
        <v>21</v>
      </c>
      <c r="G37" s="50">
        <v>1</v>
      </c>
      <c r="H37" s="50">
        <v>0</v>
      </c>
      <c r="I37" s="50">
        <v>7</v>
      </c>
      <c r="J37" s="50">
        <v>4</v>
      </c>
      <c r="K37" s="50">
        <v>0</v>
      </c>
      <c r="L37" s="50">
        <v>16</v>
      </c>
      <c r="M37" s="50">
        <v>109</v>
      </c>
      <c r="N37" s="50">
        <v>0</v>
      </c>
      <c r="O37" s="15">
        <f t="shared" si="0"/>
        <v>96</v>
      </c>
      <c r="P37" s="15">
        <f t="shared" si="1"/>
        <v>205</v>
      </c>
    </row>
    <row r="38" spans="2:20" ht="23.1" customHeight="1" x14ac:dyDescent="0.25">
      <c r="B38" s="24" t="s">
        <v>65</v>
      </c>
      <c r="C38" s="50">
        <v>27</v>
      </c>
      <c r="D38" s="50">
        <v>8</v>
      </c>
      <c r="E38" s="50">
        <v>9</v>
      </c>
      <c r="F38" s="50">
        <v>27</v>
      </c>
      <c r="G38" s="50">
        <v>1</v>
      </c>
      <c r="H38" s="50">
        <v>0</v>
      </c>
      <c r="I38" s="50">
        <v>11</v>
      </c>
      <c r="J38" s="50">
        <v>14</v>
      </c>
      <c r="K38" s="50">
        <v>4</v>
      </c>
      <c r="L38" s="50">
        <v>11</v>
      </c>
      <c r="M38" s="50">
        <v>103</v>
      </c>
      <c r="N38" s="50">
        <v>0</v>
      </c>
      <c r="O38" s="15">
        <f t="shared" si="0"/>
        <v>112</v>
      </c>
      <c r="P38" s="15">
        <f t="shared" si="1"/>
        <v>215</v>
      </c>
    </row>
    <row r="39" spans="2:20" ht="23.1" customHeight="1" x14ac:dyDescent="0.25">
      <c r="B39" s="24" t="s">
        <v>66</v>
      </c>
      <c r="C39" s="50">
        <v>36</v>
      </c>
      <c r="D39" s="50">
        <v>7</v>
      </c>
      <c r="E39" s="50">
        <v>7</v>
      </c>
      <c r="F39" s="50">
        <v>34</v>
      </c>
      <c r="G39" s="50">
        <v>0</v>
      </c>
      <c r="H39" s="50">
        <v>0</v>
      </c>
      <c r="I39" s="50">
        <v>8</v>
      </c>
      <c r="J39" s="50">
        <v>5</v>
      </c>
      <c r="K39" s="50">
        <v>3</v>
      </c>
      <c r="L39" s="50">
        <v>14</v>
      </c>
      <c r="M39" s="50">
        <v>110</v>
      </c>
      <c r="N39" s="50">
        <v>0</v>
      </c>
      <c r="O39" s="15">
        <f t="shared" si="0"/>
        <v>114</v>
      </c>
      <c r="P39" s="15">
        <f t="shared" si="1"/>
        <v>224</v>
      </c>
    </row>
    <row r="40" spans="2:20" ht="23.1" customHeight="1" x14ac:dyDescent="0.25">
      <c r="B40" s="24" t="s">
        <v>67</v>
      </c>
      <c r="C40" s="50">
        <v>39</v>
      </c>
      <c r="D40" s="50">
        <v>11</v>
      </c>
      <c r="E40" s="50">
        <v>8</v>
      </c>
      <c r="F40" s="50">
        <v>31</v>
      </c>
      <c r="G40" s="50">
        <v>1</v>
      </c>
      <c r="H40" s="50">
        <v>0</v>
      </c>
      <c r="I40" s="50">
        <v>14</v>
      </c>
      <c r="J40" s="50">
        <v>9</v>
      </c>
      <c r="K40" s="50">
        <v>2</v>
      </c>
      <c r="L40" s="50">
        <v>13</v>
      </c>
      <c r="M40" s="50">
        <v>40</v>
      </c>
      <c r="N40" s="50">
        <v>0</v>
      </c>
      <c r="O40" s="15">
        <f t="shared" si="0"/>
        <v>128</v>
      </c>
      <c r="P40" s="15">
        <f t="shared" si="1"/>
        <v>168</v>
      </c>
    </row>
    <row r="41" spans="2:20" ht="23.1" customHeight="1" x14ac:dyDescent="0.25">
      <c r="B41" s="23" t="s">
        <v>68</v>
      </c>
      <c r="C41" s="50">
        <v>22</v>
      </c>
      <c r="D41" s="50">
        <v>16</v>
      </c>
      <c r="E41" s="50">
        <v>7</v>
      </c>
      <c r="F41" s="50">
        <v>24</v>
      </c>
      <c r="G41" s="50">
        <v>0</v>
      </c>
      <c r="H41" s="50">
        <v>1</v>
      </c>
      <c r="I41" s="50">
        <v>13</v>
      </c>
      <c r="J41" s="50">
        <v>2</v>
      </c>
      <c r="K41" s="50">
        <v>2</v>
      </c>
      <c r="L41" s="50">
        <v>13</v>
      </c>
      <c r="M41" s="50">
        <v>8</v>
      </c>
      <c r="N41" s="50">
        <v>0</v>
      </c>
      <c r="O41" s="15">
        <f t="shared" si="0"/>
        <v>100</v>
      </c>
      <c r="P41" s="15">
        <f t="shared" si="1"/>
        <v>108</v>
      </c>
    </row>
    <row r="42" spans="2:20" ht="23.1" customHeight="1" x14ac:dyDescent="0.25">
      <c r="B42" s="24" t="s">
        <v>69</v>
      </c>
      <c r="C42" s="50">
        <v>33</v>
      </c>
      <c r="D42" s="50">
        <v>11</v>
      </c>
      <c r="E42" s="50">
        <v>7</v>
      </c>
      <c r="F42" s="50">
        <v>25</v>
      </c>
      <c r="G42" s="50">
        <v>1</v>
      </c>
      <c r="H42" s="50">
        <v>1</v>
      </c>
      <c r="I42" s="50">
        <v>7</v>
      </c>
      <c r="J42" s="50">
        <v>6</v>
      </c>
      <c r="K42" s="50">
        <v>1</v>
      </c>
      <c r="L42" s="50">
        <v>10</v>
      </c>
      <c r="M42" s="50">
        <v>5</v>
      </c>
      <c r="N42" s="50">
        <v>0</v>
      </c>
      <c r="O42" s="15">
        <f t="shared" si="0"/>
        <v>102</v>
      </c>
      <c r="P42" s="15">
        <f t="shared" si="1"/>
        <v>107</v>
      </c>
    </row>
    <row r="43" spans="2:20" ht="23.1" customHeight="1" x14ac:dyDescent="0.25">
      <c r="B43" s="23" t="s">
        <v>70</v>
      </c>
      <c r="C43" s="50">
        <v>18</v>
      </c>
      <c r="D43" s="50">
        <v>14</v>
      </c>
      <c r="E43" s="50">
        <v>5</v>
      </c>
      <c r="F43" s="50">
        <v>29</v>
      </c>
      <c r="G43" s="50">
        <v>1</v>
      </c>
      <c r="H43" s="50">
        <v>0</v>
      </c>
      <c r="I43" s="50">
        <v>1</v>
      </c>
      <c r="J43" s="50">
        <v>1</v>
      </c>
      <c r="K43" s="50">
        <v>2</v>
      </c>
      <c r="L43" s="50">
        <v>6</v>
      </c>
      <c r="M43" s="50">
        <v>22</v>
      </c>
      <c r="N43" s="50">
        <v>0</v>
      </c>
      <c r="O43" s="15">
        <f t="shared" si="0"/>
        <v>77</v>
      </c>
      <c r="P43" s="15">
        <f t="shared" si="1"/>
        <v>99</v>
      </c>
    </row>
    <row r="44" spans="2:20" ht="23.1" customHeight="1" x14ac:dyDescent="0.25">
      <c r="B44" s="25" t="s">
        <v>71</v>
      </c>
      <c r="C44" s="50">
        <v>33</v>
      </c>
      <c r="D44" s="50">
        <v>15</v>
      </c>
      <c r="E44" s="50">
        <v>12</v>
      </c>
      <c r="F44" s="50">
        <v>37</v>
      </c>
      <c r="G44" s="50">
        <v>1</v>
      </c>
      <c r="H44" s="50">
        <v>1</v>
      </c>
      <c r="I44" s="50">
        <v>6</v>
      </c>
      <c r="J44" s="50">
        <v>6</v>
      </c>
      <c r="K44" s="50">
        <v>4</v>
      </c>
      <c r="L44" s="50">
        <v>8</v>
      </c>
      <c r="M44" s="50">
        <v>77</v>
      </c>
      <c r="N44" s="50">
        <v>0</v>
      </c>
      <c r="O44" s="15">
        <f t="shared" si="0"/>
        <v>123</v>
      </c>
      <c r="P44" s="15">
        <f t="shared" si="1"/>
        <v>200</v>
      </c>
    </row>
    <row r="45" spans="2:20" ht="23.1" customHeight="1" x14ac:dyDescent="0.25">
      <c r="B45" s="23" t="s">
        <v>72</v>
      </c>
      <c r="C45" s="50">
        <v>23</v>
      </c>
      <c r="D45" s="50">
        <v>18</v>
      </c>
      <c r="E45" s="50">
        <v>1</v>
      </c>
      <c r="F45" s="50">
        <v>37</v>
      </c>
      <c r="G45" s="50">
        <v>1</v>
      </c>
      <c r="H45" s="50">
        <v>0</v>
      </c>
      <c r="I45" s="50">
        <v>8</v>
      </c>
      <c r="J45" s="50">
        <v>10</v>
      </c>
      <c r="K45" s="50">
        <v>5</v>
      </c>
      <c r="L45" s="50">
        <v>11</v>
      </c>
      <c r="M45" s="50">
        <v>65</v>
      </c>
      <c r="N45" s="50">
        <v>0</v>
      </c>
      <c r="O45" s="15">
        <f t="shared" si="0"/>
        <v>114</v>
      </c>
      <c r="P45" s="15">
        <f t="shared" si="1"/>
        <v>179</v>
      </c>
    </row>
    <row r="46" spans="2:20" ht="23.1" customHeight="1" x14ac:dyDescent="0.25">
      <c r="B46" s="24" t="s">
        <v>73</v>
      </c>
      <c r="C46" s="50">
        <v>17</v>
      </c>
      <c r="D46" s="50">
        <v>5</v>
      </c>
      <c r="E46" s="50">
        <v>2</v>
      </c>
      <c r="F46" s="50">
        <v>22</v>
      </c>
      <c r="G46" s="50">
        <v>1</v>
      </c>
      <c r="H46" s="50">
        <v>1</v>
      </c>
      <c r="I46" s="50">
        <v>6</v>
      </c>
      <c r="J46" s="50">
        <v>0</v>
      </c>
      <c r="K46" s="50">
        <v>4</v>
      </c>
      <c r="L46" s="50">
        <v>3</v>
      </c>
      <c r="M46" s="50">
        <v>9</v>
      </c>
      <c r="N46" s="50">
        <v>0</v>
      </c>
      <c r="O46" s="15">
        <f t="shared" si="0"/>
        <v>61</v>
      </c>
      <c r="P46" s="15">
        <f t="shared" si="1"/>
        <v>70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8</v>
      </c>
      <c r="E47" s="50">
        <v>4</v>
      </c>
      <c r="F47" s="50">
        <v>23</v>
      </c>
      <c r="G47" s="50">
        <v>1</v>
      </c>
      <c r="H47" s="50">
        <v>0</v>
      </c>
      <c r="I47" s="50">
        <v>4</v>
      </c>
      <c r="J47" s="50">
        <v>4</v>
      </c>
      <c r="K47" s="50">
        <v>2</v>
      </c>
      <c r="L47" s="50">
        <v>8</v>
      </c>
      <c r="M47" s="50">
        <v>13</v>
      </c>
      <c r="N47" s="50">
        <v>0</v>
      </c>
      <c r="O47" s="15">
        <f t="shared" si="0"/>
        <v>74</v>
      </c>
      <c r="P47" s="15">
        <f t="shared" si="1"/>
        <v>87</v>
      </c>
      <c r="R47" s="8"/>
      <c r="T47"/>
    </row>
    <row r="48" spans="2:20" ht="23.1" customHeight="1" x14ac:dyDescent="0.25">
      <c r="B48" s="24" t="s">
        <v>75</v>
      </c>
      <c r="C48" s="50">
        <v>35</v>
      </c>
      <c r="D48" s="50">
        <v>8</v>
      </c>
      <c r="E48" s="50">
        <v>3</v>
      </c>
      <c r="F48" s="50">
        <v>30</v>
      </c>
      <c r="G48" s="50">
        <v>2</v>
      </c>
      <c r="H48" s="50">
        <v>0</v>
      </c>
      <c r="I48" s="50">
        <v>3</v>
      </c>
      <c r="J48" s="50">
        <v>5</v>
      </c>
      <c r="K48" s="50">
        <v>0</v>
      </c>
      <c r="L48" s="50">
        <v>8</v>
      </c>
      <c r="M48" s="50">
        <v>71</v>
      </c>
      <c r="N48" s="50">
        <v>0</v>
      </c>
      <c r="O48" s="15">
        <f t="shared" si="0"/>
        <v>94</v>
      </c>
      <c r="P48" s="15">
        <f t="shared" si="1"/>
        <v>165</v>
      </c>
      <c r="R48" s="8"/>
      <c r="T48"/>
    </row>
    <row r="49" spans="2:20" ht="23.1" customHeight="1" x14ac:dyDescent="0.25">
      <c r="B49" s="23" t="s">
        <v>76</v>
      </c>
      <c r="C49" s="50">
        <v>26</v>
      </c>
      <c r="D49" s="50">
        <v>18</v>
      </c>
      <c r="E49" s="50">
        <v>7</v>
      </c>
      <c r="F49" s="50">
        <v>28</v>
      </c>
      <c r="G49" s="50">
        <v>1</v>
      </c>
      <c r="H49" s="50">
        <v>0</v>
      </c>
      <c r="I49" s="50">
        <v>8</v>
      </c>
      <c r="J49" s="50">
        <v>10</v>
      </c>
      <c r="K49" s="50">
        <v>5</v>
      </c>
      <c r="L49" s="50">
        <v>8</v>
      </c>
      <c r="M49" s="50">
        <v>105</v>
      </c>
      <c r="N49" s="50">
        <v>0</v>
      </c>
      <c r="O49" s="15">
        <f t="shared" si="0"/>
        <v>111</v>
      </c>
      <c r="P49" s="15">
        <f t="shared" si="1"/>
        <v>216</v>
      </c>
      <c r="R49" s="8"/>
      <c r="T49"/>
    </row>
    <row r="50" spans="2:20" ht="23.1" customHeight="1" x14ac:dyDescent="0.25">
      <c r="B50" s="24" t="s">
        <v>77</v>
      </c>
      <c r="C50" s="50">
        <v>56</v>
      </c>
      <c r="D50" s="50">
        <v>19</v>
      </c>
      <c r="E50" s="50">
        <v>6</v>
      </c>
      <c r="F50" s="50">
        <v>40</v>
      </c>
      <c r="G50" s="50">
        <v>1</v>
      </c>
      <c r="H50" s="50">
        <v>0</v>
      </c>
      <c r="I50" s="50">
        <v>7</v>
      </c>
      <c r="J50" s="50">
        <v>17</v>
      </c>
      <c r="K50" s="50">
        <v>6</v>
      </c>
      <c r="L50" s="50">
        <v>13</v>
      </c>
      <c r="M50" s="50">
        <v>155</v>
      </c>
      <c r="N50" s="50">
        <v>0</v>
      </c>
      <c r="O50" s="15">
        <f t="shared" si="0"/>
        <v>165</v>
      </c>
      <c r="P50" s="15">
        <f t="shared" si="1"/>
        <v>320</v>
      </c>
      <c r="R50" s="8"/>
      <c r="T50"/>
    </row>
    <row r="51" spans="2:20" ht="23.1" customHeight="1" x14ac:dyDescent="0.25">
      <c r="B51" s="24" t="s">
        <v>78</v>
      </c>
      <c r="C51" s="50">
        <v>35</v>
      </c>
      <c r="D51" s="50">
        <v>12</v>
      </c>
      <c r="E51" s="50">
        <v>5</v>
      </c>
      <c r="F51" s="50">
        <v>23</v>
      </c>
      <c r="G51" s="50">
        <v>2</v>
      </c>
      <c r="H51" s="50">
        <v>0</v>
      </c>
      <c r="I51" s="50">
        <v>7</v>
      </c>
      <c r="J51" s="50">
        <v>1</v>
      </c>
      <c r="K51" s="50">
        <v>3</v>
      </c>
      <c r="L51" s="50">
        <v>8</v>
      </c>
      <c r="M51" s="50">
        <v>107</v>
      </c>
      <c r="N51" s="50">
        <v>0</v>
      </c>
      <c r="O51" s="15">
        <f t="shared" si="0"/>
        <v>96</v>
      </c>
      <c r="P51" s="15">
        <f t="shared" si="1"/>
        <v>203</v>
      </c>
      <c r="R51" s="8"/>
      <c r="T51"/>
    </row>
    <row r="52" spans="2:20" ht="23.1" customHeight="1" x14ac:dyDescent="0.25">
      <c r="B52" s="24" t="s">
        <v>79</v>
      </c>
      <c r="C52" s="50">
        <v>38</v>
      </c>
      <c r="D52" s="50">
        <v>9</v>
      </c>
      <c r="E52" s="50">
        <v>6</v>
      </c>
      <c r="F52" s="50">
        <v>23</v>
      </c>
      <c r="G52" s="50">
        <v>2</v>
      </c>
      <c r="H52" s="50">
        <v>1</v>
      </c>
      <c r="I52" s="50">
        <v>11</v>
      </c>
      <c r="J52" s="50">
        <v>5</v>
      </c>
      <c r="K52" s="50">
        <v>0</v>
      </c>
      <c r="L52" s="50">
        <v>4</v>
      </c>
      <c r="M52" s="50">
        <v>116</v>
      </c>
      <c r="N52" s="50">
        <v>0</v>
      </c>
      <c r="O52" s="15">
        <f t="shared" si="0"/>
        <v>99</v>
      </c>
      <c r="P52" s="15">
        <f t="shared" si="1"/>
        <v>215</v>
      </c>
      <c r="R52" s="8"/>
      <c r="T52"/>
    </row>
    <row r="53" spans="2:20" ht="23.1" customHeight="1" x14ac:dyDescent="0.25">
      <c r="B53" s="23" t="s">
        <v>80</v>
      </c>
      <c r="C53" s="50">
        <v>41</v>
      </c>
      <c r="D53" s="50">
        <v>15</v>
      </c>
      <c r="E53" s="50">
        <v>9</v>
      </c>
      <c r="F53" s="50">
        <v>26</v>
      </c>
      <c r="G53" s="50">
        <v>1</v>
      </c>
      <c r="H53" s="50">
        <v>0</v>
      </c>
      <c r="I53" s="50">
        <v>7</v>
      </c>
      <c r="J53" s="50">
        <v>4</v>
      </c>
      <c r="K53" s="50">
        <v>3</v>
      </c>
      <c r="L53" s="50">
        <v>4</v>
      </c>
      <c r="M53" s="50">
        <v>128</v>
      </c>
      <c r="N53" s="50">
        <v>0</v>
      </c>
      <c r="O53" s="15">
        <f t="shared" si="0"/>
        <v>110</v>
      </c>
      <c r="P53" s="15">
        <f t="shared" si="1"/>
        <v>238</v>
      </c>
      <c r="R53" s="8"/>
      <c r="T53"/>
    </row>
    <row r="54" spans="2:20" ht="23.1" customHeight="1" x14ac:dyDescent="0.25">
      <c r="B54" s="23" t="s">
        <v>81</v>
      </c>
      <c r="C54" s="50">
        <v>37</v>
      </c>
      <c r="D54" s="50">
        <v>9</v>
      </c>
      <c r="E54" s="50">
        <v>9</v>
      </c>
      <c r="F54" s="50">
        <v>32</v>
      </c>
      <c r="G54" s="50">
        <v>3</v>
      </c>
      <c r="H54" s="50">
        <v>1</v>
      </c>
      <c r="I54" s="50">
        <v>13</v>
      </c>
      <c r="J54" s="50">
        <v>4</v>
      </c>
      <c r="K54" s="50">
        <v>6</v>
      </c>
      <c r="L54" s="50">
        <v>4</v>
      </c>
      <c r="M54" s="50">
        <v>134</v>
      </c>
      <c r="N54" s="50">
        <v>0</v>
      </c>
      <c r="O54" s="15">
        <f t="shared" si="0"/>
        <v>118</v>
      </c>
      <c r="P54" s="15">
        <f t="shared" si="1"/>
        <v>252</v>
      </c>
      <c r="R54" s="8"/>
      <c r="T54"/>
    </row>
    <row r="55" spans="2:20" ht="23.1" customHeight="1" x14ac:dyDescent="0.25">
      <c r="B55" s="23" t="s">
        <v>82</v>
      </c>
      <c r="C55" s="50">
        <v>51</v>
      </c>
      <c r="D55" s="50">
        <v>23</v>
      </c>
      <c r="E55" s="50">
        <v>10</v>
      </c>
      <c r="F55" s="50">
        <v>54</v>
      </c>
      <c r="G55" s="50">
        <v>9</v>
      </c>
      <c r="H55" s="50">
        <v>3</v>
      </c>
      <c r="I55" s="50">
        <v>7</v>
      </c>
      <c r="J55" s="50">
        <v>11</v>
      </c>
      <c r="K55" s="50">
        <v>1</v>
      </c>
      <c r="L55" s="50">
        <v>11</v>
      </c>
      <c r="M55" s="50">
        <v>141</v>
      </c>
      <c r="N55" s="50">
        <v>0</v>
      </c>
      <c r="O55" s="15">
        <f t="shared" si="0"/>
        <v>180</v>
      </c>
      <c r="P55" s="15">
        <f t="shared" si="1"/>
        <v>321</v>
      </c>
      <c r="R55" s="8"/>
      <c r="T55"/>
    </row>
    <row r="56" spans="2:20" ht="23.1" customHeight="1" x14ac:dyDescent="0.25">
      <c r="B56" s="23" t="s">
        <v>83</v>
      </c>
      <c r="C56" s="50">
        <v>39</v>
      </c>
      <c r="D56" s="50">
        <v>18</v>
      </c>
      <c r="E56" s="50">
        <v>16</v>
      </c>
      <c r="F56" s="50">
        <v>34</v>
      </c>
      <c r="G56" s="50">
        <v>2</v>
      </c>
      <c r="H56" s="50">
        <v>2</v>
      </c>
      <c r="I56" s="50">
        <v>11</v>
      </c>
      <c r="J56" s="50">
        <v>8</v>
      </c>
      <c r="K56" s="50">
        <v>3</v>
      </c>
      <c r="L56" s="50">
        <v>14</v>
      </c>
      <c r="M56" s="50">
        <v>160</v>
      </c>
      <c r="N56" s="50">
        <v>0</v>
      </c>
      <c r="O56" s="15">
        <f t="shared" si="0"/>
        <v>147</v>
      </c>
      <c r="P56" s="15">
        <f t="shared" si="1"/>
        <v>307</v>
      </c>
      <c r="R56" s="8"/>
      <c r="T56"/>
    </row>
    <row r="57" spans="2:20" ht="23.1" customHeight="1" x14ac:dyDescent="0.25">
      <c r="B57" s="23" t="s">
        <v>84</v>
      </c>
      <c r="C57" s="50">
        <v>49</v>
      </c>
      <c r="D57" s="50">
        <v>20</v>
      </c>
      <c r="E57" s="50">
        <v>12</v>
      </c>
      <c r="F57" s="50">
        <v>47</v>
      </c>
      <c r="G57" s="50">
        <v>2</v>
      </c>
      <c r="H57" s="50">
        <v>0</v>
      </c>
      <c r="I57" s="50">
        <v>12</v>
      </c>
      <c r="J57" s="50">
        <v>6</v>
      </c>
      <c r="K57" s="50">
        <v>1</v>
      </c>
      <c r="L57" s="50">
        <v>11</v>
      </c>
      <c r="M57" s="50">
        <v>160</v>
      </c>
      <c r="N57" s="50">
        <v>0</v>
      </c>
      <c r="O57" s="15">
        <f t="shared" si="0"/>
        <v>160</v>
      </c>
      <c r="P57" s="15">
        <f t="shared" si="1"/>
        <v>320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1323</v>
      </c>
      <c r="D58" s="16">
        <f t="shared" si="21"/>
        <v>479</v>
      </c>
      <c r="E58" s="16">
        <f t="shared" si="21"/>
        <v>299</v>
      </c>
      <c r="F58" s="16">
        <f t="shared" si="21"/>
        <v>1378</v>
      </c>
      <c r="G58" s="16">
        <f t="shared" si="21"/>
        <v>85</v>
      </c>
      <c r="H58" s="16">
        <f t="shared" si="21"/>
        <v>31</v>
      </c>
      <c r="I58" s="16">
        <f t="shared" si="21"/>
        <v>386</v>
      </c>
      <c r="J58" s="16">
        <f t="shared" si="21"/>
        <v>286</v>
      </c>
      <c r="K58" s="16">
        <f t="shared" si="21"/>
        <v>127</v>
      </c>
      <c r="L58" s="16">
        <f t="shared" si="21"/>
        <v>495</v>
      </c>
      <c r="M58" s="16">
        <f t="shared" si="21"/>
        <v>5062</v>
      </c>
      <c r="N58" s="16">
        <f t="shared" si="21"/>
        <v>2</v>
      </c>
      <c r="O58" s="16">
        <f t="shared" si="21"/>
        <v>4891</v>
      </c>
      <c r="P58" s="16">
        <f t="shared" si="21"/>
        <v>9953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0.13292474630764595</v>
      </c>
      <c r="D59" s="43">
        <f t="shared" si="22"/>
        <v>4.8126193107605748E-2</v>
      </c>
      <c r="E59" s="43">
        <f t="shared" si="22"/>
        <v>3.0041193609966845E-2</v>
      </c>
      <c r="F59" s="43">
        <f t="shared" si="22"/>
        <v>0.13845071837636894</v>
      </c>
      <c r="G59" s="43">
        <f t="shared" si="22"/>
        <v>8.5401386516628149E-3</v>
      </c>
      <c r="H59" s="43">
        <f t="shared" si="22"/>
        <v>3.1146388023711442E-3</v>
      </c>
      <c r="I59" s="43">
        <f t="shared" si="22"/>
        <v>3.8782276700492314E-2</v>
      </c>
      <c r="J59" s="43">
        <f t="shared" si="22"/>
        <v>2.8735054757359591E-2</v>
      </c>
      <c r="K59" s="43">
        <f t="shared" si="22"/>
        <v>1.2759971867778559E-2</v>
      </c>
      <c r="L59" s="43">
        <f t="shared" si="22"/>
        <v>4.9733748618506983E-2</v>
      </c>
      <c r="M59" s="43">
        <f t="shared" si="22"/>
        <v>0.50859037476137847</v>
      </c>
      <c r="N59" s="43">
        <f t="shared" si="22"/>
        <v>2.0094443886265449E-4</v>
      </c>
      <c r="R59" s="8"/>
      <c r="T59"/>
    </row>
    <row r="60" spans="2:20" ht="23.1" customHeight="1" x14ac:dyDescent="0.25">
      <c r="B60" s="42" t="s">
        <v>94</v>
      </c>
      <c r="C60" s="44">
        <f>C58/$O$58</f>
        <v>0.27049683091392351</v>
      </c>
      <c r="D60" s="44">
        <f t="shared" ref="D60:N60" si="23">D58/$O$58</f>
        <v>9.7934982621140865E-2</v>
      </c>
      <c r="E60" s="44">
        <f t="shared" si="23"/>
        <v>6.1132692700879163E-2</v>
      </c>
      <c r="F60" s="44">
        <f t="shared" si="23"/>
        <v>0.28174197505622572</v>
      </c>
      <c r="G60" s="44">
        <f t="shared" si="23"/>
        <v>1.7378859129012471E-2</v>
      </c>
      <c r="H60" s="44">
        <f t="shared" si="23"/>
        <v>6.3381721529339602E-3</v>
      </c>
      <c r="I60" s="44">
        <f t="shared" si="23"/>
        <v>7.8920466162338984E-2</v>
      </c>
      <c r="J60" s="44">
        <f t="shared" si="23"/>
        <v>5.8474749539971373E-2</v>
      </c>
      <c r="K60" s="44">
        <f t="shared" si="23"/>
        <v>2.596606011040687E-2</v>
      </c>
      <c r="L60" s="44">
        <f t="shared" si="23"/>
        <v>0.10120629728071968</v>
      </c>
      <c r="M60" s="44"/>
      <c r="N60" s="44">
        <f t="shared" si="23"/>
        <v>4.0891433244735228E-4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0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1" t="str">
        <f>'3.11 Mbalala-Mukono'!G5:H5</f>
        <v>Perfect tents</v>
      </c>
      <c r="H5" s="62"/>
      <c r="I5" s="14"/>
      <c r="J5" s="2" t="s">
        <v>5</v>
      </c>
      <c r="K5" s="61" t="s">
        <v>172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Mukono-Mbalala'!D6:E6</f>
        <v>Mukono</v>
      </c>
      <c r="E6" s="62"/>
      <c r="F6" s="2" t="s">
        <v>2</v>
      </c>
      <c r="G6" s="61" t="str">
        <f>'29.10 Mukono-Mbalala'!G6:H6</f>
        <v>Mbalala</v>
      </c>
      <c r="H6" s="62"/>
      <c r="J6" s="2" t="s">
        <v>21</v>
      </c>
      <c r="K6" s="61" t="str">
        <f>'3.11 Mbalala-Mukono'!K6:L6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27</v>
      </c>
      <c r="D10" s="50">
        <v>2</v>
      </c>
      <c r="E10" s="50">
        <v>6</v>
      </c>
      <c r="F10" s="50">
        <v>22</v>
      </c>
      <c r="G10" s="50">
        <v>1</v>
      </c>
      <c r="H10" s="50">
        <v>0</v>
      </c>
      <c r="I10" s="50">
        <v>7</v>
      </c>
      <c r="J10" s="50">
        <v>3</v>
      </c>
      <c r="K10" s="50">
        <v>3</v>
      </c>
      <c r="L10" s="50">
        <v>8</v>
      </c>
      <c r="M10" s="50">
        <v>22</v>
      </c>
      <c r="N10" s="50">
        <v>0</v>
      </c>
      <c r="O10" s="15">
        <f t="shared" ref="O10:O57" si="0">SUM(C10:L10,N10)</f>
        <v>79</v>
      </c>
      <c r="P10" s="15">
        <f t="shared" ref="P10:P57" si="1">SUM(C10:N10)</f>
        <v>101</v>
      </c>
      <c r="R10" s="1" t="s">
        <v>6</v>
      </c>
      <c r="S10" s="17">
        <f t="shared" ref="S10:AF10" si="2">SUM(C10:C13)</f>
        <v>100</v>
      </c>
      <c r="T10" s="17">
        <f t="shared" si="2"/>
        <v>13</v>
      </c>
      <c r="U10" s="17">
        <f t="shared" si="2"/>
        <v>23</v>
      </c>
      <c r="V10" s="17">
        <f t="shared" si="2"/>
        <v>105</v>
      </c>
      <c r="W10" s="17">
        <f t="shared" si="2"/>
        <v>6</v>
      </c>
      <c r="X10" s="17">
        <f t="shared" si="2"/>
        <v>3</v>
      </c>
      <c r="Y10" s="17">
        <f t="shared" si="2"/>
        <v>27</v>
      </c>
      <c r="Z10" s="17">
        <f t="shared" si="2"/>
        <v>16</v>
      </c>
      <c r="AA10" s="17">
        <f t="shared" si="2"/>
        <v>15</v>
      </c>
      <c r="AB10" s="17">
        <f t="shared" si="2"/>
        <v>55</v>
      </c>
      <c r="AC10" s="17">
        <f t="shared" si="2"/>
        <v>122</v>
      </c>
      <c r="AD10" s="17">
        <f t="shared" si="2"/>
        <v>0</v>
      </c>
      <c r="AE10" s="31">
        <f t="shared" si="2"/>
        <v>363</v>
      </c>
      <c r="AF10" s="31">
        <f t="shared" si="2"/>
        <v>485</v>
      </c>
    </row>
    <row r="11" spans="2:32" s="6" customFormat="1" ht="23.1" customHeight="1" x14ac:dyDescent="0.25">
      <c r="B11" s="45" t="s">
        <v>38</v>
      </c>
      <c r="C11" s="50">
        <v>21</v>
      </c>
      <c r="D11" s="50">
        <v>4</v>
      </c>
      <c r="E11" s="50">
        <v>5</v>
      </c>
      <c r="F11" s="50">
        <v>26</v>
      </c>
      <c r="G11" s="50">
        <v>2</v>
      </c>
      <c r="H11" s="50">
        <v>1</v>
      </c>
      <c r="I11" s="50">
        <v>4</v>
      </c>
      <c r="J11" s="50">
        <v>6</v>
      </c>
      <c r="K11" s="50">
        <v>8</v>
      </c>
      <c r="L11" s="50">
        <v>15</v>
      </c>
      <c r="M11" s="50">
        <v>27</v>
      </c>
      <c r="N11" s="50">
        <v>0</v>
      </c>
      <c r="O11" s="15">
        <f t="shared" si="0"/>
        <v>92</v>
      </c>
      <c r="P11" s="15">
        <f t="shared" si="1"/>
        <v>119</v>
      </c>
      <c r="R11" s="1" t="s">
        <v>7</v>
      </c>
      <c r="S11" s="17">
        <f t="shared" ref="S11:AF11" si="3">SUM(C14:C17)</f>
        <v>104</v>
      </c>
      <c r="T11" s="17">
        <f t="shared" si="3"/>
        <v>16</v>
      </c>
      <c r="U11" s="17">
        <f t="shared" si="3"/>
        <v>28</v>
      </c>
      <c r="V11" s="17">
        <f t="shared" si="3"/>
        <v>114</v>
      </c>
      <c r="W11" s="17">
        <f t="shared" si="3"/>
        <v>1</v>
      </c>
      <c r="X11" s="17">
        <f t="shared" si="3"/>
        <v>5</v>
      </c>
      <c r="Y11" s="17">
        <f t="shared" si="3"/>
        <v>35</v>
      </c>
      <c r="Z11" s="17">
        <f t="shared" si="3"/>
        <v>15</v>
      </c>
      <c r="AA11" s="17">
        <f t="shared" si="3"/>
        <v>17</v>
      </c>
      <c r="AB11" s="17">
        <f t="shared" si="3"/>
        <v>64</v>
      </c>
      <c r="AC11" s="17">
        <f t="shared" si="3"/>
        <v>162</v>
      </c>
      <c r="AD11" s="17">
        <f t="shared" si="3"/>
        <v>0</v>
      </c>
      <c r="AE11" s="31">
        <f t="shared" si="3"/>
        <v>399</v>
      </c>
      <c r="AF11" s="31">
        <f t="shared" si="3"/>
        <v>561</v>
      </c>
    </row>
    <row r="12" spans="2:32" ht="23.1" customHeight="1" x14ac:dyDescent="0.25">
      <c r="B12" s="45" t="s">
        <v>39</v>
      </c>
      <c r="C12" s="50">
        <v>28</v>
      </c>
      <c r="D12" s="50">
        <v>3</v>
      </c>
      <c r="E12" s="50">
        <v>4</v>
      </c>
      <c r="F12" s="50">
        <v>27</v>
      </c>
      <c r="G12" s="50">
        <v>0</v>
      </c>
      <c r="H12" s="50">
        <v>0</v>
      </c>
      <c r="I12" s="50">
        <v>9</v>
      </c>
      <c r="J12" s="50">
        <v>4</v>
      </c>
      <c r="K12" s="50">
        <v>4</v>
      </c>
      <c r="L12" s="50">
        <v>13</v>
      </c>
      <c r="M12" s="50">
        <v>33</v>
      </c>
      <c r="N12" s="50">
        <v>0</v>
      </c>
      <c r="O12" s="15">
        <f t="shared" si="0"/>
        <v>92</v>
      </c>
      <c r="P12" s="15">
        <f t="shared" si="1"/>
        <v>125</v>
      </c>
      <c r="R12" s="1" t="s">
        <v>8</v>
      </c>
      <c r="S12" s="17">
        <f t="shared" ref="S12:AF12" si="4">SUM(C18:C21)</f>
        <v>134</v>
      </c>
      <c r="T12" s="17">
        <f t="shared" si="4"/>
        <v>28</v>
      </c>
      <c r="U12" s="17">
        <f t="shared" si="4"/>
        <v>25</v>
      </c>
      <c r="V12" s="17">
        <f t="shared" si="4"/>
        <v>112</v>
      </c>
      <c r="W12" s="17">
        <f t="shared" si="4"/>
        <v>3</v>
      </c>
      <c r="X12" s="17">
        <f t="shared" si="4"/>
        <v>0</v>
      </c>
      <c r="Y12" s="17">
        <f t="shared" si="4"/>
        <v>40</v>
      </c>
      <c r="Z12" s="17">
        <f t="shared" si="4"/>
        <v>13</v>
      </c>
      <c r="AA12" s="17">
        <f t="shared" si="4"/>
        <v>6</v>
      </c>
      <c r="AB12" s="17">
        <f t="shared" si="4"/>
        <v>28</v>
      </c>
      <c r="AC12" s="17">
        <f t="shared" si="4"/>
        <v>163</v>
      </c>
      <c r="AD12" s="17">
        <f t="shared" si="4"/>
        <v>0</v>
      </c>
      <c r="AE12" s="31">
        <f t="shared" si="4"/>
        <v>389</v>
      </c>
      <c r="AF12" s="31">
        <f t="shared" si="4"/>
        <v>552</v>
      </c>
    </row>
    <row r="13" spans="2:32" ht="23.1" customHeight="1" x14ac:dyDescent="0.25">
      <c r="B13" s="45" t="s">
        <v>40</v>
      </c>
      <c r="C13" s="50">
        <v>24</v>
      </c>
      <c r="D13" s="50">
        <v>4</v>
      </c>
      <c r="E13" s="50">
        <v>8</v>
      </c>
      <c r="F13" s="50">
        <v>30</v>
      </c>
      <c r="G13" s="50">
        <v>3</v>
      </c>
      <c r="H13" s="50">
        <v>2</v>
      </c>
      <c r="I13" s="50">
        <v>7</v>
      </c>
      <c r="J13" s="50">
        <v>3</v>
      </c>
      <c r="K13" s="50">
        <v>0</v>
      </c>
      <c r="L13" s="50">
        <v>19</v>
      </c>
      <c r="M13" s="50">
        <v>40</v>
      </c>
      <c r="N13" s="50">
        <v>0</v>
      </c>
      <c r="O13" s="15">
        <f t="shared" si="0"/>
        <v>100</v>
      </c>
      <c r="P13" s="15">
        <f t="shared" si="1"/>
        <v>140</v>
      </c>
      <c r="R13" s="1" t="s">
        <v>9</v>
      </c>
      <c r="S13" s="17">
        <f t="shared" ref="S13:AF13" si="5">SUM(C22:C25)</f>
        <v>105</v>
      </c>
      <c r="T13" s="17">
        <f t="shared" si="5"/>
        <v>27</v>
      </c>
      <c r="U13" s="17">
        <f t="shared" si="5"/>
        <v>30</v>
      </c>
      <c r="V13" s="17">
        <f t="shared" si="5"/>
        <v>82</v>
      </c>
      <c r="W13" s="17">
        <f t="shared" si="5"/>
        <v>9</v>
      </c>
      <c r="X13" s="17">
        <f t="shared" si="5"/>
        <v>4</v>
      </c>
      <c r="Y13" s="17">
        <f t="shared" si="5"/>
        <v>19</v>
      </c>
      <c r="Z13" s="17">
        <f t="shared" si="5"/>
        <v>13</v>
      </c>
      <c r="AA13" s="17">
        <f t="shared" si="5"/>
        <v>8</v>
      </c>
      <c r="AB13" s="17">
        <f t="shared" si="5"/>
        <v>16</v>
      </c>
      <c r="AC13" s="17">
        <f t="shared" si="5"/>
        <v>170</v>
      </c>
      <c r="AD13" s="17">
        <f t="shared" si="5"/>
        <v>0</v>
      </c>
      <c r="AE13" s="31">
        <f t="shared" si="5"/>
        <v>313</v>
      </c>
      <c r="AF13" s="31">
        <f t="shared" si="5"/>
        <v>483</v>
      </c>
    </row>
    <row r="14" spans="2:32" ht="23.1" customHeight="1" x14ac:dyDescent="0.25">
      <c r="B14" s="45" t="s">
        <v>41</v>
      </c>
      <c r="C14" s="50">
        <v>35</v>
      </c>
      <c r="D14" s="50">
        <v>4</v>
      </c>
      <c r="E14" s="50">
        <v>4</v>
      </c>
      <c r="F14" s="50">
        <v>23</v>
      </c>
      <c r="G14" s="50">
        <v>1</v>
      </c>
      <c r="H14" s="50">
        <v>0</v>
      </c>
      <c r="I14" s="50">
        <v>12</v>
      </c>
      <c r="J14" s="50">
        <v>6</v>
      </c>
      <c r="K14" s="50">
        <v>4</v>
      </c>
      <c r="L14" s="50">
        <v>18</v>
      </c>
      <c r="M14" s="50">
        <v>42</v>
      </c>
      <c r="N14" s="50">
        <v>0</v>
      </c>
      <c r="O14" s="15">
        <f t="shared" si="0"/>
        <v>107</v>
      </c>
      <c r="P14" s="15">
        <f t="shared" si="1"/>
        <v>149</v>
      </c>
      <c r="R14" s="1" t="s">
        <v>10</v>
      </c>
      <c r="S14" s="17">
        <f t="shared" ref="S14:AF14" si="6">SUM(C26:C29)</f>
        <v>124</v>
      </c>
      <c r="T14" s="17">
        <f t="shared" si="6"/>
        <v>22</v>
      </c>
      <c r="U14" s="17">
        <f t="shared" si="6"/>
        <v>20</v>
      </c>
      <c r="V14" s="17">
        <f t="shared" si="6"/>
        <v>100</v>
      </c>
      <c r="W14" s="17">
        <f t="shared" si="6"/>
        <v>5</v>
      </c>
      <c r="X14" s="17">
        <f t="shared" si="6"/>
        <v>2</v>
      </c>
      <c r="Y14" s="17">
        <f t="shared" si="6"/>
        <v>34</v>
      </c>
      <c r="Z14" s="17">
        <f t="shared" si="6"/>
        <v>20</v>
      </c>
      <c r="AA14" s="17">
        <f t="shared" si="6"/>
        <v>6</v>
      </c>
      <c r="AB14" s="17">
        <f t="shared" si="6"/>
        <v>41</v>
      </c>
      <c r="AC14" s="17">
        <f t="shared" si="6"/>
        <v>164</v>
      </c>
      <c r="AD14" s="17">
        <f t="shared" si="6"/>
        <v>0</v>
      </c>
      <c r="AE14" s="31">
        <f t="shared" si="6"/>
        <v>374</v>
      </c>
      <c r="AF14" s="31">
        <f t="shared" si="6"/>
        <v>538</v>
      </c>
    </row>
    <row r="15" spans="2:32" ht="23.1" customHeight="1" x14ac:dyDescent="0.25">
      <c r="B15" s="45" t="s">
        <v>42</v>
      </c>
      <c r="C15" s="50">
        <v>28</v>
      </c>
      <c r="D15" s="50">
        <v>4</v>
      </c>
      <c r="E15" s="50">
        <v>4</v>
      </c>
      <c r="F15" s="50">
        <v>29</v>
      </c>
      <c r="G15" s="50">
        <v>0</v>
      </c>
      <c r="H15" s="50">
        <v>2</v>
      </c>
      <c r="I15" s="50">
        <v>8</v>
      </c>
      <c r="J15" s="50">
        <v>4</v>
      </c>
      <c r="K15" s="50">
        <v>3</v>
      </c>
      <c r="L15" s="50">
        <v>23</v>
      </c>
      <c r="M15" s="50">
        <v>38</v>
      </c>
      <c r="N15" s="50">
        <v>0</v>
      </c>
      <c r="O15" s="15">
        <f t="shared" si="0"/>
        <v>105</v>
      </c>
      <c r="P15" s="15">
        <f t="shared" si="1"/>
        <v>143</v>
      </c>
      <c r="R15" s="1" t="s">
        <v>11</v>
      </c>
      <c r="S15" s="17">
        <f t="shared" ref="S15:AF15" si="7">SUM(C30:C33)</f>
        <v>131</v>
      </c>
      <c r="T15" s="17">
        <f t="shared" si="7"/>
        <v>28</v>
      </c>
      <c r="U15" s="17">
        <f t="shared" si="7"/>
        <v>27</v>
      </c>
      <c r="V15" s="17">
        <f t="shared" si="7"/>
        <v>111</v>
      </c>
      <c r="W15" s="17">
        <f t="shared" si="7"/>
        <v>3</v>
      </c>
      <c r="X15" s="17">
        <f t="shared" si="7"/>
        <v>2</v>
      </c>
      <c r="Y15" s="17">
        <f t="shared" si="7"/>
        <v>25</v>
      </c>
      <c r="Z15" s="17">
        <f t="shared" si="7"/>
        <v>32</v>
      </c>
      <c r="AA15" s="17">
        <f t="shared" si="7"/>
        <v>11</v>
      </c>
      <c r="AB15" s="17">
        <f t="shared" si="7"/>
        <v>45</v>
      </c>
      <c r="AC15" s="17">
        <f t="shared" si="7"/>
        <v>145</v>
      </c>
      <c r="AD15" s="17">
        <f t="shared" si="7"/>
        <v>0</v>
      </c>
      <c r="AE15" s="31">
        <f t="shared" si="7"/>
        <v>415</v>
      </c>
      <c r="AF15" s="31">
        <f t="shared" si="7"/>
        <v>560</v>
      </c>
    </row>
    <row r="16" spans="2:32" ht="23.1" customHeight="1" x14ac:dyDescent="0.25">
      <c r="B16" s="45" t="s">
        <v>43</v>
      </c>
      <c r="C16" s="50">
        <v>15</v>
      </c>
      <c r="D16" s="50">
        <v>0</v>
      </c>
      <c r="E16" s="50">
        <v>7</v>
      </c>
      <c r="F16" s="50">
        <v>24</v>
      </c>
      <c r="G16" s="50">
        <v>0</v>
      </c>
      <c r="H16" s="50">
        <v>1</v>
      </c>
      <c r="I16" s="50">
        <v>13</v>
      </c>
      <c r="J16" s="50">
        <v>2</v>
      </c>
      <c r="K16" s="50">
        <v>6</v>
      </c>
      <c r="L16" s="50">
        <v>14</v>
      </c>
      <c r="M16" s="50">
        <v>44</v>
      </c>
      <c r="N16" s="50">
        <v>0</v>
      </c>
      <c r="O16" s="15">
        <f t="shared" si="0"/>
        <v>82</v>
      </c>
      <c r="P16" s="15">
        <f t="shared" si="1"/>
        <v>126</v>
      </c>
      <c r="R16" s="1" t="s">
        <v>12</v>
      </c>
      <c r="S16" s="17">
        <f t="shared" ref="S16:AF16" si="8">SUM(C34:C37)</f>
        <v>85</v>
      </c>
      <c r="T16" s="17">
        <f t="shared" si="8"/>
        <v>31</v>
      </c>
      <c r="U16" s="17">
        <f t="shared" si="8"/>
        <v>8</v>
      </c>
      <c r="V16" s="17">
        <f t="shared" si="8"/>
        <v>97</v>
      </c>
      <c r="W16" s="17">
        <f t="shared" si="8"/>
        <v>3</v>
      </c>
      <c r="X16" s="17">
        <f t="shared" si="8"/>
        <v>1</v>
      </c>
      <c r="Y16" s="17">
        <f t="shared" si="8"/>
        <v>17</v>
      </c>
      <c r="Z16" s="17">
        <f t="shared" si="8"/>
        <v>25</v>
      </c>
      <c r="AA16" s="17">
        <f t="shared" si="8"/>
        <v>9</v>
      </c>
      <c r="AB16" s="17">
        <f t="shared" si="8"/>
        <v>52</v>
      </c>
      <c r="AC16" s="17">
        <f t="shared" si="8"/>
        <v>165</v>
      </c>
      <c r="AD16" s="17">
        <f t="shared" si="8"/>
        <v>0</v>
      </c>
      <c r="AE16" s="31">
        <f t="shared" si="8"/>
        <v>328</v>
      </c>
      <c r="AF16" s="31">
        <f t="shared" si="8"/>
        <v>493</v>
      </c>
    </row>
    <row r="17" spans="2:32" ht="23.1" customHeight="1" x14ac:dyDescent="0.25">
      <c r="B17" s="45" t="s">
        <v>44</v>
      </c>
      <c r="C17" s="50">
        <v>26</v>
      </c>
      <c r="D17" s="50">
        <v>8</v>
      </c>
      <c r="E17" s="50">
        <v>13</v>
      </c>
      <c r="F17" s="50">
        <v>38</v>
      </c>
      <c r="G17" s="50">
        <v>0</v>
      </c>
      <c r="H17" s="50">
        <v>2</v>
      </c>
      <c r="I17" s="50">
        <v>2</v>
      </c>
      <c r="J17" s="50">
        <v>3</v>
      </c>
      <c r="K17" s="50">
        <v>4</v>
      </c>
      <c r="L17" s="50">
        <v>9</v>
      </c>
      <c r="M17" s="50">
        <v>38</v>
      </c>
      <c r="N17" s="50">
        <v>0</v>
      </c>
      <c r="O17" s="15">
        <f t="shared" si="0"/>
        <v>105</v>
      </c>
      <c r="P17" s="15">
        <f t="shared" si="1"/>
        <v>143</v>
      </c>
      <c r="R17" s="1" t="s">
        <v>13</v>
      </c>
      <c r="S17" s="17">
        <f t="shared" ref="S17:AF17" si="9">SUM(C38:C41)</f>
        <v>130</v>
      </c>
      <c r="T17" s="17">
        <f t="shared" si="9"/>
        <v>20</v>
      </c>
      <c r="U17" s="17">
        <f t="shared" si="9"/>
        <v>30</v>
      </c>
      <c r="V17" s="17">
        <f t="shared" si="9"/>
        <v>122</v>
      </c>
      <c r="W17" s="17">
        <f t="shared" si="9"/>
        <v>5</v>
      </c>
      <c r="X17" s="17">
        <f t="shared" si="9"/>
        <v>3</v>
      </c>
      <c r="Y17" s="17">
        <f t="shared" si="9"/>
        <v>29</v>
      </c>
      <c r="Z17" s="17">
        <f t="shared" si="9"/>
        <v>30</v>
      </c>
      <c r="AA17" s="17">
        <f t="shared" si="9"/>
        <v>12</v>
      </c>
      <c r="AB17" s="17">
        <f t="shared" si="9"/>
        <v>60</v>
      </c>
      <c r="AC17" s="17">
        <f t="shared" si="9"/>
        <v>113</v>
      </c>
      <c r="AD17" s="17">
        <f t="shared" si="9"/>
        <v>0</v>
      </c>
      <c r="AE17" s="31">
        <f t="shared" si="9"/>
        <v>441</v>
      </c>
      <c r="AF17" s="31">
        <f t="shared" si="9"/>
        <v>554</v>
      </c>
    </row>
    <row r="18" spans="2:32" ht="23.1" customHeight="1" x14ac:dyDescent="0.25">
      <c r="B18" s="45" t="s">
        <v>45</v>
      </c>
      <c r="C18" s="50">
        <v>28</v>
      </c>
      <c r="D18" s="50">
        <v>6</v>
      </c>
      <c r="E18" s="50">
        <v>6</v>
      </c>
      <c r="F18" s="50">
        <v>30</v>
      </c>
      <c r="G18" s="50">
        <v>1</v>
      </c>
      <c r="H18" s="50">
        <v>0</v>
      </c>
      <c r="I18" s="50">
        <v>7</v>
      </c>
      <c r="J18" s="50">
        <v>1</v>
      </c>
      <c r="K18" s="50">
        <v>4</v>
      </c>
      <c r="L18" s="50">
        <v>11</v>
      </c>
      <c r="M18" s="50">
        <v>40</v>
      </c>
      <c r="N18" s="50">
        <v>0</v>
      </c>
      <c r="O18" s="15">
        <f t="shared" si="0"/>
        <v>94</v>
      </c>
      <c r="P18" s="15">
        <f t="shared" si="1"/>
        <v>134</v>
      </c>
      <c r="R18" s="1" t="s">
        <v>14</v>
      </c>
      <c r="S18" s="17">
        <f t="shared" ref="S18:AF18" si="10">SUM(C42:C45)</f>
        <v>117</v>
      </c>
      <c r="T18" s="17">
        <f t="shared" si="10"/>
        <v>15</v>
      </c>
      <c r="U18" s="17">
        <f t="shared" si="10"/>
        <v>16</v>
      </c>
      <c r="V18" s="17">
        <f t="shared" si="10"/>
        <v>86</v>
      </c>
      <c r="W18" s="17">
        <f t="shared" si="10"/>
        <v>6</v>
      </c>
      <c r="X18" s="17">
        <f t="shared" si="10"/>
        <v>2</v>
      </c>
      <c r="Y18" s="17">
        <f t="shared" si="10"/>
        <v>35</v>
      </c>
      <c r="Z18" s="17">
        <f t="shared" si="10"/>
        <v>21</v>
      </c>
      <c r="AA18" s="17">
        <f t="shared" si="10"/>
        <v>10</v>
      </c>
      <c r="AB18" s="17">
        <f t="shared" si="10"/>
        <v>59</v>
      </c>
      <c r="AC18" s="17">
        <f t="shared" si="10"/>
        <v>105</v>
      </c>
      <c r="AD18" s="17">
        <f t="shared" si="10"/>
        <v>0</v>
      </c>
      <c r="AE18" s="31">
        <f t="shared" si="10"/>
        <v>367</v>
      </c>
      <c r="AF18" s="31">
        <f t="shared" si="10"/>
        <v>472</v>
      </c>
    </row>
    <row r="19" spans="2:32" ht="23.1" customHeight="1" x14ac:dyDescent="0.25">
      <c r="B19" s="45" t="s">
        <v>46</v>
      </c>
      <c r="C19" s="50">
        <v>49</v>
      </c>
      <c r="D19" s="50">
        <v>9</v>
      </c>
      <c r="E19" s="50">
        <v>6</v>
      </c>
      <c r="F19" s="50">
        <v>31</v>
      </c>
      <c r="G19" s="50">
        <v>0</v>
      </c>
      <c r="H19" s="50">
        <v>0</v>
      </c>
      <c r="I19" s="50">
        <v>14</v>
      </c>
      <c r="J19" s="50">
        <v>3</v>
      </c>
      <c r="K19" s="50">
        <v>1</v>
      </c>
      <c r="L19" s="50">
        <v>7</v>
      </c>
      <c r="M19" s="50">
        <v>33</v>
      </c>
      <c r="N19" s="50">
        <v>0</v>
      </c>
      <c r="O19" s="15">
        <f t="shared" si="0"/>
        <v>120</v>
      </c>
      <c r="P19" s="15">
        <f t="shared" si="1"/>
        <v>153</v>
      </c>
      <c r="R19" s="1" t="s">
        <v>15</v>
      </c>
      <c r="S19" s="17">
        <f t="shared" ref="S19:AF19" si="11">SUM(C46:C49)</f>
        <v>109</v>
      </c>
      <c r="T19" s="17">
        <f t="shared" si="11"/>
        <v>20</v>
      </c>
      <c r="U19" s="17">
        <f t="shared" si="11"/>
        <v>23</v>
      </c>
      <c r="V19" s="17">
        <f t="shared" si="11"/>
        <v>81</v>
      </c>
      <c r="W19" s="17">
        <f t="shared" si="11"/>
        <v>7</v>
      </c>
      <c r="X19" s="17">
        <f t="shared" si="11"/>
        <v>2</v>
      </c>
      <c r="Y19" s="17">
        <f t="shared" si="11"/>
        <v>29</v>
      </c>
      <c r="Z19" s="17">
        <f t="shared" si="11"/>
        <v>26</v>
      </c>
      <c r="AA19" s="17">
        <f t="shared" si="11"/>
        <v>12</v>
      </c>
      <c r="AB19" s="17">
        <f t="shared" si="11"/>
        <v>163</v>
      </c>
      <c r="AC19" s="17">
        <f t="shared" si="11"/>
        <v>137</v>
      </c>
      <c r="AD19" s="17">
        <f t="shared" si="11"/>
        <v>0</v>
      </c>
      <c r="AE19" s="31">
        <f t="shared" si="11"/>
        <v>472</v>
      </c>
      <c r="AF19" s="31">
        <f t="shared" si="11"/>
        <v>609</v>
      </c>
    </row>
    <row r="20" spans="2:32" ht="23.1" customHeight="1" x14ac:dyDescent="0.25">
      <c r="B20" s="45" t="s">
        <v>47</v>
      </c>
      <c r="C20" s="50">
        <v>27</v>
      </c>
      <c r="D20" s="50">
        <v>9</v>
      </c>
      <c r="E20" s="50">
        <v>8</v>
      </c>
      <c r="F20" s="50">
        <v>29</v>
      </c>
      <c r="G20" s="50">
        <v>1</v>
      </c>
      <c r="H20" s="50">
        <v>0</v>
      </c>
      <c r="I20" s="50">
        <v>10</v>
      </c>
      <c r="J20" s="50">
        <v>3</v>
      </c>
      <c r="K20" s="50">
        <v>0</v>
      </c>
      <c r="L20" s="50">
        <v>6</v>
      </c>
      <c r="M20" s="50">
        <v>51</v>
      </c>
      <c r="N20" s="50">
        <v>0</v>
      </c>
      <c r="O20" s="15">
        <f t="shared" si="0"/>
        <v>93</v>
      </c>
      <c r="P20" s="15">
        <f t="shared" si="1"/>
        <v>144</v>
      </c>
      <c r="R20" s="1" t="s">
        <v>16</v>
      </c>
      <c r="S20" s="17">
        <f t="shared" ref="S20:AF20" si="12">SUM(C50:C53)</f>
        <v>124</v>
      </c>
      <c r="T20" s="17">
        <f t="shared" si="12"/>
        <v>17</v>
      </c>
      <c r="U20" s="17">
        <f t="shared" si="12"/>
        <v>22</v>
      </c>
      <c r="V20" s="17">
        <f t="shared" si="12"/>
        <v>88</v>
      </c>
      <c r="W20" s="17">
        <f t="shared" si="12"/>
        <v>4</v>
      </c>
      <c r="X20" s="17">
        <f t="shared" si="12"/>
        <v>3</v>
      </c>
      <c r="Y20" s="17">
        <f t="shared" si="12"/>
        <v>29</v>
      </c>
      <c r="Z20" s="17">
        <f t="shared" si="12"/>
        <v>29</v>
      </c>
      <c r="AA20" s="17">
        <f t="shared" si="12"/>
        <v>17</v>
      </c>
      <c r="AB20" s="17">
        <f t="shared" si="12"/>
        <v>66</v>
      </c>
      <c r="AC20" s="17">
        <f t="shared" si="12"/>
        <v>166</v>
      </c>
      <c r="AD20" s="17">
        <f t="shared" si="12"/>
        <v>0</v>
      </c>
      <c r="AE20" s="31">
        <f t="shared" si="12"/>
        <v>399</v>
      </c>
      <c r="AF20" s="31">
        <f t="shared" si="12"/>
        <v>565</v>
      </c>
    </row>
    <row r="21" spans="2:32" ht="23.1" customHeight="1" x14ac:dyDescent="0.25">
      <c r="B21" s="45" t="s">
        <v>48</v>
      </c>
      <c r="C21" s="50">
        <v>30</v>
      </c>
      <c r="D21" s="50">
        <v>4</v>
      </c>
      <c r="E21" s="50">
        <v>5</v>
      </c>
      <c r="F21" s="50">
        <v>22</v>
      </c>
      <c r="G21" s="50">
        <v>1</v>
      </c>
      <c r="H21" s="50">
        <v>0</v>
      </c>
      <c r="I21" s="50">
        <v>9</v>
      </c>
      <c r="J21" s="50">
        <v>6</v>
      </c>
      <c r="K21" s="50">
        <v>1</v>
      </c>
      <c r="L21" s="50">
        <v>4</v>
      </c>
      <c r="M21" s="50">
        <v>39</v>
      </c>
      <c r="N21" s="50">
        <v>0</v>
      </c>
      <c r="O21" s="15">
        <f t="shared" si="0"/>
        <v>82</v>
      </c>
      <c r="P21" s="15">
        <f t="shared" si="1"/>
        <v>121</v>
      </c>
      <c r="R21" s="36" t="s">
        <v>20</v>
      </c>
      <c r="S21" s="34">
        <f t="shared" ref="S21:AF21" si="13">SUM(C54:C57)</f>
        <v>129</v>
      </c>
      <c r="T21" s="17">
        <f t="shared" si="13"/>
        <v>8</v>
      </c>
      <c r="U21" s="17">
        <f t="shared" si="13"/>
        <v>18</v>
      </c>
      <c r="V21" s="17">
        <f t="shared" si="13"/>
        <v>77</v>
      </c>
      <c r="W21" s="17">
        <f t="shared" si="13"/>
        <v>7</v>
      </c>
      <c r="X21" s="17">
        <f t="shared" si="13"/>
        <v>2</v>
      </c>
      <c r="Y21" s="17">
        <f t="shared" si="13"/>
        <v>17</v>
      </c>
      <c r="Z21" s="17">
        <f t="shared" si="13"/>
        <v>27</v>
      </c>
      <c r="AA21" s="17">
        <f t="shared" si="13"/>
        <v>20</v>
      </c>
      <c r="AB21" s="17">
        <f t="shared" si="13"/>
        <v>79</v>
      </c>
      <c r="AC21" s="17">
        <f t="shared" si="13"/>
        <v>180</v>
      </c>
      <c r="AD21" s="17">
        <f t="shared" si="13"/>
        <v>0</v>
      </c>
      <c r="AE21" s="31">
        <f t="shared" si="13"/>
        <v>384</v>
      </c>
      <c r="AF21" s="31">
        <f t="shared" si="13"/>
        <v>564</v>
      </c>
    </row>
    <row r="22" spans="2:32" ht="23.1" customHeight="1" x14ac:dyDescent="0.25">
      <c r="B22" s="45" t="s">
        <v>49</v>
      </c>
      <c r="C22" s="50">
        <v>38</v>
      </c>
      <c r="D22" s="50">
        <v>9</v>
      </c>
      <c r="E22" s="50">
        <v>10</v>
      </c>
      <c r="F22" s="50">
        <v>19</v>
      </c>
      <c r="G22" s="50">
        <v>2</v>
      </c>
      <c r="H22" s="50">
        <v>1</v>
      </c>
      <c r="I22" s="50">
        <v>7</v>
      </c>
      <c r="J22" s="50">
        <v>4</v>
      </c>
      <c r="K22" s="50">
        <v>1</v>
      </c>
      <c r="L22" s="50">
        <v>2</v>
      </c>
      <c r="M22" s="50">
        <v>47</v>
      </c>
      <c r="N22" s="50">
        <v>0</v>
      </c>
      <c r="O22" s="15">
        <f t="shared" si="0"/>
        <v>93</v>
      </c>
      <c r="P22" s="15">
        <f t="shared" si="1"/>
        <v>140</v>
      </c>
      <c r="R22" s="36" t="s">
        <v>146</v>
      </c>
      <c r="S22" s="34">
        <f>SUM(C58:C61)</f>
        <v>103</v>
      </c>
      <c r="T22" s="34">
        <f t="shared" ref="T22:AF22" si="14">SUM(D58:D61)</f>
        <v>19</v>
      </c>
      <c r="U22" s="34">
        <f t="shared" si="14"/>
        <v>23</v>
      </c>
      <c r="V22" s="34">
        <f t="shared" si="14"/>
        <v>90</v>
      </c>
      <c r="W22" s="34">
        <f t="shared" si="14"/>
        <v>4</v>
      </c>
      <c r="X22" s="34">
        <f t="shared" si="14"/>
        <v>0</v>
      </c>
      <c r="Y22" s="34">
        <f t="shared" si="14"/>
        <v>29</v>
      </c>
      <c r="Z22" s="34">
        <f t="shared" si="14"/>
        <v>26</v>
      </c>
      <c r="AA22" s="34">
        <f t="shared" si="14"/>
        <v>20</v>
      </c>
      <c r="AB22" s="34">
        <f t="shared" si="14"/>
        <v>63</v>
      </c>
      <c r="AC22" s="34">
        <f t="shared" si="14"/>
        <v>161</v>
      </c>
      <c r="AD22" s="34">
        <f t="shared" si="14"/>
        <v>0</v>
      </c>
      <c r="AE22" s="31">
        <f t="shared" si="14"/>
        <v>377</v>
      </c>
      <c r="AF22" s="31">
        <f t="shared" si="14"/>
        <v>538</v>
      </c>
    </row>
    <row r="23" spans="2:32" ht="23.1" customHeight="1" x14ac:dyDescent="0.25">
      <c r="B23" s="45" t="s">
        <v>50</v>
      </c>
      <c r="C23" s="50">
        <v>22</v>
      </c>
      <c r="D23" s="50">
        <v>7</v>
      </c>
      <c r="E23" s="50">
        <v>6</v>
      </c>
      <c r="F23" s="50">
        <v>15</v>
      </c>
      <c r="G23" s="50">
        <v>1</v>
      </c>
      <c r="H23" s="50">
        <v>1</v>
      </c>
      <c r="I23" s="50">
        <v>2</v>
      </c>
      <c r="J23" s="50">
        <v>3</v>
      </c>
      <c r="K23" s="50">
        <v>1</v>
      </c>
      <c r="L23" s="50">
        <v>6</v>
      </c>
      <c r="M23" s="50">
        <v>44</v>
      </c>
      <c r="N23" s="50">
        <v>0</v>
      </c>
      <c r="O23" s="15">
        <f t="shared" si="0"/>
        <v>64</v>
      </c>
      <c r="P23" s="15">
        <f t="shared" si="1"/>
        <v>108</v>
      </c>
      <c r="R23" s="36" t="s">
        <v>147</v>
      </c>
      <c r="S23" s="34">
        <f>SUM(C62:C65)</f>
        <v>101</v>
      </c>
      <c r="T23" s="34">
        <f t="shared" ref="T23:AF23" si="15">SUM(D62:D65)</f>
        <v>17</v>
      </c>
      <c r="U23" s="34">
        <f t="shared" si="15"/>
        <v>17</v>
      </c>
      <c r="V23" s="34">
        <f t="shared" si="15"/>
        <v>74</v>
      </c>
      <c r="W23" s="34">
        <f t="shared" si="15"/>
        <v>3</v>
      </c>
      <c r="X23" s="34">
        <f t="shared" si="15"/>
        <v>1</v>
      </c>
      <c r="Y23" s="34">
        <f t="shared" si="15"/>
        <v>29</v>
      </c>
      <c r="Z23" s="34">
        <f t="shared" si="15"/>
        <v>28</v>
      </c>
      <c r="AA23" s="34">
        <f t="shared" si="15"/>
        <v>34</v>
      </c>
      <c r="AB23" s="34">
        <f t="shared" si="15"/>
        <v>78</v>
      </c>
      <c r="AC23" s="34">
        <f t="shared" si="15"/>
        <v>128</v>
      </c>
      <c r="AD23" s="34">
        <f t="shared" si="15"/>
        <v>0</v>
      </c>
      <c r="AE23" s="31">
        <f t="shared" si="15"/>
        <v>382</v>
      </c>
      <c r="AF23" s="31">
        <f t="shared" si="15"/>
        <v>510</v>
      </c>
    </row>
    <row r="24" spans="2:32" ht="23.1" customHeight="1" x14ac:dyDescent="0.25">
      <c r="B24" s="45" t="s">
        <v>51</v>
      </c>
      <c r="C24" s="50">
        <v>17</v>
      </c>
      <c r="D24" s="50">
        <v>3</v>
      </c>
      <c r="E24" s="50">
        <v>9</v>
      </c>
      <c r="F24" s="50">
        <v>17</v>
      </c>
      <c r="G24" s="50">
        <v>3</v>
      </c>
      <c r="H24" s="50">
        <v>1</v>
      </c>
      <c r="I24" s="50">
        <v>6</v>
      </c>
      <c r="J24" s="50">
        <v>3</v>
      </c>
      <c r="K24" s="50">
        <v>0</v>
      </c>
      <c r="L24" s="50">
        <v>3</v>
      </c>
      <c r="M24" s="50">
        <v>36</v>
      </c>
      <c r="N24" s="50">
        <v>0</v>
      </c>
      <c r="O24" s="15">
        <f t="shared" si="0"/>
        <v>62</v>
      </c>
      <c r="P24" s="15">
        <f t="shared" si="1"/>
        <v>98</v>
      </c>
      <c r="R24" s="36" t="s">
        <v>148</v>
      </c>
      <c r="S24" s="34">
        <f>SUM(C66:C69)</f>
        <v>63</v>
      </c>
      <c r="T24" s="34">
        <f t="shared" ref="T24:AF24" si="16">SUM(D66:D69)</f>
        <v>14</v>
      </c>
      <c r="U24" s="34">
        <f t="shared" si="16"/>
        <v>9</v>
      </c>
      <c r="V24" s="34">
        <f t="shared" si="16"/>
        <v>55</v>
      </c>
      <c r="W24" s="34">
        <f t="shared" si="16"/>
        <v>1</v>
      </c>
      <c r="X24" s="34">
        <f t="shared" si="16"/>
        <v>2</v>
      </c>
      <c r="Y24" s="34">
        <f t="shared" si="16"/>
        <v>20</v>
      </c>
      <c r="Z24" s="34">
        <f t="shared" si="16"/>
        <v>26</v>
      </c>
      <c r="AA24" s="34">
        <f t="shared" si="16"/>
        <v>28</v>
      </c>
      <c r="AB24" s="34">
        <f t="shared" si="16"/>
        <v>50</v>
      </c>
      <c r="AC24" s="34">
        <f t="shared" si="16"/>
        <v>88</v>
      </c>
      <c r="AD24" s="34">
        <f t="shared" si="16"/>
        <v>0</v>
      </c>
      <c r="AE24" s="31">
        <f t="shared" si="16"/>
        <v>268</v>
      </c>
      <c r="AF24" s="31">
        <f t="shared" si="16"/>
        <v>356</v>
      </c>
    </row>
    <row r="25" spans="2:32" ht="23.1" customHeight="1" x14ac:dyDescent="0.25">
      <c r="B25" s="45" t="s">
        <v>52</v>
      </c>
      <c r="C25" s="50">
        <v>28</v>
      </c>
      <c r="D25" s="50">
        <v>8</v>
      </c>
      <c r="E25" s="50">
        <v>5</v>
      </c>
      <c r="F25" s="50">
        <v>31</v>
      </c>
      <c r="G25" s="50">
        <v>3</v>
      </c>
      <c r="H25" s="50">
        <v>1</v>
      </c>
      <c r="I25" s="50">
        <v>4</v>
      </c>
      <c r="J25" s="50">
        <v>3</v>
      </c>
      <c r="K25" s="50">
        <v>6</v>
      </c>
      <c r="L25" s="50">
        <v>5</v>
      </c>
      <c r="M25" s="50">
        <v>43</v>
      </c>
      <c r="N25" s="50">
        <v>0</v>
      </c>
      <c r="O25" s="15">
        <f t="shared" si="0"/>
        <v>94</v>
      </c>
      <c r="P25" s="15">
        <f t="shared" si="1"/>
        <v>137</v>
      </c>
      <c r="R25" s="36" t="s">
        <v>149</v>
      </c>
      <c r="S25" s="34">
        <f>SUM(C70:C73)</f>
        <v>28</v>
      </c>
      <c r="T25" s="34">
        <f t="shared" ref="T25:AF25" si="17">SUM(D70:D73)</f>
        <v>6</v>
      </c>
      <c r="U25" s="34">
        <f t="shared" si="17"/>
        <v>7</v>
      </c>
      <c r="V25" s="34">
        <f t="shared" si="17"/>
        <v>13</v>
      </c>
      <c r="W25" s="34">
        <f t="shared" si="17"/>
        <v>2</v>
      </c>
      <c r="X25" s="34">
        <f t="shared" si="17"/>
        <v>2</v>
      </c>
      <c r="Y25" s="34">
        <f t="shared" si="17"/>
        <v>5</v>
      </c>
      <c r="Z25" s="34">
        <f t="shared" si="17"/>
        <v>13</v>
      </c>
      <c r="AA25" s="34">
        <f t="shared" si="17"/>
        <v>12</v>
      </c>
      <c r="AB25" s="34">
        <f t="shared" si="17"/>
        <v>44</v>
      </c>
      <c r="AC25" s="34">
        <f t="shared" si="17"/>
        <v>15</v>
      </c>
      <c r="AD25" s="34">
        <f t="shared" si="17"/>
        <v>0</v>
      </c>
      <c r="AE25" s="31">
        <f t="shared" si="17"/>
        <v>132</v>
      </c>
      <c r="AF25" s="31">
        <f t="shared" si="17"/>
        <v>147</v>
      </c>
    </row>
    <row r="26" spans="2:32" ht="23.1" customHeight="1" x14ac:dyDescent="0.25">
      <c r="B26" s="45" t="s">
        <v>53</v>
      </c>
      <c r="C26" s="50">
        <v>37</v>
      </c>
      <c r="D26" s="50">
        <v>6</v>
      </c>
      <c r="E26" s="50">
        <v>8</v>
      </c>
      <c r="F26" s="50">
        <v>26</v>
      </c>
      <c r="G26" s="50">
        <v>1</v>
      </c>
      <c r="H26" s="50">
        <v>2</v>
      </c>
      <c r="I26" s="50">
        <v>11</v>
      </c>
      <c r="J26" s="50">
        <v>5</v>
      </c>
      <c r="K26" s="50">
        <v>1</v>
      </c>
      <c r="L26" s="50">
        <v>13</v>
      </c>
      <c r="M26" s="50">
        <v>44</v>
      </c>
      <c r="N26" s="50">
        <v>0</v>
      </c>
      <c r="O26" s="15">
        <f t="shared" si="0"/>
        <v>110</v>
      </c>
      <c r="P26" s="15">
        <f t="shared" si="1"/>
        <v>154</v>
      </c>
      <c r="R26" s="36" t="s">
        <v>150</v>
      </c>
      <c r="S26" s="34">
        <f>SUM(C74:C77)</f>
        <v>25</v>
      </c>
      <c r="T26" s="34">
        <f t="shared" ref="T26:AF26" si="18">SUM(D74:D77)</f>
        <v>7</v>
      </c>
      <c r="U26" s="34">
        <f t="shared" si="18"/>
        <v>4</v>
      </c>
      <c r="V26" s="34">
        <f t="shared" si="18"/>
        <v>18</v>
      </c>
      <c r="W26" s="34">
        <f t="shared" si="18"/>
        <v>4</v>
      </c>
      <c r="X26" s="34">
        <f t="shared" si="18"/>
        <v>2</v>
      </c>
      <c r="Y26" s="34">
        <f t="shared" si="18"/>
        <v>6</v>
      </c>
      <c r="Z26" s="34">
        <f t="shared" si="18"/>
        <v>16</v>
      </c>
      <c r="AA26" s="34">
        <f t="shared" si="18"/>
        <v>7</v>
      </c>
      <c r="AB26" s="34">
        <f t="shared" si="18"/>
        <v>35</v>
      </c>
      <c r="AC26" s="34">
        <f t="shared" si="18"/>
        <v>10</v>
      </c>
      <c r="AD26" s="34">
        <f t="shared" si="18"/>
        <v>0</v>
      </c>
      <c r="AE26" s="31">
        <f t="shared" si="18"/>
        <v>124</v>
      </c>
      <c r="AF26" s="31">
        <f t="shared" si="18"/>
        <v>134</v>
      </c>
    </row>
    <row r="27" spans="2:32" ht="23.1" customHeight="1" x14ac:dyDescent="0.25">
      <c r="B27" s="45" t="s">
        <v>54</v>
      </c>
      <c r="C27" s="50">
        <v>32</v>
      </c>
      <c r="D27" s="50">
        <v>6</v>
      </c>
      <c r="E27" s="50">
        <v>4</v>
      </c>
      <c r="F27" s="50">
        <v>31</v>
      </c>
      <c r="G27" s="50">
        <v>1</v>
      </c>
      <c r="H27" s="50">
        <v>0</v>
      </c>
      <c r="I27" s="50">
        <v>5</v>
      </c>
      <c r="J27" s="50">
        <v>3</v>
      </c>
      <c r="K27" s="50">
        <v>2</v>
      </c>
      <c r="L27" s="50">
        <v>8</v>
      </c>
      <c r="M27" s="50">
        <v>51</v>
      </c>
      <c r="N27" s="50">
        <v>0</v>
      </c>
      <c r="O27" s="15">
        <f t="shared" si="0"/>
        <v>92</v>
      </c>
      <c r="P27" s="15">
        <f t="shared" si="1"/>
        <v>143</v>
      </c>
      <c r="R27" s="36" t="s">
        <v>151</v>
      </c>
      <c r="S27" s="34">
        <f>SUM(C78:C81)</f>
        <v>19</v>
      </c>
      <c r="T27" s="34">
        <f t="shared" ref="T27:AF27" si="19">SUM(D78:D81)</f>
        <v>3</v>
      </c>
      <c r="U27" s="34">
        <f t="shared" si="19"/>
        <v>7</v>
      </c>
      <c r="V27" s="34">
        <f t="shared" si="19"/>
        <v>5</v>
      </c>
      <c r="W27" s="34">
        <f t="shared" si="19"/>
        <v>3</v>
      </c>
      <c r="X27" s="34">
        <f t="shared" si="19"/>
        <v>7</v>
      </c>
      <c r="Y27" s="34">
        <f t="shared" si="19"/>
        <v>7</v>
      </c>
      <c r="Z27" s="34">
        <f t="shared" si="19"/>
        <v>16</v>
      </c>
      <c r="AA27" s="34">
        <f t="shared" si="19"/>
        <v>11</v>
      </c>
      <c r="AB27" s="34">
        <f t="shared" si="19"/>
        <v>38</v>
      </c>
      <c r="AC27" s="34">
        <f t="shared" si="19"/>
        <v>4</v>
      </c>
      <c r="AD27" s="34">
        <f t="shared" si="19"/>
        <v>0</v>
      </c>
      <c r="AE27" s="31">
        <f t="shared" si="19"/>
        <v>116</v>
      </c>
      <c r="AF27" s="31">
        <f t="shared" si="19"/>
        <v>120</v>
      </c>
    </row>
    <row r="28" spans="2:32" ht="23.1" customHeight="1" x14ac:dyDescent="0.25">
      <c r="B28" s="45" t="s">
        <v>55</v>
      </c>
      <c r="C28" s="50">
        <v>23</v>
      </c>
      <c r="D28" s="50">
        <v>6</v>
      </c>
      <c r="E28" s="50">
        <v>4</v>
      </c>
      <c r="F28" s="50">
        <v>27</v>
      </c>
      <c r="G28" s="50">
        <v>1</v>
      </c>
      <c r="H28" s="50">
        <v>0</v>
      </c>
      <c r="I28" s="50">
        <v>10</v>
      </c>
      <c r="J28" s="50">
        <v>5</v>
      </c>
      <c r="K28" s="50">
        <v>2</v>
      </c>
      <c r="L28" s="50">
        <v>12</v>
      </c>
      <c r="M28" s="50">
        <v>27</v>
      </c>
      <c r="N28" s="50">
        <v>0</v>
      </c>
      <c r="O28" s="15">
        <f t="shared" si="0"/>
        <v>90</v>
      </c>
      <c r="P28" s="15">
        <f t="shared" si="1"/>
        <v>117</v>
      </c>
      <c r="R28" s="36" t="s">
        <v>152</v>
      </c>
      <c r="S28" s="34">
        <f>SUM(C82:C85)</f>
        <v>2</v>
      </c>
      <c r="T28" s="34">
        <f t="shared" ref="T28:AF28" si="20">SUM(D82:D85)</f>
        <v>2</v>
      </c>
      <c r="U28" s="34">
        <f t="shared" si="20"/>
        <v>3</v>
      </c>
      <c r="V28" s="34">
        <f t="shared" si="20"/>
        <v>6</v>
      </c>
      <c r="W28" s="34">
        <f t="shared" si="20"/>
        <v>2</v>
      </c>
      <c r="X28" s="34">
        <f t="shared" si="20"/>
        <v>3</v>
      </c>
      <c r="Y28" s="34">
        <f t="shared" si="20"/>
        <v>9</v>
      </c>
      <c r="Z28" s="34">
        <f t="shared" si="20"/>
        <v>24</v>
      </c>
      <c r="AA28" s="34">
        <f t="shared" si="20"/>
        <v>5</v>
      </c>
      <c r="AB28" s="34">
        <f t="shared" si="20"/>
        <v>30</v>
      </c>
      <c r="AC28" s="34">
        <f t="shared" si="20"/>
        <v>0</v>
      </c>
      <c r="AD28" s="34">
        <f t="shared" si="20"/>
        <v>0</v>
      </c>
      <c r="AE28" s="31">
        <f t="shared" si="20"/>
        <v>86</v>
      </c>
      <c r="AF28" s="31">
        <f t="shared" si="20"/>
        <v>86</v>
      </c>
    </row>
    <row r="29" spans="2:32" ht="23.1" customHeight="1" x14ac:dyDescent="0.25">
      <c r="B29" s="45" t="s">
        <v>56</v>
      </c>
      <c r="C29" s="50">
        <v>32</v>
      </c>
      <c r="D29" s="50">
        <v>4</v>
      </c>
      <c r="E29" s="50">
        <v>4</v>
      </c>
      <c r="F29" s="50">
        <v>16</v>
      </c>
      <c r="G29" s="50">
        <v>2</v>
      </c>
      <c r="H29" s="50">
        <v>0</v>
      </c>
      <c r="I29" s="50">
        <v>8</v>
      </c>
      <c r="J29" s="50">
        <v>7</v>
      </c>
      <c r="K29" s="50">
        <v>1</v>
      </c>
      <c r="L29" s="50">
        <v>8</v>
      </c>
      <c r="M29" s="50">
        <v>42</v>
      </c>
      <c r="N29" s="50">
        <v>0</v>
      </c>
      <c r="O29" s="15">
        <f t="shared" si="0"/>
        <v>82</v>
      </c>
      <c r="P29" s="15">
        <f t="shared" si="1"/>
        <v>124</v>
      </c>
      <c r="R29" s="36" t="s">
        <v>153</v>
      </c>
      <c r="S29" s="34">
        <f>SUM(C86:C89)</f>
        <v>8</v>
      </c>
      <c r="T29" s="34">
        <f t="shared" ref="T29:AF29" si="21">SUM(D86:D89)</f>
        <v>3</v>
      </c>
      <c r="U29" s="34">
        <f t="shared" si="21"/>
        <v>7</v>
      </c>
      <c r="V29" s="34">
        <f t="shared" si="21"/>
        <v>4</v>
      </c>
      <c r="W29" s="34">
        <f t="shared" si="21"/>
        <v>0</v>
      </c>
      <c r="X29" s="34">
        <f t="shared" si="21"/>
        <v>1</v>
      </c>
      <c r="Y29" s="34">
        <f t="shared" si="21"/>
        <v>11</v>
      </c>
      <c r="Z29" s="34">
        <f t="shared" si="21"/>
        <v>14</v>
      </c>
      <c r="AA29" s="34">
        <f t="shared" si="21"/>
        <v>5</v>
      </c>
      <c r="AB29" s="34">
        <f t="shared" si="21"/>
        <v>31</v>
      </c>
      <c r="AC29" s="34">
        <f t="shared" si="21"/>
        <v>3</v>
      </c>
      <c r="AD29" s="34">
        <f t="shared" si="21"/>
        <v>0</v>
      </c>
      <c r="AE29" s="31">
        <f t="shared" si="21"/>
        <v>84</v>
      </c>
      <c r="AF29" s="31">
        <f t="shared" si="21"/>
        <v>87</v>
      </c>
    </row>
    <row r="30" spans="2:32" ht="23.1" customHeight="1" x14ac:dyDescent="0.25">
      <c r="B30" s="45" t="s">
        <v>57</v>
      </c>
      <c r="C30" s="50">
        <v>38</v>
      </c>
      <c r="D30" s="50">
        <v>7</v>
      </c>
      <c r="E30" s="50">
        <v>4</v>
      </c>
      <c r="F30" s="50">
        <v>28</v>
      </c>
      <c r="G30" s="50">
        <v>1</v>
      </c>
      <c r="H30" s="50">
        <v>0</v>
      </c>
      <c r="I30" s="50">
        <v>10</v>
      </c>
      <c r="J30" s="50">
        <v>12</v>
      </c>
      <c r="K30" s="50">
        <v>0</v>
      </c>
      <c r="L30" s="50">
        <v>15</v>
      </c>
      <c r="M30" s="50">
        <v>39</v>
      </c>
      <c r="N30" s="50">
        <v>0</v>
      </c>
      <c r="O30" s="15">
        <f t="shared" si="0"/>
        <v>115</v>
      </c>
      <c r="P30" s="15">
        <f t="shared" si="1"/>
        <v>154</v>
      </c>
      <c r="R30" s="36" t="s">
        <v>154</v>
      </c>
      <c r="S30" s="34">
        <f>SUM(C90:C93)</f>
        <v>5</v>
      </c>
      <c r="T30" s="34">
        <f t="shared" ref="T30:AF30" si="22">SUM(D90:D93)</f>
        <v>3</v>
      </c>
      <c r="U30" s="34">
        <f t="shared" si="22"/>
        <v>5</v>
      </c>
      <c r="V30" s="34">
        <f t="shared" si="22"/>
        <v>7</v>
      </c>
      <c r="W30" s="34">
        <f t="shared" si="22"/>
        <v>0</v>
      </c>
      <c r="X30" s="34">
        <f t="shared" si="22"/>
        <v>0</v>
      </c>
      <c r="Y30" s="34">
        <f t="shared" si="22"/>
        <v>10</v>
      </c>
      <c r="Z30" s="34">
        <f t="shared" si="22"/>
        <v>15</v>
      </c>
      <c r="AA30" s="34">
        <f t="shared" si="22"/>
        <v>5</v>
      </c>
      <c r="AB30" s="34">
        <f t="shared" si="22"/>
        <v>29</v>
      </c>
      <c r="AC30" s="34">
        <f t="shared" si="22"/>
        <v>1</v>
      </c>
      <c r="AD30" s="34">
        <f t="shared" si="22"/>
        <v>0</v>
      </c>
      <c r="AE30" s="31">
        <f t="shared" si="22"/>
        <v>79</v>
      </c>
      <c r="AF30" s="31">
        <f t="shared" si="22"/>
        <v>80</v>
      </c>
    </row>
    <row r="31" spans="2:32" ht="23.1" customHeight="1" x14ac:dyDescent="0.25">
      <c r="B31" s="46" t="s">
        <v>58</v>
      </c>
      <c r="C31" s="50">
        <v>24</v>
      </c>
      <c r="D31" s="50">
        <v>4</v>
      </c>
      <c r="E31" s="50">
        <v>6</v>
      </c>
      <c r="F31" s="50">
        <v>24</v>
      </c>
      <c r="G31" s="50">
        <v>1</v>
      </c>
      <c r="H31" s="50">
        <v>1</v>
      </c>
      <c r="I31" s="50">
        <v>6</v>
      </c>
      <c r="J31" s="50">
        <v>4</v>
      </c>
      <c r="K31" s="50">
        <v>2</v>
      </c>
      <c r="L31" s="50">
        <v>9</v>
      </c>
      <c r="M31" s="50">
        <v>38</v>
      </c>
      <c r="N31" s="50">
        <v>0</v>
      </c>
      <c r="O31" s="15">
        <f t="shared" si="0"/>
        <v>81</v>
      </c>
      <c r="P31" s="15">
        <f t="shared" si="1"/>
        <v>119</v>
      </c>
      <c r="R31" s="36" t="s">
        <v>155</v>
      </c>
      <c r="S31" s="34">
        <f>SUM(C94:C97)</f>
        <v>10</v>
      </c>
      <c r="T31" s="34">
        <f t="shared" ref="T31:AF31" si="23">SUM(D94:D97)</f>
        <v>7</v>
      </c>
      <c r="U31" s="34">
        <f t="shared" si="23"/>
        <v>5</v>
      </c>
      <c r="V31" s="34">
        <f t="shared" si="23"/>
        <v>10</v>
      </c>
      <c r="W31" s="34">
        <f t="shared" si="23"/>
        <v>0</v>
      </c>
      <c r="X31" s="34">
        <f t="shared" si="23"/>
        <v>3</v>
      </c>
      <c r="Y31" s="34">
        <f t="shared" si="23"/>
        <v>13</v>
      </c>
      <c r="Z31" s="34">
        <f t="shared" si="23"/>
        <v>28</v>
      </c>
      <c r="AA31" s="34">
        <f t="shared" si="23"/>
        <v>7</v>
      </c>
      <c r="AB31" s="34">
        <f t="shared" si="23"/>
        <v>48</v>
      </c>
      <c r="AC31" s="34">
        <f t="shared" si="23"/>
        <v>4</v>
      </c>
      <c r="AD31" s="34">
        <f t="shared" si="23"/>
        <v>0</v>
      </c>
      <c r="AE31" s="31">
        <f t="shared" si="23"/>
        <v>131</v>
      </c>
      <c r="AF31" s="31">
        <f t="shared" si="23"/>
        <v>135</v>
      </c>
    </row>
    <row r="32" spans="2:32" ht="23.1" customHeight="1" x14ac:dyDescent="0.25">
      <c r="B32" s="46" t="s">
        <v>59</v>
      </c>
      <c r="C32" s="50">
        <v>36</v>
      </c>
      <c r="D32" s="50">
        <v>8</v>
      </c>
      <c r="E32" s="50">
        <v>9</v>
      </c>
      <c r="F32" s="50">
        <v>32</v>
      </c>
      <c r="G32" s="50">
        <v>0</v>
      </c>
      <c r="H32" s="50">
        <v>0</v>
      </c>
      <c r="I32" s="50">
        <v>4</v>
      </c>
      <c r="J32" s="50">
        <v>6</v>
      </c>
      <c r="K32" s="50">
        <v>5</v>
      </c>
      <c r="L32" s="50">
        <v>11</v>
      </c>
      <c r="M32" s="50">
        <v>32</v>
      </c>
      <c r="N32" s="50">
        <v>0</v>
      </c>
      <c r="O32" s="15">
        <f t="shared" si="0"/>
        <v>111</v>
      </c>
      <c r="P32" s="15">
        <f t="shared" si="1"/>
        <v>143</v>
      </c>
      <c r="R32" s="33" t="s">
        <v>156</v>
      </c>
      <c r="S32" s="34">
        <f>SUM(C98:C101)</f>
        <v>31</v>
      </c>
      <c r="T32" s="34">
        <f t="shared" ref="T32:AF32" si="24">SUM(D98:D101)</f>
        <v>3</v>
      </c>
      <c r="U32" s="34">
        <f t="shared" si="24"/>
        <v>4</v>
      </c>
      <c r="V32" s="34">
        <f t="shared" si="24"/>
        <v>25</v>
      </c>
      <c r="W32" s="34">
        <f t="shared" si="24"/>
        <v>0</v>
      </c>
      <c r="X32" s="34">
        <f t="shared" si="24"/>
        <v>3</v>
      </c>
      <c r="Y32" s="34">
        <f t="shared" si="24"/>
        <v>4</v>
      </c>
      <c r="Z32" s="34">
        <f t="shared" si="24"/>
        <v>10</v>
      </c>
      <c r="AA32" s="34">
        <f t="shared" si="24"/>
        <v>3</v>
      </c>
      <c r="AB32" s="34">
        <f t="shared" si="24"/>
        <v>23</v>
      </c>
      <c r="AC32" s="34">
        <f t="shared" si="24"/>
        <v>32</v>
      </c>
      <c r="AD32" s="34">
        <f t="shared" si="24"/>
        <v>0</v>
      </c>
      <c r="AE32" s="31">
        <f t="shared" si="24"/>
        <v>106</v>
      </c>
      <c r="AF32" s="31">
        <f t="shared" si="24"/>
        <v>138</v>
      </c>
    </row>
    <row r="33" spans="2:32" ht="23.1" customHeight="1" x14ac:dyDescent="0.25">
      <c r="B33" s="45" t="s">
        <v>60</v>
      </c>
      <c r="C33" s="50">
        <v>33</v>
      </c>
      <c r="D33" s="50">
        <v>9</v>
      </c>
      <c r="E33" s="50">
        <v>8</v>
      </c>
      <c r="F33" s="50">
        <v>27</v>
      </c>
      <c r="G33" s="50">
        <v>1</v>
      </c>
      <c r="H33" s="50">
        <v>1</v>
      </c>
      <c r="I33" s="50">
        <v>5</v>
      </c>
      <c r="J33" s="50">
        <v>10</v>
      </c>
      <c r="K33" s="50">
        <v>4</v>
      </c>
      <c r="L33" s="50">
        <v>10</v>
      </c>
      <c r="M33" s="50">
        <v>36</v>
      </c>
      <c r="N33" s="50">
        <v>0</v>
      </c>
      <c r="O33" s="15">
        <f t="shared" si="0"/>
        <v>108</v>
      </c>
      <c r="P33" s="15">
        <f t="shared" si="1"/>
        <v>144</v>
      </c>
      <c r="R33" s="33" t="s">
        <v>157</v>
      </c>
      <c r="S33" s="34">
        <f>SUM(C102:C105)</f>
        <v>84</v>
      </c>
      <c r="T33" s="34">
        <f t="shared" ref="T33:AF33" si="25">SUM(D102:D105)</f>
        <v>11</v>
      </c>
      <c r="U33" s="34">
        <f t="shared" si="25"/>
        <v>13</v>
      </c>
      <c r="V33" s="34">
        <f t="shared" si="25"/>
        <v>53</v>
      </c>
      <c r="W33" s="34">
        <f t="shared" si="25"/>
        <v>2</v>
      </c>
      <c r="X33" s="34">
        <f t="shared" si="25"/>
        <v>0</v>
      </c>
      <c r="Y33" s="34">
        <f t="shared" si="25"/>
        <v>12</v>
      </c>
      <c r="Z33" s="34">
        <f t="shared" si="25"/>
        <v>26</v>
      </c>
      <c r="AA33" s="34">
        <f t="shared" si="25"/>
        <v>3</v>
      </c>
      <c r="AB33" s="34">
        <f t="shared" si="25"/>
        <v>29</v>
      </c>
      <c r="AC33" s="34">
        <f t="shared" si="25"/>
        <v>81</v>
      </c>
      <c r="AD33" s="34">
        <f t="shared" si="25"/>
        <v>0</v>
      </c>
      <c r="AE33" s="31">
        <f t="shared" si="25"/>
        <v>233</v>
      </c>
      <c r="AF33" s="31">
        <f t="shared" si="25"/>
        <v>314</v>
      </c>
    </row>
    <row r="34" spans="2:32" ht="23.1" customHeight="1" x14ac:dyDescent="0.25">
      <c r="B34" s="46" t="s">
        <v>61</v>
      </c>
      <c r="C34" s="50">
        <v>14</v>
      </c>
      <c r="D34" s="50">
        <v>6</v>
      </c>
      <c r="E34" s="50">
        <v>3</v>
      </c>
      <c r="F34" s="50">
        <v>28</v>
      </c>
      <c r="G34" s="50">
        <v>1</v>
      </c>
      <c r="H34" s="50">
        <v>0</v>
      </c>
      <c r="I34" s="50">
        <v>4</v>
      </c>
      <c r="J34" s="50">
        <v>6</v>
      </c>
      <c r="K34" s="50">
        <v>0</v>
      </c>
      <c r="L34" s="50">
        <v>11</v>
      </c>
      <c r="M34" s="50">
        <v>32</v>
      </c>
      <c r="N34" s="50">
        <v>0</v>
      </c>
      <c r="O34" s="15">
        <f t="shared" si="0"/>
        <v>73</v>
      </c>
      <c r="P34" s="15">
        <f t="shared" si="1"/>
        <v>105</v>
      </c>
      <c r="R34" s="38" t="s">
        <v>90</v>
      </c>
      <c r="S34" s="39">
        <f t="shared" ref="S34:AF34" si="26">MAX(S10:S12)</f>
        <v>134</v>
      </c>
      <c r="T34" s="39">
        <f t="shared" si="26"/>
        <v>28</v>
      </c>
      <c r="U34" s="39">
        <f t="shared" si="26"/>
        <v>28</v>
      </c>
      <c r="V34" s="39">
        <f t="shared" si="26"/>
        <v>114</v>
      </c>
      <c r="W34" s="39">
        <f t="shared" si="26"/>
        <v>6</v>
      </c>
      <c r="X34" s="39">
        <f t="shared" si="26"/>
        <v>5</v>
      </c>
      <c r="Y34" s="39">
        <f t="shared" si="26"/>
        <v>40</v>
      </c>
      <c r="Z34" s="39">
        <f t="shared" si="26"/>
        <v>16</v>
      </c>
      <c r="AA34" s="39">
        <f t="shared" si="26"/>
        <v>17</v>
      </c>
      <c r="AB34" s="39">
        <f t="shared" si="26"/>
        <v>64</v>
      </c>
      <c r="AC34" s="39">
        <f t="shared" si="26"/>
        <v>163</v>
      </c>
      <c r="AD34" s="39">
        <f t="shared" si="26"/>
        <v>0</v>
      </c>
      <c r="AE34" s="40">
        <f t="shared" si="26"/>
        <v>399</v>
      </c>
      <c r="AF34" s="40">
        <f t="shared" si="26"/>
        <v>561</v>
      </c>
    </row>
    <row r="35" spans="2:32" ht="23.1" customHeight="1" x14ac:dyDescent="0.25">
      <c r="B35" s="46" t="s">
        <v>62</v>
      </c>
      <c r="C35" s="50">
        <v>15</v>
      </c>
      <c r="D35" s="50">
        <v>9</v>
      </c>
      <c r="E35" s="50">
        <v>0</v>
      </c>
      <c r="F35" s="50">
        <v>22</v>
      </c>
      <c r="G35" s="50">
        <v>1</v>
      </c>
      <c r="H35" s="50">
        <v>0</v>
      </c>
      <c r="I35" s="50">
        <v>5</v>
      </c>
      <c r="J35" s="50">
        <v>4</v>
      </c>
      <c r="K35" s="50">
        <v>4</v>
      </c>
      <c r="L35" s="50">
        <v>11</v>
      </c>
      <c r="M35" s="50">
        <v>47</v>
      </c>
      <c r="N35" s="50">
        <v>0</v>
      </c>
      <c r="O35" s="15">
        <f t="shared" si="0"/>
        <v>71</v>
      </c>
      <c r="P35" s="15">
        <f t="shared" si="1"/>
        <v>118</v>
      </c>
      <c r="R35" s="38" t="s">
        <v>91</v>
      </c>
      <c r="S35" s="39">
        <f t="shared" ref="S35:AF35" si="27">MAX(S13:S18)</f>
        <v>131</v>
      </c>
      <c r="T35" s="39">
        <f t="shared" si="27"/>
        <v>31</v>
      </c>
      <c r="U35" s="39">
        <f t="shared" si="27"/>
        <v>30</v>
      </c>
      <c r="V35" s="39">
        <f t="shared" si="27"/>
        <v>122</v>
      </c>
      <c r="W35" s="39">
        <f t="shared" si="27"/>
        <v>9</v>
      </c>
      <c r="X35" s="39">
        <f t="shared" si="27"/>
        <v>4</v>
      </c>
      <c r="Y35" s="39">
        <f t="shared" si="27"/>
        <v>35</v>
      </c>
      <c r="Z35" s="39">
        <f t="shared" si="27"/>
        <v>32</v>
      </c>
      <c r="AA35" s="39">
        <f t="shared" si="27"/>
        <v>12</v>
      </c>
      <c r="AB35" s="39">
        <f t="shared" si="27"/>
        <v>60</v>
      </c>
      <c r="AC35" s="39">
        <f t="shared" si="27"/>
        <v>170</v>
      </c>
      <c r="AD35" s="39">
        <f t="shared" si="27"/>
        <v>0</v>
      </c>
      <c r="AE35" s="40">
        <f t="shared" si="27"/>
        <v>441</v>
      </c>
      <c r="AF35" s="40">
        <f t="shared" si="27"/>
        <v>560</v>
      </c>
    </row>
    <row r="36" spans="2:32" ht="23.1" customHeight="1" x14ac:dyDescent="0.25">
      <c r="B36" s="46" t="s">
        <v>63</v>
      </c>
      <c r="C36" s="50">
        <v>34</v>
      </c>
      <c r="D36" s="50">
        <v>13</v>
      </c>
      <c r="E36" s="50">
        <v>3</v>
      </c>
      <c r="F36" s="50">
        <v>27</v>
      </c>
      <c r="G36" s="50">
        <v>0</v>
      </c>
      <c r="H36" s="50">
        <v>0</v>
      </c>
      <c r="I36" s="50">
        <v>5</v>
      </c>
      <c r="J36" s="50">
        <v>4</v>
      </c>
      <c r="K36" s="50">
        <v>4</v>
      </c>
      <c r="L36" s="50">
        <v>12</v>
      </c>
      <c r="M36" s="50">
        <v>60</v>
      </c>
      <c r="N36" s="50">
        <v>0</v>
      </c>
      <c r="O36" s="15">
        <f t="shared" si="0"/>
        <v>102</v>
      </c>
      <c r="P36" s="15">
        <f t="shared" si="1"/>
        <v>162</v>
      </c>
      <c r="R36" s="38" t="s">
        <v>92</v>
      </c>
      <c r="S36" s="39">
        <f t="shared" ref="S36:AF36" si="28">MAX(S19:S21)</f>
        <v>129</v>
      </c>
      <c r="T36" s="39">
        <f t="shared" si="28"/>
        <v>20</v>
      </c>
      <c r="U36" s="39">
        <f t="shared" si="28"/>
        <v>23</v>
      </c>
      <c r="V36" s="39">
        <f t="shared" si="28"/>
        <v>88</v>
      </c>
      <c r="W36" s="39">
        <f t="shared" si="28"/>
        <v>7</v>
      </c>
      <c r="X36" s="39">
        <f t="shared" si="28"/>
        <v>3</v>
      </c>
      <c r="Y36" s="39">
        <f t="shared" si="28"/>
        <v>29</v>
      </c>
      <c r="Z36" s="39">
        <f t="shared" si="28"/>
        <v>29</v>
      </c>
      <c r="AA36" s="39">
        <f t="shared" si="28"/>
        <v>20</v>
      </c>
      <c r="AB36" s="39">
        <f t="shared" si="28"/>
        <v>163</v>
      </c>
      <c r="AC36" s="39">
        <f t="shared" si="28"/>
        <v>180</v>
      </c>
      <c r="AD36" s="39">
        <f t="shared" si="28"/>
        <v>0</v>
      </c>
      <c r="AE36" s="40">
        <f t="shared" si="28"/>
        <v>472</v>
      </c>
      <c r="AF36" s="40">
        <f t="shared" si="28"/>
        <v>609</v>
      </c>
    </row>
    <row r="37" spans="2:32" ht="23.1" customHeight="1" x14ac:dyDescent="0.25">
      <c r="B37" s="45" t="s">
        <v>64</v>
      </c>
      <c r="C37" s="50">
        <v>22</v>
      </c>
      <c r="D37" s="50">
        <v>3</v>
      </c>
      <c r="E37" s="50">
        <v>2</v>
      </c>
      <c r="F37" s="50">
        <v>20</v>
      </c>
      <c r="G37" s="50">
        <v>1</v>
      </c>
      <c r="H37" s="50">
        <v>1</v>
      </c>
      <c r="I37" s="50">
        <v>3</v>
      </c>
      <c r="J37" s="50">
        <v>11</v>
      </c>
      <c r="K37" s="50">
        <v>1</v>
      </c>
      <c r="L37" s="50">
        <v>18</v>
      </c>
      <c r="M37" s="50">
        <v>26</v>
      </c>
      <c r="N37" s="50">
        <v>0</v>
      </c>
      <c r="O37" s="15">
        <f t="shared" si="0"/>
        <v>82</v>
      </c>
      <c r="P37" s="15">
        <f t="shared" si="1"/>
        <v>108</v>
      </c>
      <c r="R37" s="37" t="s">
        <v>85</v>
      </c>
      <c r="S37" s="35">
        <f t="shared" ref="S37:AF37" si="29">SUM(S10:S12)</f>
        <v>338</v>
      </c>
      <c r="T37" s="16">
        <f t="shared" si="29"/>
        <v>57</v>
      </c>
      <c r="U37" s="16">
        <f t="shared" si="29"/>
        <v>76</v>
      </c>
      <c r="V37" s="16">
        <f t="shared" si="29"/>
        <v>331</v>
      </c>
      <c r="W37" s="16">
        <f t="shared" si="29"/>
        <v>10</v>
      </c>
      <c r="X37" s="16">
        <f t="shared" si="29"/>
        <v>8</v>
      </c>
      <c r="Y37" s="16">
        <f t="shared" si="29"/>
        <v>102</v>
      </c>
      <c r="Z37" s="16">
        <f t="shared" si="29"/>
        <v>44</v>
      </c>
      <c r="AA37" s="16">
        <f t="shared" si="29"/>
        <v>38</v>
      </c>
      <c r="AB37" s="16">
        <f t="shared" si="29"/>
        <v>147</v>
      </c>
      <c r="AC37" s="16">
        <f t="shared" si="29"/>
        <v>447</v>
      </c>
      <c r="AD37" s="16">
        <f t="shared" si="29"/>
        <v>0</v>
      </c>
      <c r="AE37" s="32">
        <f t="shared" si="29"/>
        <v>1151</v>
      </c>
      <c r="AF37" s="32">
        <f t="shared" si="29"/>
        <v>1598</v>
      </c>
    </row>
    <row r="38" spans="2:32" ht="23.1" customHeight="1" x14ac:dyDescent="0.25">
      <c r="B38" s="46" t="s">
        <v>65</v>
      </c>
      <c r="C38" s="50">
        <v>35</v>
      </c>
      <c r="D38" s="50">
        <v>7</v>
      </c>
      <c r="E38" s="50">
        <v>6</v>
      </c>
      <c r="F38" s="50">
        <v>43</v>
      </c>
      <c r="G38" s="50">
        <v>2</v>
      </c>
      <c r="H38" s="50">
        <v>1</v>
      </c>
      <c r="I38" s="50">
        <v>6</v>
      </c>
      <c r="J38" s="50">
        <v>7</v>
      </c>
      <c r="K38" s="50">
        <v>8</v>
      </c>
      <c r="L38" s="50">
        <v>14</v>
      </c>
      <c r="M38" s="50">
        <v>45</v>
      </c>
      <c r="N38" s="50">
        <v>0</v>
      </c>
      <c r="O38" s="15">
        <f t="shared" si="0"/>
        <v>129</v>
      </c>
      <c r="P38" s="15">
        <f t="shared" si="1"/>
        <v>174</v>
      </c>
      <c r="R38" s="28" t="s">
        <v>86</v>
      </c>
      <c r="S38" s="16">
        <f t="shared" ref="S38:AF38" si="30">SUM(S13:S18)</f>
        <v>692</v>
      </c>
      <c r="T38" s="16">
        <f t="shared" si="30"/>
        <v>143</v>
      </c>
      <c r="U38" s="16">
        <f t="shared" si="30"/>
        <v>131</v>
      </c>
      <c r="V38" s="16">
        <f t="shared" si="30"/>
        <v>598</v>
      </c>
      <c r="W38" s="16">
        <f t="shared" si="30"/>
        <v>31</v>
      </c>
      <c r="X38" s="16">
        <f t="shared" si="30"/>
        <v>14</v>
      </c>
      <c r="Y38" s="16">
        <f t="shared" si="30"/>
        <v>159</v>
      </c>
      <c r="Z38" s="16">
        <f t="shared" si="30"/>
        <v>141</v>
      </c>
      <c r="AA38" s="16">
        <f t="shared" si="30"/>
        <v>56</v>
      </c>
      <c r="AB38" s="16">
        <f t="shared" si="30"/>
        <v>273</v>
      </c>
      <c r="AC38" s="16">
        <f t="shared" si="30"/>
        <v>862</v>
      </c>
      <c r="AD38" s="16">
        <f t="shared" si="30"/>
        <v>0</v>
      </c>
      <c r="AE38" s="32">
        <f t="shared" si="30"/>
        <v>2238</v>
      </c>
      <c r="AF38" s="32">
        <f t="shared" si="30"/>
        <v>3100</v>
      </c>
    </row>
    <row r="39" spans="2:32" ht="23.1" customHeight="1" x14ac:dyDescent="0.25">
      <c r="B39" s="46" t="s">
        <v>66</v>
      </c>
      <c r="C39" s="50">
        <v>37</v>
      </c>
      <c r="D39" s="50">
        <v>4</v>
      </c>
      <c r="E39" s="50">
        <v>7</v>
      </c>
      <c r="F39" s="50">
        <v>33</v>
      </c>
      <c r="G39" s="50">
        <v>1</v>
      </c>
      <c r="H39" s="50">
        <v>1</v>
      </c>
      <c r="I39" s="50">
        <v>7</v>
      </c>
      <c r="J39" s="50">
        <v>6</v>
      </c>
      <c r="K39" s="50">
        <v>2</v>
      </c>
      <c r="L39" s="50">
        <v>20</v>
      </c>
      <c r="M39" s="50">
        <v>21</v>
      </c>
      <c r="N39" s="50">
        <v>0</v>
      </c>
      <c r="O39" s="15">
        <f t="shared" si="0"/>
        <v>118</v>
      </c>
      <c r="P39" s="15">
        <f t="shared" si="1"/>
        <v>139</v>
      </c>
      <c r="R39" s="29" t="s">
        <v>87</v>
      </c>
      <c r="S39" s="16">
        <f t="shared" ref="S39:AF39" si="31">SUM(S19:S21)</f>
        <v>362</v>
      </c>
      <c r="T39" s="16">
        <f t="shared" si="31"/>
        <v>45</v>
      </c>
      <c r="U39" s="16">
        <f t="shared" si="31"/>
        <v>63</v>
      </c>
      <c r="V39" s="16">
        <f t="shared" si="31"/>
        <v>246</v>
      </c>
      <c r="W39" s="16">
        <f t="shared" si="31"/>
        <v>18</v>
      </c>
      <c r="X39" s="16">
        <f t="shared" si="31"/>
        <v>7</v>
      </c>
      <c r="Y39" s="16">
        <f t="shared" si="31"/>
        <v>75</v>
      </c>
      <c r="Z39" s="16">
        <f t="shared" si="31"/>
        <v>82</v>
      </c>
      <c r="AA39" s="16">
        <f t="shared" si="31"/>
        <v>49</v>
      </c>
      <c r="AB39" s="16">
        <f t="shared" si="31"/>
        <v>308</v>
      </c>
      <c r="AC39" s="16">
        <f t="shared" si="31"/>
        <v>483</v>
      </c>
      <c r="AD39" s="16">
        <f t="shared" si="31"/>
        <v>0</v>
      </c>
      <c r="AE39" s="32">
        <f t="shared" si="31"/>
        <v>1255</v>
      </c>
      <c r="AF39" s="32">
        <f t="shared" si="31"/>
        <v>1738</v>
      </c>
    </row>
    <row r="40" spans="2:32" ht="23.1" customHeight="1" x14ac:dyDescent="0.25">
      <c r="B40" s="46" t="s">
        <v>67</v>
      </c>
      <c r="C40" s="50">
        <v>26</v>
      </c>
      <c r="D40" s="50">
        <v>2</v>
      </c>
      <c r="E40" s="50">
        <v>5</v>
      </c>
      <c r="F40" s="50">
        <v>22</v>
      </c>
      <c r="G40" s="50">
        <v>0</v>
      </c>
      <c r="H40" s="50">
        <v>0</v>
      </c>
      <c r="I40" s="50">
        <v>6</v>
      </c>
      <c r="J40" s="50">
        <v>3</v>
      </c>
      <c r="K40" s="50">
        <v>2</v>
      </c>
      <c r="L40" s="50">
        <v>16</v>
      </c>
      <c r="M40" s="50">
        <v>21</v>
      </c>
      <c r="N40" s="50">
        <v>0</v>
      </c>
      <c r="O40" s="15">
        <f t="shared" si="0"/>
        <v>82</v>
      </c>
      <c r="P40" s="15">
        <f t="shared" si="1"/>
        <v>103</v>
      </c>
      <c r="R40" s="5" t="s">
        <v>17</v>
      </c>
      <c r="S40" s="16">
        <f t="shared" ref="S40:AF40" si="32">SUM(S10:S21)</f>
        <v>1392</v>
      </c>
      <c r="T40" s="16">
        <f t="shared" si="32"/>
        <v>245</v>
      </c>
      <c r="U40" s="16">
        <f t="shared" si="32"/>
        <v>270</v>
      </c>
      <c r="V40" s="16">
        <f t="shared" si="32"/>
        <v>1175</v>
      </c>
      <c r="W40" s="16">
        <f t="shared" si="32"/>
        <v>59</v>
      </c>
      <c r="X40" s="16">
        <f t="shared" si="32"/>
        <v>29</v>
      </c>
      <c r="Y40" s="16">
        <f t="shared" si="32"/>
        <v>336</v>
      </c>
      <c r="Z40" s="16">
        <f t="shared" si="32"/>
        <v>267</v>
      </c>
      <c r="AA40" s="16">
        <f t="shared" si="32"/>
        <v>143</v>
      </c>
      <c r="AB40" s="16">
        <f t="shared" si="32"/>
        <v>728</v>
      </c>
      <c r="AC40" s="16">
        <f t="shared" si="32"/>
        <v>1792</v>
      </c>
      <c r="AD40" s="16">
        <f t="shared" si="32"/>
        <v>0</v>
      </c>
      <c r="AE40" s="32">
        <f t="shared" si="32"/>
        <v>4644</v>
      </c>
      <c r="AF40" s="32">
        <f t="shared" si="32"/>
        <v>6436</v>
      </c>
    </row>
    <row r="41" spans="2:32" ht="23.1" customHeight="1" x14ac:dyDescent="0.25">
      <c r="B41" s="45" t="s">
        <v>68</v>
      </c>
      <c r="C41" s="50">
        <v>32</v>
      </c>
      <c r="D41" s="50">
        <v>7</v>
      </c>
      <c r="E41" s="50">
        <v>12</v>
      </c>
      <c r="F41" s="50">
        <v>24</v>
      </c>
      <c r="G41" s="50">
        <v>2</v>
      </c>
      <c r="H41" s="50">
        <v>1</v>
      </c>
      <c r="I41" s="50">
        <v>10</v>
      </c>
      <c r="J41" s="50">
        <v>14</v>
      </c>
      <c r="K41" s="50">
        <v>0</v>
      </c>
      <c r="L41" s="50">
        <v>10</v>
      </c>
      <c r="M41" s="50">
        <v>26</v>
      </c>
      <c r="N41" s="50">
        <v>0</v>
      </c>
      <c r="O41" s="15">
        <f t="shared" si="0"/>
        <v>112</v>
      </c>
      <c r="P41" s="15">
        <f t="shared" si="1"/>
        <v>138</v>
      </c>
      <c r="R41" s="5" t="s">
        <v>159</v>
      </c>
      <c r="S41" s="16">
        <f>SUM(S10:S33)</f>
        <v>1871</v>
      </c>
      <c r="T41" s="16">
        <f t="shared" ref="T41:AF41" si="33">SUM(T10:T33)</f>
        <v>340</v>
      </c>
      <c r="U41" s="16">
        <f t="shared" si="33"/>
        <v>374</v>
      </c>
      <c r="V41" s="16">
        <f t="shared" si="33"/>
        <v>1535</v>
      </c>
      <c r="W41" s="16">
        <f t="shared" si="33"/>
        <v>80</v>
      </c>
      <c r="X41" s="16">
        <f t="shared" si="33"/>
        <v>53</v>
      </c>
      <c r="Y41" s="16">
        <f t="shared" si="33"/>
        <v>491</v>
      </c>
      <c r="Z41" s="16">
        <f t="shared" si="33"/>
        <v>509</v>
      </c>
      <c r="AA41" s="16">
        <f t="shared" si="33"/>
        <v>283</v>
      </c>
      <c r="AB41" s="16">
        <f t="shared" si="33"/>
        <v>1226</v>
      </c>
      <c r="AC41" s="16">
        <f t="shared" si="33"/>
        <v>2319</v>
      </c>
      <c r="AD41" s="16">
        <f t="shared" si="33"/>
        <v>0</v>
      </c>
      <c r="AE41" s="32">
        <f t="shared" si="33"/>
        <v>6762</v>
      </c>
      <c r="AF41" s="32">
        <f t="shared" si="33"/>
        <v>9081</v>
      </c>
    </row>
    <row r="42" spans="2:32" ht="23.1" customHeight="1" x14ac:dyDescent="0.25">
      <c r="B42" s="46" t="s">
        <v>69</v>
      </c>
      <c r="C42" s="50">
        <v>38</v>
      </c>
      <c r="D42" s="50">
        <v>4</v>
      </c>
      <c r="E42" s="50">
        <v>3</v>
      </c>
      <c r="F42" s="50">
        <v>18</v>
      </c>
      <c r="G42" s="50">
        <v>3</v>
      </c>
      <c r="H42" s="50">
        <v>0</v>
      </c>
      <c r="I42" s="50">
        <v>12</v>
      </c>
      <c r="J42" s="50">
        <v>7</v>
      </c>
      <c r="K42" s="50">
        <v>2</v>
      </c>
      <c r="L42" s="50">
        <v>19</v>
      </c>
      <c r="M42" s="50">
        <v>26</v>
      </c>
      <c r="N42" s="50">
        <v>0</v>
      </c>
      <c r="O42" s="15">
        <f t="shared" si="0"/>
        <v>106</v>
      </c>
      <c r="P42" s="15">
        <f t="shared" si="1"/>
        <v>132</v>
      </c>
      <c r="R42" s="5" t="s">
        <v>160</v>
      </c>
      <c r="S42" s="48">
        <f>S41/S40</f>
        <v>1.3441091954022988</v>
      </c>
      <c r="T42" s="48">
        <f t="shared" ref="T42:AF42" si="34">T41/T40</f>
        <v>1.3877551020408163</v>
      </c>
      <c r="U42" s="48">
        <f t="shared" si="34"/>
        <v>1.3851851851851851</v>
      </c>
      <c r="V42" s="48">
        <f t="shared" si="34"/>
        <v>1.3063829787234043</v>
      </c>
      <c r="W42" s="48">
        <f t="shared" si="34"/>
        <v>1.3559322033898304</v>
      </c>
      <c r="X42" s="48">
        <f t="shared" si="34"/>
        <v>1.8275862068965518</v>
      </c>
      <c r="Y42" s="48">
        <f t="shared" si="34"/>
        <v>1.4613095238095237</v>
      </c>
      <c r="Z42" s="48">
        <f t="shared" si="34"/>
        <v>1.9063670411985019</v>
      </c>
      <c r="AA42" s="48">
        <f t="shared" si="34"/>
        <v>1.979020979020979</v>
      </c>
      <c r="AB42" s="48">
        <f t="shared" si="34"/>
        <v>1.6840659340659341</v>
      </c>
      <c r="AC42" s="48">
        <f t="shared" si="34"/>
        <v>1.2940848214285714</v>
      </c>
      <c r="AD42" s="48" t="e">
        <f t="shared" si="34"/>
        <v>#DIV/0!</v>
      </c>
      <c r="AE42" s="48">
        <f t="shared" si="34"/>
        <v>1.4560723514211886</v>
      </c>
      <c r="AF42" s="48">
        <f t="shared" si="34"/>
        <v>1.4109695463020511</v>
      </c>
    </row>
    <row r="43" spans="2:32" ht="23.1" customHeight="1" x14ac:dyDescent="0.25">
      <c r="B43" s="45" t="s">
        <v>70</v>
      </c>
      <c r="C43" s="50">
        <v>18</v>
      </c>
      <c r="D43" s="50">
        <v>0</v>
      </c>
      <c r="E43" s="50">
        <v>2</v>
      </c>
      <c r="F43" s="50">
        <v>17</v>
      </c>
      <c r="G43" s="50">
        <v>1</v>
      </c>
      <c r="H43" s="50">
        <v>2</v>
      </c>
      <c r="I43" s="50">
        <v>5</v>
      </c>
      <c r="J43" s="50">
        <v>3</v>
      </c>
      <c r="K43" s="50">
        <v>2</v>
      </c>
      <c r="L43" s="50">
        <v>9</v>
      </c>
      <c r="M43" s="50">
        <v>27</v>
      </c>
      <c r="N43" s="50">
        <v>0</v>
      </c>
      <c r="O43" s="15">
        <f t="shared" si="0"/>
        <v>59</v>
      </c>
      <c r="P43" s="15">
        <f t="shared" si="1"/>
        <v>86</v>
      </c>
    </row>
    <row r="44" spans="2:32" ht="23.1" customHeight="1" x14ac:dyDescent="0.25">
      <c r="B44" s="47" t="s">
        <v>71</v>
      </c>
      <c r="C44" s="50">
        <v>39</v>
      </c>
      <c r="D44" s="50">
        <v>7</v>
      </c>
      <c r="E44" s="50">
        <v>4</v>
      </c>
      <c r="F44" s="50">
        <v>32</v>
      </c>
      <c r="G44" s="50">
        <v>1</v>
      </c>
      <c r="H44" s="50">
        <v>0</v>
      </c>
      <c r="I44" s="50">
        <v>6</v>
      </c>
      <c r="J44" s="50">
        <v>7</v>
      </c>
      <c r="K44" s="50">
        <v>3</v>
      </c>
      <c r="L44" s="50">
        <v>13</v>
      </c>
      <c r="M44" s="50">
        <v>30</v>
      </c>
      <c r="N44" s="50">
        <v>0</v>
      </c>
      <c r="O44" s="15">
        <f t="shared" si="0"/>
        <v>112</v>
      </c>
      <c r="P44" s="15">
        <f t="shared" si="1"/>
        <v>142</v>
      </c>
    </row>
    <row r="45" spans="2:32" ht="23.1" customHeight="1" x14ac:dyDescent="0.25">
      <c r="B45" s="45" t="s">
        <v>72</v>
      </c>
      <c r="C45" s="50">
        <v>22</v>
      </c>
      <c r="D45" s="50">
        <v>4</v>
      </c>
      <c r="E45" s="50">
        <v>7</v>
      </c>
      <c r="F45" s="50">
        <v>19</v>
      </c>
      <c r="G45" s="50">
        <v>1</v>
      </c>
      <c r="H45" s="50">
        <v>0</v>
      </c>
      <c r="I45" s="50">
        <v>12</v>
      </c>
      <c r="J45" s="50">
        <v>4</v>
      </c>
      <c r="K45" s="50">
        <v>3</v>
      </c>
      <c r="L45" s="50">
        <v>18</v>
      </c>
      <c r="M45" s="50">
        <v>22</v>
      </c>
      <c r="N45" s="50">
        <v>0</v>
      </c>
      <c r="O45" s="15">
        <f t="shared" si="0"/>
        <v>90</v>
      </c>
      <c r="P45" s="15">
        <f t="shared" si="1"/>
        <v>112</v>
      </c>
    </row>
    <row r="46" spans="2:32" ht="23.1" customHeight="1" x14ac:dyDescent="0.25">
      <c r="B46" s="46" t="s">
        <v>73</v>
      </c>
      <c r="C46" s="50">
        <v>21</v>
      </c>
      <c r="D46" s="50">
        <v>5</v>
      </c>
      <c r="E46" s="50">
        <v>3</v>
      </c>
      <c r="F46" s="50">
        <v>19</v>
      </c>
      <c r="G46" s="50">
        <v>1</v>
      </c>
      <c r="H46" s="50">
        <v>0</v>
      </c>
      <c r="I46" s="50">
        <v>6</v>
      </c>
      <c r="J46" s="50">
        <v>2</v>
      </c>
      <c r="K46" s="50">
        <v>1</v>
      </c>
      <c r="L46" s="50">
        <v>13</v>
      </c>
      <c r="M46" s="50">
        <v>38</v>
      </c>
      <c r="N46" s="50">
        <v>0</v>
      </c>
      <c r="O46" s="15">
        <f t="shared" si="0"/>
        <v>71</v>
      </c>
      <c r="P46" s="15">
        <f t="shared" si="1"/>
        <v>109</v>
      </c>
      <c r="R46" s="8"/>
      <c r="T46"/>
    </row>
    <row r="47" spans="2:32" ht="23.1" customHeight="1" x14ac:dyDescent="0.25">
      <c r="B47" s="46" t="s">
        <v>74</v>
      </c>
      <c r="C47" s="50">
        <v>25</v>
      </c>
      <c r="D47" s="50">
        <v>5</v>
      </c>
      <c r="E47" s="50">
        <v>8</v>
      </c>
      <c r="F47" s="50">
        <v>25</v>
      </c>
      <c r="G47" s="50">
        <v>2</v>
      </c>
      <c r="H47" s="50">
        <v>2</v>
      </c>
      <c r="I47" s="50">
        <v>6</v>
      </c>
      <c r="J47" s="50">
        <v>8</v>
      </c>
      <c r="K47" s="50">
        <v>2</v>
      </c>
      <c r="L47" s="50">
        <v>19</v>
      </c>
      <c r="M47" s="50">
        <v>29</v>
      </c>
      <c r="N47" s="50">
        <v>0</v>
      </c>
      <c r="O47" s="15">
        <f t="shared" si="0"/>
        <v>102</v>
      </c>
      <c r="P47" s="15">
        <f t="shared" si="1"/>
        <v>131</v>
      </c>
      <c r="R47" s="8"/>
      <c r="T47"/>
    </row>
    <row r="48" spans="2:32" ht="23.1" customHeight="1" x14ac:dyDescent="0.25">
      <c r="B48" s="46" t="s">
        <v>75</v>
      </c>
      <c r="C48" s="50">
        <v>30</v>
      </c>
      <c r="D48" s="50">
        <v>5</v>
      </c>
      <c r="E48" s="50">
        <v>6</v>
      </c>
      <c r="F48" s="50">
        <v>20</v>
      </c>
      <c r="G48" s="50">
        <v>3</v>
      </c>
      <c r="H48" s="50">
        <v>0</v>
      </c>
      <c r="I48" s="50">
        <v>8</v>
      </c>
      <c r="J48" s="50">
        <v>4</v>
      </c>
      <c r="K48" s="50">
        <v>3</v>
      </c>
      <c r="L48" s="50">
        <v>17</v>
      </c>
      <c r="M48" s="50">
        <v>33</v>
      </c>
      <c r="N48" s="50">
        <v>0</v>
      </c>
      <c r="O48" s="15">
        <f t="shared" si="0"/>
        <v>96</v>
      </c>
      <c r="P48" s="15">
        <f t="shared" si="1"/>
        <v>129</v>
      </c>
      <c r="R48" s="8"/>
      <c r="T48"/>
    </row>
    <row r="49" spans="2:20" ht="23.1" customHeight="1" x14ac:dyDescent="0.25">
      <c r="B49" s="45" t="s">
        <v>76</v>
      </c>
      <c r="C49" s="50">
        <v>33</v>
      </c>
      <c r="D49" s="50">
        <v>5</v>
      </c>
      <c r="E49" s="50">
        <v>6</v>
      </c>
      <c r="F49" s="50">
        <v>17</v>
      </c>
      <c r="G49" s="50">
        <v>1</v>
      </c>
      <c r="H49" s="50">
        <v>0</v>
      </c>
      <c r="I49" s="50">
        <v>9</v>
      </c>
      <c r="J49" s="50">
        <v>12</v>
      </c>
      <c r="K49" s="50">
        <v>6</v>
      </c>
      <c r="L49" s="50">
        <v>114</v>
      </c>
      <c r="M49" s="50">
        <v>37</v>
      </c>
      <c r="N49" s="50">
        <v>0</v>
      </c>
      <c r="O49" s="15">
        <f t="shared" si="0"/>
        <v>203</v>
      </c>
      <c r="P49" s="15">
        <f t="shared" si="1"/>
        <v>240</v>
      </c>
      <c r="R49" s="8"/>
      <c r="T49"/>
    </row>
    <row r="50" spans="2:20" ht="23.1" customHeight="1" x14ac:dyDescent="0.25">
      <c r="B50" s="46" t="s">
        <v>77</v>
      </c>
      <c r="C50" s="50">
        <v>25</v>
      </c>
      <c r="D50" s="50">
        <v>6</v>
      </c>
      <c r="E50" s="50">
        <v>5</v>
      </c>
      <c r="F50" s="50">
        <v>32</v>
      </c>
      <c r="G50" s="50">
        <v>2</v>
      </c>
      <c r="H50" s="50">
        <v>0</v>
      </c>
      <c r="I50" s="50">
        <v>9</v>
      </c>
      <c r="J50" s="50">
        <v>9</v>
      </c>
      <c r="K50" s="50">
        <v>3</v>
      </c>
      <c r="L50" s="50">
        <v>16</v>
      </c>
      <c r="M50" s="50">
        <v>42</v>
      </c>
      <c r="N50" s="50">
        <v>0</v>
      </c>
      <c r="O50" s="15">
        <f t="shared" si="0"/>
        <v>107</v>
      </c>
      <c r="P50" s="15">
        <f t="shared" si="1"/>
        <v>149</v>
      </c>
      <c r="R50" s="8"/>
      <c r="T50"/>
    </row>
    <row r="51" spans="2:20" ht="23.1" customHeight="1" x14ac:dyDescent="0.25">
      <c r="B51" s="46" t="s">
        <v>78</v>
      </c>
      <c r="C51" s="50">
        <v>41</v>
      </c>
      <c r="D51" s="50">
        <v>8</v>
      </c>
      <c r="E51" s="50">
        <v>4</v>
      </c>
      <c r="F51" s="50">
        <v>20</v>
      </c>
      <c r="G51" s="50">
        <v>1</v>
      </c>
      <c r="H51" s="50">
        <v>1</v>
      </c>
      <c r="I51" s="50">
        <v>9</v>
      </c>
      <c r="J51" s="50">
        <v>9</v>
      </c>
      <c r="K51" s="50">
        <v>10</v>
      </c>
      <c r="L51" s="50">
        <v>14</v>
      </c>
      <c r="M51" s="50">
        <v>41</v>
      </c>
      <c r="N51" s="50">
        <v>0</v>
      </c>
      <c r="O51" s="15">
        <f t="shared" si="0"/>
        <v>117</v>
      </c>
      <c r="P51" s="15">
        <f t="shared" si="1"/>
        <v>158</v>
      </c>
      <c r="R51" s="8"/>
      <c r="T51"/>
    </row>
    <row r="52" spans="2:20" ht="23.1" customHeight="1" x14ac:dyDescent="0.25">
      <c r="B52" s="46" t="s">
        <v>79</v>
      </c>
      <c r="C52" s="50">
        <v>32</v>
      </c>
      <c r="D52" s="50">
        <v>0</v>
      </c>
      <c r="E52" s="50">
        <v>6</v>
      </c>
      <c r="F52" s="50">
        <v>15</v>
      </c>
      <c r="G52" s="50">
        <v>0</v>
      </c>
      <c r="H52" s="50">
        <v>1</v>
      </c>
      <c r="I52" s="50">
        <v>2</v>
      </c>
      <c r="J52" s="50">
        <v>4</v>
      </c>
      <c r="K52" s="50">
        <v>2</v>
      </c>
      <c r="L52" s="50">
        <v>17</v>
      </c>
      <c r="M52" s="50">
        <v>42</v>
      </c>
      <c r="N52" s="50">
        <v>0</v>
      </c>
      <c r="O52" s="15">
        <f t="shared" si="0"/>
        <v>79</v>
      </c>
      <c r="P52" s="15">
        <f t="shared" si="1"/>
        <v>121</v>
      </c>
      <c r="R52" s="8"/>
      <c r="T52"/>
    </row>
    <row r="53" spans="2:20" ht="23.1" customHeight="1" x14ac:dyDescent="0.25">
      <c r="B53" s="45" t="s">
        <v>80</v>
      </c>
      <c r="C53" s="50">
        <v>26</v>
      </c>
      <c r="D53" s="50">
        <v>3</v>
      </c>
      <c r="E53" s="50">
        <v>7</v>
      </c>
      <c r="F53" s="50">
        <v>21</v>
      </c>
      <c r="G53" s="50">
        <v>1</v>
      </c>
      <c r="H53" s="50">
        <v>1</v>
      </c>
      <c r="I53" s="50">
        <v>9</v>
      </c>
      <c r="J53" s="50">
        <v>7</v>
      </c>
      <c r="K53" s="50">
        <v>2</v>
      </c>
      <c r="L53" s="50">
        <v>19</v>
      </c>
      <c r="M53" s="50">
        <v>41</v>
      </c>
      <c r="N53" s="50">
        <v>0</v>
      </c>
      <c r="O53" s="15">
        <f t="shared" si="0"/>
        <v>96</v>
      </c>
      <c r="P53" s="15">
        <f t="shared" si="1"/>
        <v>137</v>
      </c>
      <c r="R53" s="8"/>
      <c r="T53"/>
    </row>
    <row r="54" spans="2:20" ht="23.1" customHeight="1" x14ac:dyDescent="0.25">
      <c r="B54" s="45" t="s">
        <v>81</v>
      </c>
      <c r="C54" s="50">
        <v>41</v>
      </c>
      <c r="D54" s="50">
        <v>4</v>
      </c>
      <c r="E54" s="50">
        <v>4</v>
      </c>
      <c r="F54" s="50">
        <v>21</v>
      </c>
      <c r="G54" s="50">
        <v>0</v>
      </c>
      <c r="H54" s="50">
        <v>1</v>
      </c>
      <c r="I54" s="50">
        <v>6</v>
      </c>
      <c r="J54" s="50">
        <v>5</v>
      </c>
      <c r="K54" s="50">
        <v>4</v>
      </c>
      <c r="L54" s="50">
        <v>12</v>
      </c>
      <c r="M54" s="50">
        <v>37</v>
      </c>
      <c r="N54" s="50">
        <v>0</v>
      </c>
      <c r="O54" s="15">
        <f t="shared" si="0"/>
        <v>98</v>
      </c>
      <c r="P54" s="15">
        <f t="shared" si="1"/>
        <v>135</v>
      </c>
      <c r="R54" s="8"/>
      <c r="T54"/>
    </row>
    <row r="55" spans="2:20" ht="23.1" customHeight="1" x14ac:dyDescent="0.25">
      <c r="B55" s="45" t="s">
        <v>82</v>
      </c>
      <c r="C55" s="50">
        <v>37</v>
      </c>
      <c r="D55" s="50">
        <v>1</v>
      </c>
      <c r="E55" s="50">
        <v>9</v>
      </c>
      <c r="F55" s="50">
        <v>22</v>
      </c>
      <c r="G55" s="50">
        <v>3</v>
      </c>
      <c r="H55" s="50">
        <v>1</v>
      </c>
      <c r="I55" s="50">
        <v>4</v>
      </c>
      <c r="J55" s="50">
        <v>7</v>
      </c>
      <c r="K55" s="50">
        <v>3</v>
      </c>
      <c r="L55" s="50">
        <v>28</v>
      </c>
      <c r="M55" s="50">
        <v>50</v>
      </c>
      <c r="N55" s="50">
        <v>0</v>
      </c>
      <c r="O55" s="15">
        <f t="shared" si="0"/>
        <v>115</v>
      </c>
      <c r="P55" s="15">
        <f t="shared" si="1"/>
        <v>165</v>
      </c>
      <c r="R55" s="8"/>
      <c r="T55"/>
    </row>
    <row r="56" spans="2:20" ht="23.1" customHeight="1" x14ac:dyDescent="0.25">
      <c r="B56" s="45" t="s">
        <v>83</v>
      </c>
      <c r="C56" s="50">
        <v>28</v>
      </c>
      <c r="D56" s="50">
        <v>1</v>
      </c>
      <c r="E56" s="50">
        <v>2</v>
      </c>
      <c r="F56" s="50">
        <v>16</v>
      </c>
      <c r="G56" s="50">
        <v>3</v>
      </c>
      <c r="H56" s="50">
        <v>0</v>
      </c>
      <c r="I56" s="50">
        <v>1</v>
      </c>
      <c r="J56" s="50">
        <v>8</v>
      </c>
      <c r="K56" s="50">
        <v>4</v>
      </c>
      <c r="L56" s="50">
        <v>20</v>
      </c>
      <c r="M56" s="50">
        <v>48</v>
      </c>
      <c r="N56" s="50">
        <v>0</v>
      </c>
      <c r="O56" s="15">
        <f t="shared" si="0"/>
        <v>83</v>
      </c>
      <c r="P56" s="15">
        <f t="shared" si="1"/>
        <v>131</v>
      </c>
      <c r="R56" s="8"/>
      <c r="T56"/>
    </row>
    <row r="57" spans="2:20" ht="23.1" customHeight="1" x14ac:dyDescent="0.25">
      <c r="B57" s="45" t="s">
        <v>84</v>
      </c>
      <c r="C57" s="50">
        <v>23</v>
      </c>
      <c r="D57" s="50">
        <v>2</v>
      </c>
      <c r="E57" s="50">
        <v>3</v>
      </c>
      <c r="F57" s="50">
        <v>18</v>
      </c>
      <c r="G57" s="50">
        <v>1</v>
      </c>
      <c r="H57" s="50">
        <v>0</v>
      </c>
      <c r="I57" s="50">
        <v>6</v>
      </c>
      <c r="J57" s="50">
        <v>7</v>
      </c>
      <c r="K57" s="50">
        <v>9</v>
      </c>
      <c r="L57" s="50">
        <v>19</v>
      </c>
      <c r="M57" s="50">
        <v>45</v>
      </c>
      <c r="N57" s="50">
        <v>0</v>
      </c>
      <c r="O57" s="15">
        <f t="shared" si="0"/>
        <v>88</v>
      </c>
      <c r="P57" s="15">
        <f t="shared" si="1"/>
        <v>133</v>
      </c>
      <c r="R57" s="8"/>
      <c r="T57"/>
    </row>
    <row r="58" spans="2:20" ht="23.1" customHeight="1" x14ac:dyDescent="0.25">
      <c r="B58" s="45" t="s">
        <v>99</v>
      </c>
      <c r="C58" s="50">
        <v>15</v>
      </c>
      <c r="D58" s="50">
        <v>5</v>
      </c>
      <c r="E58" s="50">
        <v>2</v>
      </c>
      <c r="F58" s="50">
        <v>8</v>
      </c>
      <c r="G58" s="50">
        <v>1</v>
      </c>
      <c r="H58" s="50">
        <v>0</v>
      </c>
      <c r="I58" s="50">
        <v>8</v>
      </c>
      <c r="J58" s="50">
        <v>3</v>
      </c>
      <c r="K58" s="50">
        <v>3</v>
      </c>
      <c r="L58" s="50">
        <v>3</v>
      </c>
      <c r="M58" s="50">
        <v>42</v>
      </c>
      <c r="N58" s="50">
        <v>0</v>
      </c>
      <c r="O58" s="15">
        <f t="shared" ref="O58:O105" si="35">SUM(C58:L58,N58)</f>
        <v>48</v>
      </c>
      <c r="P58" s="15">
        <f t="shared" ref="P58:P105" si="36">SUM(C58:N58)</f>
        <v>90</v>
      </c>
      <c r="R58" s="8"/>
      <c r="T58"/>
    </row>
    <row r="59" spans="2:20" ht="23.1" customHeight="1" x14ac:dyDescent="0.25">
      <c r="B59" s="45" t="s">
        <v>100</v>
      </c>
      <c r="C59" s="50">
        <v>34</v>
      </c>
      <c r="D59" s="50">
        <v>7</v>
      </c>
      <c r="E59" s="50">
        <v>8</v>
      </c>
      <c r="F59" s="50">
        <v>33</v>
      </c>
      <c r="G59" s="50">
        <v>1</v>
      </c>
      <c r="H59" s="50">
        <v>0</v>
      </c>
      <c r="I59" s="50">
        <v>6</v>
      </c>
      <c r="J59" s="50">
        <v>11</v>
      </c>
      <c r="K59" s="50">
        <v>9</v>
      </c>
      <c r="L59" s="50">
        <v>23</v>
      </c>
      <c r="M59" s="50">
        <v>43</v>
      </c>
      <c r="N59" s="50">
        <v>0</v>
      </c>
      <c r="O59" s="15">
        <f t="shared" si="35"/>
        <v>132</v>
      </c>
      <c r="P59" s="15">
        <f t="shared" si="36"/>
        <v>175</v>
      </c>
      <c r="R59" s="8"/>
      <c r="T59"/>
    </row>
    <row r="60" spans="2:20" ht="23.1" customHeight="1" x14ac:dyDescent="0.25">
      <c r="B60" s="45" t="s">
        <v>101</v>
      </c>
      <c r="C60" s="50">
        <v>32</v>
      </c>
      <c r="D60" s="50">
        <v>4</v>
      </c>
      <c r="E60" s="50">
        <v>9</v>
      </c>
      <c r="F60" s="50">
        <v>20</v>
      </c>
      <c r="G60" s="50">
        <v>0</v>
      </c>
      <c r="H60" s="50">
        <v>0</v>
      </c>
      <c r="I60" s="50">
        <v>6</v>
      </c>
      <c r="J60" s="50">
        <v>6</v>
      </c>
      <c r="K60" s="50">
        <v>3</v>
      </c>
      <c r="L60" s="50">
        <v>19</v>
      </c>
      <c r="M60" s="50">
        <v>42</v>
      </c>
      <c r="N60" s="50">
        <v>0</v>
      </c>
      <c r="O60" s="15">
        <f t="shared" si="35"/>
        <v>99</v>
      </c>
      <c r="P60" s="15">
        <f t="shared" si="36"/>
        <v>141</v>
      </c>
      <c r="R60" s="8"/>
      <c r="T60"/>
    </row>
    <row r="61" spans="2:20" ht="23.1" customHeight="1" x14ac:dyDescent="0.25">
      <c r="B61" s="45" t="s">
        <v>102</v>
      </c>
      <c r="C61" s="50">
        <v>22</v>
      </c>
      <c r="D61" s="50">
        <v>3</v>
      </c>
      <c r="E61" s="50">
        <v>4</v>
      </c>
      <c r="F61" s="50">
        <v>29</v>
      </c>
      <c r="G61" s="50">
        <v>2</v>
      </c>
      <c r="H61" s="50">
        <v>0</v>
      </c>
      <c r="I61" s="50">
        <v>9</v>
      </c>
      <c r="J61" s="50">
        <v>6</v>
      </c>
      <c r="K61" s="50">
        <v>5</v>
      </c>
      <c r="L61" s="50">
        <v>18</v>
      </c>
      <c r="M61" s="50">
        <v>34</v>
      </c>
      <c r="N61" s="50">
        <v>0</v>
      </c>
      <c r="O61" s="15">
        <f t="shared" si="35"/>
        <v>98</v>
      </c>
      <c r="P61" s="15">
        <f t="shared" si="36"/>
        <v>132</v>
      </c>
      <c r="R61" s="8"/>
      <c r="T61"/>
    </row>
    <row r="62" spans="2:20" ht="23.1" customHeight="1" x14ac:dyDescent="0.25">
      <c r="B62" s="45" t="s">
        <v>107</v>
      </c>
      <c r="C62" s="50">
        <v>24</v>
      </c>
      <c r="D62" s="50">
        <v>4</v>
      </c>
      <c r="E62" s="50">
        <v>3</v>
      </c>
      <c r="F62" s="50">
        <v>22</v>
      </c>
      <c r="G62" s="50">
        <v>1</v>
      </c>
      <c r="H62" s="50">
        <v>0</v>
      </c>
      <c r="I62" s="50">
        <v>6</v>
      </c>
      <c r="J62" s="50">
        <v>10</v>
      </c>
      <c r="K62" s="50">
        <v>4</v>
      </c>
      <c r="L62" s="50">
        <v>25</v>
      </c>
      <c r="M62" s="50">
        <v>40</v>
      </c>
      <c r="N62" s="50">
        <v>0</v>
      </c>
      <c r="O62" s="15">
        <f t="shared" si="35"/>
        <v>99</v>
      </c>
      <c r="P62" s="15">
        <f t="shared" si="36"/>
        <v>139</v>
      </c>
      <c r="R62" s="8"/>
      <c r="T62"/>
    </row>
    <row r="63" spans="2:20" ht="23.1" customHeight="1" x14ac:dyDescent="0.25">
      <c r="B63" s="45" t="s">
        <v>108</v>
      </c>
      <c r="C63" s="50">
        <v>32</v>
      </c>
      <c r="D63" s="50">
        <v>3</v>
      </c>
      <c r="E63" s="50">
        <v>5</v>
      </c>
      <c r="F63" s="50">
        <v>24</v>
      </c>
      <c r="G63" s="50">
        <v>1</v>
      </c>
      <c r="H63" s="50">
        <v>1</v>
      </c>
      <c r="I63" s="50">
        <v>4</v>
      </c>
      <c r="J63" s="50">
        <v>7</v>
      </c>
      <c r="K63" s="50">
        <v>5</v>
      </c>
      <c r="L63" s="50">
        <v>18</v>
      </c>
      <c r="M63" s="50">
        <v>28</v>
      </c>
      <c r="N63" s="50">
        <v>0</v>
      </c>
      <c r="O63" s="15">
        <f t="shared" si="35"/>
        <v>100</v>
      </c>
      <c r="P63" s="15">
        <f t="shared" si="36"/>
        <v>128</v>
      </c>
      <c r="R63" s="8"/>
      <c r="T63"/>
    </row>
    <row r="64" spans="2:20" ht="23.1" customHeight="1" x14ac:dyDescent="0.25">
      <c r="B64" s="45" t="s">
        <v>109</v>
      </c>
      <c r="C64" s="50">
        <v>24</v>
      </c>
      <c r="D64" s="50">
        <v>7</v>
      </c>
      <c r="E64" s="50">
        <v>4</v>
      </c>
      <c r="F64" s="50">
        <v>10</v>
      </c>
      <c r="G64" s="50">
        <v>1</v>
      </c>
      <c r="H64" s="50">
        <v>0</v>
      </c>
      <c r="I64" s="50">
        <v>8</v>
      </c>
      <c r="J64" s="50">
        <v>8</v>
      </c>
      <c r="K64" s="50">
        <v>17</v>
      </c>
      <c r="L64" s="50">
        <v>17</v>
      </c>
      <c r="M64" s="50">
        <v>38</v>
      </c>
      <c r="N64" s="50">
        <v>0</v>
      </c>
      <c r="O64" s="15">
        <f t="shared" si="35"/>
        <v>96</v>
      </c>
      <c r="P64" s="15">
        <f t="shared" si="36"/>
        <v>134</v>
      </c>
      <c r="R64" s="8"/>
      <c r="T64"/>
    </row>
    <row r="65" spans="2:20" ht="23.1" customHeight="1" x14ac:dyDescent="0.25">
      <c r="B65" s="45" t="s">
        <v>158</v>
      </c>
      <c r="C65" s="50">
        <v>21</v>
      </c>
      <c r="D65" s="50">
        <v>3</v>
      </c>
      <c r="E65" s="50">
        <v>5</v>
      </c>
      <c r="F65" s="50">
        <v>18</v>
      </c>
      <c r="G65" s="50">
        <v>0</v>
      </c>
      <c r="H65" s="50">
        <v>0</v>
      </c>
      <c r="I65" s="50">
        <v>11</v>
      </c>
      <c r="J65" s="50">
        <v>3</v>
      </c>
      <c r="K65" s="50">
        <v>8</v>
      </c>
      <c r="L65" s="50">
        <v>18</v>
      </c>
      <c r="M65" s="50">
        <v>22</v>
      </c>
      <c r="N65" s="50">
        <v>0</v>
      </c>
      <c r="O65" s="15">
        <f t="shared" si="35"/>
        <v>87</v>
      </c>
      <c r="P65" s="15">
        <f t="shared" si="36"/>
        <v>109</v>
      </c>
      <c r="R65" s="8"/>
      <c r="T65"/>
    </row>
    <row r="66" spans="2:20" ht="23.1" customHeight="1" x14ac:dyDescent="0.25">
      <c r="B66" s="45" t="s">
        <v>103</v>
      </c>
      <c r="C66" s="50">
        <v>21</v>
      </c>
      <c r="D66" s="50">
        <v>5</v>
      </c>
      <c r="E66" s="50">
        <v>3</v>
      </c>
      <c r="F66" s="50">
        <v>21</v>
      </c>
      <c r="G66" s="50">
        <v>0</v>
      </c>
      <c r="H66" s="50">
        <v>1</v>
      </c>
      <c r="I66" s="50">
        <v>4</v>
      </c>
      <c r="J66" s="50">
        <v>6</v>
      </c>
      <c r="K66" s="50">
        <v>11</v>
      </c>
      <c r="L66" s="50">
        <v>16</v>
      </c>
      <c r="M66" s="50">
        <v>22</v>
      </c>
      <c r="N66" s="50">
        <v>0</v>
      </c>
      <c r="O66" s="15">
        <f t="shared" si="35"/>
        <v>88</v>
      </c>
      <c r="P66" s="15">
        <f t="shared" si="36"/>
        <v>110</v>
      </c>
      <c r="R66" s="8"/>
      <c r="T66"/>
    </row>
    <row r="67" spans="2:20" ht="23.1" customHeight="1" x14ac:dyDescent="0.25">
      <c r="B67" s="45" t="s">
        <v>104</v>
      </c>
      <c r="C67" s="50">
        <v>14</v>
      </c>
      <c r="D67" s="50">
        <v>2</v>
      </c>
      <c r="E67" s="50">
        <v>2</v>
      </c>
      <c r="F67" s="50">
        <v>14</v>
      </c>
      <c r="G67" s="50">
        <v>0</v>
      </c>
      <c r="H67" s="50">
        <v>0</v>
      </c>
      <c r="I67" s="50">
        <v>4</v>
      </c>
      <c r="J67" s="50">
        <v>8</v>
      </c>
      <c r="K67" s="50">
        <v>6</v>
      </c>
      <c r="L67" s="50">
        <v>12</v>
      </c>
      <c r="M67" s="50">
        <v>30</v>
      </c>
      <c r="N67" s="50">
        <v>0</v>
      </c>
      <c r="O67" s="15">
        <f t="shared" si="35"/>
        <v>62</v>
      </c>
      <c r="P67" s="15">
        <f t="shared" si="36"/>
        <v>92</v>
      </c>
      <c r="R67" s="8"/>
      <c r="T67"/>
    </row>
    <row r="68" spans="2:20" ht="23.1" customHeight="1" x14ac:dyDescent="0.25">
      <c r="B68" s="45" t="s">
        <v>105</v>
      </c>
      <c r="C68" s="50">
        <v>12</v>
      </c>
      <c r="D68" s="50">
        <v>3</v>
      </c>
      <c r="E68" s="50">
        <v>2</v>
      </c>
      <c r="F68" s="50">
        <v>11</v>
      </c>
      <c r="G68" s="50">
        <v>1</v>
      </c>
      <c r="H68" s="50">
        <v>1</v>
      </c>
      <c r="I68" s="50">
        <v>8</v>
      </c>
      <c r="J68" s="50">
        <v>4</v>
      </c>
      <c r="K68" s="50">
        <v>7</v>
      </c>
      <c r="L68" s="50">
        <v>13</v>
      </c>
      <c r="M68" s="50">
        <v>22</v>
      </c>
      <c r="N68" s="50">
        <v>0</v>
      </c>
      <c r="O68" s="15">
        <f t="shared" si="35"/>
        <v>62</v>
      </c>
      <c r="P68" s="15">
        <f t="shared" si="36"/>
        <v>84</v>
      </c>
      <c r="R68" s="8"/>
      <c r="T68"/>
    </row>
    <row r="69" spans="2:20" ht="23.1" customHeight="1" x14ac:dyDescent="0.25">
      <c r="B69" s="45" t="s">
        <v>106</v>
      </c>
      <c r="C69" s="50">
        <v>16</v>
      </c>
      <c r="D69" s="50">
        <v>4</v>
      </c>
      <c r="E69" s="50">
        <v>2</v>
      </c>
      <c r="F69" s="50">
        <v>9</v>
      </c>
      <c r="G69" s="50">
        <v>0</v>
      </c>
      <c r="H69" s="50">
        <v>0</v>
      </c>
      <c r="I69" s="50">
        <v>4</v>
      </c>
      <c r="J69" s="50">
        <v>8</v>
      </c>
      <c r="K69" s="50">
        <v>4</v>
      </c>
      <c r="L69" s="50">
        <v>9</v>
      </c>
      <c r="M69" s="50">
        <v>14</v>
      </c>
      <c r="N69" s="50">
        <v>0</v>
      </c>
      <c r="O69" s="15">
        <f t="shared" si="35"/>
        <v>56</v>
      </c>
      <c r="P69" s="15">
        <f t="shared" si="36"/>
        <v>70</v>
      </c>
      <c r="R69" s="8"/>
      <c r="T69"/>
    </row>
    <row r="70" spans="2:20" ht="23.1" customHeight="1" x14ac:dyDescent="0.25">
      <c r="B70" s="45" t="s">
        <v>110</v>
      </c>
      <c r="C70" s="50">
        <v>10</v>
      </c>
      <c r="D70" s="50">
        <v>2</v>
      </c>
      <c r="E70" s="50">
        <v>2</v>
      </c>
      <c r="F70" s="50">
        <v>5</v>
      </c>
      <c r="G70" s="50">
        <v>0</v>
      </c>
      <c r="H70" s="50">
        <v>1</v>
      </c>
      <c r="I70" s="50">
        <v>2</v>
      </c>
      <c r="J70" s="50">
        <v>6</v>
      </c>
      <c r="K70" s="50">
        <v>1</v>
      </c>
      <c r="L70" s="50">
        <v>10</v>
      </c>
      <c r="M70" s="50">
        <v>6</v>
      </c>
      <c r="N70" s="50">
        <v>0</v>
      </c>
      <c r="O70" s="15">
        <f t="shared" si="35"/>
        <v>39</v>
      </c>
      <c r="P70" s="15">
        <f t="shared" si="36"/>
        <v>45</v>
      </c>
      <c r="R70" s="8"/>
      <c r="T70"/>
    </row>
    <row r="71" spans="2:20" ht="23.1" customHeight="1" x14ac:dyDescent="0.25">
      <c r="B71" s="45" t="s">
        <v>111</v>
      </c>
      <c r="C71" s="50">
        <v>5</v>
      </c>
      <c r="D71" s="50">
        <v>3</v>
      </c>
      <c r="E71" s="50">
        <v>0</v>
      </c>
      <c r="F71" s="50">
        <v>2</v>
      </c>
      <c r="G71" s="50">
        <v>2</v>
      </c>
      <c r="H71" s="50">
        <v>0</v>
      </c>
      <c r="I71" s="50">
        <v>1</v>
      </c>
      <c r="J71" s="50">
        <v>3</v>
      </c>
      <c r="K71" s="50">
        <v>3</v>
      </c>
      <c r="L71" s="50">
        <v>12</v>
      </c>
      <c r="M71" s="50">
        <v>3</v>
      </c>
      <c r="N71" s="50">
        <v>0</v>
      </c>
      <c r="O71" s="15">
        <f t="shared" si="35"/>
        <v>31</v>
      </c>
      <c r="P71" s="15">
        <f t="shared" si="36"/>
        <v>34</v>
      </c>
      <c r="R71" s="8"/>
      <c r="T71"/>
    </row>
    <row r="72" spans="2:20" ht="23.1" customHeight="1" x14ac:dyDescent="0.25">
      <c r="B72" s="45" t="s">
        <v>112</v>
      </c>
      <c r="C72" s="50">
        <v>8</v>
      </c>
      <c r="D72" s="50">
        <v>0</v>
      </c>
      <c r="E72" s="50">
        <v>2</v>
      </c>
      <c r="F72" s="50">
        <v>4</v>
      </c>
      <c r="G72" s="50">
        <v>0</v>
      </c>
      <c r="H72" s="50">
        <v>0</v>
      </c>
      <c r="I72" s="50">
        <v>0</v>
      </c>
      <c r="J72" s="50">
        <v>2</v>
      </c>
      <c r="K72" s="50">
        <v>5</v>
      </c>
      <c r="L72" s="50">
        <v>13</v>
      </c>
      <c r="M72" s="50">
        <v>4</v>
      </c>
      <c r="N72" s="50">
        <v>0</v>
      </c>
      <c r="O72" s="15">
        <f t="shared" si="35"/>
        <v>34</v>
      </c>
      <c r="P72" s="15">
        <f t="shared" si="36"/>
        <v>38</v>
      </c>
      <c r="R72" s="8"/>
      <c r="T72"/>
    </row>
    <row r="73" spans="2:20" ht="23.1" customHeight="1" x14ac:dyDescent="0.25">
      <c r="B73" s="45" t="s">
        <v>113</v>
      </c>
      <c r="C73" s="50">
        <v>5</v>
      </c>
      <c r="D73" s="50">
        <v>1</v>
      </c>
      <c r="E73" s="50">
        <v>3</v>
      </c>
      <c r="F73" s="50">
        <v>2</v>
      </c>
      <c r="G73" s="50">
        <v>0</v>
      </c>
      <c r="H73" s="50">
        <v>1</v>
      </c>
      <c r="I73" s="50">
        <v>2</v>
      </c>
      <c r="J73" s="50">
        <v>2</v>
      </c>
      <c r="K73" s="50">
        <v>3</v>
      </c>
      <c r="L73" s="50">
        <v>9</v>
      </c>
      <c r="M73" s="50">
        <v>2</v>
      </c>
      <c r="N73" s="50">
        <v>0</v>
      </c>
      <c r="O73" s="15">
        <f t="shared" si="35"/>
        <v>28</v>
      </c>
      <c r="P73" s="15">
        <f t="shared" si="36"/>
        <v>30</v>
      </c>
      <c r="R73" s="8"/>
      <c r="T73"/>
    </row>
    <row r="74" spans="2:20" ht="23.1" customHeight="1" x14ac:dyDescent="0.25">
      <c r="B74" s="45" t="s">
        <v>114</v>
      </c>
      <c r="C74" s="50">
        <v>6</v>
      </c>
      <c r="D74" s="50">
        <v>3</v>
      </c>
      <c r="E74" s="50">
        <v>0</v>
      </c>
      <c r="F74" s="50">
        <v>5</v>
      </c>
      <c r="G74" s="50">
        <v>0</v>
      </c>
      <c r="H74" s="50">
        <v>1</v>
      </c>
      <c r="I74" s="50">
        <v>2</v>
      </c>
      <c r="J74" s="50">
        <v>3</v>
      </c>
      <c r="K74" s="50">
        <v>2</v>
      </c>
      <c r="L74" s="50">
        <v>8</v>
      </c>
      <c r="M74" s="50">
        <v>3</v>
      </c>
      <c r="N74" s="50">
        <v>0</v>
      </c>
      <c r="O74" s="15">
        <f t="shared" si="35"/>
        <v>30</v>
      </c>
      <c r="P74" s="15">
        <f t="shared" si="36"/>
        <v>33</v>
      </c>
      <c r="R74" s="8"/>
      <c r="T74"/>
    </row>
    <row r="75" spans="2:20" ht="23.1" customHeight="1" x14ac:dyDescent="0.25">
      <c r="B75" s="45" t="s">
        <v>115</v>
      </c>
      <c r="C75" s="50">
        <v>5</v>
      </c>
      <c r="D75" s="50">
        <v>1</v>
      </c>
      <c r="E75" s="50">
        <v>0</v>
      </c>
      <c r="F75" s="50">
        <v>5</v>
      </c>
      <c r="G75" s="50">
        <v>2</v>
      </c>
      <c r="H75" s="50">
        <v>0</v>
      </c>
      <c r="I75" s="50">
        <v>0</v>
      </c>
      <c r="J75" s="50">
        <v>3</v>
      </c>
      <c r="K75" s="50">
        <v>1</v>
      </c>
      <c r="L75" s="50">
        <v>11</v>
      </c>
      <c r="M75" s="50">
        <v>1</v>
      </c>
      <c r="N75" s="50">
        <v>0</v>
      </c>
      <c r="O75" s="15">
        <f t="shared" si="35"/>
        <v>28</v>
      </c>
      <c r="P75" s="15">
        <f t="shared" si="36"/>
        <v>29</v>
      </c>
      <c r="R75" s="8"/>
      <c r="T75"/>
    </row>
    <row r="76" spans="2:20" ht="23.1" customHeight="1" x14ac:dyDescent="0.25">
      <c r="B76" s="45" t="s">
        <v>116</v>
      </c>
      <c r="C76" s="50">
        <v>7</v>
      </c>
      <c r="D76" s="50">
        <v>2</v>
      </c>
      <c r="E76" s="50">
        <v>1</v>
      </c>
      <c r="F76" s="50">
        <v>3</v>
      </c>
      <c r="G76" s="50">
        <v>0</v>
      </c>
      <c r="H76" s="50">
        <v>1</v>
      </c>
      <c r="I76" s="50">
        <v>2</v>
      </c>
      <c r="J76" s="50">
        <v>4</v>
      </c>
      <c r="K76" s="50">
        <v>2</v>
      </c>
      <c r="L76" s="50">
        <v>7</v>
      </c>
      <c r="M76" s="50">
        <v>4</v>
      </c>
      <c r="N76" s="50">
        <v>0</v>
      </c>
      <c r="O76" s="15">
        <f t="shared" si="35"/>
        <v>29</v>
      </c>
      <c r="P76" s="15">
        <f t="shared" si="36"/>
        <v>33</v>
      </c>
      <c r="R76" s="8"/>
      <c r="T76"/>
    </row>
    <row r="77" spans="2:20" ht="23.1" customHeight="1" x14ac:dyDescent="0.25">
      <c r="B77" s="45" t="s">
        <v>117</v>
      </c>
      <c r="C77" s="50">
        <v>7</v>
      </c>
      <c r="D77" s="50">
        <v>1</v>
      </c>
      <c r="E77" s="50">
        <v>3</v>
      </c>
      <c r="F77" s="50">
        <v>5</v>
      </c>
      <c r="G77" s="50">
        <v>2</v>
      </c>
      <c r="H77" s="50">
        <v>0</v>
      </c>
      <c r="I77" s="50">
        <v>2</v>
      </c>
      <c r="J77" s="50">
        <v>6</v>
      </c>
      <c r="K77" s="50">
        <v>2</v>
      </c>
      <c r="L77" s="50">
        <v>9</v>
      </c>
      <c r="M77" s="50">
        <v>2</v>
      </c>
      <c r="N77" s="50">
        <v>0</v>
      </c>
      <c r="O77" s="15">
        <f t="shared" si="35"/>
        <v>37</v>
      </c>
      <c r="P77" s="15">
        <f t="shared" si="36"/>
        <v>39</v>
      </c>
      <c r="R77" s="8"/>
      <c r="T77"/>
    </row>
    <row r="78" spans="2:20" ht="23.1" customHeight="1" x14ac:dyDescent="0.25">
      <c r="B78" s="46" t="s">
        <v>118</v>
      </c>
      <c r="C78" s="50">
        <v>6</v>
      </c>
      <c r="D78" s="50">
        <v>1</v>
      </c>
      <c r="E78" s="50">
        <v>3</v>
      </c>
      <c r="F78" s="50">
        <v>3</v>
      </c>
      <c r="G78" s="50">
        <v>1</v>
      </c>
      <c r="H78" s="50">
        <v>1</v>
      </c>
      <c r="I78" s="50">
        <v>3</v>
      </c>
      <c r="J78" s="50">
        <v>3</v>
      </c>
      <c r="K78" s="50">
        <v>1</v>
      </c>
      <c r="L78" s="50">
        <v>10</v>
      </c>
      <c r="M78" s="50">
        <v>3</v>
      </c>
      <c r="N78" s="50">
        <v>0</v>
      </c>
      <c r="O78" s="15">
        <f t="shared" si="35"/>
        <v>32</v>
      </c>
      <c r="P78" s="15">
        <f t="shared" si="36"/>
        <v>35</v>
      </c>
      <c r="R78" s="8"/>
      <c r="T78"/>
    </row>
    <row r="79" spans="2:20" ht="23.1" customHeight="1" x14ac:dyDescent="0.25">
      <c r="B79" s="45" t="s">
        <v>119</v>
      </c>
      <c r="C79" s="50">
        <v>4</v>
      </c>
      <c r="D79" s="50">
        <v>0</v>
      </c>
      <c r="E79" s="50">
        <v>3</v>
      </c>
      <c r="F79" s="50">
        <v>0</v>
      </c>
      <c r="G79" s="50">
        <v>0</v>
      </c>
      <c r="H79" s="50">
        <v>0</v>
      </c>
      <c r="I79" s="50">
        <v>1</v>
      </c>
      <c r="J79" s="50">
        <v>5</v>
      </c>
      <c r="K79" s="50">
        <v>2</v>
      </c>
      <c r="L79" s="50">
        <v>9</v>
      </c>
      <c r="M79" s="50">
        <v>1</v>
      </c>
      <c r="N79" s="50">
        <v>0</v>
      </c>
      <c r="O79" s="15">
        <f t="shared" si="35"/>
        <v>24</v>
      </c>
      <c r="P79" s="15">
        <f t="shared" si="36"/>
        <v>25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2</v>
      </c>
      <c r="E80" s="50">
        <v>1</v>
      </c>
      <c r="F80" s="50">
        <v>2</v>
      </c>
      <c r="G80" s="50">
        <v>0</v>
      </c>
      <c r="H80" s="50">
        <v>3</v>
      </c>
      <c r="I80" s="50">
        <v>2</v>
      </c>
      <c r="J80" s="50">
        <v>5</v>
      </c>
      <c r="K80" s="50">
        <v>3</v>
      </c>
      <c r="L80" s="50">
        <v>11</v>
      </c>
      <c r="M80" s="50">
        <v>0</v>
      </c>
      <c r="N80" s="50">
        <v>0</v>
      </c>
      <c r="O80" s="15">
        <f t="shared" si="35"/>
        <v>32</v>
      </c>
      <c r="P80" s="15">
        <f t="shared" si="36"/>
        <v>32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0</v>
      </c>
      <c r="E81" s="50">
        <v>0</v>
      </c>
      <c r="F81" s="50">
        <v>0</v>
      </c>
      <c r="G81" s="50">
        <v>2</v>
      </c>
      <c r="H81" s="50">
        <v>3</v>
      </c>
      <c r="I81" s="50">
        <v>1</v>
      </c>
      <c r="J81" s="50">
        <v>3</v>
      </c>
      <c r="K81" s="50">
        <v>5</v>
      </c>
      <c r="L81" s="50">
        <v>8</v>
      </c>
      <c r="M81" s="50">
        <v>0</v>
      </c>
      <c r="N81" s="50">
        <v>0</v>
      </c>
      <c r="O81" s="15">
        <f t="shared" si="35"/>
        <v>28</v>
      </c>
      <c r="P81" s="15">
        <f t="shared" si="36"/>
        <v>28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1</v>
      </c>
      <c r="E82" s="50">
        <v>2</v>
      </c>
      <c r="F82" s="50">
        <v>0</v>
      </c>
      <c r="G82" s="50">
        <v>0</v>
      </c>
      <c r="H82" s="50">
        <v>0</v>
      </c>
      <c r="I82" s="50">
        <v>3</v>
      </c>
      <c r="J82" s="50">
        <v>8</v>
      </c>
      <c r="K82" s="50">
        <v>0</v>
      </c>
      <c r="L82" s="50">
        <v>7</v>
      </c>
      <c r="M82" s="50">
        <v>0</v>
      </c>
      <c r="N82" s="50">
        <v>0</v>
      </c>
      <c r="O82" s="15">
        <f t="shared" si="35"/>
        <v>21</v>
      </c>
      <c r="P82" s="15">
        <f t="shared" si="36"/>
        <v>21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3</v>
      </c>
      <c r="G83" s="50">
        <v>2</v>
      </c>
      <c r="H83" s="50">
        <v>2</v>
      </c>
      <c r="I83" s="50">
        <v>2</v>
      </c>
      <c r="J83" s="50">
        <v>6</v>
      </c>
      <c r="K83" s="50">
        <v>3</v>
      </c>
      <c r="L83" s="50">
        <v>10</v>
      </c>
      <c r="M83" s="50">
        <v>0</v>
      </c>
      <c r="N83" s="50">
        <v>0</v>
      </c>
      <c r="O83" s="15">
        <f t="shared" si="35"/>
        <v>28</v>
      </c>
      <c r="P83" s="15">
        <f t="shared" si="36"/>
        <v>28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1</v>
      </c>
      <c r="E84" s="50">
        <v>1</v>
      </c>
      <c r="F84" s="50">
        <v>2</v>
      </c>
      <c r="G84" s="50">
        <v>0</v>
      </c>
      <c r="H84" s="50">
        <v>0</v>
      </c>
      <c r="I84" s="50">
        <v>1</v>
      </c>
      <c r="J84" s="50">
        <v>4</v>
      </c>
      <c r="K84" s="50">
        <v>0</v>
      </c>
      <c r="L84" s="50">
        <v>6</v>
      </c>
      <c r="M84" s="50">
        <v>0</v>
      </c>
      <c r="N84" s="50">
        <v>0</v>
      </c>
      <c r="O84" s="15">
        <f t="shared" si="35"/>
        <v>17</v>
      </c>
      <c r="P84" s="15">
        <f t="shared" si="36"/>
        <v>17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1</v>
      </c>
      <c r="G85" s="50">
        <v>0</v>
      </c>
      <c r="H85" s="50">
        <v>1</v>
      </c>
      <c r="I85" s="50">
        <v>3</v>
      </c>
      <c r="J85" s="50">
        <v>6</v>
      </c>
      <c r="K85" s="50">
        <v>2</v>
      </c>
      <c r="L85" s="50">
        <v>7</v>
      </c>
      <c r="M85" s="50">
        <v>0</v>
      </c>
      <c r="N85" s="50">
        <v>0</v>
      </c>
      <c r="O85" s="15">
        <f t="shared" si="35"/>
        <v>20</v>
      </c>
      <c r="P85" s="15">
        <f t="shared" si="36"/>
        <v>20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1</v>
      </c>
      <c r="E86" s="50">
        <v>0</v>
      </c>
      <c r="F86" s="50">
        <v>1</v>
      </c>
      <c r="G86" s="50">
        <v>0</v>
      </c>
      <c r="H86" s="50">
        <v>1</v>
      </c>
      <c r="I86" s="50">
        <v>2</v>
      </c>
      <c r="J86" s="50">
        <v>3</v>
      </c>
      <c r="K86" s="50">
        <v>1</v>
      </c>
      <c r="L86" s="50">
        <v>7</v>
      </c>
      <c r="M86" s="50">
        <v>2</v>
      </c>
      <c r="N86" s="50">
        <v>0</v>
      </c>
      <c r="O86" s="15">
        <f t="shared" si="35"/>
        <v>18</v>
      </c>
      <c r="P86" s="15">
        <f t="shared" si="36"/>
        <v>20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2</v>
      </c>
      <c r="E87" s="50">
        <v>2</v>
      </c>
      <c r="F87" s="50">
        <v>3</v>
      </c>
      <c r="G87" s="50">
        <v>0</v>
      </c>
      <c r="H87" s="50">
        <v>0</v>
      </c>
      <c r="I87" s="50">
        <v>3</v>
      </c>
      <c r="J87" s="50">
        <v>5</v>
      </c>
      <c r="K87" s="50">
        <v>2</v>
      </c>
      <c r="L87" s="50">
        <v>8</v>
      </c>
      <c r="M87" s="50">
        <v>1</v>
      </c>
      <c r="N87" s="50">
        <v>0</v>
      </c>
      <c r="O87" s="15">
        <f t="shared" si="35"/>
        <v>25</v>
      </c>
      <c r="P87" s="15">
        <f t="shared" si="36"/>
        <v>26</v>
      </c>
      <c r="R87" s="8"/>
      <c r="T87"/>
    </row>
    <row r="88" spans="2:20" ht="23.1" customHeight="1" x14ac:dyDescent="0.25">
      <c r="B88" s="47" t="s">
        <v>128</v>
      </c>
      <c r="C88" s="50">
        <v>4</v>
      </c>
      <c r="D88" s="50">
        <v>0</v>
      </c>
      <c r="E88" s="50">
        <v>2</v>
      </c>
      <c r="F88" s="50">
        <v>0</v>
      </c>
      <c r="G88" s="50">
        <v>0</v>
      </c>
      <c r="H88" s="50">
        <v>0</v>
      </c>
      <c r="I88" s="50">
        <v>4</v>
      </c>
      <c r="J88" s="50">
        <v>2</v>
      </c>
      <c r="K88" s="50">
        <v>0</v>
      </c>
      <c r="L88" s="50">
        <v>9</v>
      </c>
      <c r="M88" s="50">
        <v>0</v>
      </c>
      <c r="N88" s="50">
        <v>0</v>
      </c>
      <c r="O88" s="15">
        <f t="shared" si="35"/>
        <v>21</v>
      </c>
      <c r="P88" s="15">
        <f t="shared" si="36"/>
        <v>21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3</v>
      </c>
      <c r="F89" s="50">
        <v>0</v>
      </c>
      <c r="G89" s="50">
        <v>0</v>
      </c>
      <c r="H89" s="50">
        <v>0</v>
      </c>
      <c r="I89" s="50">
        <v>2</v>
      </c>
      <c r="J89" s="50">
        <v>4</v>
      </c>
      <c r="K89" s="50">
        <v>2</v>
      </c>
      <c r="L89" s="50">
        <v>7</v>
      </c>
      <c r="M89" s="50">
        <v>0</v>
      </c>
      <c r="N89" s="50">
        <v>0</v>
      </c>
      <c r="O89" s="15">
        <f t="shared" si="35"/>
        <v>20</v>
      </c>
      <c r="P89" s="15">
        <f t="shared" si="36"/>
        <v>20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1</v>
      </c>
      <c r="E90" s="50">
        <v>2</v>
      </c>
      <c r="F90" s="50">
        <v>3</v>
      </c>
      <c r="G90" s="50">
        <v>0</v>
      </c>
      <c r="H90" s="50">
        <v>0</v>
      </c>
      <c r="I90" s="50">
        <v>3</v>
      </c>
      <c r="J90" s="50">
        <v>3</v>
      </c>
      <c r="K90" s="50">
        <v>1</v>
      </c>
      <c r="L90" s="50">
        <v>8</v>
      </c>
      <c r="M90" s="50">
        <v>0</v>
      </c>
      <c r="N90" s="50">
        <v>0</v>
      </c>
      <c r="O90" s="15">
        <f t="shared" si="35"/>
        <v>23</v>
      </c>
      <c r="P90" s="15">
        <f t="shared" si="36"/>
        <v>23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2</v>
      </c>
      <c r="G91" s="50">
        <v>0</v>
      </c>
      <c r="H91" s="50">
        <v>0</v>
      </c>
      <c r="I91" s="50">
        <v>1</v>
      </c>
      <c r="J91" s="50">
        <v>2</v>
      </c>
      <c r="K91" s="50">
        <v>0</v>
      </c>
      <c r="L91" s="50">
        <v>6</v>
      </c>
      <c r="M91" s="50">
        <v>0</v>
      </c>
      <c r="N91" s="50">
        <v>0</v>
      </c>
      <c r="O91" s="15">
        <f t="shared" si="35"/>
        <v>11</v>
      </c>
      <c r="P91" s="15">
        <f t="shared" si="36"/>
        <v>11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3</v>
      </c>
      <c r="F92" s="50">
        <v>1</v>
      </c>
      <c r="G92" s="50">
        <v>0</v>
      </c>
      <c r="H92" s="50">
        <v>0</v>
      </c>
      <c r="I92" s="50">
        <v>3</v>
      </c>
      <c r="J92" s="50">
        <v>4</v>
      </c>
      <c r="K92" s="50">
        <v>2</v>
      </c>
      <c r="L92" s="50">
        <v>8</v>
      </c>
      <c r="M92" s="50">
        <v>0</v>
      </c>
      <c r="N92" s="50">
        <v>0</v>
      </c>
      <c r="O92" s="15">
        <f t="shared" si="35"/>
        <v>23</v>
      </c>
      <c r="P92" s="15">
        <f t="shared" si="36"/>
        <v>23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2</v>
      </c>
      <c r="E93" s="50">
        <v>0</v>
      </c>
      <c r="F93" s="50">
        <v>1</v>
      </c>
      <c r="G93" s="50">
        <v>0</v>
      </c>
      <c r="H93" s="50">
        <v>0</v>
      </c>
      <c r="I93" s="50">
        <v>3</v>
      </c>
      <c r="J93" s="50">
        <v>6</v>
      </c>
      <c r="K93" s="50">
        <v>2</v>
      </c>
      <c r="L93" s="50">
        <v>7</v>
      </c>
      <c r="M93" s="50">
        <v>1</v>
      </c>
      <c r="N93" s="50">
        <v>0</v>
      </c>
      <c r="O93" s="15">
        <f t="shared" si="35"/>
        <v>22</v>
      </c>
      <c r="P93" s="15">
        <f t="shared" si="36"/>
        <v>23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1</v>
      </c>
      <c r="F94" s="50">
        <v>1</v>
      </c>
      <c r="G94" s="50">
        <v>0</v>
      </c>
      <c r="H94" s="50">
        <v>2</v>
      </c>
      <c r="I94" s="50">
        <v>3</v>
      </c>
      <c r="J94" s="50">
        <v>8</v>
      </c>
      <c r="K94" s="50">
        <v>0</v>
      </c>
      <c r="L94" s="50">
        <v>11</v>
      </c>
      <c r="M94" s="50">
        <v>1</v>
      </c>
      <c r="N94" s="50">
        <v>0</v>
      </c>
      <c r="O94" s="15">
        <f t="shared" si="35"/>
        <v>29</v>
      </c>
      <c r="P94" s="15">
        <f t="shared" si="36"/>
        <v>30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2</v>
      </c>
      <c r="E95" s="50">
        <v>2</v>
      </c>
      <c r="F95" s="50">
        <v>2</v>
      </c>
      <c r="G95" s="50">
        <v>0</v>
      </c>
      <c r="H95" s="50">
        <v>0</v>
      </c>
      <c r="I95" s="50">
        <v>5</v>
      </c>
      <c r="J95" s="50">
        <v>7</v>
      </c>
      <c r="K95" s="50">
        <v>2</v>
      </c>
      <c r="L95" s="50">
        <v>13</v>
      </c>
      <c r="M95" s="50">
        <v>1</v>
      </c>
      <c r="N95" s="50">
        <v>0</v>
      </c>
      <c r="O95" s="15">
        <f t="shared" si="35"/>
        <v>36</v>
      </c>
      <c r="P95" s="15">
        <f t="shared" si="36"/>
        <v>37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1</v>
      </c>
      <c r="E96" s="50">
        <v>1</v>
      </c>
      <c r="F96" s="50">
        <v>3</v>
      </c>
      <c r="G96" s="50">
        <v>0</v>
      </c>
      <c r="H96" s="50">
        <v>1</v>
      </c>
      <c r="I96" s="50">
        <v>2</v>
      </c>
      <c r="J96" s="50">
        <v>10</v>
      </c>
      <c r="K96" s="50">
        <v>3</v>
      </c>
      <c r="L96" s="50">
        <v>14</v>
      </c>
      <c r="M96" s="50">
        <v>2</v>
      </c>
      <c r="N96" s="50">
        <v>0</v>
      </c>
      <c r="O96" s="15">
        <f t="shared" si="35"/>
        <v>39</v>
      </c>
      <c r="P96" s="15">
        <f t="shared" si="36"/>
        <v>41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3</v>
      </c>
      <c r="E97" s="50">
        <v>1</v>
      </c>
      <c r="F97" s="50">
        <v>4</v>
      </c>
      <c r="G97" s="50">
        <v>0</v>
      </c>
      <c r="H97" s="50">
        <v>0</v>
      </c>
      <c r="I97" s="50">
        <v>3</v>
      </c>
      <c r="J97" s="50">
        <v>3</v>
      </c>
      <c r="K97" s="50">
        <v>2</v>
      </c>
      <c r="L97" s="50">
        <v>10</v>
      </c>
      <c r="M97" s="50">
        <v>0</v>
      </c>
      <c r="N97" s="50">
        <v>0</v>
      </c>
      <c r="O97" s="15">
        <f t="shared" si="35"/>
        <v>27</v>
      </c>
      <c r="P97" s="15">
        <f t="shared" si="36"/>
        <v>27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1</v>
      </c>
      <c r="E98" s="50">
        <v>1</v>
      </c>
      <c r="F98" s="50">
        <v>8</v>
      </c>
      <c r="G98" s="50">
        <v>0</v>
      </c>
      <c r="H98" s="50">
        <v>0</v>
      </c>
      <c r="I98" s="50">
        <v>1</v>
      </c>
      <c r="J98" s="50">
        <v>3</v>
      </c>
      <c r="K98" s="50">
        <v>0</v>
      </c>
      <c r="L98" s="50">
        <v>4</v>
      </c>
      <c r="M98" s="50">
        <v>4</v>
      </c>
      <c r="N98" s="50">
        <v>0</v>
      </c>
      <c r="O98" s="15">
        <f t="shared" si="35"/>
        <v>24</v>
      </c>
      <c r="P98" s="15">
        <f t="shared" si="36"/>
        <v>28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0</v>
      </c>
      <c r="E99" s="50">
        <v>2</v>
      </c>
      <c r="F99" s="50">
        <v>3</v>
      </c>
      <c r="G99" s="50">
        <v>0</v>
      </c>
      <c r="H99" s="50">
        <v>1</v>
      </c>
      <c r="I99" s="50">
        <v>0</v>
      </c>
      <c r="J99" s="50">
        <v>0</v>
      </c>
      <c r="K99" s="50">
        <v>0</v>
      </c>
      <c r="L99" s="50">
        <v>4</v>
      </c>
      <c r="M99" s="50">
        <v>3</v>
      </c>
      <c r="N99" s="50">
        <v>0</v>
      </c>
      <c r="O99" s="15">
        <f t="shared" si="35"/>
        <v>15</v>
      </c>
      <c r="P99" s="15">
        <f t="shared" si="36"/>
        <v>18</v>
      </c>
      <c r="R99" s="8"/>
      <c r="T99"/>
    </row>
    <row r="100" spans="2:20" ht="23.1" customHeight="1" x14ac:dyDescent="0.25">
      <c r="B100" s="47" t="s">
        <v>140</v>
      </c>
      <c r="C100" s="50">
        <v>9</v>
      </c>
      <c r="D100" s="50">
        <v>1</v>
      </c>
      <c r="E100" s="50">
        <v>1</v>
      </c>
      <c r="F100" s="50">
        <v>2</v>
      </c>
      <c r="G100" s="50">
        <v>0</v>
      </c>
      <c r="H100" s="50">
        <v>0</v>
      </c>
      <c r="I100" s="50">
        <v>2</v>
      </c>
      <c r="J100" s="50">
        <v>4</v>
      </c>
      <c r="K100" s="50">
        <v>0</v>
      </c>
      <c r="L100" s="50">
        <v>7</v>
      </c>
      <c r="M100" s="50">
        <v>6</v>
      </c>
      <c r="N100" s="50">
        <v>0</v>
      </c>
      <c r="O100" s="15">
        <f t="shared" si="35"/>
        <v>26</v>
      </c>
      <c r="P100" s="15">
        <f t="shared" si="36"/>
        <v>32</v>
      </c>
      <c r="R100" s="8"/>
      <c r="T100"/>
    </row>
    <row r="101" spans="2:20" ht="23.1" customHeight="1" x14ac:dyDescent="0.25">
      <c r="B101" s="45" t="s">
        <v>141</v>
      </c>
      <c r="C101" s="50">
        <v>11</v>
      </c>
      <c r="D101" s="50">
        <v>1</v>
      </c>
      <c r="E101" s="50">
        <v>0</v>
      </c>
      <c r="F101" s="50">
        <v>12</v>
      </c>
      <c r="G101" s="50">
        <v>0</v>
      </c>
      <c r="H101" s="50">
        <v>2</v>
      </c>
      <c r="I101" s="50">
        <v>1</v>
      </c>
      <c r="J101" s="50">
        <v>3</v>
      </c>
      <c r="K101" s="50">
        <v>3</v>
      </c>
      <c r="L101" s="50">
        <v>8</v>
      </c>
      <c r="M101" s="50">
        <v>19</v>
      </c>
      <c r="N101" s="50">
        <v>0</v>
      </c>
      <c r="O101" s="15">
        <f t="shared" si="35"/>
        <v>41</v>
      </c>
      <c r="P101" s="15">
        <f t="shared" si="36"/>
        <v>60</v>
      </c>
      <c r="R101" s="8"/>
      <c r="T101"/>
    </row>
    <row r="102" spans="2:20" ht="23.1" customHeight="1" x14ac:dyDescent="0.25">
      <c r="B102" s="46" t="s">
        <v>142</v>
      </c>
      <c r="C102" s="50">
        <v>8</v>
      </c>
      <c r="D102" s="50">
        <v>2</v>
      </c>
      <c r="E102" s="50">
        <v>3</v>
      </c>
      <c r="F102" s="50">
        <v>9</v>
      </c>
      <c r="G102" s="50">
        <v>0</v>
      </c>
      <c r="H102" s="50">
        <v>0</v>
      </c>
      <c r="I102" s="50">
        <v>2</v>
      </c>
      <c r="J102" s="50">
        <v>6</v>
      </c>
      <c r="K102" s="50">
        <v>0</v>
      </c>
      <c r="L102" s="50">
        <v>5</v>
      </c>
      <c r="M102" s="50">
        <v>13</v>
      </c>
      <c r="N102" s="50">
        <v>0</v>
      </c>
      <c r="O102" s="15">
        <f t="shared" si="35"/>
        <v>35</v>
      </c>
      <c r="P102" s="15">
        <f t="shared" si="36"/>
        <v>48</v>
      </c>
      <c r="R102" s="8"/>
      <c r="T102"/>
    </row>
    <row r="103" spans="2:20" ht="23.1" customHeight="1" x14ac:dyDescent="0.25">
      <c r="B103" s="45" t="s">
        <v>143</v>
      </c>
      <c r="C103" s="50">
        <v>22</v>
      </c>
      <c r="D103" s="50">
        <v>3</v>
      </c>
      <c r="E103" s="50">
        <v>6</v>
      </c>
      <c r="F103" s="50">
        <v>11</v>
      </c>
      <c r="G103" s="50">
        <v>0</v>
      </c>
      <c r="H103" s="50">
        <v>0</v>
      </c>
      <c r="I103" s="50">
        <v>3</v>
      </c>
      <c r="J103" s="50">
        <v>9</v>
      </c>
      <c r="K103" s="50">
        <v>1</v>
      </c>
      <c r="L103" s="50">
        <v>9</v>
      </c>
      <c r="M103" s="50">
        <v>18</v>
      </c>
      <c r="N103" s="50">
        <v>0</v>
      </c>
      <c r="O103" s="15">
        <f t="shared" si="35"/>
        <v>64</v>
      </c>
      <c r="P103" s="15">
        <f t="shared" si="36"/>
        <v>82</v>
      </c>
      <c r="R103" s="8"/>
      <c r="T103"/>
    </row>
    <row r="104" spans="2:20" ht="23.1" customHeight="1" x14ac:dyDescent="0.25">
      <c r="B104" s="47" t="s">
        <v>144</v>
      </c>
      <c r="C104" s="50">
        <v>18</v>
      </c>
      <c r="D104" s="50">
        <v>6</v>
      </c>
      <c r="E104" s="50">
        <v>2</v>
      </c>
      <c r="F104" s="50">
        <v>14</v>
      </c>
      <c r="G104" s="50">
        <v>0</v>
      </c>
      <c r="H104" s="50">
        <v>0</v>
      </c>
      <c r="I104" s="50">
        <v>4</v>
      </c>
      <c r="J104" s="50">
        <v>3</v>
      </c>
      <c r="K104" s="50">
        <v>1</v>
      </c>
      <c r="L104" s="50">
        <v>2</v>
      </c>
      <c r="M104" s="50">
        <v>20</v>
      </c>
      <c r="N104" s="50">
        <v>0</v>
      </c>
      <c r="O104" s="15">
        <f t="shared" si="35"/>
        <v>50</v>
      </c>
      <c r="P104" s="15">
        <f t="shared" si="36"/>
        <v>70</v>
      </c>
      <c r="R104" s="8"/>
      <c r="T104"/>
    </row>
    <row r="105" spans="2:20" ht="23.1" customHeight="1" x14ac:dyDescent="0.25">
      <c r="B105" s="45" t="s">
        <v>145</v>
      </c>
      <c r="C105" s="50">
        <v>36</v>
      </c>
      <c r="D105" s="50">
        <v>0</v>
      </c>
      <c r="E105" s="50">
        <v>2</v>
      </c>
      <c r="F105" s="50">
        <v>19</v>
      </c>
      <c r="G105" s="50">
        <v>2</v>
      </c>
      <c r="H105" s="50">
        <v>0</v>
      </c>
      <c r="I105" s="50">
        <v>3</v>
      </c>
      <c r="J105" s="50">
        <v>8</v>
      </c>
      <c r="K105" s="50">
        <v>1</v>
      </c>
      <c r="L105" s="50">
        <v>13</v>
      </c>
      <c r="M105" s="50">
        <v>30</v>
      </c>
      <c r="N105" s="50">
        <v>0</v>
      </c>
      <c r="O105" s="15">
        <f t="shared" si="35"/>
        <v>84</v>
      </c>
      <c r="P105" s="15">
        <f t="shared" si="36"/>
        <v>114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1871</v>
      </c>
      <c r="D106" s="16">
        <f t="shared" ref="D106:P106" si="37">SUM(D10:D105)</f>
        <v>340</v>
      </c>
      <c r="E106" s="16">
        <f t="shared" si="37"/>
        <v>374</v>
      </c>
      <c r="F106" s="16">
        <f t="shared" si="37"/>
        <v>1535</v>
      </c>
      <c r="G106" s="16">
        <f t="shared" si="37"/>
        <v>80</v>
      </c>
      <c r="H106" s="16">
        <f t="shared" si="37"/>
        <v>53</v>
      </c>
      <c r="I106" s="16">
        <f t="shared" si="37"/>
        <v>491</v>
      </c>
      <c r="J106" s="16">
        <f t="shared" si="37"/>
        <v>509</v>
      </c>
      <c r="K106" s="16">
        <f t="shared" si="37"/>
        <v>283</v>
      </c>
      <c r="L106" s="16">
        <f t="shared" si="37"/>
        <v>1226</v>
      </c>
      <c r="M106" s="16">
        <f t="shared" si="37"/>
        <v>2319</v>
      </c>
      <c r="N106" s="16">
        <f t="shared" si="37"/>
        <v>0</v>
      </c>
      <c r="O106" s="16">
        <f t="shared" si="37"/>
        <v>6762</v>
      </c>
      <c r="P106" s="16">
        <f t="shared" si="37"/>
        <v>9081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0.20603457768968175</v>
      </c>
      <c r="D107" s="43">
        <f t="shared" si="38"/>
        <v>3.7440810483426935E-2</v>
      </c>
      <c r="E107" s="43">
        <f t="shared" si="38"/>
        <v>4.118489153176963E-2</v>
      </c>
      <c r="F107" s="43">
        <f t="shared" si="38"/>
        <v>0.16903424732958924</v>
      </c>
      <c r="G107" s="43">
        <f t="shared" si="38"/>
        <v>8.8096024666886909E-3</v>
      </c>
      <c r="H107" s="43">
        <f t="shared" si="38"/>
        <v>5.8363616341812578E-3</v>
      </c>
      <c r="I107" s="43">
        <f t="shared" si="38"/>
        <v>5.4068935139301839E-2</v>
      </c>
      <c r="J107" s="43">
        <f t="shared" si="38"/>
        <v>5.6051095694306795E-2</v>
      </c>
      <c r="K107" s="43">
        <f t="shared" si="38"/>
        <v>3.1163968725911245E-2</v>
      </c>
      <c r="L107" s="43">
        <f t="shared" si="38"/>
        <v>0.13500715780200417</v>
      </c>
      <c r="M107" s="43">
        <f t="shared" si="38"/>
        <v>0.25536835150313841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0.27669328601005622</v>
      </c>
      <c r="D108" s="44">
        <f t="shared" ref="D108:N108" si="39">D106/$O$106</f>
        <v>5.0280981958000591E-2</v>
      </c>
      <c r="E108" s="44">
        <f t="shared" si="39"/>
        <v>5.5309080153800649E-2</v>
      </c>
      <c r="F108" s="44">
        <f t="shared" si="39"/>
        <v>0.22700384501626739</v>
      </c>
      <c r="G108" s="44">
        <f t="shared" si="39"/>
        <v>1.1830819284235433E-2</v>
      </c>
      <c r="H108" s="44">
        <f t="shared" si="39"/>
        <v>7.8379177758059748E-3</v>
      </c>
      <c r="I108" s="44">
        <f t="shared" si="39"/>
        <v>7.2611653356994973E-2</v>
      </c>
      <c r="J108" s="44">
        <f t="shared" si="39"/>
        <v>7.5273587695947941E-2</v>
      </c>
      <c r="K108" s="44">
        <f t="shared" si="39"/>
        <v>4.1851523217982849E-2</v>
      </c>
      <c r="L108" s="44">
        <f t="shared" si="39"/>
        <v>0.18130730553090801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40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'1.11 Mukono-Mbalala-24h'!D5</f>
        <v>1.11.19</v>
      </c>
      <c r="E5" s="3"/>
      <c r="F5" s="41" t="s">
        <v>1</v>
      </c>
      <c r="G5" s="61" t="str">
        <f>'1.11 Mukono-Mbalala-24h'!G5:H5</f>
        <v>Perfect tents</v>
      </c>
      <c r="H5" s="62"/>
      <c r="I5" s="14"/>
      <c r="J5" s="2" t="s">
        <v>5</v>
      </c>
      <c r="K5" s="61" t="s">
        <v>175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Mbalala-Mukono'!D6:E6</f>
        <v>Mbalala</v>
      </c>
      <c r="E6" s="62"/>
      <c r="F6" s="2" t="s">
        <v>2</v>
      </c>
      <c r="G6" s="61" t="str">
        <f>'30.10 Mbalala-Mukono'!G6:H6</f>
        <v>Mukono</v>
      </c>
      <c r="H6" s="62"/>
      <c r="J6" s="2" t="s">
        <v>21</v>
      </c>
      <c r="K6" s="61" t="str">
        <f>'1.11 Mukono-Mbalala-24h'!K6:L6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13</v>
      </c>
      <c r="D10" s="50">
        <v>4</v>
      </c>
      <c r="E10" s="50">
        <v>6</v>
      </c>
      <c r="F10" s="50">
        <v>23</v>
      </c>
      <c r="G10" s="50">
        <v>2</v>
      </c>
      <c r="H10" s="50">
        <v>0</v>
      </c>
      <c r="I10" s="50">
        <v>3</v>
      </c>
      <c r="J10" s="50">
        <v>4</v>
      </c>
      <c r="K10" s="50">
        <v>17</v>
      </c>
      <c r="L10" s="50">
        <v>14</v>
      </c>
      <c r="M10" s="50">
        <v>53</v>
      </c>
      <c r="N10" s="50">
        <v>0</v>
      </c>
      <c r="O10" s="15">
        <f t="shared" ref="O10:O73" si="0">SUM(C10:L10,N10)</f>
        <v>86</v>
      </c>
      <c r="P10" s="15">
        <f t="shared" ref="P10:P73" si="1">SUM(C10:N10)</f>
        <v>139</v>
      </c>
      <c r="R10" s="1" t="s">
        <v>6</v>
      </c>
      <c r="S10" s="17">
        <f t="shared" ref="S10:AF10" si="2">SUM(C10:C13)</f>
        <v>68</v>
      </c>
      <c r="T10" s="17">
        <f t="shared" si="2"/>
        <v>30</v>
      </c>
      <c r="U10" s="17">
        <f t="shared" si="2"/>
        <v>29</v>
      </c>
      <c r="V10" s="17">
        <f t="shared" si="2"/>
        <v>87</v>
      </c>
      <c r="W10" s="17">
        <f t="shared" si="2"/>
        <v>7</v>
      </c>
      <c r="X10" s="17">
        <f t="shared" si="2"/>
        <v>4</v>
      </c>
      <c r="Y10" s="17">
        <f t="shared" si="2"/>
        <v>22</v>
      </c>
      <c r="Z10" s="17">
        <f t="shared" si="2"/>
        <v>25</v>
      </c>
      <c r="AA10" s="17">
        <f t="shared" si="2"/>
        <v>63</v>
      </c>
      <c r="AB10" s="17">
        <f t="shared" si="2"/>
        <v>41</v>
      </c>
      <c r="AC10" s="17">
        <f t="shared" si="2"/>
        <v>203</v>
      </c>
      <c r="AD10" s="17">
        <f t="shared" si="2"/>
        <v>0</v>
      </c>
      <c r="AE10" s="31">
        <f t="shared" si="2"/>
        <v>376</v>
      </c>
      <c r="AF10" s="31">
        <f t="shared" si="2"/>
        <v>579</v>
      </c>
    </row>
    <row r="11" spans="2:32" s="6" customFormat="1" ht="23.1" customHeight="1" x14ac:dyDescent="0.25">
      <c r="B11" s="45" t="s">
        <v>38</v>
      </c>
      <c r="C11" s="50">
        <v>18</v>
      </c>
      <c r="D11" s="50">
        <v>8</v>
      </c>
      <c r="E11" s="50">
        <v>9</v>
      </c>
      <c r="F11" s="50">
        <v>25</v>
      </c>
      <c r="G11" s="50">
        <v>1</v>
      </c>
      <c r="H11" s="50">
        <v>1</v>
      </c>
      <c r="I11" s="50">
        <v>5</v>
      </c>
      <c r="J11" s="50">
        <v>8</v>
      </c>
      <c r="K11" s="50">
        <v>20</v>
      </c>
      <c r="L11" s="50">
        <v>7</v>
      </c>
      <c r="M11" s="50">
        <v>57</v>
      </c>
      <c r="N11" s="50">
        <v>0</v>
      </c>
      <c r="O11" s="15">
        <f t="shared" si="0"/>
        <v>102</v>
      </c>
      <c r="P11" s="15">
        <f t="shared" si="1"/>
        <v>159</v>
      </c>
      <c r="R11" s="1" t="s">
        <v>7</v>
      </c>
      <c r="S11" s="17">
        <f t="shared" ref="S11:AF11" si="3">SUM(C14:C17)</f>
        <v>73</v>
      </c>
      <c r="T11" s="17">
        <f t="shared" si="3"/>
        <v>43</v>
      </c>
      <c r="U11" s="17">
        <f t="shared" si="3"/>
        <v>33</v>
      </c>
      <c r="V11" s="17">
        <f t="shared" si="3"/>
        <v>69</v>
      </c>
      <c r="W11" s="17">
        <f t="shared" si="3"/>
        <v>3</v>
      </c>
      <c r="X11" s="17">
        <f t="shared" si="3"/>
        <v>3</v>
      </c>
      <c r="Y11" s="17">
        <f t="shared" si="3"/>
        <v>8</v>
      </c>
      <c r="Z11" s="17">
        <f t="shared" si="3"/>
        <v>7</v>
      </c>
      <c r="AA11" s="17">
        <f t="shared" si="3"/>
        <v>4</v>
      </c>
      <c r="AB11" s="17">
        <f t="shared" si="3"/>
        <v>38</v>
      </c>
      <c r="AC11" s="17">
        <f t="shared" si="3"/>
        <v>187</v>
      </c>
      <c r="AD11" s="17">
        <f t="shared" si="3"/>
        <v>0</v>
      </c>
      <c r="AE11" s="31">
        <f t="shared" si="3"/>
        <v>281</v>
      </c>
      <c r="AF11" s="31">
        <f t="shared" si="3"/>
        <v>468</v>
      </c>
    </row>
    <row r="12" spans="2:32" ht="23.1" customHeight="1" x14ac:dyDescent="0.25">
      <c r="B12" s="45" t="s">
        <v>39</v>
      </c>
      <c r="C12" s="50">
        <v>12</v>
      </c>
      <c r="D12" s="50">
        <v>5</v>
      </c>
      <c r="E12" s="50">
        <v>4</v>
      </c>
      <c r="F12" s="50">
        <v>21</v>
      </c>
      <c r="G12" s="50">
        <v>0</v>
      </c>
      <c r="H12" s="50">
        <v>1</v>
      </c>
      <c r="I12" s="50">
        <v>8</v>
      </c>
      <c r="J12" s="50">
        <v>8</v>
      </c>
      <c r="K12" s="50">
        <v>14</v>
      </c>
      <c r="L12" s="50">
        <v>9</v>
      </c>
      <c r="M12" s="50">
        <v>49</v>
      </c>
      <c r="N12" s="50">
        <v>0</v>
      </c>
      <c r="O12" s="15">
        <f t="shared" si="0"/>
        <v>82</v>
      </c>
      <c r="P12" s="15">
        <f t="shared" si="1"/>
        <v>131</v>
      </c>
      <c r="R12" s="1" t="s">
        <v>8</v>
      </c>
      <c r="S12" s="17">
        <f t="shared" ref="S12:AF12" si="4">SUM(C18:C21)</f>
        <v>119</v>
      </c>
      <c r="T12" s="17">
        <f t="shared" si="4"/>
        <v>35</v>
      </c>
      <c r="U12" s="17">
        <f t="shared" si="4"/>
        <v>33</v>
      </c>
      <c r="V12" s="17">
        <f t="shared" si="4"/>
        <v>105</v>
      </c>
      <c r="W12" s="17">
        <f t="shared" si="4"/>
        <v>12</v>
      </c>
      <c r="X12" s="17">
        <f t="shared" si="4"/>
        <v>5</v>
      </c>
      <c r="Y12" s="17">
        <f t="shared" si="4"/>
        <v>28</v>
      </c>
      <c r="Z12" s="17">
        <f t="shared" si="4"/>
        <v>26</v>
      </c>
      <c r="AA12" s="17">
        <f t="shared" si="4"/>
        <v>11</v>
      </c>
      <c r="AB12" s="17">
        <f t="shared" si="4"/>
        <v>52</v>
      </c>
      <c r="AC12" s="17">
        <f t="shared" si="4"/>
        <v>228</v>
      </c>
      <c r="AD12" s="17">
        <f t="shared" si="4"/>
        <v>0</v>
      </c>
      <c r="AE12" s="31">
        <f t="shared" si="4"/>
        <v>426</v>
      </c>
      <c r="AF12" s="31">
        <f t="shared" si="4"/>
        <v>654</v>
      </c>
    </row>
    <row r="13" spans="2:32" ht="23.1" customHeight="1" x14ac:dyDescent="0.25">
      <c r="B13" s="45" t="s">
        <v>40</v>
      </c>
      <c r="C13" s="50">
        <v>25</v>
      </c>
      <c r="D13" s="50">
        <v>13</v>
      </c>
      <c r="E13" s="50">
        <v>10</v>
      </c>
      <c r="F13" s="50">
        <v>18</v>
      </c>
      <c r="G13" s="50">
        <v>4</v>
      </c>
      <c r="H13" s="50">
        <v>2</v>
      </c>
      <c r="I13" s="50">
        <v>6</v>
      </c>
      <c r="J13" s="50">
        <v>5</v>
      </c>
      <c r="K13" s="50">
        <v>12</v>
      </c>
      <c r="L13" s="50">
        <v>11</v>
      </c>
      <c r="M13" s="50">
        <v>44</v>
      </c>
      <c r="N13" s="50">
        <v>0</v>
      </c>
      <c r="O13" s="15">
        <f t="shared" si="0"/>
        <v>106</v>
      </c>
      <c r="P13" s="15">
        <f t="shared" si="1"/>
        <v>150</v>
      </c>
      <c r="R13" s="1" t="s">
        <v>9</v>
      </c>
      <c r="S13" s="17">
        <f t="shared" ref="S13:AF13" si="5">SUM(C22:C25)</f>
        <v>80</v>
      </c>
      <c r="T13" s="17">
        <f t="shared" si="5"/>
        <v>45</v>
      </c>
      <c r="U13" s="17">
        <f t="shared" si="5"/>
        <v>22</v>
      </c>
      <c r="V13" s="17">
        <f t="shared" si="5"/>
        <v>100</v>
      </c>
      <c r="W13" s="17">
        <f t="shared" si="5"/>
        <v>5</v>
      </c>
      <c r="X13" s="17">
        <f t="shared" si="5"/>
        <v>3</v>
      </c>
      <c r="Y13" s="17">
        <f t="shared" si="5"/>
        <v>26</v>
      </c>
      <c r="Z13" s="17">
        <f t="shared" si="5"/>
        <v>26</v>
      </c>
      <c r="AA13" s="17">
        <f t="shared" si="5"/>
        <v>14</v>
      </c>
      <c r="AB13" s="17">
        <f t="shared" si="5"/>
        <v>42</v>
      </c>
      <c r="AC13" s="17">
        <f t="shared" si="5"/>
        <v>201</v>
      </c>
      <c r="AD13" s="17">
        <f t="shared" si="5"/>
        <v>0</v>
      </c>
      <c r="AE13" s="31">
        <f t="shared" si="5"/>
        <v>363</v>
      </c>
      <c r="AF13" s="31">
        <f t="shared" si="5"/>
        <v>564</v>
      </c>
    </row>
    <row r="14" spans="2:32" ht="23.1" customHeight="1" x14ac:dyDescent="0.25">
      <c r="B14" s="45" t="s">
        <v>41</v>
      </c>
      <c r="C14" s="50">
        <v>20</v>
      </c>
      <c r="D14" s="50">
        <v>9</v>
      </c>
      <c r="E14" s="50">
        <v>5</v>
      </c>
      <c r="F14" s="50">
        <v>26</v>
      </c>
      <c r="G14" s="50">
        <v>2</v>
      </c>
      <c r="H14" s="50">
        <v>0</v>
      </c>
      <c r="I14" s="50">
        <v>2</v>
      </c>
      <c r="J14" s="50">
        <v>1</v>
      </c>
      <c r="K14" s="50">
        <v>1</v>
      </c>
      <c r="L14" s="50">
        <v>13</v>
      </c>
      <c r="M14" s="50">
        <v>50</v>
      </c>
      <c r="N14" s="50">
        <v>0</v>
      </c>
      <c r="O14" s="15">
        <f t="shared" si="0"/>
        <v>79</v>
      </c>
      <c r="P14" s="15">
        <f t="shared" si="1"/>
        <v>129</v>
      </c>
      <c r="R14" s="1" t="s">
        <v>10</v>
      </c>
      <c r="S14" s="17">
        <f t="shared" ref="S14:AF14" si="6">SUM(C26:C29)</f>
        <v>101</v>
      </c>
      <c r="T14" s="17">
        <f t="shared" si="6"/>
        <v>38</v>
      </c>
      <c r="U14" s="17">
        <f t="shared" si="6"/>
        <v>24</v>
      </c>
      <c r="V14" s="17">
        <f t="shared" si="6"/>
        <v>99</v>
      </c>
      <c r="W14" s="17">
        <f t="shared" si="6"/>
        <v>7</v>
      </c>
      <c r="X14" s="17">
        <f t="shared" si="6"/>
        <v>4</v>
      </c>
      <c r="Y14" s="17">
        <f t="shared" si="6"/>
        <v>21</v>
      </c>
      <c r="Z14" s="17">
        <f t="shared" si="6"/>
        <v>27</v>
      </c>
      <c r="AA14" s="17">
        <f t="shared" si="6"/>
        <v>9</v>
      </c>
      <c r="AB14" s="17">
        <f t="shared" si="6"/>
        <v>38</v>
      </c>
      <c r="AC14" s="17">
        <f t="shared" si="6"/>
        <v>173</v>
      </c>
      <c r="AD14" s="17">
        <f t="shared" si="6"/>
        <v>0</v>
      </c>
      <c r="AE14" s="31">
        <f t="shared" si="6"/>
        <v>368</v>
      </c>
      <c r="AF14" s="31">
        <f t="shared" si="6"/>
        <v>541</v>
      </c>
    </row>
    <row r="15" spans="2:32" ht="23.1" customHeight="1" x14ac:dyDescent="0.25">
      <c r="B15" s="45" t="s">
        <v>42</v>
      </c>
      <c r="C15" s="50">
        <v>13</v>
      </c>
      <c r="D15" s="50">
        <v>15</v>
      </c>
      <c r="E15" s="50">
        <v>8</v>
      </c>
      <c r="F15" s="50">
        <v>19</v>
      </c>
      <c r="G15" s="50">
        <v>1</v>
      </c>
      <c r="H15" s="50">
        <v>1</v>
      </c>
      <c r="I15" s="50">
        <v>1</v>
      </c>
      <c r="J15" s="50">
        <v>2</v>
      </c>
      <c r="K15" s="50">
        <v>0</v>
      </c>
      <c r="L15" s="50">
        <v>9</v>
      </c>
      <c r="M15" s="50">
        <v>57</v>
      </c>
      <c r="N15" s="50">
        <v>0</v>
      </c>
      <c r="O15" s="15">
        <f t="shared" si="0"/>
        <v>69</v>
      </c>
      <c r="P15" s="15">
        <f t="shared" si="1"/>
        <v>126</v>
      </c>
      <c r="R15" s="1" t="s">
        <v>11</v>
      </c>
      <c r="S15" s="17">
        <f t="shared" ref="S15:AF15" si="7">SUM(C30:C33)</f>
        <v>92</v>
      </c>
      <c r="T15" s="17">
        <f t="shared" si="7"/>
        <v>36</v>
      </c>
      <c r="U15" s="17">
        <f t="shared" si="7"/>
        <v>24</v>
      </c>
      <c r="V15" s="17">
        <f t="shared" si="7"/>
        <v>96</v>
      </c>
      <c r="W15" s="17">
        <f t="shared" si="7"/>
        <v>3</v>
      </c>
      <c r="X15" s="17">
        <f t="shared" si="7"/>
        <v>4</v>
      </c>
      <c r="Y15" s="17">
        <f t="shared" si="7"/>
        <v>32</v>
      </c>
      <c r="Z15" s="17">
        <f t="shared" si="7"/>
        <v>24</v>
      </c>
      <c r="AA15" s="17">
        <f t="shared" si="7"/>
        <v>12</v>
      </c>
      <c r="AB15" s="17">
        <f t="shared" si="7"/>
        <v>53</v>
      </c>
      <c r="AC15" s="17">
        <f t="shared" si="7"/>
        <v>195</v>
      </c>
      <c r="AD15" s="17">
        <f t="shared" si="7"/>
        <v>0</v>
      </c>
      <c r="AE15" s="31">
        <f t="shared" si="7"/>
        <v>376</v>
      </c>
      <c r="AF15" s="31">
        <f t="shared" si="7"/>
        <v>571</v>
      </c>
    </row>
    <row r="16" spans="2:32" ht="23.1" customHeight="1" x14ac:dyDescent="0.25">
      <c r="B16" s="45" t="s">
        <v>43</v>
      </c>
      <c r="C16" s="50">
        <v>18</v>
      </c>
      <c r="D16" s="50">
        <v>11</v>
      </c>
      <c r="E16" s="50">
        <v>11</v>
      </c>
      <c r="F16" s="50">
        <v>10</v>
      </c>
      <c r="G16" s="50">
        <v>0</v>
      </c>
      <c r="H16" s="50">
        <v>0</v>
      </c>
      <c r="I16" s="50">
        <v>4</v>
      </c>
      <c r="J16" s="50">
        <v>3</v>
      </c>
      <c r="K16" s="50">
        <v>1</v>
      </c>
      <c r="L16" s="50">
        <v>11</v>
      </c>
      <c r="M16" s="50">
        <v>45</v>
      </c>
      <c r="N16" s="50">
        <v>0</v>
      </c>
      <c r="O16" s="15">
        <f t="shared" si="0"/>
        <v>69</v>
      </c>
      <c r="P16" s="15">
        <f t="shared" si="1"/>
        <v>114</v>
      </c>
      <c r="R16" s="1" t="s">
        <v>12</v>
      </c>
      <c r="S16" s="17">
        <f t="shared" ref="S16:AF16" si="8">SUM(C34:C37)</f>
        <v>118</v>
      </c>
      <c r="T16" s="17">
        <f t="shared" si="8"/>
        <v>33</v>
      </c>
      <c r="U16" s="17">
        <f t="shared" si="8"/>
        <v>33</v>
      </c>
      <c r="V16" s="17">
        <f t="shared" si="8"/>
        <v>111</v>
      </c>
      <c r="W16" s="17">
        <f t="shared" si="8"/>
        <v>1</v>
      </c>
      <c r="X16" s="17">
        <f t="shared" si="8"/>
        <v>4</v>
      </c>
      <c r="Y16" s="17">
        <f t="shared" si="8"/>
        <v>37</v>
      </c>
      <c r="Z16" s="17">
        <f t="shared" si="8"/>
        <v>32</v>
      </c>
      <c r="AA16" s="17">
        <f t="shared" si="8"/>
        <v>10</v>
      </c>
      <c r="AB16" s="17">
        <f t="shared" si="8"/>
        <v>53</v>
      </c>
      <c r="AC16" s="17">
        <f t="shared" si="8"/>
        <v>158</v>
      </c>
      <c r="AD16" s="17">
        <f t="shared" si="8"/>
        <v>0</v>
      </c>
      <c r="AE16" s="31">
        <f t="shared" si="8"/>
        <v>432</v>
      </c>
      <c r="AF16" s="31">
        <f t="shared" si="8"/>
        <v>590</v>
      </c>
    </row>
    <row r="17" spans="2:32" ht="23.1" customHeight="1" x14ac:dyDescent="0.25">
      <c r="B17" s="45" t="s">
        <v>44</v>
      </c>
      <c r="C17" s="50">
        <v>22</v>
      </c>
      <c r="D17" s="50">
        <v>8</v>
      </c>
      <c r="E17" s="50">
        <v>9</v>
      </c>
      <c r="F17" s="50">
        <v>14</v>
      </c>
      <c r="G17" s="50">
        <v>0</v>
      </c>
      <c r="H17" s="50">
        <v>2</v>
      </c>
      <c r="I17" s="50">
        <v>1</v>
      </c>
      <c r="J17" s="50">
        <v>1</v>
      </c>
      <c r="K17" s="50">
        <v>2</v>
      </c>
      <c r="L17" s="50">
        <v>5</v>
      </c>
      <c r="M17" s="50">
        <v>35</v>
      </c>
      <c r="N17" s="50">
        <v>0</v>
      </c>
      <c r="O17" s="15">
        <f t="shared" si="0"/>
        <v>64</v>
      </c>
      <c r="P17" s="15">
        <f t="shared" si="1"/>
        <v>99</v>
      </c>
      <c r="R17" s="1" t="s">
        <v>13</v>
      </c>
      <c r="S17" s="17">
        <f t="shared" ref="S17:AF17" si="9">SUM(C38:C41)</f>
        <v>89</v>
      </c>
      <c r="T17" s="17">
        <f t="shared" si="9"/>
        <v>36</v>
      </c>
      <c r="U17" s="17">
        <f t="shared" si="9"/>
        <v>29</v>
      </c>
      <c r="V17" s="17">
        <f t="shared" si="9"/>
        <v>108</v>
      </c>
      <c r="W17" s="17">
        <f t="shared" si="9"/>
        <v>2</v>
      </c>
      <c r="X17" s="17">
        <f t="shared" si="9"/>
        <v>1</v>
      </c>
      <c r="Y17" s="17">
        <f t="shared" si="9"/>
        <v>39</v>
      </c>
      <c r="Z17" s="17">
        <f t="shared" si="9"/>
        <v>30</v>
      </c>
      <c r="AA17" s="17">
        <f t="shared" si="9"/>
        <v>10</v>
      </c>
      <c r="AB17" s="17">
        <f t="shared" si="9"/>
        <v>50</v>
      </c>
      <c r="AC17" s="17">
        <f t="shared" si="9"/>
        <v>137</v>
      </c>
      <c r="AD17" s="17">
        <f t="shared" si="9"/>
        <v>0</v>
      </c>
      <c r="AE17" s="31">
        <f t="shared" si="9"/>
        <v>394</v>
      </c>
      <c r="AF17" s="31">
        <f t="shared" si="9"/>
        <v>531</v>
      </c>
    </row>
    <row r="18" spans="2:32" ht="23.1" customHeight="1" x14ac:dyDescent="0.25">
      <c r="B18" s="45" t="s">
        <v>45</v>
      </c>
      <c r="C18" s="50">
        <v>25</v>
      </c>
      <c r="D18" s="50">
        <v>6</v>
      </c>
      <c r="E18" s="50">
        <v>8</v>
      </c>
      <c r="F18" s="50">
        <v>26</v>
      </c>
      <c r="G18" s="50">
        <v>4</v>
      </c>
      <c r="H18" s="50">
        <v>2</v>
      </c>
      <c r="I18" s="50">
        <v>5</v>
      </c>
      <c r="J18" s="50">
        <v>9</v>
      </c>
      <c r="K18" s="50">
        <v>3</v>
      </c>
      <c r="L18" s="50">
        <v>16</v>
      </c>
      <c r="M18" s="50">
        <v>66</v>
      </c>
      <c r="N18" s="50">
        <v>0</v>
      </c>
      <c r="O18" s="15">
        <f t="shared" si="0"/>
        <v>104</v>
      </c>
      <c r="P18" s="15">
        <f t="shared" si="1"/>
        <v>170</v>
      </c>
      <c r="R18" s="1" t="s">
        <v>14</v>
      </c>
      <c r="S18" s="17">
        <f t="shared" ref="S18:AF18" si="10">SUM(C42:C45)</f>
        <v>106</v>
      </c>
      <c r="T18" s="17">
        <f t="shared" si="10"/>
        <v>64</v>
      </c>
      <c r="U18" s="17">
        <f t="shared" si="10"/>
        <v>33</v>
      </c>
      <c r="V18" s="17">
        <f t="shared" si="10"/>
        <v>114</v>
      </c>
      <c r="W18" s="17">
        <f t="shared" si="10"/>
        <v>6</v>
      </c>
      <c r="X18" s="17">
        <f t="shared" si="10"/>
        <v>6</v>
      </c>
      <c r="Y18" s="17">
        <f t="shared" si="10"/>
        <v>40</v>
      </c>
      <c r="Z18" s="17">
        <f t="shared" si="10"/>
        <v>28</v>
      </c>
      <c r="AA18" s="17">
        <f t="shared" si="10"/>
        <v>7</v>
      </c>
      <c r="AB18" s="17">
        <f t="shared" si="10"/>
        <v>46</v>
      </c>
      <c r="AC18" s="17">
        <f t="shared" si="10"/>
        <v>151</v>
      </c>
      <c r="AD18" s="17">
        <f t="shared" si="10"/>
        <v>0</v>
      </c>
      <c r="AE18" s="31">
        <f t="shared" si="10"/>
        <v>450</v>
      </c>
      <c r="AF18" s="31">
        <f t="shared" si="10"/>
        <v>601</v>
      </c>
    </row>
    <row r="19" spans="2:32" ht="23.1" customHeight="1" x14ac:dyDescent="0.25">
      <c r="B19" s="45" t="s">
        <v>46</v>
      </c>
      <c r="C19" s="50">
        <v>30</v>
      </c>
      <c r="D19" s="50">
        <v>8</v>
      </c>
      <c r="E19" s="50">
        <v>11</v>
      </c>
      <c r="F19" s="50">
        <v>25</v>
      </c>
      <c r="G19" s="50">
        <v>1</v>
      </c>
      <c r="H19" s="50">
        <v>1</v>
      </c>
      <c r="I19" s="50">
        <v>9</v>
      </c>
      <c r="J19" s="50">
        <v>9</v>
      </c>
      <c r="K19" s="50">
        <v>5</v>
      </c>
      <c r="L19" s="50">
        <v>17</v>
      </c>
      <c r="M19" s="50">
        <v>56</v>
      </c>
      <c r="N19" s="50">
        <v>0</v>
      </c>
      <c r="O19" s="15">
        <f t="shared" si="0"/>
        <v>116</v>
      </c>
      <c r="P19" s="15">
        <f t="shared" si="1"/>
        <v>172</v>
      </c>
      <c r="R19" s="1" t="s">
        <v>15</v>
      </c>
      <c r="S19" s="17">
        <f t="shared" ref="S19:AF19" si="11">SUM(C46:C49)</f>
        <v>101</v>
      </c>
      <c r="T19" s="17">
        <f t="shared" si="11"/>
        <v>47</v>
      </c>
      <c r="U19" s="17">
        <f t="shared" si="11"/>
        <v>34</v>
      </c>
      <c r="V19" s="17">
        <f t="shared" si="11"/>
        <v>108</v>
      </c>
      <c r="W19" s="17">
        <f t="shared" si="11"/>
        <v>1</v>
      </c>
      <c r="X19" s="17">
        <f t="shared" si="11"/>
        <v>3</v>
      </c>
      <c r="Y19" s="17">
        <f t="shared" si="11"/>
        <v>37</v>
      </c>
      <c r="Z19" s="17">
        <f t="shared" si="11"/>
        <v>17</v>
      </c>
      <c r="AA19" s="17">
        <f t="shared" si="11"/>
        <v>13</v>
      </c>
      <c r="AB19" s="17">
        <f t="shared" si="11"/>
        <v>32</v>
      </c>
      <c r="AC19" s="17">
        <f t="shared" si="11"/>
        <v>169</v>
      </c>
      <c r="AD19" s="17">
        <f t="shared" si="11"/>
        <v>0</v>
      </c>
      <c r="AE19" s="31">
        <f t="shared" si="11"/>
        <v>393</v>
      </c>
      <c r="AF19" s="31">
        <f t="shared" si="11"/>
        <v>562</v>
      </c>
    </row>
    <row r="20" spans="2:32" ht="23.1" customHeight="1" x14ac:dyDescent="0.25">
      <c r="B20" s="45" t="s">
        <v>47</v>
      </c>
      <c r="C20" s="50">
        <v>42</v>
      </c>
      <c r="D20" s="50">
        <v>10</v>
      </c>
      <c r="E20" s="50">
        <v>7</v>
      </c>
      <c r="F20" s="50">
        <v>24</v>
      </c>
      <c r="G20" s="50">
        <v>4</v>
      </c>
      <c r="H20" s="50">
        <v>2</v>
      </c>
      <c r="I20" s="50">
        <v>5</v>
      </c>
      <c r="J20" s="50">
        <v>4</v>
      </c>
      <c r="K20" s="50">
        <v>3</v>
      </c>
      <c r="L20" s="50">
        <v>10</v>
      </c>
      <c r="M20" s="50">
        <v>46</v>
      </c>
      <c r="N20" s="50">
        <v>0</v>
      </c>
      <c r="O20" s="15">
        <f t="shared" si="0"/>
        <v>111</v>
      </c>
      <c r="P20" s="15">
        <f t="shared" si="1"/>
        <v>157</v>
      </c>
      <c r="R20" s="1" t="s">
        <v>16</v>
      </c>
      <c r="S20" s="17">
        <f t="shared" ref="S20:AF20" si="12">SUM(C50:C53)</f>
        <v>138</v>
      </c>
      <c r="T20" s="17">
        <f t="shared" si="12"/>
        <v>72</v>
      </c>
      <c r="U20" s="17">
        <f t="shared" si="12"/>
        <v>53</v>
      </c>
      <c r="V20" s="17">
        <f t="shared" si="12"/>
        <v>117</v>
      </c>
      <c r="W20" s="17">
        <f t="shared" si="12"/>
        <v>3</v>
      </c>
      <c r="X20" s="17">
        <f t="shared" si="12"/>
        <v>3</v>
      </c>
      <c r="Y20" s="17">
        <f t="shared" si="12"/>
        <v>48</v>
      </c>
      <c r="Z20" s="17">
        <f t="shared" si="12"/>
        <v>25</v>
      </c>
      <c r="AA20" s="17">
        <f t="shared" si="12"/>
        <v>9</v>
      </c>
      <c r="AB20" s="17">
        <f t="shared" si="12"/>
        <v>39</v>
      </c>
      <c r="AC20" s="17">
        <f t="shared" si="12"/>
        <v>183</v>
      </c>
      <c r="AD20" s="17">
        <f t="shared" si="12"/>
        <v>0</v>
      </c>
      <c r="AE20" s="31">
        <f t="shared" si="12"/>
        <v>507</v>
      </c>
      <c r="AF20" s="31">
        <f t="shared" si="12"/>
        <v>690</v>
      </c>
    </row>
    <row r="21" spans="2:32" ht="23.1" customHeight="1" x14ac:dyDescent="0.25">
      <c r="B21" s="45" t="s">
        <v>48</v>
      </c>
      <c r="C21" s="50">
        <v>22</v>
      </c>
      <c r="D21" s="50">
        <v>11</v>
      </c>
      <c r="E21" s="50">
        <v>7</v>
      </c>
      <c r="F21" s="50">
        <v>30</v>
      </c>
      <c r="G21" s="50">
        <v>3</v>
      </c>
      <c r="H21" s="50">
        <v>0</v>
      </c>
      <c r="I21" s="50">
        <v>9</v>
      </c>
      <c r="J21" s="50">
        <v>4</v>
      </c>
      <c r="K21" s="50">
        <v>0</v>
      </c>
      <c r="L21" s="50">
        <v>9</v>
      </c>
      <c r="M21" s="50">
        <v>60</v>
      </c>
      <c r="N21" s="50">
        <v>0</v>
      </c>
      <c r="O21" s="15">
        <f t="shared" si="0"/>
        <v>95</v>
      </c>
      <c r="P21" s="15">
        <f t="shared" si="1"/>
        <v>155</v>
      </c>
      <c r="R21" s="36" t="s">
        <v>20</v>
      </c>
      <c r="S21" s="34">
        <f t="shared" ref="S21:AF21" si="13">SUM(C54:C57)</f>
        <v>142</v>
      </c>
      <c r="T21" s="17">
        <f t="shared" si="13"/>
        <v>51</v>
      </c>
      <c r="U21" s="17">
        <f t="shared" si="13"/>
        <v>48</v>
      </c>
      <c r="V21" s="17">
        <f t="shared" si="13"/>
        <v>124</v>
      </c>
      <c r="W21" s="17">
        <f t="shared" si="13"/>
        <v>12</v>
      </c>
      <c r="X21" s="17">
        <f t="shared" si="13"/>
        <v>3</v>
      </c>
      <c r="Y21" s="17">
        <f t="shared" si="13"/>
        <v>42</v>
      </c>
      <c r="Z21" s="17">
        <f t="shared" si="13"/>
        <v>22</v>
      </c>
      <c r="AA21" s="17">
        <f t="shared" si="13"/>
        <v>6</v>
      </c>
      <c r="AB21" s="17">
        <f t="shared" si="13"/>
        <v>37</v>
      </c>
      <c r="AC21" s="17">
        <f t="shared" si="13"/>
        <v>207</v>
      </c>
      <c r="AD21" s="17">
        <f t="shared" si="13"/>
        <v>0</v>
      </c>
      <c r="AE21" s="31">
        <f t="shared" si="13"/>
        <v>487</v>
      </c>
      <c r="AF21" s="31">
        <f t="shared" si="13"/>
        <v>694</v>
      </c>
    </row>
    <row r="22" spans="2:32" ht="23.1" customHeight="1" x14ac:dyDescent="0.25">
      <c r="B22" s="45" t="s">
        <v>49</v>
      </c>
      <c r="C22" s="50">
        <v>20</v>
      </c>
      <c r="D22" s="50">
        <v>14</v>
      </c>
      <c r="E22" s="50">
        <v>6</v>
      </c>
      <c r="F22" s="50">
        <v>32</v>
      </c>
      <c r="G22" s="50">
        <v>1</v>
      </c>
      <c r="H22" s="50">
        <v>0</v>
      </c>
      <c r="I22" s="50">
        <v>7</v>
      </c>
      <c r="J22" s="50">
        <v>9</v>
      </c>
      <c r="K22" s="50">
        <v>1</v>
      </c>
      <c r="L22" s="50">
        <v>7</v>
      </c>
      <c r="M22" s="50">
        <v>47</v>
      </c>
      <c r="N22" s="50">
        <v>0</v>
      </c>
      <c r="O22" s="15">
        <f t="shared" si="0"/>
        <v>97</v>
      </c>
      <c r="P22" s="15">
        <f t="shared" si="1"/>
        <v>144</v>
      </c>
      <c r="R22" s="36" t="s">
        <v>146</v>
      </c>
      <c r="S22" s="34">
        <f>SUM(C58:C61)</f>
        <v>149</v>
      </c>
      <c r="T22" s="34">
        <f t="shared" ref="T22:AF22" si="14">SUM(D58:D61)</f>
        <v>46</v>
      </c>
      <c r="U22" s="34">
        <f t="shared" si="14"/>
        <v>24</v>
      </c>
      <c r="V22" s="34">
        <f t="shared" si="14"/>
        <v>118</v>
      </c>
      <c r="W22" s="34">
        <f t="shared" si="14"/>
        <v>2</v>
      </c>
      <c r="X22" s="34">
        <f t="shared" si="14"/>
        <v>5</v>
      </c>
      <c r="Y22" s="34">
        <f t="shared" si="14"/>
        <v>32</v>
      </c>
      <c r="Z22" s="34">
        <f t="shared" si="14"/>
        <v>31</v>
      </c>
      <c r="AA22" s="34">
        <f t="shared" si="14"/>
        <v>8</v>
      </c>
      <c r="AB22" s="34">
        <f t="shared" si="14"/>
        <v>36</v>
      </c>
      <c r="AC22" s="34">
        <f t="shared" si="14"/>
        <v>174</v>
      </c>
      <c r="AD22" s="34">
        <f t="shared" si="14"/>
        <v>0</v>
      </c>
      <c r="AE22" s="31">
        <f t="shared" si="14"/>
        <v>451</v>
      </c>
      <c r="AF22" s="31">
        <f t="shared" si="14"/>
        <v>625</v>
      </c>
    </row>
    <row r="23" spans="2:32" ht="23.1" customHeight="1" x14ac:dyDescent="0.25">
      <c r="B23" s="45" t="s">
        <v>50</v>
      </c>
      <c r="C23" s="50">
        <v>16</v>
      </c>
      <c r="D23" s="50">
        <v>14</v>
      </c>
      <c r="E23" s="50">
        <v>1</v>
      </c>
      <c r="F23" s="50">
        <v>16</v>
      </c>
      <c r="G23" s="50">
        <v>1</v>
      </c>
      <c r="H23" s="50">
        <v>2</v>
      </c>
      <c r="I23" s="50">
        <v>3</v>
      </c>
      <c r="J23" s="50">
        <v>3</v>
      </c>
      <c r="K23" s="50">
        <v>6</v>
      </c>
      <c r="L23" s="50">
        <v>8</v>
      </c>
      <c r="M23" s="50">
        <v>41</v>
      </c>
      <c r="N23" s="50">
        <v>0</v>
      </c>
      <c r="O23" s="15">
        <f t="shared" si="0"/>
        <v>70</v>
      </c>
      <c r="P23" s="15">
        <f t="shared" si="1"/>
        <v>111</v>
      </c>
      <c r="R23" s="36" t="s">
        <v>147</v>
      </c>
      <c r="S23" s="34">
        <f>SUM(C62:C65)</f>
        <v>79</v>
      </c>
      <c r="T23" s="34">
        <f t="shared" ref="T23:AF23" si="15">SUM(D62:D65)</f>
        <v>22</v>
      </c>
      <c r="U23" s="34">
        <f t="shared" si="15"/>
        <v>31</v>
      </c>
      <c r="V23" s="34">
        <f t="shared" si="15"/>
        <v>87</v>
      </c>
      <c r="W23" s="34">
        <f t="shared" si="15"/>
        <v>7</v>
      </c>
      <c r="X23" s="34">
        <f t="shared" si="15"/>
        <v>3</v>
      </c>
      <c r="Y23" s="34">
        <f t="shared" si="15"/>
        <v>30</v>
      </c>
      <c r="Z23" s="34">
        <f t="shared" si="15"/>
        <v>19</v>
      </c>
      <c r="AA23" s="34">
        <f t="shared" si="15"/>
        <v>8</v>
      </c>
      <c r="AB23" s="34">
        <f t="shared" si="15"/>
        <v>20</v>
      </c>
      <c r="AC23" s="34">
        <f t="shared" si="15"/>
        <v>95</v>
      </c>
      <c r="AD23" s="34">
        <f t="shared" si="15"/>
        <v>0</v>
      </c>
      <c r="AE23" s="31">
        <f t="shared" si="15"/>
        <v>306</v>
      </c>
      <c r="AF23" s="31">
        <f t="shared" si="15"/>
        <v>401</v>
      </c>
    </row>
    <row r="24" spans="2:32" ht="23.1" customHeight="1" x14ac:dyDescent="0.25">
      <c r="B24" s="45" t="s">
        <v>51</v>
      </c>
      <c r="C24" s="50">
        <v>27</v>
      </c>
      <c r="D24" s="50">
        <v>7</v>
      </c>
      <c r="E24" s="50">
        <v>8</v>
      </c>
      <c r="F24" s="50">
        <v>27</v>
      </c>
      <c r="G24" s="50">
        <v>0</v>
      </c>
      <c r="H24" s="50">
        <v>1</v>
      </c>
      <c r="I24" s="50">
        <v>9</v>
      </c>
      <c r="J24" s="50">
        <v>3</v>
      </c>
      <c r="K24" s="50">
        <v>6</v>
      </c>
      <c r="L24" s="50">
        <v>14</v>
      </c>
      <c r="M24" s="50">
        <v>60</v>
      </c>
      <c r="N24" s="50">
        <v>0</v>
      </c>
      <c r="O24" s="15">
        <f t="shared" si="0"/>
        <v>102</v>
      </c>
      <c r="P24" s="15">
        <f t="shared" si="1"/>
        <v>162</v>
      </c>
      <c r="R24" s="36" t="s">
        <v>148</v>
      </c>
      <c r="S24" s="34">
        <f>SUM(C66:C69)</f>
        <v>77</v>
      </c>
      <c r="T24" s="34">
        <f t="shared" ref="T24:AF24" si="16">SUM(D66:D69)</f>
        <v>20</v>
      </c>
      <c r="U24" s="34">
        <f t="shared" si="16"/>
        <v>15</v>
      </c>
      <c r="V24" s="34">
        <f t="shared" si="16"/>
        <v>51</v>
      </c>
      <c r="W24" s="34">
        <f t="shared" si="16"/>
        <v>5</v>
      </c>
      <c r="X24" s="34">
        <f t="shared" si="16"/>
        <v>1</v>
      </c>
      <c r="Y24" s="34">
        <f t="shared" si="16"/>
        <v>15</v>
      </c>
      <c r="Z24" s="34">
        <f t="shared" si="16"/>
        <v>14</v>
      </c>
      <c r="AA24" s="34">
        <f t="shared" si="16"/>
        <v>8</v>
      </c>
      <c r="AB24" s="34">
        <f t="shared" si="16"/>
        <v>15</v>
      </c>
      <c r="AC24" s="34">
        <f t="shared" si="16"/>
        <v>51</v>
      </c>
      <c r="AD24" s="34">
        <f t="shared" si="16"/>
        <v>0</v>
      </c>
      <c r="AE24" s="31">
        <f t="shared" si="16"/>
        <v>221</v>
      </c>
      <c r="AF24" s="31">
        <f t="shared" si="16"/>
        <v>272</v>
      </c>
    </row>
    <row r="25" spans="2:32" ht="23.1" customHeight="1" x14ac:dyDescent="0.25">
      <c r="B25" s="45" t="s">
        <v>52</v>
      </c>
      <c r="C25" s="50">
        <v>17</v>
      </c>
      <c r="D25" s="50">
        <v>10</v>
      </c>
      <c r="E25" s="50">
        <v>7</v>
      </c>
      <c r="F25" s="50">
        <v>25</v>
      </c>
      <c r="G25" s="50">
        <v>3</v>
      </c>
      <c r="H25" s="50">
        <v>0</v>
      </c>
      <c r="I25" s="50">
        <v>7</v>
      </c>
      <c r="J25" s="50">
        <v>11</v>
      </c>
      <c r="K25" s="50">
        <v>1</v>
      </c>
      <c r="L25" s="50">
        <v>13</v>
      </c>
      <c r="M25" s="50">
        <v>53</v>
      </c>
      <c r="N25" s="50">
        <v>0</v>
      </c>
      <c r="O25" s="15">
        <f t="shared" si="0"/>
        <v>94</v>
      </c>
      <c r="P25" s="15">
        <f t="shared" si="1"/>
        <v>147</v>
      </c>
      <c r="R25" s="36" t="s">
        <v>149</v>
      </c>
      <c r="S25" s="34">
        <f>SUM(C70:C73)</f>
        <v>94</v>
      </c>
      <c r="T25" s="34">
        <f t="shared" ref="T25:AF25" si="17">SUM(D70:D73)</f>
        <v>32</v>
      </c>
      <c r="U25" s="34">
        <f t="shared" si="17"/>
        <v>27</v>
      </c>
      <c r="V25" s="34">
        <f t="shared" si="17"/>
        <v>92</v>
      </c>
      <c r="W25" s="34">
        <f t="shared" si="17"/>
        <v>10</v>
      </c>
      <c r="X25" s="34">
        <f t="shared" si="17"/>
        <v>6</v>
      </c>
      <c r="Y25" s="34">
        <f t="shared" si="17"/>
        <v>26</v>
      </c>
      <c r="Z25" s="34">
        <f t="shared" si="17"/>
        <v>24</v>
      </c>
      <c r="AA25" s="34">
        <f t="shared" si="17"/>
        <v>5</v>
      </c>
      <c r="AB25" s="34">
        <f t="shared" si="17"/>
        <v>28</v>
      </c>
      <c r="AC25" s="34">
        <f t="shared" si="17"/>
        <v>46</v>
      </c>
      <c r="AD25" s="34">
        <f t="shared" si="17"/>
        <v>0</v>
      </c>
      <c r="AE25" s="31">
        <f t="shared" si="17"/>
        <v>344</v>
      </c>
      <c r="AF25" s="31">
        <f t="shared" si="17"/>
        <v>390</v>
      </c>
    </row>
    <row r="26" spans="2:32" ht="23.1" customHeight="1" x14ac:dyDescent="0.25">
      <c r="B26" s="45" t="s">
        <v>53</v>
      </c>
      <c r="C26" s="50">
        <v>29</v>
      </c>
      <c r="D26" s="50">
        <v>10</v>
      </c>
      <c r="E26" s="50">
        <v>3</v>
      </c>
      <c r="F26" s="50">
        <v>20</v>
      </c>
      <c r="G26" s="50">
        <v>0</v>
      </c>
      <c r="H26" s="50">
        <v>2</v>
      </c>
      <c r="I26" s="50">
        <v>1</v>
      </c>
      <c r="J26" s="50">
        <v>7</v>
      </c>
      <c r="K26" s="50">
        <v>1</v>
      </c>
      <c r="L26" s="50">
        <v>9</v>
      </c>
      <c r="M26" s="50">
        <v>51</v>
      </c>
      <c r="N26" s="50">
        <v>0</v>
      </c>
      <c r="O26" s="15">
        <f t="shared" si="0"/>
        <v>82</v>
      </c>
      <c r="P26" s="15">
        <f t="shared" si="1"/>
        <v>133</v>
      </c>
      <c r="R26" s="36" t="s">
        <v>150</v>
      </c>
      <c r="S26" s="34">
        <f>SUM(C74:C77)</f>
        <v>49</v>
      </c>
      <c r="T26" s="34">
        <f t="shared" ref="T26:AF26" si="18">SUM(D74:D77)</f>
        <v>8</v>
      </c>
      <c r="U26" s="34">
        <f t="shared" si="18"/>
        <v>15</v>
      </c>
      <c r="V26" s="34">
        <f t="shared" si="18"/>
        <v>43</v>
      </c>
      <c r="W26" s="34">
        <f t="shared" si="18"/>
        <v>5</v>
      </c>
      <c r="X26" s="34">
        <f t="shared" si="18"/>
        <v>2</v>
      </c>
      <c r="Y26" s="34">
        <f t="shared" si="18"/>
        <v>18</v>
      </c>
      <c r="Z26" s="34">
        <f t="shared" si="18"/>
        <v>26</v>
      </c>
      <c r="AA26" s="34">
        <f t="shared" si="18"/>
        <v>9</v>
      </c>
      <c r="AB26" s="34">
        <f t="shared" si="18"/>
        <v>21</v>
      </c>
      <c r="AC26" s="34">
        <f t="shared" si="18"/>
        <v>19</v>
      </c>
      <c r="AD26" s="34">
        <f t="shared" si="18"/>
        <v>0</v>
      </c>
      <c r="AE26" s="31">
        <f t="shared" si="18"/>
        <v>196</v>
      </c>
      <c r="AF26" s="31">
        <f t="shared" si="18"/>
        <v>215</v>
      </c>
    </row>
    <row r="27" spans="2:32" ht="23.1" customHeight="1" x14ac:dyDescent="0.25">
      <c r="B27" s="45" t="s">
        <v>54</v>
      </c>
      <c r="C27" s="50">
        <v>25</v>
      </c>
      <c r="D27" s="50">
        <v>10</v>
      </c>
      <c r="E27" s="50">
        <v>8</v>
      </c>
      <c r="F27" s="50">
        <v>26</v>
      </c>
      <c r="G27" s="50">
        <v>1</v>
      </c>
      <c r="H27" s="50">
        <v>1</v>
      </c>
      <c r="I27" s="50">
        <v>6</v>
      </c>
      <c r="J27" s="50">
        <v>6</v>
      </c>
      <c r="K27" s="50">
        <v>3</v>
      </c>
      <c r="L27" s="50">
        <v>12</v>
      </c>
      <c r="M27" s="50">
        <v>52</v>
      </c>
      <c r="N27" s="50">
        <v>0</v>
      </c>
      <c r="O27" s="15">
        <f t="shared" si="0"/>
        <v>98</v>
      </c>
      <c r="P27" s="15">
        <f t="shared" si="1"/>
        <v>150</v>
      </c>
      <c r="R27" s="36" t="s">
        <v>151</v>
      </c>
      <c r="S27" s="34">
        <f>SUM(C78:C81)</f>
        <v>24</v>
      </c>
      <c r="T27" s="34">
        <f t="shared" ref="T27:AF27" si="19">SUM(D78:D81)</f>
        <v>13</v>
      </c>
      <c r="U27" s="34">
        <f t="shared" si="19"/>
        <v>12</v>
      </c>
      <c r="V27" s="34">
        <f t="shared" si="19"/>
        <v>14</v>
      </c>
      <c r="W27" s="34">
        <f t="shared" si="19"/>
        <v>4</v>
      </c>
      <c r="X27" s="34">
        <f t="shared" si="19"/>
        <v>4</v>
      </c>
      <c r="Y27" s="34">
        <f t="shared" si="19"/>
        <v>17</v>
      </c>
      <c r="Z27" s="34">
        <f t="shared" si="19"/>
        <v>24</v>
      </c>
      <c r="AA27" s="34">
        <f t="shared" si="19"/>
        <v>1</v>
      </c>
      <c r="AB27" s="34">
        <f t="shared" si="19"/>
        <v>11</v>
      </c>
      <c r="AC27" s="34">
        <f t="shared" si="19"/>
        <v>13</v>
      </c>
      <c r="AD27" s="34">
        <f t="shared" si="19"/>
        <v>0</v>
      </c>
      <c r="AE27" s="31">
        <f t="shared" si="19"/>
        <v>124</v>
      </c>
      <c r="AF27" s="31">
        <f t="shared" si="19"/>
        <v>137</v>
      </c>
    </row>
    <row r="28" spans="2:32" ht="23.1" customHeight="1" x14ac:dyDescent="0.25">
      <c r="B28" s="45" t="s">
        <v>55</v>
      </c>
      <c r="C28" s="50">
        <v>21</v>
      </c>
      <c r="D28" s="50">
        <v>5</v>
      </c>
      <c r="E28" s="50">
        <v>6</v>
      </c>
      <c r="F28" s="50">
        <v>27</v>
      </c>
      <c r="G28" s="50">
        <v>6</v>
      </c>
      <c r="H28" s="50">
        <v>0</v>
      </c>
      <c r="I28" s="50">
        <v>9</v>
      </c>
      <c r="J28" s="50">
        <v>7</v>
      </c>
      <c r="K28" s="50">
        <v>2</v>
      </c>
      <c r="L28" s="50">
        <v>7</v>
      </c>
      <c r="M28" s="50">
        <v>27</v>
      </c>
      <c r="N28" s="50">
        <v>0</v>
      </c>
      <c r="O28" s="15">
        <f t="shared" si="0"/>
        <v>90</v>
      </c>
      <c r="P28" s="15">
        <f t="shared" si="1"/>
        <v>117</v>
      </c>
      <c r="R28" s="36" t="s">
        <v>152</v>
      </c>
      <c r="S28" s="34">
        <f>SUM(C82:C85)</f>
        <v>5</v>
      </c>
      <c r="T28" s="34">
        <f t="shared" ref="T28:AF28" si="20">SUM(D82:D85)</f>
        <v>4</v>
      </c>
      <c r="U28" s="34">
        <f t="shared" si="20"/>
        <v>7</v>
      </c>
      <c r="V28" s="34">
        <f t="shared" si="20"/>
        <v>8</v>
      </c>
      <c r="W28" s="34">
        <f t="shared" si="20"/>
        <v>1</v>
      </c>
      <c r="X28" s="34">
        <f t="shared" si="20"/>
        <v>2</v>
      </c>
      <c r="Y28" s="34">
        <f t="shared" si="20"/>
        <v>4</v>
      </c>
      <c r="Z28" s="34">
        <f t="shared" si="20"/>
        <v>11</v>
      </c>
      <c r="AA28" s="34">
        <f t="shared" si="20"/>
        <v>2</v>
      </c>
      <c r="AB28" s="34">
        <f t="shared" si="20"/>
        <v>9</v>
      </c>
      <c r="AC28" s="34">
        <f t="shared" si="20"/>
        <v>2</v>
      </c>
      <c r="AD28" s="34">
        <f t="shared" si="20"/>
        <v>0</v>
      </c>
      <c r="AE28" s="31">
        <f t="shared" si="20"/>
        <v>53</v>
      </c>
      <c r="AF28" s="31">
        <f t="shared" si="20"/>
        <v>55</v>
      </c>
    </row>
    <row r="29" spans="2:32" ht="23.1" customHeight="1" x14ac:dyDescent="0.25">
      <c r="B29" s="45" t="s">
        <v>56</v>
      </c>
      <c r="C29" s="50">
        <v>26</v>
      </c>
      <c r="D29" s="50">
        <v>13</v>
      </c>
      <c r="E29" s="50">
        <v>7</v>
      </c>
      <c r="F29" s="50">
        <v>26</v>
      </c>
      <c r="G29" s="50">
        <v>0</v>
      </c>
      <c r="H29" s="50">
        <v>1</v>
      </c>
      <c r="I29" s="50">
        <v>5</v>
      </c>
      <c r="J29" s="50">
        <v>7</v>
      </c>
      <c r="K29" s="50">
        <v>3</v>
      </c>
      <c r="L29" s="50">
        <v>10</v>
      </c>
      <c r="M29" s="50">
        <v>43</v>
      </c>
      <c r="N29" s="50">
        <v>0</v>
      </c>
      <c r="O29" s="15">
        <f t="shared" si="0"/>
        <v>98</v>
      </c>
      <c r="P29" s="15">
        <f t="shared" si="1"/>
        <v>141</v>
      </c>
      <c r="R29" s="36" t="s">
        <v>153</v>
      </c>
      <c r="S29" s="34">
        <f>SUM(C86:C89)</f>
        <v>1</v>
      </c>
      <c r="T29" s="34">
        <f t="shared" ref="T29:AF29" si="21">SUM(D86:D89)</f>
        <v>1</v>
      </c>
      <c r="U29" s="34">
        <f t="shared" si="21"/>
        <v>4</v>
      </c>
      <c r="V29" s="34">
        <f t="shared" si="21"/>
        <v>5</v>
      </c>
      <c r="W29" s="34">
        <f t="shared" si="21"/>
        <v>2</v>
      </c>
      <c r="X29" s="34">
        <f t="shared" si="21"/>
        <v>1</v>
      </c>
      <c r="Y29" s="34">
        <f t="shared" si="21"/>
        <v>4</v>
      </c>
      <c r="Z29" s="34">
        <f t="shared" si="21"/>
        <v>4</v>
      </c>
      <c r="AA29" s="34">
        <f t="shared" si="21"/>
        <v>3</v>
      </c>
      <c r="AB29" s="34">
        <f t="shared" si="21"/>
        <v>12</v>
      </c>
      <c r="AC29" s="34">
        <f t="shared" si="21"/>
        <v>5</v>
      </c>
      <c r="AD29" s="34">
        <f t="shared" si="21"/>
        <v>0</v>
      </c>
      <c r="AE29" s="31">
        <f t="shared" si="21"/>
        <v>37</v>
      </c>
      <c r="AF29" s="31">
        <f t="shared" si="21"/>
        <v>42</v>
      </c>
    </row>
    <row r="30" spans="2:32" ht="23.1" customHeight="1" x14ac:dyDescent="0.25">
      <c r="B30" s="45" t="s">
        <v>57</v>
      </c>
      <c r="C30" s="50">
        <v>19</v>
      </c>
      <c r="D30" s="50">
        <v>9</v>
      </c>
      <c r="E30" s="50">
        <v>10</v>
      </c>
      <c r="F30" s="50">
        <v>18</v>
      </c>
      <c r="G30" s="50">
        <v>0</v>
      </c>
      <c r="H30" s="50">
        <v>1</v>
      </c>
      <c r="I30" s="50">
        <v>9</v>
      </c>
      <c r="J30" s="50">
        <v>10</v>
      </c>
      <c r="K30" s="50">
        <v>5</v>
      </c>
      <c r="L30" s="50">
        <v>15</v>
      </c>
      <c r="M30" s="50">
        <v>48</v>
      </c>
      <c r="N30" s="50">
        <v>0</v>
      </c>
      <c r="O30" s="15">
        <f t="shared" si="0"/>
        <v>96</v>
      </c>
      <c r="P30" s="15">
        <f t="shared" si="1"/>
        <v>144</v>
      </c>
      <c r="R30" s="36" t="s">
        <v>154</v>
      </c>
      <c r="S30" s="34">
        <f>SUM(C90:C93)</f>
        <v>4</v>
      </c>
      <c r="T30" s="34">
        <f t="shared" ref="T30:AF30" si="22">SUM(D90:D93)</f>
        <v>1</v>
      </c>
      <c r="U30" s="34">
        <f t="shared" si="22"/>
        <v>3</v>
      </c>
      <c r="V30" s="34">
        <f t="shared" si="22"/>
        <v>11</v>
      </c>
      <c r="W30" s="34">
        <f t="shared" si="22"/>
        <v>0</v>
      </c>
      <c r="X30" s="34">
        <f t="shared" si="22"/>
        <v>1</v>
      </c>
      <c r="Y30" s="34">
        <f t="shared" si="22"/>
        <v>3</v>
      </c>
      <c r="Z30" s="34">
        <f t="shared" si="22"/>
        <v>9</v>
      </c>
      <c r="AA30" s="34">
        <f t="shared" si="22"/>
        <v>1</v>
      </c>
      <c r="AB30" s="34">
        <f t="shared" si="22"/>
        <v>23</v>
      </c>
      <c r="AC30" s="34">
        <f t="shared" si="22"/>
        <v>3</v>
      </c>
      <c r="AD30" s="34">
        <f t="shared" si="22"/>
        <v>0</v>
      </c>
      <c r="AE30" s="31">
        <f t="shared" si="22"/>
        <v>56</v>
      </c>
      <c r="AF30" s="31">
        <f t="shared" si="22"/>
        <v>59</v>
      </c>
    </row>
    <row r="31" spans="2:32" ht="23.1" customHeight="1" x14ac:dyDescent="0.25">
      <c r="B31" s="46" t="s">
        <v>58</v>
      </c>
      <c r="C31" s="50">
        <v>22</v>
      </c>
      <c r="D31" s="50">
        <v>10</v>
      </c>
      <c r="E31" s="50">
        <v>7</v>
      </c>
      <c r="F31" s="50">
        <v>27</v>
      </c>
      <c r="G31" s="50">
        <v>0</v>
      </c>
      <c r="H31" s="50">
        <v>0</v>
      </c>
      <c r="I31" s="50">
        <v>5</v>
      </c>
      <c r="J31" s="50">
        <v>5</v>
      </c>
      <c r="K31" s="50">
        <v>2</v>
      </c>
      <c r="L31" s="50">
        <v>7</v>
      </c>
      <c r="M31" s="50">
        <v>53</v>
      </c>
      <c r="N31" s="50">
        <v>0</v>
      </c>
      <c r="O31" s="15">
        <f t="shared" si="0"/>
        <v>85</v>
      </c>
      <c r="P31" s="15">
        <f t="shared" si="1"/>
        <v>138</v>
      </c>
      <c r="R31" s="36" t="s">
        <v>155</v>
      </c>
      <c r="S31" s="34">
        <f>SUM(C94:C97)</f>
        <v>4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23</v>
      </c>
      <c r="W31" s="34">
        <f t="shared" si="23"/>
        <v>0</v>
      </c>
      <c r="X31" s="34">
        <f t="shared" si="23"/>
        <v>2</v>
      </c>
      <c r="Y31" s="34">
        <f t="shared" si="23"/>
        <v>5</v>
      </c>
      <c r="Z31" s="34">
        <f t="shared" si="23"/>
        <v>16</v>
      </c>
      <c r="AA31" s="34">
        <f t="shared" si="23"/>
        <v>7</v>
      </c>
      <c r="AB31" s="34">
        <f t="shared" si="23"/>
        <v>30</v>
      </c>
      <c r="AC31" s="34">
        <f t="shared" si="23"/>
        <v>9</v>
      </c>
      <c r="AD31" s="34">
        <f t="shared" si="23"/>
        <v>0</v>
      </c>
      <c r="AE31" s="31">
        <f t="shared" si="23"/>
        <v>88</v>
      </c>
      <c r="AF31" s="31">
        <f t="shared" si="23"/>
        <v>97</v>
      </c>
    </row>
    <row r="32" spans="2:32" ht="23.1" customHeight="1" x14ac:dyDescent="0.25">
      <c r="B32" s="46" t="s">
        <v>59</v>
      </c>
      <c r="C32" s="50">
        <v>18</v>
      </c>
      <c r="D32" s="50">
        <v>4</v>
      </c>
      <c r="E32" s="50">
        <v>2</v>
      </c>
      <c r="F32" s="50">
        <v>18</v>
      </c>
      <c r="G32" s="50">
        <v>2</v>
      </c>
      <c r="H32" s="50">
        <v>1</v>
      </c>
      <c r="I32" s="50">
        <v>6</v>
      </c>
      <c r="J32" s="50">
        <v>4</v>
      </c>
      <c r="K32" s="50">
        <v>3</v>
      </c>
      <c r="L32" s="50">
        <v>5</v>
      </c>
      <c r="M32" s="50">
        <v>41</v>
      </c>
      <c r="N32" s="50">
        <v>0</v>
      </c>
      <c r="O32" s="15">
        <f t="shared" si="0"/>
        <v>63</v>
      </c>
      <c r="P32" s="15">
        <f t="shared" si="1"/>
        <v>104</v>
      </c>
      <c r="R32" s="33" t="s">
        <v>156</v>
      </c>
      <c r="S32" s="34">
        <f>SUM(C98:C101)</f>
        <v>15</v>
      </c>
      <c r="T32" s="34">
        <f t="shared" ref="T32:AF32" si="24">SUM(D98:D101)</f>
        <v>5</v>
      </c>
      <c r="U32" s="34">
        <f t="shared" si="24"/>
        <v>1</v>
      </c>
      <c r="V32" s="34">
        <f t="shared" si="24"/>
        <v>48</v>
      </c>
      <c r="W32" s="34">
        <f t="shared" si="24"/>
        <v>0</v>
      </c>
      <c r="X32" s="34">
        <f t="shared" si="24"/>
        <v>1</v>
      </c>
      <c r="Y32" s="34">
        <f t="shared" si="24"/>
        <v>5</v>
      </c>
      <c r="Z32" s="34">
        <f t="shared" si="24"/>
        <v>26</v>
      </c>
      <c r="AA32" s="34">
        <f t="shared" si="24"/>
        <v>6</v>
      </c>
      <c r="AB32" s="34">
        <f t="shared" si="24"/>
        <v>62</v>
      </c>
      <c r="AC32" s="34">
        <f t="shared" si="24"/>
        <v>21</v>
      </c>
      <c r="AD32" s="34">
        <f t="shared" si="24"/>
        <v>0</v>
      </c>
      <c r="AE32" s="31">
        <f t="shared" si="24"/>
        <v>169</v>
      </c>
      <c r="AF32" s="31">
        <f t="shared" si="24"/>
        <v>190</v>
      </c>
    </row>
    <row r="33" spans="2:32" ht="23.1" customHeight="1" x14ac:dyDescent="0.25">
      <c r="B33" s="45" t="s">
        <v>60</v>
      </c>
      <c r="C33" s="50">
        <v>33</v>
      </c>
      <c r="D33" s="50">
        <v>13</v>
      </c>
      <c r="E33" s="50">
        <v>5</v>
      </c>
      <c r="F33" s="50">
        <v>33</v>
      </c>
      <c r="G33" s="50">
        <v>1</v>
      </c>
      <c r="H33" s="50">
        <v>2</v>
      </c>
      <c r="I33" s="50">
        <v>12</v>
      </c>
      <c r="J33" s="50">
        <v>5</v>
      </c>
      <c r="K33" s="50">
        <v>2</v>
      </c>
      <c r="L33" s="50">
        <v>26</v>
      </c>
      <c r="M33" s="50">
        <v>53</v>
      </c>
      <c r="N33" s="50">
        <v>0</v>
      </c>
      <c r="O33" s="15">
        <f t="shared" si="0"/>
        <v>132</v>
      </c>
      <c r="P33" s="15">
        <f t="shared" si="1"/>
        <v>185</v>
      </c>
      <c r="R33" s="33" t="s">
        <v>157</v>
      </c>
      <c r="S33" s="34">
        <f>SUM(C102:C105)</f>
        <v>40</v>
      </c>
      <c r="T33" s="34">
        <f t="shared" ref="T33:AF33" si="25">SUM(D102:D105)</f>
        <v>8</v>
      </c>
      <c r="U33" s="34">
        <f t="shared" si="25"/>
        <v>17</v>
      </c>
      <c r="V33" s="34">
        <f t="shared" si="25"/>
        <v>69</v>
      </c>
      <c r="W33" s="34">
        <f t="shared" si="25"/>
        <v>4</v>
      </c>
      <c r="X33" s="34">
        <f t="shared" si="25"/>
        <v>2</v>
      </c>
      <c r="Y33" s="34">
        <f t="shared" si="25"/>
        <v>17</v>
      </c>
      <c r="Z33" s="34">
        <f t="shared" si="25"/>
        <v>16</v>
      </c>
      <c r="AA33" s="34">
        <f t="shared" si="25"/>
        <v>8</v>
      </c>
      <c r="AB33" s="34">
        <f t="shared" si="25"/>
        <v>68</v>
      </c>
      <c r="AC33" s="34">
        <f t="shared" si="25"/>
        <v>73</v>
      </c>
      <c r="AD33" s="34">
        <f t="shared" si="25"/>
        <v>0</v>
      </c>
      <c r="AE33" s="31">
        <f t="shared" si="25"/>
        <v>249</v>
      </c>
      <c r="AF33" s="31">
        <f t="shared" si="25"/>
        <v>322</v>
      </c>
    </row>
    <row r="34" spans="2:32" ht="23.1" customHeight="1" x14ac:dyDescent="0.25">
      <c r="B34" s="46" t="s">
        <v>61</v>
      </c>
      <c r="C34" s="50">
        <v>34</v>
      </c>
      <c r="D34" s="50">
        <v>10</v>
      </c>
      <c r="E34" s="50">
        <v>11</v>
      </c>
      <c r="F34" s="50">
        <v>25</v>
      </c>
      <c r="G34" s="50">
        <v>0</v>
      </c>
      <c r="H34" s="50">
        <v>0</v>
      </c>
      <c r="I34" s="50">
        <v>12</v>
      </c>
      <c r="J34" s="50">
        <v>8</v>
      </c>
      <c r="K34" s="50">
        <v>2</v>
      </c>
      <c r="L34" s="50">
        <v>16</v>
      </c>
      <c r="M34" s="50">
        <v>53</v>
      </c>
      <c r="N34" s="50">
        <v>0</v>
      </c>
      <c r="O34" s="15">
        <f t="shared" si="0"/>
        <v>118</v>
      </c>
      <c r="P34" s="15">
        <f t="shared" si="1"/>
        <v>171</v>
      </c>
      <c r="R34" s="38" t="s">
        <v>90</v>
      </c>
      <c r="S34" s="39">
        <f t="shared" ref="S34:AF34" si="26">MAX(S10:S12)</f>
        <v>119</v>
      </c>
      <c r="T34" s="39">
        <f t="shared" si="26"/>
        <v>43</v>
      </c>
      <c r="U34" s="39">
        <f t="shared" si="26"/>
        <v>33</v>
      </c>
      <c r="V34" s="39">
        <f t="shared" si="26"/>
        <v>105</v>
      </c>
      <c r="W34" s="39">
        <f t="shared" si="26"/>
        <v>12</v>
      </c>
      <c r="X34" s="39">
        <f t="shared" si="26"/>
        <v>5</v>
      </c>
      <c r="Y34" s="39">
        <f t="shared" si="26"/>
        <v>28</v>
      </c>
      <c r="Z34" s="39">
        <f t="shared" si="26"/>
        <v>26</v>
      </c>
      <c r="AA34" s="39">
        <f t="shared" si="26"/>
        <v>63</v>
      </c>
      <c r="AB34" s="39">
        <f t="shared" si="26"/>
        <v>52</v>
      </c>
      <c r="AC34" s="39">
        <f t="shared" si="26"/>
        <v>228</v>
      </c>
      <c r="AD34" s="39">
        <f t="shared" si="26"/>
        <v>0</v>
      </c>
      <c r="AE34" s="40">
        <f t="shared" si="26"/>
        <v>426</v>
      </c>
      <c r="AF34" s="40">
        <f t="shared" si="26"/>
        <v>654</v>
      </c>
    </row>
    <row r="35" spans="2:32" ht="23.1" customHeight="1" x14ac:dyDescent="0.25">
      <c r="B35" s="46" t="s">
        <v>62</v>
      </c>
      <c r="C35" s="50">
        <v>16</v>
      </c>
      <c r="D35" s="50">
        <v>4</v>
      </c>
      <c r="E35" s="50">
        <v>9</v>
      </c>
      <c r="F35" s="50">
        <v>25</v>
      </c>
      <c r="G35" s="50">
        <v>1</v>
      </c>
      <c r="H35" s="50">
        <v>0</v>
      </c>
      <c r="I35" s="50">
        <v>6</v>
      </c>
      <c r="J35" s="50">
        <v>6</v>
      </c>
      <c r="K35" s="50">
        <v>1</v>
      </c>
      <c r="L35" s="50">
        <v>11</v>
      </c>
      <c r="M35" s="50">
        <v>37</v>
      </c>
      <c r="N35" s="50">
        <v>0</v>
      </c>
      <c r="O35" s="15">
        <f t="shared" si="0"/>
        <v>79</v>
      </c>
      <c r="P35" s="15">
        <f t="shared" si="1"/>
        <v>116</v>
      </c>
      <c r="R35" s="38" t="s">
        <v>91</v>
      </c>
      <c r="S35" s="39">
        <f t="shared" ref="S35:AF35" si="27">MAX(S13:S18)</f>
        <v>118</v>
      </c>
      <c r="T35" s="39">
        <f t="shared" si="27"/>
        <v>64</v>
      </c>
      <c r="U35" s="39">
        <f t="shared" si="27"/>
        <v>33</v>
      </c>
      <c r="V35" s="39">
        <f t="shared" si="27"/>
        <v>114</v>
      </c>
      <c r="W35" s="39">
        <f t="shared" si="27"/>
        <v>7</v>
      </c>
      <c r="X35" s="39">
        <f t="shared" si="27"/>
        <v>6</v>
      </c>
      <c r="Y35" s="39">
        <f t="shared" si="27"/>
        <v>40</v>
      </c>
      <c r="Z35" s="39">
        <f t="shared" si="27"/>
        <v>32</v>
      </c>
      <c r="AA35" s="39">
        <f t="shared" si="27"/>
        <v>14</v>
      </c>
      <c r="AB35" s="39">
        <f t="shared" si="27"/>
        <v>53</v>
      </c>
      <c r="AC35" s="39">
        <f t="shared" si="27"/>
        <v>201</v>
      </c>
      <c r="AD35" s="39">
        <f t="shared" si="27"/>
        <v>0</v>
      </c>
      <c r="AE35" s="40">
        <f t="shared" si="27"/>
        <v>450</v>
      </c>
      <c r="AF35" s="40">
        <f t="shared" si="27"/>
        <v>601</v>
      </c>
    </row>
    <row r="36" spans="2:32" ht="23.1" customHeight="1" x14ac:dyDescent="0.25">
      <c r="B36" s="46" t="s">
        <v>63</v>
      </c>
      <c r="C36" s="50">
        <v>23</v>
      </c>
      <c r="D36" s="50">
        <v>6</v>
      </c>
      <c r="E36" s="50">
        <v>6</v>
      </c>
      <c r="F36" s="50">
        <v>29</v>
      </c>
      <c r="G36" s="50">
        <v>0</v>
      </c>
      <c r="H36" s="50">
        <v>1</v>
      </c>
      <c r="I36" s="50">
        <v>7</v>
      </c>
      <c r="J36" s="50">
        <v>8</v>
      </c>
      <c r="K36" s="50">
        <v>4</v>
      </c>
      <c r="L36" s="50">
        <v>14</v>
      </c>
      <c r="M36" s="50">
        <v>37</v>
      </c>
      <c r="N36" s="50">
        <v>0</v>
      </c>
      <c r="O36" s="15">
        <f t="shared" si="0"/>
        <v>98</v>
      </c>
      <c r="P36" s="15">
        <f t="shared" si="1"/>
        <v>135</v>
      </c>
      <c r="R36" s="38" t="s">
        <v>92</v>
      </c>
      <c r="S36" s="39">
        <f t="shared" ref="S36:AF36" si="28">MAX(S19:S21)</f>
        <v>142</v>
      </c>
      <c r="T36" s="39">
        <f t="shared" si="28"/>
        <v>72</v>
      </c>
      <c r="U36" s="39">
        <f t="shared" si="28"/>
        <v>53</v>
      </c>
      <c r="V36" s="39">
        <f t="shared" si="28"/>
        <v>124</v>
      </c>
      <c r="W36" s="39">
        <f t="shared" si="28"/>
        <v>12</v>
      </c>
      <c r="X36" s="39">
        <f t="shared" si="28"/>
        <v>3</v>
      </c>
      <c r="Y36" s="39">
        <f t="shared" si="28"/>
        <v>48</v>
      </c>
      <c r="Z36" s="39">
        <f t="shared" si="28"/>
        <v>25</v>
      </c>
      <c r="AA36" s="39">
        <f t="shared" si="28"/>
        <v>13</v>
      </c>
      <c r="AB36" s="39">
        <f t="shared" si="28"/>
        <v>39</v>
      </c>
      <c r="AC36" s="39">
        <f t="shared" si="28"/>
        <v>207</v>
      </c>
      <c r="AD36" s="39">
        <f t="shared" si="28"/>
        <v>0</v>
      </c>
      <c r="AE36" s="40">
        <f t="shared" si="28"/>
        <v>507</v>
      </c>
      <c r="AF36" s="40">
        <f t="shared" si="28"/>
        <v>694</v>
      </c>
    </row>
    <row r="37" spans="2:32" ht="23.1" customHeight="1" x14ac:dyDescent="0.25">
      <c r="B37" s="45" t="s">
        <v>64</v>
      </c>
      <c r="C37" s="50">
        <v>45</v>
      </c>
      <c r="D37" s="50">
        <v>13</v>
      </c>
      <c r="E37" s="50">
        <v>7</v>
      </c>
      <c r="F37" s="50">
        <v>32</v>
      </c>
      <c r="G37" s="50">
        <v>0</v>
      </c>
      <c r="H37" s="50">
        <v>3</v>
      </c>
      <c r="I37" s="50">
        <v>12</v>
      </c>
      <c r="J37" s="50">
        <v>10</v>
      </c>
      <c r="K37" s="50">
        <v>3</v>
      </c>
      <c r="L37" s="50">
        <v>12</v>
      </c>
      <c r="M37" s="50">
        <v>31</v>
      </c>
      <c r="N37" s="50">
        <v>0</v>
      </c>
      <c r="O37" s="15">
        <f t="shared" si="0"/>
        <v>137</v>
      </c>
      <c r="P37" s="15">
        <f t="shared" si="1"/>
        <v>168</v>
      </c>
      <c r="R37" s="37" t="s">
        <v>85</v>
      </c>
      <c r="S37" s="35">
        <f t="shared" ref="S37:AF37" si="29">SUM(S10:S12)</f>
        <v>260</v>
      </c>
      <c r="T37" s="16">
        <f t="shared" si="29"/>
        <v>108</v>
      </c>
      <c r="U37" s="16">
        <f t="shared" si="29"/>
        <v>95</v>
      </c>
      <c r="V37" s="16">
        <f t="shared" si="29"/>
        <v>261</v>
      </c>
      <c r="W37" s="16">
        <f t="shared" si="29"/>
        <v>22</v>
      </c>
      <c r="X37" s="16">
        <f t="shared" si="29"/>
        <v>12</v>
      </c>
      <c r="Y37" s="16">
        <f t="shared" si="29"/>
        <v>58</v>
      </c>
      <c r="Z37" s="16">
        <f t="shared" si="29"/>
        <v>58</v>
      </c>
      <c r="AA37" s="16">
        <f t="shared" si="29"/>
        <v>78</v>
      </c>
      <c r="AB37" s="16">
        <f t="shared" si="29"/>
        <v>131</v>
      </c>
      <c r="AC37" s="16">
        <f t="shared" si="29"/>
        <v>618</v>
      </c>
      <c r="AD37" s="16">
        <f t="shared" si="29"/>
        <v>0</v>
      </c>
      <c r="AE37" s="32">
        <f t="shared" si="29"/>
        <v>1083</v>
      </c>
      <c r="AF37" s="32">
        <f t="shared" si="29"/>
        <v>1701</v>
      </c>
    </row>
    <row r="38" spans="2:32" ht="23.1" customHeight="1" x14ac:dyDescent="0.25">
      <c r="B38" s="46" t="s">
        <v>65</v>
      </c>
      <c r="C38" s="50">
        <v>23</v>
      </c>
      <c r="D38" s="50">
        <v>9</v>
      </c>
      <c r="E38" s="50">
        <v>10</v>
      </c>
      <c r="F38" s="50">
        <v>27</v>
      </c>
      <c r="G38" s="50">
        <v>0</v>
      </c>
      <c r="H38" s="50">
        <v>0</v>
      </c>
      <c r="I38" s="50">
        <v>9</v>
      </c>
      <c r="J38" s="50">
        <v>3</v>
      </c>
      <c r="K38" s="50">
        <v>3</v>
      </c>
      <c r="L38" s="50">
        <v>10</v>
      </c>
      <c r="M38" s="50">
        <v>44</v>
      </c>
      <c r="N38" s="50">
        <v>0</v>
      </c>
      <c r="O38" s="15">
        <f t="shared" si="0"/>
        <v>94</v>
      </c>
      <c r="P38" s="15">
        <f t="shared" si="1"/>
        <v>138</v>
      </c>
      <c r="R38" s="28" t="s">
        <v>86</v>
      </c>
      <c r="S38" s="16">
        <f t="shared" ref="S38:AF38" si="30">SUM(S13:S18)</f>
        <v>586</v>
      </c>
      <c r="T38" s="16">
        <f t="shared" si="30"/>
        <v>252</v>
      </c>
      <c r="U38" s="16">
        <f t="shared" si="30"/>
        <v>165</v>
      </c>
      <c r="V38" s="16">
        <f t="shared" si="30"/>
        <v>628</v>
      </c>
      <c r="W38" s="16">
        <f t="shared" si="30"/>
        <v>24</v>
      </c>
      <c r="X38" s="16">
        <f t="shared" si="30"/>
        <v>22</v>
      </c>
      <c r="Y38" s="16">
        <f t="shared" si="30"/>
        <v>195</v>
      </c>
      <c r="Z38" s="16">
        <f t="shared" si="30"/>
        <v>167</v>
      </c>
      <c r="AA38" s="16">
        <f t="shared" si="30"/>
        <v>62</v>
      </c>
      <c r="AB38" s="16">
        <f t="shared" si="30"/>
        <v>282</v>
      </c>
      <c r="AC38" s="16">
        <f t="shared" si="30"/>
        <v>1015</v>
      </c>
      <c r="AD38" s="16">
        <f t="shared" si="30"/>
        <v>0</v>
      </c>
      <c r="AE38" s="32">
        <f t="shared" si="30"/>
        <v>2383</v>
      </c>
      <c r="AF38" s="32">
        <f t="shared" si="30"/>
        <v>3398</v>
      </c>
    </row>
    <row r="39" spans="2:32" ht="23.1" customHeight="1" x14ac:dyDescent="0.25">
      <c r="B39" s="46" t="s">
        <v>66</v>
      </c>
      <c r="C39" s="50">
        <v>27</v>
      </c>
      <c r="D39" s="50">
        <v>10</v>
      </c>
      <c r="E39" s="50">
        <v>8</v>
      </c>
      <c r="F39" s="50">
        <v>31</v>
      </c>
      <c r="G39" s="50">
        <v>0</v>
      </c>
      <c r="H39" s="50">
        <v>1</v>
      </c>
      <c r="I39" s="50">
        <v>9</v>
      </c>
      <c r="J39" s="50">
        <v>9</v>
      </c>
      <c r="K39" s="50">
        <v>6</v>
      </c>
      <c r="L39" s="50">
        <v>19</v>
      </c>
      <c r="M39" s="50">
        <v>32</v>
      </c>
      <c r="N39" s="50">
        <v>0</v>
      </c>
      <c r="O39" s="15">
        <f t="shared" si="0"/>
        <v>120</v>
      </c>
      <c r="P39" s="15">
        <f t="shared" si="1"/>
        <v>152</v>
      </c>
      <c r="R39" s="29" t="s">
        <v>87</v>
      </c>
      <c r="S39" s="16">
        <f t="shared" ref="S39:AF39" si="31">SUM(S19:S21)</f>
        <v>381</v>
      </c>
      <c r="T39" s="16">
        <f t="shared" si="31"/>
        <v>170</v>
      </c>
      <c r="U39" s="16">
        <f t="shared" si="31"/>
        <v>135</v>
      </c>
      <c r="V39" s="16">
        <f t="shared" si="31"/>
        <v>349</v>
      </c>
      <c r="W39" s="16">
        <f t="shared" si="31"/>
        <v>16</v>
      </c>
      <c r="X39" s="16">
        <f t="shared" si="31"/>
        <v>9</v>
      </c>
      <c r="Y39" s="16">
        <f t="shared" si="31"/>
        <v>127</v>
      </c>
      <c r="Z39" s="16">
        <f t="shared" si="31"/>
        <v>64</v>
      </c>
      <c r="AA39" s="16">
        <f t="shared" si="31"/>
        <v>28</v>
      </c>
      <c r="AB39" s="16">
        <f t="shared" si="31"/>
        <v>108</v>
      </c>
      <c r="AC39" s="16">
        <f t="shared" si="31"/>
        <v>559</v>
      </c>
      <c r="AD39" s="16">
        <f t="shared" si="31"/>
        <v>0</v>
      </c>
      <c r="AE39" s="32">
        <f t="shared" si="31"/>
        <v>1387</v>
      </c>
      <c r="AF39" s="32">
        <f t="shared" si="31"/>
        <v>1946</v>
      </c>
    </row>
    <row r="40" spans="2:32" ht="23.1" customHeight="1" x14ac:dyDescent="0.25">
      <c r="B40" s="46" t="s">
        <v>67</v>
      </c>
      <c r="C40" s="50">
        <v>26</v>
      </c>
      <c r="D40" s="50">
        <v>8</v>
      </c>
      <c r="E40" s="50">
        <v>4</v>
      </c>
      <c r="F40" s="50">
        <v>26</v>
      </c>
      <c r="G40" s="50">
        <v>2</v>
      </c>
      <c r="H40" s="50">
        <v>0</v>
      </c>
      <c r="I40" s="50">
        <v>9</v>
      </c>
      <c r="J40" s="50">
        <v>10</v>
      </c>
      <c r="K40" s="50">
        <v>0</v>
      </c>
      <c r="L40" s="50">
        <v>12</v>
      </c>
      <c r="M40" s="50">
        <v>32</v>
      </c>
      <c r="N40" s="50">
        <v>0</v>
      </c>
      <c r="O40" s="15">
        <f t="shared" si="0"/>
        <v>97</v>
      </c>
      <c r="P40" s="15">
        <f t="shared" si="1"/>
        <v>129</v>
      </c>
      <c r="R40" s="5" t="s">
        <v>17</v>
      </c>
      <c r="S40" s="16">
        <f t="shared" ref="S40:AF40" si="32">SUM(S10:S21)</f>
        <v>1227</v>
      </c>
      <c r="T40" s="16">
        <f t="shared" si="32"/>
        <v>530</v>
      </c>
      <c r="U40" s="16">
        <f t="shared" si="32"/>
        <v>395</v>
      </c>
      <c r="V40" s="16">
        <f t="shared" si="32"/>
        <v>1238</v>
      </c>
      <c r="W40" s="16">
        <f t="shared" si="32"/>
        <v>62</v>
      </c>
      <c r="X40" s="16">
        <f t="shared" si="32"/>
        <v>43</v>
      </c>
      <c r="Y40" s="16">
        <f t="shared" si="32"/>
        <v>380</v>
      </c>
      <c r="Z40" s="16">
        <f t="shared" si="32"/>
        <v>289</v>
      </c>
      <c r="AA40" s="16">
        <f t="shared" si="32"/>
        <v>168</v>
      </c>
      <c r="AB40" s="16">
        <f t="shared" si="32"/>
        <v>521</v>
      </c>
      <c r="AC40" s="16">
        <f t="shared" si="32"/>
        <v>2192</v>
      </c>
      <c r="AD40" s="16">
        <f t="shared" si="32"/>
        <v>0</v>
      </c>
      <c r="AE40" s="32">
        <f t="shared" si="32"/>
        <v>4853</v>
      </c>
      <c r="AF40" s="32">
        <f t="shared" si="32"/>
        <v>7045</v>
      </c>
    </row>
    <row r="41" spans="2:32" ht="23.1" customHeight="1" x14ac:dyDescent="0.25">
      <c r="B41" s="45" t="s">
        <v>68</v>
      </c>
      <c r="C41" s="50">
        <v>13</v>
      </c>
      <c r="D41" s="50">
        <v>9</v>
      </c>
      <c r="E41" s="50">
        <v>7</v>
      </c>
      <c r="F41" s="50">
        <v>24</v>
      </c>
      <c r="G41" s="50">
        <v>0</v>
      </c>
      <c r="H41" s="50">
        <v>0</v>
      </c>
      <c r="I41" s="50">
        <v>12</v>
      </c>
      <c r="J41" s="50">
        <v>8</v>
      </c>
      <c r="K41" s="50">
        <v>1</v>
      </c>
      <c r="L41" s="50">
        <v>9</v>
      </c>
      <c r="M41" s="50">
        <v>29</v>
      </c>
      <c r="N41" s="50">
        <v>0</v>
      </c>
      <c r="O41" s="15">
        <f t="shared" si="0"/>
        <v>83</v>
      </c>
      <c r="P41" s="15">
        <f t="shared" si="1"/>
        <v>112</v>
      </c>
      <c r="R41" s="5" t="s">
        <v>159</v>
      </c>
      <c r="S41" s="16">
        <f>SUM(S10:S33)</f>
        <v>1768</v>
      </c>
      <c r="T41" s="16">
        <f t="shared" ref="T41:AF41" si="33">SUM(T10:T33)</f>
        <v>691</v>
      </c>
      <c r="U41" s="16">
        <f t="shared" si="33"/>
        <v>551</v>
      </c>
      <c r="V41" s="16">
        <f t="shared" si="33"/>
        <v>1807</v>
      </c>
      <c r="W41" s="16">
        <f t="shared" si="33"/>
        <v>102</v>
      </c>
      <c r="X41" s="16">
        <f t="shared" si="33"/>
        <v>73</v>
      </c>
      <c r="Y41" s="16">
        <f t="shared" si="33"/>
        <v>556</v>
      </c>
      <c r="Z41" s="16">
        <f t="shared" si="33"/>
        <v>509</v>
      </c>
      <c r="AA41" s="16">
        <f t="shared" si="33"/>
        <v>234</v>
      </c>
      <c r="AB41" s="16">
        <f t="shared" si="33"/>
        <v>856</v>
      </c>
      <c r="AC41" s="16">
        <f t="shared" si="33"/>
        <v>2703</v>
      </c>
      <c r="AD41" s="16">
        <f t="shared" si="33"/>
        <v>0</v>
      </c>
      <c r="AE41" s="32">
        <f t="shared" si="33"/>
        <v>7147</v>
      </c>
      <c r="AF41" s="32">
        <f t="shared" si="33"/>
        <v>9850</v>
      </c>
    </row>
    <row r="42" spans="2:32" ht="23.1" customHeight="1" x14ac:dyDescent="0.25">
      <c r="B42" s="46" t="s">
        <v>69</v>
      </c>
      <c r="C42" s="50">
        <v>27</v>
      </c>
      <c r="D42" s="50">
        <v>18</v>
      </c>
      <c r="E42" s="50">
        <v>12</v>
      </c>
      <c r="F42" s="50">
        <v>39</v>
      </c>
      <c r="G42" s="50">
        <v>1</v>
      </c>
      <c r="H42" s="50">
        <v>1</v>
      </c>
      <c r="I42" s="50">
        <v>10</v>
      </c>
      <c r="J42" s="50">
        <v>6</v>
      </c>
      <c r="K42" s="50">
        <v>1</v>
      </c>
      <c r="L42" s="50">
        <v>14</v>
      </c>
      <c r="M42" s="50">
        <v>51</v>
      </c>
      <c r="N42" s="50">
        <v>0</v>
      </c>
      <c r="O42" s="15">
        <f t="shared" si="0"/>
        <v>129</v>
      </c>
      <c r="P42" s="15">
        <f t="shared" si="1"/>
        <v>180</v>
      </c>
      <c r="R42" s="5" t="s">
        <v>160</v>
      </c>
      <c r="S42" s="48">
        <f>S41/S40</f>
        <v>1.4409127954360228</v>
      </c>
      <c r="T42" s="48">
        <f t="shared" ref="T42:AF42" si="34">T41/T40</f>
        <v>1.3037735849056604</v>
      </c>
      <c r="U42" s="48">
        <f t="shared" si="34"/>
        <v>1.3949367088607596</v>
      </c>
      <c r="V42" s="48">
        <f t="shared" si="34"/>
        <v>1.4596122778675282</v>
      </c>
      <c r="W42" s="48">
        <f t="shared" si="34"/>
        <v>1.6451612903225807</v>
      </c>
      <c r="X42" s="48">
        <f t="shared" si="34"/>
        <v>1.6976744186046511</v>
      </c>
      <c r="Y42" s="48">
        <f t="shared" si="34"/>
        <v>1.4631578947368422</v>
      </c>
      <c r="Z42" s="48">
        <f t="shared" si="34"/>
        <v>1.7612456747404843</v>
      </c>
      <c r="AA42" s="48">
        <f t="shared" si="34"/>
        <v>1.3928571428571428</v>
      </c>
      <c r="AB42" s="48">
        <f t="shared" si="34"/>
        <v>1.6429942418426104</v>
      </c>
      <c r="AC42" s="48">
        <f t="shared" si="34"/>
        <v>1.2331204379562044</v>
      </c>
      <c r="AD42" s="48" t="e">
        <f t="shared" si="34"/>
        <v>#DIV/0!</v>
      </c>
      <c r="AE42" s="48">
        <f t="shared" si="34"/>
        <v>1.4726973006387802</v>
      </c>
      <c r="AF42" s="48">
        <f t="shared" si="34"/>
        <v>1.3981547196593329</v>
      </c>
    </row>
    <row r="43" spans="2:32" ht="23.1" customHeight="1" x14ac:dyDescent="0.25">
      <c r="B43" s="45" t="s">
        <v>70</v>
      </c>
      <c r="C43" s="50">
        <v>20</v>
      </c>
      <c r="D43" s="50">
        <v>13</v>
      </c>
      <c r="E43" s="50">
        <v>5</v>
      </c>
      <c r="F43" s="50">
        <v>19</v>
      </c>
      <c r="G43" s="50">
        <v>2</v>
      </c>
      <c r="H43" s="50">
        <v>2</v>
      </c>
      <c r="I43" s="50">
        <v>10</v>
      </c>
      <c r="J43" s="50">
        <v>8</v>
      </c>
      <c r="K43" s="50">
        <v>2</v>
      </c>
      <c r="L43" s="50">
        <v>8</v>
      </c>
      <c r="M43" s="50">
        <v>33</v>
      </c>
      <c r="N43" s="50">
        <v>0</v>
      </c>
      <c r="O43" s="15">
        <f t="shared" si="0"/>
        <v>89</v>
      </c>
      <c r="P43" s="15">
        <f t="shared" si="1"/>
        <v>122</v>
      </c>
    </row>
    <row r="44" spans="2:32" ht="23.1" customHeight="1" x14ac:dyDescent="0.25">
      <c r="B44" s="47" t="s">
        <v>71</v>
      </c>
      <c r="C44" s="50">
        <v>30</v>
      </c>
      <c r="D44" s="50">
        <v>17</v>
      </c>
      <c r="E44" s="50">
        <v>9</v>
      </c>
      <c r="F44" s="50">
        <v>25</v>
      </c>
      <c r="G44" s="50">
        <v>2</v>
      </c>
      <c r="H44" s="50">
        <v>2</v>
      </c>
      <c r="I44" s="50">
        <v>9</v>
      </c>
      <c r="J44" s="50">
        <v>8</v>
      </c>
      <c r="K44" s="50">
        <v>1</v>
      </c>
      <c r="L44" s="50">
        <v>13</v>
      </c>
      <c r="M44" s="50">
        <v>26</v>
      </c>
      <c r="N44" s="50">
        <v>0</v>
      </c>
      <c r="O44" s="15">
        <f t="shared" si="0"/>
        <v>116</v>
      </c>
      <c r="P44" s="15">
        <f t="shared" si="1"/>
        <v>142</v>
      </c>
    </row>
    <row r="45" spans="2:32" ht="23.1" customHeight="1" x14ac:dyDescent="0.25">
      <c r="B45" s="45" t="s">
        <v>72</v>
      </c>
      <c r="C45" s="50">
        <v>29</v>
      </c>
      <c r="D45" s="50">
        <v>16</v>
      </c>
      <c r="E45" s="50">
        <v>7</v>
      </c>
      <c r="F45" s="50">
        <v>31</v>
      </c>
      <c r="G45" s="50">
        <v>1</v>
      </c>
      <c r="H45" s="50">
        <v>1</v>
      </c>
      <c r="I45" s="50">
        <v>11</v>
      </c>
      <c r="J45" s="50">
        <v>6</v>
      </c>
      <c r="K45" s="50">
        <v>3</v>
      </c>
      <c r="L45" s="50">
        <v>11</v>
      </c>
      <c r="M45" s="50">
        <v>41</v>
      </c>
      <c r="N45" s="50">
        <v>0</v>
      </c>
      <c r="O45" s="15">
        <f t="shared" si="0"/>
        <v>116</v>
      </c>
      <c r="P45" s="15">
        <f t="shared" si="1"/>
        <v>157</v>
      </c>
    </row>
    <row r="46" spans="2:32" ht="23.1" customHeight="1" x14ac:dyDescent="0.25">
      <c r="B46" s="46" t="s">
        <v>73</v>
      </c>
      <c r="C46" s="50">
        <v>29</v>
      </c>
      <c r="D46" s="50">
        <v>16</v>
      </c>
      <c r="E46" s="50">
        <v>9</v>
      </c>
      <c r="F46" s="50">
        <v>23</v>
      </c>
      <c r="G46" s="50">
        <v>0</v>
      </c>
      <c r="H46" s="50">
        <v>1</v>
      </c>
      <c r="I46" s="50">
        <v>7</v>
      </c>
      <c r="J46" s="50">
        <v>2</v>
      </c>
      <c r="K46" s="50">
        <v>2</v>
      </c>
      <c r="L46" s="50">
        <v>7</v>
      </c>
      <c r="M46" s="50">
        <v>43</v>
      </c>
      <c r="N46" s="50">
        <v>0</v>
      </c>
      <c r="O46" s="15">
        <f t="shared" si="0"/>
        <v>96</v>
      </c>
      <c r="P46" s="15">
        <f t="shared" si="1"/>
        <v>139</v>
      </c>
      <c r="R46" s="8"/>
      <c r="T46"/>
    </row>
    <row r="47" spans="2:32" ht="23.1" customHeight="1" x14ac:dyDescent="0.25">
      <c r="B47" s="46" t="s">
        <v>74</v>
      </c>
      <c r="C47" s="50">
        <v>22</v>
      </c>
      <c r="D47" s="50">
        <v>8</v>
      </c>
      <c r="E47" s="50">
        <v>9</v>
      </c>
      <c r="F47" s="50">
        <v>24</v>
      </c>
      <c r="G47" s="50">
        <v>0</v>
      </c>
      <c r="H47" s="50">
        <v>0</v>
      </c>
      <c r="I47" s="50">
        <v>15</v>
      </c>
      <c r="J47" s="50">
        <v>3</v>
      </c>
      <c r="K47" s="50">
        <v>4</v>
      </c>
      <c r="L47" s="50">
        <v>8</v>
      </c>
      <c r="M47" s="50">
        <v>47</v>
      </c>
      <c r="N47" s="50">
        <v>0</v>
      </c>
      <c r="O47" s="15">
        <f t="shared" si="0"/>
        <v>93</v>
      </c>
      <c r="P47" s="15">
        <f t="shared" si="1"/>
        <v>140</v>
      </c>
      <c r="R47" s="8"/>
      <c r="T47"/>
    </row>
    <row r="48" spans="2:32" ht="23.1" customHeight="1" x14ac:dyDescent="0.25">
      <c r="B48" s="46" t="s">
        <v>75</v>
      </c>
      <c r="C48" s="50">
        <v>25</v>
      </c>
      <c r="D48" s="50">
        <v>11</v>
      </c>
      <c r="E48" s="50">
        <v>9</v>
      </c>
      <c r="F48" s="50">
        <v>37</v>
      </c>
      <c r="G48" s="50">
        <v>1</v>
      </c>
      <c r="H48" s="50">
        <v>0</v>
      </c>
      <c r="I48" s="50">
        <v>7</v>
      </c>
      <c r="J48" s="50">
        <v>6</v>
      </c>
      <c r="K48" s="50">
        <v>5</v>
      </c>
      <c r="L48" s="50">
        <v>12</v>
      </c>
      <c r="M48" s="50">
        <v>35</v>
      </c>
      <c r="N48" s="50">
        <v>0</v>
      </c>
      <c r="O48" s="15">
        <f t="shared" si="0"/>
        <v>113</v>
      </c>
      <c r="P48" s="15">
        <f t="shared" si="1"/>
        <v>148</v>
      </c>
      <c r="R48" s="8"/>
      <c r="T48"/>
    </row>
    <row r="49" spans="2:20" ht="23.1" customHeight="1" x14ac:dyDescent="0.25">
      <c r="B49" s="45" t="s">
        <v>76</v>
      </c>
      <c r="C49" s="50">
        <v>25</v>
      </c>
      <c r="D49" s="50">
        <v>12</v>
      </c>
      <c r="E49" s="50">
        <v>7</v>
      </c>
      <c r="F49" s="50">
        <v>24</v>
      </c>
      <c r="G49" s="50">
        <v>0</v>
      </c>
      <c r="H49" s="50">
        <v>2</v>
      </c>
      <c r="I49" s="50">
        <v>8</v>
      </c>
      <c r="J49" s="50">
        <v>6</v>
      </c>
      <c r="K49" s="50">
        <v>2</v>
      </c>
      <c r="L49" s="50">
        <v>5</v>
      </c>
      <c r="M49" s="50">
        <v>44</v>
      </c>
      <c r="N49" s="50">
        <v>0</v>
      </c>
      <c r="O49" s="15">
        <f t="shared" si="0"/>
        <v>91</v>
      </c>
      <c r="P49" s="15">
        <f t="shared" si="1"/>
        <v>135</v>
      </c>
      <c r="R49" s="8"/>
      <c r="T49"/>
    </row>
    <row r="50" spans="2:20" ht="23.1" customHeight="1" x14ac:dyDescent="0.25">
      <c r="B50" s="46" t="s">
        <v>77</v>
      </c>
      <c r="C50" s="50">
        <v>49</v>
      </c>
      <c r="D50" s="50">
        <v>20</v>
      </c>
      <c r="E50" s="50">
        <v>18</v>
      </c>
      <c r="F50" s="50">
        <v>30</v>
      </c>
      <c r="G50" s="50">
        <v>0</v>
      </c>
      <c r="H50" s="50">
        <v>0</v>
      </c>
      <c r="I50" s="50">
        <v>11</v>
      </c>
      <c r="J50" s="50">
        <v>5</v>
      </c>
      <c r="K50" s="50">
        <v>1</v>
      </c>
      <c r="L50" s="50">
        <v>11</v>
      </c>
      <c r="M50" s="50">
        <v>36</v>
      </c>
      <c r="N50" s="50">
        <v>0</v>
      </c>
      <c r="O50" s="15">
        <f t="shared" si="0"/>
        <v>145</v>
      </c>
      <c r="P50" s="15">
        <f t="shared" si="1"/>
        <v>181</v>
      </c>
      <c r="R50" s="8"/>
      <c r="T50"/>
    </row>
    <row r="51" spans="2:20" ht="23.1" customHeight="1" x14ac:dyDescent="0.25">
      <c r="B51" s="46" t="s">
        <v>78</v>
      </c>
      <c r="C51" s="50">
        <v>28</v>
      </c>
      <c r="D51" s="50">
        <v>10</v>
      </c>
      <c r="E51" s="50">
        <v>13</v>
      </c>
      <c r="F51" s="50">
        <v>24</v>
      </c>
      <c r="G51" s="50">
        <v>1</v>
      </c>
      <c r="H51" s="50">
        <v>1</v>
      </c>
      <c r="I51" s="50">
        <v>10</v>
      </c>
      <c r="J51" s="50">
        <v>8</v>
      </c>
      <c r="K51" s="50">
        <v>3</v>
      </c>
      <c r="L51" s="50">
        <v>12</v>
      </c>
      <c r="M51" s="50">
        <v>37</v>
      </c>
      <c r="N51" s="50">
        <v>0</v>
      </c>
      <c r="O51" s="15">
        <f t="shared" si="0"/>
        <v>110</v>
      </c>
      <c r="P51" s="15">
        <f t="shared" si="1"/>
        <v>147</v>
      </c>
      <c r="R51" s="8"/>
      <c r="T51"/>
    </row>
    <row r="52" spans="2:20" ht="23.1" customHeight="1" x14ac:dyDescent="0.25">
      <c r="B52" s="46" t="s">
        <v>79</v>
      </c>
      <c r="C52" s="50">
        <v>36</v>
      </c>
      <c r="D52" s="50">
        <v>22</v>
      </c>
      <c r="E52" s="50">
        <v>10</v>
      </c>
      <c r="F52" s="50">
        <v>35</v>
      </c>
      <c r="G52" s="50">
        <v>1</v>
      </c>
      <c r="H52" s="50">
        <v>2</v>
      </c>
      <c r="I52" s="50">
        <v>12</v>
      </c>
      <c r="J52" s="50">
        <v>9</v>
      </c>
      <c r="K52" s="50">
        <v>3</v>
      </c>
      <c r="L52" s="50">
        <v>10</v>
      </c>
      <c r="M52" s="50">
        <v>55</v>
      </c>
      <c r="N52" s="50">
        <v>0</v>
      </c>
      <c r="O52" s="15">
        <f t="shared" si="0"/>
        <v>140</v>
      </c>
      <c r="P52" s="15">
        <f t="shared" si="1"/>
        <v>195</v>
      </c>
      <c r="R52" s="8"/>
      <c r="T52"/>
    </row>
    <row r="53" spans="2:20" ht="23.1" customHeight="1" x14ac:dyDescent="0.25">
      <c r="B53" s="45" t="s">
        <v>80</v>
      </c>
      <c r="C53" s="50">
        <v>25</v>
      </c>
      <c r="D53" s="50">
        <v>20</v>
      </c>
      <c r="E53" s="50">
        <v>12</v>
      </c>
      <c r="F53" s="50">
        <v>28</v>
      </c>
      <c r="G53" s="50">
        <v>1</v>
      </c>
      <c r="H53" s="50">
        <v>0</v>
      </c>
      <c r="I53" s="50">
        <v>15</v>
      </c>
      <c r="J53" s="50">
        <v>3</v>
      </c>
      <c r="K53" s="50">
        <v>2</v>
      </c>
      <c r="L53" s="50">
        <v>6</v>
      </c>
      <c r="M53" s="50">
        <v>55</v>
      </c>
      <c r="N53" s="50">
        <v>0</v>
      </c>
      <c r="O53" s="15">
        <f t="shared" si="0"/>
        <v>112</v>
      </c>
      <c r="P53" s="15">
        <f t="shared" si="1"/>
        <v>167</v>
      </c>
      <c r="R53" s="8"/>
      <c r="T53"/>
    </row>
    <row r="54" spans="2:20" ht="23.1" customHeight="1" x14ac:dyDescent="0.25">
      <c r="B54" s="45" t="s">
        <v>81</v>
      </c>
      <c r="C54" s="50">
        <v>46</v>
      </c>
      <c r="D54" s="50">
        <v>10</v>
      </c>
      <c r="E54" s="50">
        <v>11</v>
      </c>
      <c r="F54" s="50">
        <v>42</v>
      </c>
      <c r="G54" s="50">
        <v>2</v>
      </c>
      <c r="H54" s="50">
        <v>0</v>
      </c>
      <c r="I54" s="50">
        <v>19</v>
      </c>
      <c r="J54" s="50">
        <v>9</v>
      </c>
      <c r="K54" s="50">
        <v>1</v>
      </c>
      <c r="L54" s="50">
        <v>8</v>
      </c>
      <c r="M54" s="50">
        <v>59</v>
      </c>
      <c r="N54" s="50">
        <v>0</v>
      </c>
      <c r="O54" s="15">
        <f t="shared" si="0"/>
        <v>148</v>
      </c>
      <c r="P54" s="15">
        <f t="shared" si="1"/>
        <v>207</v>
      </c>
      <c r="R54" s="8"/>
      <c r="T54"/>
    </row>
    <row r="55" spans="2:20" ht="23.1" customHeight="1" x14ac:dyDescent="0.25">
      <c r="B55" s="45" t="s">
        <v>82</v>
      </c>
      <c r="C55" s="50">
        <v>37</v>
      </c>
      <c r="D55" s="50">
        <v>13</v>
      </c>
      <c r="E55" s="50">
        <v>12</v>
      </c>
      <c r="F55" s="50">
        <v>33</v>
      </c>
      <c r="G55" s="50">
        <v>4</v>
      </c>
      <c r="H55" s="50">
        <v>2</v>
      </c>
      <c r="I55" s="50">
        <v>11</v>
      </c>
      <c r="J55" s="50">
        <v>5</v>
      </c>
      <c r="K55" s="50">
        <v>1</v>
      </c>
      <c r="L55" s="50">
        <v>10</v>
      </c>
      <c r="M55" s="50">
        <v>74</v>
      </c>
      <c r="N55" s="50">
        <v>0</v>
      </c>
      <c r="O55" s="15">
        <f t="shared" si="0"/>
        <v>128</v>
      </c>
      <c r="P55" s="15">
        <f t="shared" si="1"/>
        <v>202</v>
      </c>
      <c r="R55" s="8"/>
      <c r="T55"/>
    </row>
    <row r="56" spans="2:20" ht="23.1" customHeight="1" x14ac:dyDescent="0.25">
      <c r="B56" s="45" t="s">
        <v>83</v>
      </c>
      <c r="C56" s="50">
        <v>29</v>
      </c>
      <c r="D56" s="50">
        <v>13</v>
      </c>
      <c r="E56" s="50">
        <v>12</v>
      </c>
      <c r="F56" s="50">
        <v>22</v>
      </c>
      <c r="G56" s="50">
        <v>2</v>
      </c>
      <c r="H56" s="50">
        <v>1</v>
      </c>
      <c r="I56" s="50">
        <v>8</v>
      </c>
      <c r="J56" s="50">
        <v>5</v>
      </c>
      <c r="K56" s="50">
        <v>1</v>
      </c>
      <c r="L56" s="50">
        <v>11</v>
      </c>
      <c r="M56" s="50">
        <v>52</v>
      </c>
      <c r="N56" s="50">
        <v>0</v>
      </c>
      <c r="O56" s="15">
        <f t="shared" si="0"/>
        <v>104</v>
      </c>
      <c r="P56" s="15">
        <f t="shared" si="1"/>
        <v>156</v>
      </c>
      <c r="R56" s="8"/>
      <c r="T56"/>
    </row>
    <row r="57" spans="2:20" ht="23.1" customHeight="1" x14ac:dyDescent="0.25">
      <c r="B57" s="45" t="s">
        <v>84</v>
      </c>
      <c r="C57" s="50">
        <v>30</v>
      </c>
      <c r="D57" s="50">
        <v>15</v>
      </c>
      <c r="E57" s="50">
        <v>13</v>
      </c>
      <c r="F57" s="50">
        <v>27</v>
      </c>
      <c r="G57" s="50">
        <v>4</v>
      </c>
      <c r="H57" s="50">
        <v>0</v>
      </c>
      <c r="I57" s="50">
        <v>4</v>
      </c>
      <c r="J57" s="50">
        <v>3</v>
      </c>
      <c r="K57" s="50">
        <v>3</v>
      </c>
      <c r="L57" s="50">
        <v>8</v>
      </c>
      <c r="M57" s="50">
        <v>22</v>
      </c>
      <c r="N57" s="50">
        <v>0</v>
      </c>
      <c r="O57" s="15">
        <f t="shared" si="0"/>
        <v>107</v>
      </c>
      <c r="P57" s="15">
        <f t="shared" si="1"/>
        <v>129</v>
      </c>
      <c r="R57" s="8"/>
      <c r="T57"/>
    </row>
    <row r="58" spans="2:20" ht="23.1" customHeight="1" x14ac:dyDescent="0.25">
      <c r="B58" s="45" t="s">
        <v>99</v>
      </c>
      <c r="C58" s="50">
        <v>38</v>
      </c>
      <c r="D58" s="50">
        <v>13</v>
      </c>
      <c r="E58" s="50">
        <v>7</v>
      </c>
      <c r="F58" s="50">
        <v>32</v>
      </c>
      <c r="G58" s="50">
        <v>0</v>
      </c>
      <c r="H58" s="50">
        <v>1</v>
      </c>
      <c r="I58" s="50">
        <v>4</v>
      </c>
      <c r="J58" s="50">
        <v>8</v>
      </c>
      <c r="K58" s="50">
        <v>2</v>
      </c>
      <c r="L58" s="50">
        <v>11</v>
      </c>
      <c r="M58" s="50">
        <v>41</v>
      </c>
      <c r="N58" s="50">
        <v>0</v>
      </c>
      <c r="O58" s="15">
        <f t="shared" si="0"/>
        <v>116</v>
      </c>
      <c r="P58" s="15">
        <f t="shared" si="1"/>
        <v>157</v>
      </c>
      <c r="R58" s="8"/>
      <c r="T58"/>
    </row>
    <row r="59" spans="2:20" ht="23.1" customHeight="1" x14ac:dyDescent="0.25">
      <c r="B59" s="45" t="s">
        <v>100</v>
      </c>
      <c r="C59" s="50">
        <v>46</v>
      </c>
      <c r="D59" s="50">
        <v>14</v>
      </c>
      <c r="E59" s="50">
        <v>11</v>
      </c>
      <c r="F59" s="50">
        <v>35</v>
      </c>
      <c r="G59" s="50">
        <v>0</v>
      </c>
      <c r="H59" s="50">
        <v>0</v>
      </c>
      <c r="I59" s="50">
        <v>6</v>
      </c>
      <c r="J59" s="50">
        <v>4</v>
      </c>
      <c r="K59" s="50">
        <v>4</v>
      </c>
      <c r="L59" s="50">
        <v>4</v>
      </c>
      <c r="M59" s="50">
        <v>37</v>
      </c>
      <c r="N59" s="50">
        <v>0</v>
      </c>
      <c r="O59" s="15">
        <f t="shared" si="0"/>
        <v>124</v>
      </c>
      <c r="P59" s="15">
        <f t="shared" si="1"/>
        <v>161</v>
      </c>
      <c r="R59" s="8"/>
      <c r="T59"/>
    </row>
    <row r="60" spans="2:20" ht="23.1" customHeight="1" x14ac:dyDescent="0.25">
      <c r="B60" s="45" t="s">
        <v>101</v>
      </c>
      <c r="C60" s="50">
        <v>34</v>
      </c>
      <c r="D60" s="50">
        <v>13</v>
      </c>
      <c r="E60" s="50">
        <v>3</v>
      </c>
      <c r="F60" s="50">
        <v>30</v>
      </c>
      <c r="G60" s="50">
        <v>2</v>
      </c>
      <c r="H60" s="50">
        <v>2</v>
      </c>
      <c r="I60" s="50">
        <v>13</v>
      </c>
      <c r="J60" s="50">
        <v>14</v>
      </c>
      <c r="K60" s="50">
        <v>0</v>
      </c>
      <c r="L60" s="50">
        <v>12</v>
      </c>
      <c r="M60" s="50">
        <v>53</v>
      </c>
      <c r="N60" s="50">
        <v>0</v>
      </c>
      <c r="O60" s="15">
        <f t="shared" si="0"/>
        <v>123</v>
      </c>
      <c r="P60" s="15">
        <f t="shared" si="1"/>
        <v>176</v>
      </c>
      <c r="R60" s="8"/>
      <c r="T60"/>
    </row>
    <row r="61" spans="2:20" ht="23.1" customHeight="1" x14ac:dyDescent="0.25">
      <c r="B61" s="45" t="s">
        <v>102</v>
      </c>
      <c r="C61" s="50">
        <v>31</v>
      </c>
      <c r="D61" s="50">
        <v>6</v>
      </c>
      <c r="E61" s="50">
        <v>3</v>
      </c>
      <c r="F61" s="50">
        <v>21</v>
      </c>
      <c r="G61" s="50">
        <v>0</v>
      </c>
      <c r="H61" s="50">
        <v>2</v>
      </c>
      <c r="I61" s="50">
        <v>9</v>
      </c>
      <c r="J61" s="50">
        <v>5</v>
      </c>
      <c r="K61" s="50">
        <v>2</v>
      </c>
      <c r="L61" s="50">
        <v>9</v>
      </c>
      <c r="M61" s="50">
        <v>43</v>
      </c>
      <c r="N61" s="50">
        <v>0</v>
      </c>
      <c r="O61" s="15">
        <f t="shared" si="0"/>
        <v>88</v>
      </c>
      <c r="P61" s="15">
        <f t="shared" si="1"/>
        <v>131</v>
      </c>
      <c r="R61" s="8"/>
      <c r="T61"/>
    </row>
    <row r="62" spans="2:20" ht="23.1" customHeight="1" x14ac:dyDescent="0.25">
      <c r="B62" s="45" t="s">
        <v>107</v>
      </c>
      <c r="C62" s="50">
        <v>17</v>
      </c>
      <c r="D62" s="50">
        <v>5</v>
      </c>
      <c r="E62" s="50">
        <v>7</v>
      </c>
      <c r="F62" s="50">
        <v>20</v>
      </c>
      <c r="G62" s="50">
        <v>2</v>
      </c>
      <c r="H62" s="50">
        <v>2</v>
      </c>
      <c r="I62" s="50">
        <v>12</v>
      </c>
      <c r="J62" s="50">
        <v>9</v>
      </c>
      <c r="K62" s="50">
        <v>2</v>
      </c>
      <c r="L62" s="50">
        <v>7</v>
      </c>
      <c r="M62" s="50">
        <v>37</v>
      </c>
      <c r="N62" s="50">
        <v>0</v>
      </c>
      <c r="O62" s="15">
        <f t="shared" si="0"/>
        <v>83</v>
      </c>
      <c r="P62" s="15">
        <f t="shared" si="1"/>
        <v>120</v>
      </c>
      <c r="R62" s="8"/>
      <c r="T62"/>
    </row>
    <row r="63" spans="2:20" ht="23.1" customHeight="1" x14ac:dyDescent="0.25">
      <c r="B63" s="45" t="s">
        <v>108</v>
      </c>
      <c r="C63" s="50">
        <v>18</v>
      </c>
      <c r="D63" s="50">
        <v>5</v>
      </c>
      <c r="E63" s="50">
        <v>6</v>
      </c>
      <c r="F63" s="50">
        <v>16</v>
      </c>
      <c r="G63" s="50">
        <v>1</v>
      </c>
      <c r="H63" s="50">
        <v>0</v>
      </c>
      <c r="I63" s="50">
        <v>4</v>
      </c>
      <c r="J63" s="50">
        <v>2</v>
      </c>
      <c r="K63" s="50">
        <v>2</v>
      </c>
      <c r="L63" s="50">
        <v>5</v>
      </c>
      <c r="M63" s="50">
        <v>27</v>
      </c>
      <c r="N63" s="50">
        <v>0</v>
      </c>
      <c r="O63" s="15">
        <f t="shared" si="0"/>
        <v>59</v>
      </c>
      <c r="P63" s="15">
        <f t="shared" si="1"/>
        <v>86</v>
      </c>
      <c r="R63" s="8"/>
      <c r="T63"/>
    </row>
    <row r="64" spans="2:20" ht="23.1" customHeight="1" x14ac:dyDescent="0.25">
      <c r="B64" s="45" t="s">
        <v>109</v>
      </c>
      <c r="C64" s="50">
        <v>28</v>
      </c>
      <c r="D64" s="50">
        <v>10</v>
      </c>
      <c r="E64" s="50">
        <v>14</v>
      </c>
      <c r="F64" s="50">
        <v>32</v>
      </c>
      <c r="G64" s="50">
        <v>2</v>
      </c>
      <c r="H64" s="50">
        <v>1</v>
      </c>
      <c r="I64" s="50">
        <v>10</v>
      </c>
      <c r="J64" s="50">
        <v>6</v>
      </c>
      <c r="K64" s="50">
        <v>3</v>
      </c>
      <c r="L64" s="50">
        <v>4</v>
      </c>
      <c r="M64" s="50">
        <v>16</v>
      </c>
      <c r="N64" s="50">
        <v>0</v>
      </c>
      <c r="O64" s="15">
        <f t="shared" si="0"/>
        <v>110</v>
      </c>
      <c r="P64" s="15">
        <f t="shared" si="1"/>
        <v>126</v>
      </c>
      <c r="R64" s="8"/>
      <c r="T64"/>
    </row>
    <row r="65" spans="2:20" ht="23.1" customHeight="1" x14ac:dyDescent="0.25">
      <c r="B65" s="45" t="s">
        <v>158</v>
      </c>
      <c r="C65" s="50">
        <v>16</v>
      </c>
      <c r="D65" s="50">
        <v>2</v>
      </c>
      <c r="E65" s="50">
        <v>4</v>
      </c>
      <c r="F65" s="50">
        <v>19</v>
      </c>
      <c r="G65" s="50">
        <v>2</v>
      </c>
      <c r="H65" s="50">
        <v>0</v>
      </c>
      <c r="I65" s="50">
        <v>4</v>
      </c>
      <c r="J65" s="50">
        <v>2</v>
      </c>
      <c r="K65" s="50">
        <v>1</v>
      </c>
      <c r="L65" s="50">
        <v>4</v>
      </c>
      <c r="M65" s="50">
        <v>15</v>
      </c>
      <c r="N65" s="50">
        <v>0</v>
      </c>
      <c r="O65" s="15">
        <f t="shared" si="0"/>
        <v>54</v>
      </c>
      <c r="P65" s="15">
        <f t="shared" si="1"/>
        <v>69</v>
      </c>
      <c r="R65" s="8"/>
      <c r="T65"/>
    </row>
    <row r="66" spans="2:20" ht="23.1" customHeight="1" x14ac:dyDescent="0.25">
      <c r="B66" s="45" t="s">
        <v>103</v>
      </c>
      <c r="C66" s="50">
        <v>16</v>
      </c>
      <c r="D66" s="50">
        <v>12</v>
      </c>
      <c r="E66" s="50">
        <v>3</v>
      </c>
      <c r="F66" s="50">
        <v>8</v>
      </c>
      <c r="G66" s="50">
        <v>1</v>
      </c>
      <c r="H66" s="50">
        <v>0</v>
      </c>
      <c r="I66" s="50">
        <v>4</v>
      </c>
      <c r="J66" s="50">
        <v>4</v>
      </c>
      <c r="K66" s="50">
        <v>2</v>
      </c>
      <c r="L66" s="50">
        <v>2</v>
      </c>
      <c r="M66" s="50">
        <v>11</v>
      </c>
      <c r="N66" s="50">
        <v>0</v>
      </c>
      <c r="O66" s="15">
        <f t="shared" si="0"/>
        <v>52</v>
      </c>
      <c r="P66" s="15">
        <f t="shared" si="1"/>
        <v>63</v>
      </c>
      <c r="R66" s="8"/>
      <c r="T66"/>
    </row>
    <row r="67" spans="2:20" ht="23.1" customHeight="1" x14ac:dyDescent="0.25">
      <c r="B67" s="45" t="s">
        <v>104</v>
      </c>
      <c r="C67" s="50">
        <v>24</v>
      </c>
      <c r="D67" s="50">
        <v>2</v>
      </c>
      <c r="E67" s="50">
        <v>3</v>
      </c>
      <c r="F67" s="50">
        <v>14</v>
      </c>
      <c r="G67" s="50">
        <v>1</v>
      </c>
      <c r="H67" s="50">
        <v>0</v>
      </c>
      <c r="I67" s="50">
        <v>3</v>
      </c>
      <c r="J67" s="50">
        <v>1</v>
      </c>
      <c r="K67" s="50">
        <v>2</v>
      </c>
      <c r="L67" s="50">
        <v>3</v>
      </c>
      <c r="M67" s="50">
        <v>16</v>
      </c>
      <c r="N67" s="50">
        <v>0</v>
      </c>
      <c r="O67" s="15">
        <f t="shared" si="0"/>
        <v>53</v>
      </c>
      <c r="P67" s="15">
        <f t="shared" si="1"/>
        <v>69</v>
      </c>
      <c r="R67" s="8"/>
      <c r="T67"/>
    </row>
    <row r="68" spans="2:20" ht="23.1" customHeight="1" x14ac:dyDescent="0.25">
      <c r="B68" s="45" t="s">
        <v>105</v>
      </c>
      <c r="C68" s="50">
        <v>16</v>
      </c>
      <c r="D68" s="50">
        <v>4</v>
      </c>
      <c r="E68" s="50">
        <v>3</v>
      </c>
      <c r="F68" s="50">
        <v>16</v>
      </c>
      <c r="G68" s="50">
        <v>2</v>
      </c>
      <c r="H68" s="50">
        <v>1</v>
      </c>
      <c r="I68" s="50">
        <v>3</v>
      </c>
      <c r="J68" s="50">
        <v>8</v>
      </c>
      <c r="K68" s="50">
        <v>2</v>
      </c>
      <c r="L68" s="50">
        <v>3</v>
      </c>
      <c r="M68" s="50">
        <v>14</v>
      </c>
      <c r="N68" s="50">
        <v>0</v>
      </c>
      <c r="O68" s="15">
        <f t="shared" si="0"/>
        <v>58</v>
      </c>
      <c r="P68" s="15">
        <f t="shared" si="1"/>
        <v>72</v>
      </c>
      <c r="R68" s="8"/>
      <c r="T68"/>
    </row>
    <row r="69" spans="2:20" ht="23.1" customHeight="1" x14ac:dyDescent="0.25">
      <c r="B69" s="45" t="s">
        <v>106</v>
      </c>
      <c r="C69" s="50">
        <v>21</v>
      </c>
      <c r="D69" s="50">
        <v>2</v>
      </c>
      <c r="E69" s="50">
        <v>6</v>
      </c>
      <c r="F69" s="50">
        <v>13</v>
      </c>
      <c r="G69" s="50">
        <v>1</v>
      </c>
      <c r="H69" s="50">
        <v>0</v>
      </c>
      <c r="I69" s="50">
        <v>5</v>
      </c>
      <c r="J69" s="50">
        <v>1</v>
      </c>
      <c r="K69" s="50">
        <v>2</v>
      </c>
      <c r="L69" s="50">
        <v>7</v>
      </c>
      <c r="M69" s="50">
        <v>10</v>
      </c>
      <c r="N69" s="50">
        <v>0</v>
      </c>
      <c r="O69" s="15">
        <f t="shared" si="0"/>
        <v>58</v>
      </c>
      <c r="P69" s="15">
        <f t="shared" si="1"/>
        <v>68</v>
      </c>
      <c r="R69" s="8"/>
      <c r="T69"/>
    </row>
    <row r="70" spans="2:20" ht="23.1" customHeight="1" x14ac:dyDescent="0.25">
      <c r="B70" s="45" t="s">
        <v>110</v>
      </c>
      <c r="C70" s="50">
        <v>20</v>
      </c>
      <c r="D70" s="50">
        <v>11</v>
      </c>
      <c r="E70" s="50">
        <v>10</v>
      </c>
      <c r="F70" s="50">
        <v>20</v>
      </c>
      <c r="G70" s="50">
        <v>2</v>
      </c>
      <c r="H70" s="50">
        <v>0</v>
      </c>
      <c r="I70" s="50">
        <v>3</v>
      </c>
      <c r="J70" s="50">
        <v>5</v>
      </c>
      <c r="K70" s="50">
        <v>1</v>
      </c>
      <c r="L70" s="50">
        <v>4</v>
      </c>
      <c r="M70" s="50">
        <v>16</v>
      </c>
      <c r="N70" s="50">
        <v>0</v>
      </c>
      <c r="O70" s="15">
        <f t="shared" si="0"/>
        <v>76</v>
      </c>
      <c r="P70" s="15">
        <f t="shared" si="1"/>
        <v>92</v>
      </c>
      <c r="R70" s="8"/>
      <c r="T70"/>
    </row>
    <row r="71" spans="2:20" ht="23.1" customHeight="1" x14ac:dyDescent="0.25">
      <c r="B71" s="45" t="s">
        <v>111</v>
      </c>
      <c r="C71" s="50">
        <v>15</v>
      </c>
      <c r="D71" s="50">
        <v>5</v>
      </c>
      <c r="E71" s="50">
        <v>2</v>
      </c>
      <c r="F71" s="50">
        <v>13</v>
      </c>
      <c r="G71" s="50">
        <v>1</v>
      </c>
      <c r="H71" s="50">
        <v>3</v>
      </c>
      <c r="I71" s="50">
        <v>5</v>
      </c>
      <c r="J71" s="50">
        <v>5</v>
      </c>
      <c r="K71" s="50">
        <v>1</v>
      </c>
      <c r="L71" s="50">
        <v>7</v>
      </c>
      <c r="M71" s="50">
        <v>5</v>
      </c>
      <c r="N71" s="50">
        <v>0</v>
      </c>
      <c r="O71" s="15">
        <f t="shared" si="0"/>
        <v>57</v>
      </c>
      <c r="P71" s="15">
        <f t="shared" si="1"/>
        <v>62</v>
      </c>
      <c r="R71" s="8"/>
      <c r="T71"/>
    </row>
    <row r="72" spans="2:20" ht="23.1" customHeight="1" x14ac:dyDescent="0.25">
      <c r="B72" s="45" t="s">
        <v>112</v>
      </c>
      <c r="C72" s="50">
        <v>35</v>
      </c>
      <c r="D72" s="50">
        <v>8</v>
      </c>
      <c r="E72" s="50">
        <v>9</v>
      </c>
      <c r="F72" s="50">
        <v>40</v>
      </c>
      <c r="G72" s="50">
        <v>5</v>
      </c>
      <c r="H72" s="50">
        <v>2</v>
      </c>
      <c r="I72" s="50">
        <v>11</v>
      </c>
      <c r="J72" s="50">
        <v>7</v>
      </c>
      <c r="K72" s="50">
        <v>2</v>
      </c>
      <c r="L72" s="50">
        <v>8</v>
      </c>
      <c r="M72" s="50">
        <v>11</v>
      </c>
      <c r="N72" s="50">
        <v>0</v>
      </c>
      <c r="O72" s="15">
        <f t="shared" si="0"/>
        <v>127</v>
      </c>
      <c r="P72" s="15">
        <f t="shared" si="1"/>
        <v>138</v>
      </c>
      <c r="R72" s="8"/>
      <c r="T72"/>
    </row>
    <row r="73" spans="2:20" ht="23.1" customHeight="1" x14ac:dyDescent="0.25">
      <c r="B73" s="45" t="s">
        <v>113</v>
      </c>
      <c r="C73" s="50">
        <v>24</v>
      </c>
      <c r="D73" s="50">
        <v>8</v>
      </c>
      <c r="E73" s="50">
        <v>6</v>
      </c>
      <c r="F73" s="50">
        <v>19</v>
      </c>
      <c r="G73" s="50">
        <v>2</v>
      </c>
      <c r="H73" s="50">
        <v>1</v>
      </c>
      <c r="I73" s="50">
        <v>7</v>
      </c>
      <c r="J73" s="50">
        <v>7</v>
      </c>
      <c r="K73" s="50">
        <v>1</v>
      </c>
      <c r="L73" s="50">
        <v>9</v>
      </c>
      <c r="M73" s="50">
        <v>14</v>
      </c>
      <c r="N73" s="50">
        <v>0</v>
      </c>
      <c r="O73" s="15">
        <f t="shared" si="0"/>
        <v>84</v>
      </c>
      <c r="P73" s="15">
        <f t="shared" si="1"/>
        <v>98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2</v>
      </c>
      <c r="E74" s="50">
        <v>4</v>
      </c>
      <c r="F74" s="50">
        <v>16</v>
      </c>
      <c r="G74" s="50">
        <v>3</v>
      </c>
      <c r="H74" s="50">
        <v>1</v>
      </c>
      <c r="I74" s="50">
        <v>4</v>
      </c>
      <c r="J74" s="50">
        <v>5</v>
      </c>
      <c r="K74" s="50">
        <v>3</v>
      </c>
      <c r="L74" s="50">
        <v>4</v>
      </c>
      <c r="M74" s="50">
        <v>5</v>
      </c>
      <c r="N74" s="50">
        <v>0</v>
      </c>
      <c r="O74" s="15">
        <f t="shared" ref="O74:O105" si="35">SUM(C74:L74,N74)</f>
        <v>47</v>
      </c>
      <c r="P74" s="15">
        <f t="shared" ref="P74:P105" si="36">SUM(C74:N74)</f>
        <v>52</v>
      </c>
      <c r="R74" s="8"/>
      <c r="T74"/>
    </row>
    <row r="75" spans="2:20" ht="23.1" customHeight="1" x14ac:dyDescent="0.25">
      <c r="B75" s="45" t="s">
        <v>115</v>
      </c>
      <c r="C75" s="50">
        <v>18</v>
      </c>
      <c r="D75" s="50">
        <v>1</v>
      </c>
      <c r="E75" s="50">
        <v>2</v>
      </c>
      <c r="F75" s="50">
        <v>12</v>
      </c>
      <c r="G75" s="50">
        <v>0</v>
      </c>
      <c r="H75" s="50">
        <v>0</v>
      </c>
      <c r="I75" s="50">
        <v>5</v>
      </c>
      <c r="J75" s="50">
        <v>3</v>
      </c>
      <c r="K75" s="50">
        <v>1</v>
      </c>
      <c r="L75" s="50">
        <v>9</v>
      </c>
      <c r="M75" s="50">
        <v>5</v>
      </c>
      <c r="N75" s="50">
        <v>0</v>
      </c>
      <c r="O75" s="15">
        <f t="shared" si="35"/>
        <v>51</v>
      </c>
      <c r="P75" s="15">
        <f t="shared" si="36"/>
        <v>56</v>
      </c>
      <c r="R75" s="8"/>
      <c r="T75"/>
    </row>
    <row r="76" spans="2:20" ht="23.1" customHeight="1" x14ac:dyDescent="0.25">
      <c r="B76" s="45" t="s">
        <v>116</v>
      </c>
      <c r="C76" s="50">
        <v>17</v>
      </c>
      <c r="D76" s="50">
        <v>3</v>
      </c>
      <c r="E76" s="50">
        <v>7</v>
      </c>
      <c r="F76" s="50">
        <v>9</v>
      </c>
      <c r="G76" s="50">
        <v>2</v>
      </c>
      <c r="H76" s="50">
        <v>0</v>
      </c>
      <c r="I76" s="50">
        <v>6</v>
      </c>
      <c r="J76" s="50">
        <v>11</v>
      </c>
      <c r="K76" s="50">
        <v>5</v>
      </c>
      <c r="L76" s="50">
        <v>5</v>
      </c>
      <c r="M76" s="50">
        <v>6</v>
      </c>
      <c r="N76" s="50">
        <v>0</v>
      </c>
      <c r="O76" s="15">
        <f t="shared" si="35"/>
        <v>65</v>
      </c>
      <c r="P76" s="15">
        <f t="shared" si="36"/>
        <v>71</v>
      </c>
      <c r="R76" s="8"/>
      <c r="T76"/>
    </row>
    <row r="77" spans="2:20" ht="23.1" customHeight="1" x14ac:dyDescent="0.25">
      <c r="B77" s="45" t="s">
        <v>117</v>
      </c>
      <c r="C77" s="50">
        <v>9</v>
      </c>
      <c r="D77" s="50">
        <v>2</v>
      </c>
      <c r="E77" s="50">
        <v>2</v>
      </c>
      <c r="F77" s="50">
        <v>6</v>
      </c>
      <c r="G77" s="50">
        <v>0</v>
      </c>
      <c r="H77" s="50">
        <v>1</v>
      </c>
      <c r="I77" s="50">
        <v>3</v>
      </c>
      <c r="J77" s="50">
        <v>7</v>
      </c>
      <c r="K77" s="50">
        <v>0</v>
      </c>
      <c r="L77" s="50">
        <v>3</v>
      </c>
      <c r="M77" s="50">
        <v>3</v>
      </c>
      <c r="N77" s="50">
        <v>0</v>
      </c>
      <c r="O77" s="15">
        <f t="shared" si="35"/>
        <v>33</v>
      </c>
      <c r="P77" s="15">
        <f t="shared" si="36"/>
        <v>36</v>
      </c>
      <c r="R77" s="8"/>
      <c r="T77"/>
    </row>
    <row r="78" spans="2:20" ht="23.1" customHeight="1" x14ac:dyDescent="0.25">
      <c r="B78" s="46" t="s">
        <v>118</v>
      </c>
      <c r="C78" s="50">
        <v>7</v>
      </c>
      <c r="D78" s="50">
        <v>2</v>
      </c>
      <c r="E78" s="50">
        <v>2</v>
      </c>
      <c r="F78" s="50">
        <v>5</v>
      </c>
      <c r="G78" s="50">
        <v>0</v>
      </c>
      <c r="H78" s="50">
        <v>1</v>
      </c>
      <c r="I78" s="50">
        <v>5</v>
      </c>
      <c r="J78" s="50">
        <v>7</v>
      </c>
      <c r="K78" s="50">
        <v>0</v>
      </c>
      <c r="L78" s="50">
        <v>3</v>
      </c>
      <c r="M78" s="50">
        <v>6</v>
      </c>
      <c r="N78" s="50">
        <v>0</v>
      </c>
      <c r="O78" s="15">
        <f t="shared" si="35"/>
        <v>32</v>
      </c>
      <c r="P78" s="15">
        <f t="shared" si="36"/>
        <v>38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4</v>
      </c>
      <c r="E79" s="50">
        <v>3</v>
      </c>
      <c r="F79" s="50">
        <v>1</v>
      </c>
      <c r="G79" s="50">
        <v>1</v>
      </c>
      <c r="H79" s="50">
        <v>1</v>
      </c>
      <c r="I79" s="50">
        <v>4</v>
      </c>
      <c r="J79" s="50">
        <v>5</v>
      </c>
      <c r="K79" s="50">
        <v>0</v>
      </c>
      <c r="L79" s="50">
        <v>1</v>
      </c>
      <c r="M79" s="50">
        <v>2</v>
      </c>
      <c r="N79" s="50">
        <v>0</v>
      </c>
      <c r="O79" s="15">
        <f t="shared" si="35"/>
        <v>28</v>
      </c>
      <c r="P79" s="15">
        <f t="shared" si="36"/>
        <v>30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5</v>
      </c>
      <c r="E80" s="50">
        <v>2</v>
      </c>
      <c r="F80" s="50">
        <v>4</v>
      </c>
      <c r="G80" s="50">
        <v>2</v>
      </c>
      <c r="H80" s="50">
        <v>1</v>
      </c>
      <c r="I80" s="50">
        <v>3</v>
      </c>
      <c r="J80" s="50">
        <v>5</v>
      </c>
      <c r="K80" s="50">
        <v>0</v>
      </c>
      <c r="L80" s="50">
        <v>2</v>
      </c>
      <c r="M80" s="50">
        <v>5</v>
      </c>
      <c r="N80" s="50">
        <v>0</v>
      </c>
      <c r="O80" s="15">
        <f t="shared" si="35"/>
        <v>30</v>
      </c>
      <c r="P80" s="15">
        <f t="shared" si="36"/>
        <v>35</v>
      </c>
      <c r="R80" s="8"/>
      <c r="T80"/>
    </row>
    <row r="81" spans="2:20" ht="23.1" customHeight="1" x14ac:dyDescent="0.25">
      <c r="B81" s="45" t="s">
        <v>121</v>
      </c>
      <c r="C81" s="50">
        <v>3</v>
      </c>
      <c r="D81" s="50">
        <v>2</v>
      </c>
      <c r="E81" s="50">
        <v>5</v>
      </c>
      <c r="F81" s="50">
        <v>4</v>
      </c>
      <c r="G81" s="50">
        <v>1</v>
      </c>
      <c r="H81" s="50">
        <v>1</v>
      </c>
      <c r="I81" s="50">
        <v>5</v>
      </c>
      <c r="J81" s="50">
        <v>7</v>
      </c>
      <c r="K81" s="50">
        <v>1</v>
      </c>
      <c r="L81" s="50">
        <v>5</v>
      </c>
      <c r="M81" s="50">
        <v>0</v>
      </c>
      <c r="N81" s="50">
        <v>0</v>
      </c>
      <c r="O81" s="15">
        <f t="shared" si="35"/>
        <v>34</v>
      </c>
      <c r="P81" s="15">
        <f t="shared" si="36"/>
        <v>34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1</v>
      </c>
      <c r="E82" s="50">
        <v>2</v>
      </c>
      <c r="F82" s="50">
        <v>2</v>
      </c>
      <c r="G82" s="50">
        <v>0</v>
      </c>
      <c r="H82" s="50">
        <v>0</v>
      </c>
      <c r="I82" s="50">
        <v>1</v>
      </c>
      <c r="J82" s="50">
        <v>4</v>
      </c>
      <c r="K82" s="50">
        <v>0</v>
      </c>
      <c r="L82" s="50">
        <v>1</v>
      </c>
      <c r="M82" s="50">
        <v>0</v>
      </c>
      <c r="N82" s="50">
        <v>0</v>
      </c>
      <c r="O82" s="15">
        <f t="shared" si="35"/>
        <v>11</v>
      </c>
      <c r="P82" s="15">
        <f t="shared" si="36"/>
        <v>11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1</v>
      </c>
      <c r="F83" s="50">
        <v>3</v>
      </c>
      <c r="G83" s="50">
        <v>0</v>
      </c>
      <c r="H83" s="50">
        <v>1</v>
      </c>
      <c r="I83" s="50">
        <v>0</v>
      </c>
      <c r="J83" s="50">
        <v>2</v>
      </c>
      <c r="K83" s="50">
        <v>1</v>
      </c>
      <c r="L83" s="50">
        <v>3</v>
      </c>
      <c r="M83" s="50">
        <v>1</v>
      </c>
      <c r="N83" s="50">
        <v>0</v>
      </c>
      <c r="O83" s="15">
        <f t="shared" si="35"/>
        <v>12</v>
      </c>
      <c r="P83" s="15">
        <f t="shared" si="36"/>
        <v>13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2</v>
      </c>
      <c r="E84" s="50">
        <v>1</v>
      </c>
      <c r="F84" s="50">
        <v>1</v>
      </c>
      <c r="G84" s="50">
        <v>0</v>
      </c>
      <c r="H84" s="50">
        <v>0</v>
      </c>
      <c r="I84" s="50">
        <v>1</v>
      </c>
      <c r="J84" s="50">
        <v>4</v>
      </c>
      <c r="K84" s="50">
        <v>1</v>
      </c>
      <c r="L84" s="50">
        <v>3</v>
      </c>
      <c r="M84" s="50">
        <v>1</v>
      </c>
      <c r="N84" s="50">
        <v>0</v>
      </c>
      <c r="O84" s="15">
        <f t="shared" si="35"/>
        <v>15</v>
      </c>
      <c r="P84" s="15">
        <f t="shared" si="36"/>
        <v>16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1</v>
      </c>
      <c r="E85" s="50">
        <v>3</v>
      </c>
      <c r="F85" s="50">
        <v>2</v>
      </c>
      <c r="G85" s="50">
        <v>1</v>
      </c>
      <c r="H85" s="50">
        <v>1</v>
      </c>
      <c r="I85" s="50">
        <v>2</v>
      </c>
      <c r="J85" s="50">
        <v>1</v>
      </c>
      <c r="K85" s="50">
        <v>0</v>
      </c>
      <c r="L85" s="50">
        <v>2</v>
      </c>
      <c r="M85" s="50">
        <v>0</v>
      </c>
      <c r="N85" s="50">
        <v>0</v>
      </c>
      <c r="O85" s="15">
        <f t="shared" si="35"/>
        <v>15</v>
      </c>
      <c r="P85" s="15">
        <f t="shared" si="36"/>
        <v>15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1</v>
      </c>
      <c r="F86" s="50">
        <v>2</v>
      </c>
      <c r="G86" s="50">
        <v>0</v>
      </c>
      <c r="H86" s="50">
        <v>0</v>
      </c>
      <c r="I86" s="50">
        <v>2</v>
      </c>
      <c r="J86" s="50">
        <v>1</v>
      </c>
      <c r="K86" s="50">
        <v>1</v>
      </c>
      <c r="L86" s="50">
        <v>2</v>
      </c>
      <c r="M86" s="50">
        <v>3</v>
      </c>
      <c r="N86" s="50">
        <v>0</v>
      </c>
      <c r="O86" s="15">
        <f t="shared" si="35"/>
        <v>11</v>
      </c>
      <c r="P86" s="15">
        <f t="shared" si="36"/>
        <v>14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2</v>
      </c>
      <c r="F87" s="50">
        <v>1</v>
      </c>
      <c r="G87" s="50">
        <v>1</v>
      </c>
      <c r="H87" s="50">
        <v>0</v>
      </c>
      <c r="I87" s="50">
        <v>1</v>
      </c>
      <c r="J87" s="50">
        <v>0</v>
      </c>
      <c r="K87" s="50">
        <v>2</v>
      </c>
      <c r="L87" s="50">
        <v>4</v>
      </c>
      <c r="M87" s="50">
        <v>0</v>
      </c>
      <c r="N87" s="50">
        <v>0</v>
      </c>
      <c r="O87" s="15">
        <f t="shared" si="35"/>
        <v>11</v>
      </c>
      <c r="P87" s="15">
        <f t="shared" si="36"/>
        <v>11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2</v>
      </c>
      <c r="K88" s="50">
        <v>0</v>
      </c>
      <c r="L88" s="50">
        <v>3</v>
      </c>
      <c r="M88" s="50">
        <v>1</v>
      </c>
      <c r="N88" s="50">
        <v>0</v>
      </c>
      <c r="O88" s="15">
        <f t="shared" si="35"/>
        <v>6</v>
      </c>
      <c r="P88" s="15">
        <f t="shared" si="36"/>
        <v>7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1</v>
      </c>
      <c r="F89" s="50">
        <v>2</v>
      </c>
      <c r="G89" s="50">
        <v>1</v>
      </c>
      <c r="H89" s="50">
        <v>1</v>
      </c>
      <c r="I89" s="50">
        <v>0</v>
      </c>
      <c r="J89" s="50">
        <v>1</v>
      </c>
      <c r="K89" s="50">
        <v>0</v>
      </c>
      <c r="L89" s="50">
        <v>3</v>
      </c>
      <c r="M89" s="50">
        <v>1</v>
      </c>
      <c r="N89" s="50">
        <v>0</v>
      </c>
      <c r="O89" s="15">
        <f t="shared" si="35"/>
        <v>9</v>
      </c>
      <c r="P89" s="15">
        <f t="shared" si="36"/>
        <v>10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1</v>
      </c>
      <c r="K90" s="50">
        <v>0</v>
      </c>
      <c r="L90" s="50">
        <v>8</v>
      </c>
      <c r="M90" s="50">
        <v>1</v>
      </c>
      <c r="N90" s="50">
        <v>0</v>
      </c>
      <c r="O90" s="15">
        <f t="shared" si="35"/>
        <v>12</v>
      </c>
      <c r="P90" s="15">
        <f t="shared" si="36"/>
        <v>13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1</v>
      </c>
      <c r="F91" s="50">
        <v>2</v>
      </c>
      <c r="G91" s="50">
        <v>0</v>
      </c>
      <c r="H91" s="50">
        <v>1</v>
      </c>
      <c r="I91" s="50">
        <v>1</v>
      </c>
      <c r="J91" s="50">
        <v>6</v>
      </c>
      <c r="K91" s="50">
        <v>1</v>
      </c>
      <c r="L91" s="50">
        <v>3</v>
      </c>
      <c r="M91" s="50">
        <v>1</v>
      </c>
      <c r="N91" s="50">
        <v>0</v>
      </c>
      <c r="O91" s="15">
        <f t="shared" si="35"/>
        <v>16</v>
      </c>
      <c r="P91" s="15">
        <f t="shared" si="36"/>
        <v>17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1</v>
      </c>
      <c r="E92" s="50">
        <v>2</v>
      </c>
      <c r="F92" s="50">
        <v>3</v>
      </c>
      <c r="G92" s="50">
        <v>0</v>
      </c>
      <c r="H92" s="50">
        <v>0</v>
      </c>
      <c r="I92" s="50">
        <v>1</v>
      </c>
      <c r="J92" s="50">
        <v>1</v>
      </c>
      <c r="K92" s="50">
        <v>0</v>
      </c>
      <c r="L92" s="50">
        <v>7</v>
      </c>
      <c r="M92" s="50">
        <v>0</v>
      </c>
      <c r="N92" s="50">
        <v>0</v>
      </c>
      <c r="O92" s="15">
        <f t="shared" si="35"/>
        <v>17</v>
      </c>
      <c r="P92" s="15">
        <f t="shared" si="36"/>
        <v>17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5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5</v>
      </c>
      <c r="M93" s="50">
        <v>1</v>
      </c>
      <c r="N93" s="50">
        <v>0</v>
      </c>
      <c r="O93" s="15">
        <f t="shared" si="35"/>
        <v>11</v>
      </c>
      <c r="P93" s="15">
        <f t="shared" si="36"/>
        <v>12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9</v>
      </c>
      <c r="G94" s="50">
        <v>0</v>
      </c>
      <c r="H94" s="50">
        <v>0</v>
      </c>
      <c r="I94" s="50">
        <v>1</v>
      </c>
      <c r="J94" s="50">
        <v>3</v>
      </c>
      <c r="K94" s="50">
        <v>1</v>
      </c>
      <c r="L94" s="50">
        <v>6</v>
      </c>
      <c r="M94" s="50">
        <v>2</v>
      </c>
      <c r="N94" s="50">
        <v>0</v>
      </c>
      <c r="O94" s="15">
        <f t="shared" si="35"/>
        <v>22</v>
      </c>
      <c r="P94" s="15">
        <f t="shared" si="36"/>
        <v>24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1</v>
      </c>
      <c r="E95" s="50">
        <v>0</v>
      </c>
      <c r="F95" s="50">
        <v>4</v>
      </c>
      <c r="G95" s="50">
        <v>0</v>
      </c>
      <c r="H95" s="50">
        <v>1</v>
      </c>
      <c r="I95" s="50">
        <v>0</v>
      </c>
      <c r="J95" s="50">
        <v>6</v>
      </c>
      <c r="K95" s="50">
        <v>2</v>
      </c>
      <c r="L95" s="50">
        <v>4</v>
      </c>
      <c r="M95" s="50">
        <v>4</v>
      </c>
      <c r="N95" s="50">
        <v>0</v>
      </c>
      <c r="O95" s="15">
        <f t="shared" si="35"/>
        <v>19</v>
      </c>
      <c r="P95" s="15">
        <f t="shared" si="36"/>
        <v>23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5</v>
      </c>
      <c r="G96" s="50">
        <v>0</v>
      </c>
      <c r="H96" s="50">
        <v>0</v>
      </c>
      <c r="I96" s="50">
        <v>1</v>
      </c>
      <c r="J96" s="50">
        <v>2</v>
      </c>
      <c r="K96" s="50">
        <v>1</v>
      </c>
      <c r="L96" s="50">
        <v>9</v>
      </c>
      <c r="M96" s="50">
        <v>2</v>
      </c>
      <c r="N96" s="50">
        <v>0</v>
      </c>
      <c r="O96" s="15">
        <f t="shared" si="35"/>
        <v>18</v>
      </c>
      <c r="P96" s="15">
        <f t="shared" si="36"/>
        <v>20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5</v>
      </c>
      <c r="G97" s="50">
        <v>0</v>
      </c>
      <c r="H97" s="50">
        <v>1</v>
      </c>
      <c r="I97" s="50">
        <v>3</v>
      </c>
      <c r="J97" s="50">
        <v>5</v>
      </c>
      <c r="K97" s="50">
        <v>3</v>
      </c>
      <c r="L97" s="50">
        <v>11</v>
      </c>
      <c r="M97" s="50">
        <v>1</v>
      </c>
      <c r="N97" s="50">
        <v>0</v>
      </c>
      <c r="O97" s="15">
        <f t="shared" si="35"/>
        <v>29</v>
      </c>
      <c r="P97" s="15">
        <f t="shared" si="36"/>
        <v>30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1</v>
      </c>
      <c r="E98" s="50">
        <v>0</v>
      </c>
      <c r="F98" s="50">
        <v>10</v>
      </c>
      <c r="G98" s="50">
        <v>0</v>
      </c>
      <c r="H98" s="50">
        <v>0</v>
      </c>
      <c r="I98" s="50">
        <v>0</v>
      </c>
      <c r="J98" s="50">
        <v>8</v>
      </c>
      <c r="K98" s="50">
        <v>3</v>
      </c>
      <c r="L98" s="50">
        <v>12</v>
      </c>
      <c r="M98" s="50">
        <v>3</v>
      </c>
      <c r="N98" s="50">
        <v>0</v>
      </c>
      <c r="O98" s="15">
        <f t="shared" si="35"/>
        <v>36</v>
      </c>
      <c r="P98" s="15">
        <f t="shared" si="36"/>
        <v>39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2</v>
      </c>
      <c r="E99" s="50">
        <v>0</v>
      </c>
      <c r="F99" s="50">
        <v>13</v>
      </c>
      <c r="G99" s="50">
        <v>0</v>
      </c>
      <c r="H99" s="50">
        <v>1</v>
      </c>
      <c r="I99" s="50">
        <v>1</v>
      </c>
      <c r="J99" s="50">
        <v>4</v>
      </c>
      <c r="K99" s="50">
        <v>2</v>
      </c>
      <c r="L99" s="50">
        <v>20</v>
      </c>
      <c r="M99" s="50">
        <v>6</v>
      </c>
      <c r="N99" s="50">
        <v>0</v>
      </c>
      <c r="O99" s="15">
        <f t="shared" si="35"/>
        <v>46</v>
      </c>
      <c r="P99" s="15">
        <f t="shared" si="36"/>
        <v>52</v>
      </c>
      <c r="R99" s="8"/>
      <c r="T99"/>
    </row>
    <row r="100" spans="2:20" ht="23.1" customHeight="1" x14ac:dyDescent="0.25">
      <c r="B100" s="47" t="s">
        <v>140</v>
      </c>
      <c r="C100" s="50">
        <v>6</v>
      </c>
      <c r="D100" s="50">
        <v>0</v>
      </c>
      <c r="E100" s="50">
        <v>0</v>
      </c>
      <c r="F100" s="50">
        <v>13</v>
      </c>
      <c r="G100" s="50">
        <v>0</v>
      </c>
      <c r="H100" s="50">
        <v>0</v>
      </c>
      <c r="I100" s="50">
        <v>2</v>
      </c>
      <c r="J100" s="50">
        <v>8</v>
      </c>
      <c r="K100" s="50">
        <v>0</v>
      </c>
      <c r="L100" s="50">
        <v>20</v>
      </c>
      <c r="M100" s="50">
        <v>8</v>
      </c>
      <c r="N100" s="50">
        <v>0</v>
      </c>
      <c r="O100" s="15">
        <f t="shared" si="35"/>
        <v>49</v>
      </c>
      <c r="P100" s="15">
        <f t="shared" si="36"/>
        <v>57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2</v>
      </c>
      <c r="E101" s="50">
        <v>1</v>
      </c>
      <c r="F101" s="50">
        <v>12</v>
      </c>
      <c r="G101" s="50">
        <v>0</v>
      </c>
      <c r="H101" s="50">
        <v>0</v>
      </c>
      <c r="I101" s="50">
        <v>2</v>
      </c>
      <c r="J101" s="50">
        <v>6</v>
      </c>
      <c r="K101" s="50">
        <v>1</v>
      </c>
      <c r="L101" s="50">
        <v>10</v>
      </c>
      <c r="M101" s="50">
        <v>4</v>
      </c>
      <c r="N101" s="50">
        <v>0</v>
      </c>
      <c r="O101" s="15">
        <f t="shared" si="35"/>
        <v>38</v>
      </c>
      <c r="P101" s="15">
        <f t="shared" si="36"/>
        <v>42</v>
      </c>
      <c r="R101" s="8"/>
      <c r="T101"/>
    </row>
    <row r="102" spans="2:20" ht="23.1" customHeight="1" x14ac:dyDescent="0.25">
      <c r="B102" s="46" t="s">
        <v>142</v>
      </c>
      <c r="C102" s="50">
        <v>8</v>
      </c>
      <c r="D102" s="50">
        <v>2</v>
      </c>
      <c r="E102" s="50">
        <v>3</v>
      </c>
      <c r="F102" s="50">
        <v>21</v>
      </c>
      <c r="G102" s="50">
        <v>0</v>
      </c>
      <c r="H102" s="50">
        <v>0</v>
      </c>
      <c r="I102" s="50">
        <v>2</v>
      </c>
      <c r="J102" s="50">
        <v>4</v>
      </c>
      <c r="K102" s="50">
        <v>2</v>
      </c>
      <c r="L102" s="50">
        <v>24</v>
      </c>
      <c r="M102" s="50">
        <v>9</v>
      </c>
      <c r="N102" s="50">
        <v>0</v>
      </c>
      <c r="O102" s="15">
        <f t="shared" si="35"/>
        <v>66</v>
      </c>
      <c r="P102" s="15">
        <f t="shared" si="36"/>
        <v>75</v>
      </c>
      <c r="R102" s="8"/>
      <c r="T102"/>
    </row>
    <row r="103" spans="2:20" ht="23.1" customHeight="1" x14ac:dyDescent="0.25">
      <c r="B103" s="45" t="s">
        <v>143</v>
      </c>
      <c r="C103" s="50">
        <v>8</v>
      </c>
      <c r="D103" s="50">
        <v>2</v>
      </c>
      <c r="E103" s="50">
        <v>2</v>
      </c>
      <c r="F103" s="50">
        <v>10</v>
      </c>
      <c r="G103" s="50">
        <v>1</v>
      </c>
      <c r="H103" s="50">
        <v>0</v>
      </c>
      <c r="I103" s="50">
        <v>3</v>
      </c>
      <c r="J103" s="50">
        <v>2</v>
      </c>
      <c r="K103" s="50">
        <v>2</v>
      </c>
      <c r="L103" s="50">
        <v>11</v>
      </c>
      <c r="M103" s="50">
        <v>19</v>
      </c>
      <c r="N103" s="50">
        <v>0</v>
      </c>
      <c r="O103" s="15">
        <f t="shared" si="35"/>
        <v>41</v>
      </c>
      <c r="P103" s="15">
        <f t="shared" si="36"/>
        <v>60</v>
      </c>
      <c r="R103" s="8"/>
      <c r="T103"/>
    </row>
    <row r="104" spans="2:20" ht="23.1" customHeight="1" x14ac:dyDescent="0.25">
      <c r="B104" s="47" t="s">
        <v>144</v>
      </c>
      <c r="C104" s="50">
        <v>10</v>
      </c>
      <c r="D104" s="50">
        <v>3</v>
      </c>
      <c r="E104" s="50">
        <v>7</v>
      </c>
      <c r="F104" s="50">
        <v>18</v>
      </c>
      <c r="G104" s="50">
        <v>2</v>
      </c>
      <c r="H104" s="50">
        <v>1</v>
      </c>
      <c r="I104" s="50">
        <v>5</v>
      </c>
      <c r="J104" s="50">
        <v>5</v>
      </c>
      <c r="K104" s="50">
        <v>3</v>
      </c>
      <c r="L104" s="50">
        <v>14</v>
      </c>
      <c r="M104" s="50">
        <v>20</v>
      </c>
      <c r="N104" s="50">
        <v>0</v>
      </c>
      <c r="O104" s="15">
        <f t="shared" si="35"/>
        <v>68</v>
      </c>
      <c r="P104" s="15">
        <f t="shared" si="36"/>
        <v>88</v>
      </c>
      <c r="R104" s="8"/>
      <c r="T104"/>
    </row>
    <row r="105" spans="2:20" ht="23.1" customHeight="1" x14ac:dyDescent="0.25">
      <c r="B105" s="45" t="s">
        <v>145</v>
      </c>
      <c r="C105" s="50">
        <v>14</v>
      </c>
      <c r="D105" s="50">
        <v>1</v>
      </c>
      <c r="E105" s="50">
        <v>5</v>
      </c>
      <c r="F105" s="50">
        <v>20</v>
      </c>
      <c r="G105" s="50">
        <v>1</v>
      </c>
      <c r="H105" s="50">
        <v>1</v>
      </c>
      <c r="I105" s="50">
        <v>7</v>
      </c>
      <c r="J105" s="50">
        <v>5</v>
      </c>
      <c r="K105" s="50">
        <v>1</v>
      </c>
      <c r="L105" s="50">
        <v>19</v>
      </c>
      <c r="M105" s="50">
        <v>25</v>
      </c>
      <c r="N105" s="50">
        <v>0</v>
      </c>
      <c r="O105" s="15">
        <f t="shared" si="35"/>
        <v>74</v>
      </c>
      <c r="P105" s="15">
        <f t="shared" si="36"/>
        <v>99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1768</v>
      </c>
      <c r="D106" s="16">
        <f t="shared" ref="D106:P106" si="37">SUM(D10:D105)</f>
        <v>691</v>
      </c>
      <c r="E106" s="16">
        <f t="shared" si="37"/>
        <v>551</v>
      </c>
      <c r="F106" s="16">
        <f t="shared" si="37"/>
        <v>1807</v>
      </c>
      <c r="G106" s="16">
        <f t="shared" si="37"/>
        <v>102</v>
      </c>
      <c r="H106" s="16">
        <f t="shared" si="37"/>
        <v>73</v>
      </c>
      <c r="I106" s="16">
        <f t="shared" si="37"/>
        <v>556</v>
      </c>
      <c r="J106" s="16">
        <f t="shared" si="37"/>
        <v>509</v>
      </c>
      <c r="K106" s="16">
        <f t="shared" si="37"/>
        <v>234</v>
      </c>
      <c r="L106" s="16">
        <f t="shared" si="37"/>
        <v>856</v>
      </c>
      <c r="M106" s="16">
        <f t="shared" si="37"/>
        <v>2703</v>
      </c>
      <c r="N106" s="16">
        <f t="shared" si="37"/>
        <v>0</v>
      </c>
      <c r="O106" s="16">
        <f t="shared" si="37"/>
        <v>7147</v>
      </c>
      <c r="P106" s="16">
        <f t="shared" si="37"/>
        <v>9850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0.17949238578680202</v>
      </c>
      <c r="D107" s="43">
        <f t="shared" si="38"/>
        <v>7.0152284263959391E-2</v>
      </c>
      <c r="E107" s="43">
        <f t="shared" si="38"/>
        <v>5.593908629441624E-2</v>
      </c>
      <c r="F107" s="43">
        <f t="shared" si="38"/>
        <v>0.18345177664974618</v>
      </c>
      <c r="G107" s="43">
        <f t="shared" si="38"/>
        <v>1.0355329949238578E-2</v>
      </c>
      <c r="H107" s="43">
        <f t="shared" si="38"/>
        <v>7.4111675126903552E-3</v>
      </c>
      <c r="I107" s="43">
        <f t="shared" si="38"/>
        <v>5.644670050761421E-2</v>
      </c>
      <c r="J107" s="43">
        <f t="shared" si="38"/>
        <v>5.1675126903553296E-2</v>
      </c>
      <c r="K107" s="43">
        <f t="shared" si="38"/>
        <v>2.3756345177664975E-2</v>
      </c>
      <c r="L107" s="43">
        <f t="shared" si="38"/>
        <v>8.6903553299492384E-2</v>
      </c>
      <c r="M107" s="43">
        <f t="shared" si="38"/>
        <v>0.27441624365482231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0.24737652161746188</v>
      </c>
      <c r="D108" s="44">
        <f t="shared" ref="D108:N108" si="39">D106/$O$106</f>
        <v>9.6683923324471802E-2</v>
      </c>
      <c r="E108" s="44">
        <f t="shared" si="39"/>
        <v>7.7095284734853789E-2</v>
      </c>
      <c r="F108" s="44">
        <f t="shared" si="39"/>
        <v>0.25283335665314116</v>
      </c>
      <c r="G108" s="44">
        <f t="shared" si="39"/>
        <v>1.4271722401007415E-2</v>
      </c>
      <c r="H108" s="44">
        <f t="shared" si="39"/>
        <v>1.0214075836015111E-2</v>
      </c>
      <c r="I108" s="44">
        <f t="shared" si="39"/>
        <v>7.7794878970197281E-2</v>
      </c>
      <c r="J108" s="44">
        <f t="shared" si="39"/>
        <v>7.1218693157968374E-2</v>
      </c>
      <c r="K108" s="44">
        <f t="shared" si="39"/>
        <v>3.2741010214075834E-2</v>
      </c>
      <c r="L108" s="44">
        <f t="shared" si="39"/>
        <v>0.11977053309080733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58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1" t="str">
        <f>'1.11 Mbalala-Mukono-24h'!G5:H5</f>
        <v>Perfect tents</v>
      </c>
      <c r="H5" s="62"/>
      <c r="I5" s="14"/>
      <c r="J5" s="2" t="s">
        <v>5</v>
      </c>
      <c r="K5" s="61" t="s">
        <v>180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Mukono-Mbalala'!D6:E6</f>
        <v>Mukono</v>
      </c>
      <c r="E6" s="62"/>
      <c r="F6" s="2" t="s">
        <v>2</v>
      </c>
      <c r="G6" s="61" t="str">
        <f>'29.10 Mukono-Mbalala'!G6:H6</f>
        <v>Mbalala</v>
      </c>
      <c r="H6" s="62"/>
      <c r="J6" s="2" t="s">
        <v>21</v>
      </c>
      <c r="K6" s="61" t="str">
        <f>'1.11 Mbalala-Mukono-24h'!K6:L6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24</v>
      </c>
      <c r="D10" s="50">
        <v>4</v>
      </c>
      <c r="E10" s="50">
        <v>3</v>
      </c>
      <c r="F10" s="50">
        <v>23</v>
      </c>
      <c r="G10" s="50">
        <v>1</v>
      </c>
      <c r="H10" s="50">
        <v>0</v>
      </c>
      <c r="I10" s="50">
        <v>3</v>
      </c>
      <c r="J10" s="50">
        <v>5</v>
      </c>
      <c r="K10" s="50">
        <v>2</v>
      </c>
      <c r="L10" s="50">
        <v>9</v>
      </c>
      <c r="M10" s="50">
        <v>29</v>
      </c>
      <c r="N10" s="50">
        <v>0</v>
      </c>
      <c r="O10" s="15">
        <f t="shared" ref="O10:O73" si="0">SUM(C10:L10,N10)</f>
        <v>74</v>
      </c>
      <c r="P10" s="15">
        <f t="shared" ref="P10:P73" si="1">SUM(C10:N10)</f>
        <v>103</v>
      </c>
      <c r="R10" s="1" t="s">
        <v>6</v>
      </c>
      <c r="S10" s="17">
        <f t="shared" ref="S10:AF10" si="2">SUM(C10:C13)</f>
        <v>140</v>
      </c>
      <c r="T10" s="17">
        <f t="shared" si="2"/>
        <v>12</v>
      </c>
      <c r="U10" s="17">
        <f t="shared" si="2"/>
        <v>16</v>
      </c>
      <c r="V10" s="17">
        <f t="shared" si="2"/>
        <v>71</v>
      </c>
      <c r="W10" s="17">
        <f t="shared" si="2"/>
        <v>3</v>
      </c>
      <c r="X10" s="17">
        <f t="shared" si="2"/>
        <v>2</v>
      </c>
      <c r="Y10" s="17">
        <f t="shared" si="2"/>
        <v>10</v>
      </c>
      <c r="Z10" s="17">
        <f t="shared" si="2"/>
        <v>19</v>
      </c>
      <c r="AA10" s="17">
        <f t="shared" si="2"/>
        <v>6</v>
      </c>
      <c r="AB10" s="17">
        <f t="shared" si="2"/>
        <v>28</v>
      </c>
      <c r="AC10" s="17">
        <f t="shared" si="2"/>
        <v>152</v>
      </c>
      <c r="AD10" s="17">
        <f t="shared" si="2"/>
        <v>0</v>
      </c>
      <c r="AE10" s="31">
        <f t="shared" si="2"/>
        <v>307</v>
      </c>
      <c r="AF10" s="31">
        <f t="shared" si="2"/>
        <v>459</v>
      </c>
    </row>
    <row r="11" spans="2:32" s="6" customFormat="1" ht="23.1" customHeight="1" x14ac:dyDescent="0.25">
      <c r="B11" s="45" t="s">
        <v>38</v>
      </c>
      <c r="C11" s="50">
        <v>30</v>
      </c>
      <c r="D11" s="50">
        <v>2</v>
      </c>
      <c r="E11" s="50">
        <v>4</v>
      </c>
      <c r="F11" s="50">
        <v>14</v>
      </c>
      <c r="G11" s="50">
        <v>0</v>
      </c>
      <c r="H11" s="50">
        <v>0</v>
      </c>
      <c r="I11" s="50">
        <v>2</v>
      </c>
      <c r="J11" s="50">
        <v>4</v>
      </c>
      <c r="K11" s="50">
        <v>2</v>
      </c>
      <c r="L11" s="50">
        <v>8</v>
      </c>
      <c r="M11" s="50">
        <v>39</v>
      </c>
      <c r="N11" s="50">
        <v>0</v>
      </c>
      <c r="O11" s="15">
        <f t="shared" si="0"/>
        <v>66</v>
      </c>
      <c r="P11" s="15">
        <f t="shared" si="1"/>
        <v>105</v>
      </c>
      <c r="R11" s="1" t="s">
        <v>7</v>
      </c>
      <c r="S11" s="17">
        <f t="shared" ref="S11:AF11" si="3">SUM(C14:C17)</f>
        <v>135</v>
      </c>
      <c r="T11" s="17">
        <f t="shared" si="3"/>
        <v>14</v>
      </c>
      <c r="U11" s="17">
        <f t="shared" si="3"/>
        <v>18</v>
      </c>
      <c r="V11" s="17">
        <f t="shared" si="3"/>
        <v>72</v>
      </c>
      <c r="W11" s="17">
        <f t="shared" si="3"/>
        <v>6</v>
      </c>
      <c r="X11" s="17">
        <f t="shared" si="3"/>
        <v>1</v>
      </c>
      <c r="Y11" s="17">
        <f t="shared" si="3"/>
        <v>7</v>
      </c>
      <c r="Z11" s="17">
        <f t="shared" si="3"/>
        <v>19</v>
      </c>
      <c r="AA11" s="17">
        <f t="shared" si="3"/>
        <v>16</v>
      </c>
      <c r="AB11" s="17">
        <f t="shared" si="3"/>
        <v>21</v>
      </c>
      <c r="AC11" s="17">
        <f t="shared" si="3"/>
        <v>176</v>
      </c>
      <c r="AD11" s="17">
        <f t="shared" si="3"/>
        <v>0</v>
      </c>
      <c r="AE11" s="31">
        <f t="shared" si="3"/>
        <v>309</v>
      </c>
      <c r="AF11" s="31">
        <f t="shared" si="3"/>
        <v>485</v>
      </c>
    </row>
    <row r="12" spans="2:32" ht="23.1" customHeight="1" x14ac:dyDescent="0.25">
      <c r="B12" s="45" t="s">
        <v>39</v>
      </c>
      <c r="C12" s="50">
        <v>36</v>
      </c>
      <c r="D12" s="50">
        <v>4</v>
      </c>
      <c r="E12" s="50">
        <v>7</v>
      </c>
      <c r="F12" s="50">
        <v>15</v>
      </c>
      <c r="G12" s="50">
        <v>0</v>
      </c>
      <c r="H12" s="50">
        <v>1</v>
      </c>
      <c r="I12" s="50">
        <v>3</v>
      </c>
      <c r="J12" s="50">
        <v>4</v>
      </c>
      <c r="K12" s="50">
        <v>2</v>
      </c>
      <c r="L12" s="50">
        <v>7</v>
      </c>
      <c r="M12" s="50">
        <v>34</v>
      </c>
      <c r="N12" s="50">
        <v>0</v>
      </c>
      <c r="O12" s="15">
        <f t="shared" si="0"/>
        <v>79</v>
      </c>
      <c r="P12" s="15">
        <f t="shared" si="1"/>
        <v>113</v>
      </c>
      <c r="R12" s="1" t="s">
        <v>8</v>
      </c>
      <c r="S12" s="17">
        <f t="shared" ref="S12:AF12" si="4">SUM(C18:C21)</f>
        <v>113</v>
      </c>
      <c r="T12" s="17">
        <f t="shared" si="4"/>
        <v>8</v>
      </c>
      <c r="U12" s="17">
        <f t="shared" si="4"/>
        <v>15</v>
      </c>
      <c r="V12" s="17">
        <f t="shared" si="4"/>
        <v>102</v>
      </c>
      <c r="W12" s="17">
        <f t="shared" si="4"/>
        <v>3</v>
      </c>
      <c r="X12" s="17">
        <f t="shared" si="4"/>
        <v>2</v>
      </c>
      <c r="Y12" s="17">
        <f t="shared" si="4"/>
        <v>19</v>
      </c>
      <c r="Z12" s="17">
        <f t="shared" si="4"/>
        <v>19</v>
      </c>
      <c r="AA12" s="17">
        <f t="shared" si="4"/>
        <v>13</v>
      </c>
      <c r="AB12" s="17">
        <f t="shared" si="4"/>
        <v>30</v>
      </c>
      <c r="AC12" s="17">
        <f t="shared" si="4"/>
        <v>177</v>
      </c>
      <c r="AD12" s="17">
        <f t="shared" si="4"/>
        <v>0</v>
      </c>
      <c r="AE12" s="31">
        <f t="shared" si="4"/>
        <v>324</v>
      </c>
      <c r="AF12" s="31">
        <f t="shared" si="4"/>
        <v>501</v>
      </c>
    </row>
    <row r="13" spans="2:32" ht="23.1" customHeight="1" x14ac:dyDescent="0.25">
      <c r="B13" s="45" t="s">
        <v>40</v>
      </c>
      <c r="C13" s="50">
        <v>50</v>
      </c>
      <c r="D13" s="50">
        <v>2</v>
      </c>
      <c r="E13" s="50">
        <v>2</v>
      </c>
      <c r="F13" s="50">
        <v>19</v>
      </c>
      <c r="G13" s="50">
        <v>2</v>
      </c>
      <c r="H13" s="50">
        <v>1</v>
      </c>
      <c r="I13" s="50">
        <v>2</v>
      </c>
      <c r="J13" s="50">
        <v>6</v>
      </c>
      <c r="K13" s="50">
        <v>0</v>
      </c>
      <c r="L13" s="50">
        <v>4</v>
      </c>
      <c r="M13" s="50">
        <v>50</v>
      </c>
      <c r="N13" s="50">
        <v>0</v>
      </c>
      <c r="O13" s="15">
        <f t="shared" si="0"/>
        <v>88</v>
      </c>
      <c r="P13" s="15">
        <f t="shared" si="1"/>
        <v>138</v>
      </c>
      <c r="R13" s="1" t="s">
        <v>9</v>
      </c>
      <c r="S13" s="17">
        <f t="shared" ref="S13:AF13" si="5">SUM(C22:C25)</f>
        <v>151</v>
      </c>
      <c r="T13" s="17">
        <f t="shared" si="5"/>
        <v>25</v>
      </c>
      <c r="U13" s="17">
        <f t="shared" si="5"/>
        <v>29</v>
      </c>
      <c r="V13" s="17">
        <f t="shared" si="5"/>
        <v>115</v>
      </c>
      <c r="W13" s="17">
        <f t="shared" si="5"/>
        <v>7</v>
      </c>
      <c r="X13" s="17">
        <f t="shared" si="5"/>
        <v>1</v>
      </c>
      <c r="Y13" s="17">
        <f t="shared" si="5"/>
        <v>19</v>
      </c>
      <c r="Z13" s="17">
        <f t="shared" si="5"/>
        <v>18</v>
      </c>
      <c r="AA13" s="17">
        <f t="shared" si="5"/>
        <v>13</v>
      </c>
      <c r="AB13" s="17">
        <f t="shared" si="5"/>
        <v>21</v>
      </c>
      <c r="AC13" s="17">
        <f t="shared" si="5"/>
        <v>182</v>
      </c>
      <c r="AD13" s="17">
        <f t="shared" si="5"/>
        <v>0</v>
      </c>
      <c r="AE13" s="31">
        <f t="shared" si="5"/>
        <v>399</v>
      </c>
      <c r="AF13" s="31">
        <f t="shared" si="5"/>
        <v>581</v>
      </c>
    </row>
    <row r="14" spans="2:32" ht="23.1" customHeight="1" x14ac:dyDescent="0.25">
      <c r="B14" s="45" t="s">
        <v>41</v>
      </c>
      <c r="C14" s="50">
        <v>37</v>
      </c>
      <c r="D14" s="50">
        <v>3</v>
      </c>
      <c r="E14" s="50">
        <v>8</v>
      </c>
      <c r="F14" s="50">
        <v>19</v>
      </c>
      <c r="G14" s="50">
        <v>3</v>
      </c>
      <c r="H14" s="50">
        <v>1</v>
      </c>
      <c r="I14" s="50">
        <v>2</v>
      </c>
      <c r="J14" s="50">
        <v>5</v>
      </c>
      <c r="K14" s="50">
        <v>3</v>
      </c>
      <c r="L14" s="50">
        <v>5</v>
      </c>
      <c r="M14" s="50">
        <v>44</v>
      </c>
      <c r="N14" s="50">
        <v>0</v>
      </c>
      <c r="O14" s="15">
        <f t="shared" si="0"/>
        <v>86</v>
      </c>
      <c r="P14" s="15">
        <f t="shared" si="1"/>
        <v>130</v>
      </c>
      <c r="R14" s="1" t="s">
        <v>10</v>
      </c>
      <c r="S14" s="17">
        <f t="shared" ref="S14:AF14" si="6">SUM(C26:C29)</f>
        <v>256</v>
      </c>
      <c r="T14" s="17">
        <f t="shared" si="6"/>
        <v>47</v>
      </c>
      <c r="U14" s="17">
        <f t="shared" si="6"/>
        <v>42</v>
      </c>
      <c r="V14" s="17">
        <f t="shared" si="6"/>
        <v>130</v>
      </c>
      <c r="W14" s="17">
        <f t="shared" si="6"/>
        <v>6</v>
      </c>
      <c r="X14" s="17">
        <f t="shared" si="6"/>
        <v>3</v>
      </c>
      <c r="Y14" s="17">
        <f t="shared" si="6"/>
        <v>29</v>
      </c>
      <c r="Z14" s="17">
        <f t="shared" si="6"/>
        <v>31</v>
      </c>
      <c r="AA14" s="17">
        <f t="shared" si="6"/>
        <v>8</v>
      </c>
      <c r="AB14" s="17">
        <f t="shared" si="6"/>
        <v>29</v>
      </c>
      <c r="AC14" s="17">
        <f t="shared" si="6"/>
        <v>200</v>
      </c>
      <c r="AD14" s="17">
        <f t="shared" si="6"/>
        <v>0</v>
      </c>
      <c r="AE14" s="31">
        <f t="shared" si="6"/>
        <v>581</v>
      </c>
      <c r="AF14" s="31">
        <f t="shared" si="6"/>
        <v>781</v>
      </c>
    </row>
    <row r="15" spans="2:32" ht="23.1" customHeight="1" x14ac:dyDescent="0.25">
      <c r="B15" s="45" t="s">
        <v>42</v>
      </c>
      <c r="C15" s="50">
        <v>24</v>
      </c>
      <c r="D15" s="50">
        <v>2</v>
      </c>
      <c r="E15" s="50">
        <v>1</v>
      </c>
      <c r="F15" s="50">
        <v>11</v>
      </c>
      <c r="G15" s="50">
        <v>1</v>
      </c>
      <c r="H15" s="50">
        <v>0</v>
      </c>
      <c r="I15" s="50">
        <v>0</v>
      </c>
      <c r="J15" s="50">
        <v>5</v>
      </c>
      <c r="K15" s="50">
        <v>1</v>
      </c>
      <c r="L15" s="50">
        <v>8</v>
      </c>
      <c r="M15" s="50">
        <v>44</v>
      </c>
      <c r="N15" s="50">
        <v>0</v>
      </c>
      <c r="O15" s="15">
        <f t="shared" si="0"/>
        <v>53</v>
      </c>
      <c r="P15" s="15">
        <f t="shared" si="1"/>
        <v>97</v>
      </c>
      <c r="R15" s="1" t="s">
        <v>11</v>
      </c>
      <c r="S15" s="17">
        <f t="shared" ref="S15:AF15" si="7">SUM(C30:C33)</f>
        <v>232</v>
      </c>
      <c r="T15" s="17">
        <f t="shared" si="7"/>
        <v>31</v>
      </c>
      <c r="U15" s="17">
        <f t="shared" si="7"/>
        <v>29</v>
      </c>
      <c r="V15" s="17">
        <f t="shared" si="7"/>
        <v>138</v>
      </c>
      <c r="W15" s="17">
        <f t="shared" si="7"/>
        <v>4</v>
      </c>
      <c r="X15" s="17">
        <f t="shared" si="7"/>
        <v>3</v>
      </c>
      <c r="Y15" s="17">
        <f t="shared" si="7"/>
        <v>26</v>
      </c>
      <c r="Z15" s="17">
        <f t="shared" si="7"/>
        <v>21</v>
      </c>
      <c r="AA15" s="17">
        <f t="shared" si="7"/>
        <v>22</v>
      </c>
      <c r="AB15" s="17">
        <f t="shared" si="7"/>
        <v>51</v>
      </c>
      <c r="AC15" s="17">
        <f t="shared" si="7"/>
        <v>242</v>
      </c>
      <c r="AD15" s="17">
        <f t="shared" si="7"/>
        <v>0</v>
      </c>
      <c r="AE15" s="31">
        <f t="shared" si="7"/>
        <v>557</v>
      </c>
      <c r="AF15" s="31">
        <f t="shared" si="7"/>
        <v>799</v>
      </c>
    </row>
    <row r="16" spans="2:32" ht="23.1" customHeight="1" x14ac:dyDescent="0.25">
      <c r="B16" s="45" t="s">
        <v>43</v>
      </c>
      <c r="C16" s="50">
        <v>35</v>
      </c>
      <c r="D16" s="50">
        <v>8</v>
      </c>
      <c r="E16" s="50">
        <v>4</v>
      </c>
      <c r="F16" s="50">
        <v>23</v>
      </c>
      <c r="G16" s="50">
        <v>2</v>
      </c>
      <c r="H16" s="50">
        <v>0</v>
      </c>
      <c r="I16" s="50">
        <v>3</v>
      </c>
      <c r="J16" s="50">
        <v>4</v>
      </c>
      <c r="K16" s="50">
        <v>5</v>
      </c>
      <c r="L16" s="50">
        <v>7</v>
      </c>
      <c r="M16" s="50">
        <v>45</v>
      </c>
      <c r="N16" s="50">
        <v>0</v>
      </c>
      <c r="O16" s="15">
        <f t="shared" si="0"/>
        <v>91</v>
      </c>
      <c r="P16" s="15">
        <f t="shared" si="1"/>
        <v>136</v>
      </c>
      <c r="R16" s="1" t="s">
        <v>12</v>
      </c>
      <c r="S16" s="17">
        <f t="shared" ref="S16:AF16" si="8">SUM(C34:C37)</f>
        <v>165</v>
      </c>
      <c r="T16" s="17">
        <f t="shared" si="8"/>
        <v>40</v>
      </c>
      <c r="U16" s="17">
        <f t="shared" si="8"/>
        <v>27</v>
      </c>
      <c r="V16" s="17">
        <f t="shared" si="8"/>
        <v>153</v>
      </c>
      <c r="W16" s="17">
        <f t="shared" si="8"/>
        <v>28</v>
      </c>
      <c r="X16" s="17">
        <f t="shared" si="8"/>
        <v>17</v>
      </c>
      <c r="Y16" s="17">
        <f t="shared" si="8"/>
        <v>59</v>
      </c>
      <c r="Z16" s="17">
        <f t="shared" si="8"/>
        <v>28</v>
      </c>
      <c r="AA16" s="17">
        <f t="shared" si="8"/>
        <v>25</v>
      </c>
      <c r="AB16" s="17">
        <f t="shared" si="8"/>
        <v>59</v>
      </c>
      <c r="AC16" s="17">
        <f t="shared" si="8"/>
        <v>297</v>
      </c>
      <c r="AD16" s="17">
        <f t="shared" si="8"/>
        <v>0</v>
      </c>
      <c r="AE16" s="31">
        <f t="shared" si="8"/>
        <v>601</v>
      </c>
      <c r="AF16" s="31">
        <f t="shared" si="8"/>
        <v>898</v>
      </c>
    </row>
    <row r="17" spans="2:32" ht="23.1" customHeight="1" x14ac:dyDescent="0.25">
      <c r="B17" s="45" t="s">
        <v>44</v>
      </c>
      <c r="C17" s="50">
        <v>39</v>
      </c>
      <c r="D17" s="50">
        <v>1</v>
      </c>
      <c r="E17" s="50">
        <v>5</v>
      </c>
      <c r="F17" s="50">
        <v>19</v>
      </c>
      <c r="G17" s="50">
        <v>0</v>
      </c>
      <c r="H17" s="50">
        <v>0</v>
      </c>
      <c r="I17" s="50">
        <v>2</v>
      </c>
      <c r="J17" s="50">
        <v>5</v>
      </c>
      <c r="K17" s="50">
        <v>7</v>
      </c>
      <c r="L17" s="50">
        <v>1</v>
      </c>
      <c r="M17" s="50">
        <v>43</v>
      </c>
      <c r="N17" s="50">
        <v>0</v>
      </c>
      <c r="O17" s="15">
        <f t="shared" si="0"/>
        <v>79</v>
      </c>
      <c r="P17" s="15">
        <f t="shared" si="1"/>
        <v>122</v>
      </c>
      <c r="R17" s="1" t="s">
        <v>13</v>
      </c>
      <c r="S17" s="17">
        <f t="shared" ref="S17:AF17" si="9">SUM(C38:C41)</f>
        <v>157</v>
      </c>
      <c r="T17" s="17">
        <f t="shared" si="9"/>
        <v>14</v>
      </c>
      <c r="U17" s="17">
        <f t="shared" si="9"/>
        <v>20</v>
      </c>
      <c r="V17" s="17">
        <f t="shared" si="9"/>
        <v>137</v>
      </c>
      <c r="W17" s="17">
        <f t="shared" si="9"/>
        <v>2</v>
      </c>
      <c r="X17" s="17">
        <f t="shared" si="9"/>
        <v>1</v>
      </c>
      <c r="Y17" s="17">
        <f t="shared" si="9"/>
        <v>23</v>
      </c>
      <c r="Z17" s="17">
        <f t="shared" si="9"/>
        <v>27</v>
      </c>
      <c r="AA17" s="17">
        <f t="shared" si="9"/>
        <v>18</v>
      </c>
      <c r="AB17" s="17">
        <f t="shared" si="9"/>
        <v>60</v>
      </c>
      <c r="AC17" s="17">
        <f t="shared" si="9"/>
        <v>180</v>
      </c>
      <c r="AD17" s="17">
        <f t="shared" si="9"/>
        <v>0</v>
      </c>
      <c r="AE17" s="31">
        <f t="shared" si="9"/>
        <v>459</v>
      </c>
      <c r="AF17" s="31">
        <f t="shared" si="9"/>
        <v>639</v>
      </c>
    </row>
    <row r="18" spans="2:32" ht="23.1" customHeight="1" x14ac:dyDescent="0.25">
      <c r="B18" s="45" t="s">
        <v>45</v>
      </c>
      <c r="C18" s="50">
        <v>21</v>
      </c>
      <c r="D18" s="50">
        <v>1</v>
      </c>
      <c r="E18" s="50">
        <v>2</v>
      </c>
      <c r="F18" s="50">
        <v>38</v>
      </c>
      <c r="G18" s="50">
        <v>1</v>
      </c>
      <c r="H18" s="50">
        <v>0</v>
      </c>
      <c r="I18" s="50">
        <v>4</v>
      </c>
      <c r="J18" s="50">
        <v>7</v>
      </c>
      <c r="K18" s="50">
        <v>6</v>
      </c>
      <c r="L18" s="50">
        <v>10</v>
      </c>
      <c r="M18" s="50">
        <v>53</v>
      </c>
      <c r="N18" s="50">
        <v>0</v>
      </c>
      <c r="O18" s="15">
        <f t="shared" si="0"/>
        <v>90</v>
      </c>
      <c r="P18" s="15">
        <f t="shared" si="1"/>
        <v>143</v>
      </c>
      <c r="R18" s="1" t="s">
        <v>14</v>
      </c>
      <c r="S18" s="17">
        <f t="shared" ref="S18:AF18" si="10">SUM(C42:C45)</f>
        <v>187</v>
      </c>
      <c r="T18" s="17">
        <f t="shared" si="10"/>
        <v>15</v>
      </c>
      <c r="U18" s="17">
        <f t="shared" si="10"/>
        <v>19</v>
      </c>
      <c r="V18" s="17">
        <f t="shared" si="10"/>
        <v>91</v>
      </c>
      <c r="W18" s="17">
        <f t="shared" si="10"/>
        <v>1</v>
      </c>
      <c r="X18" s="17">
        <f t="shared" si="10"/>
        <v>4</v>
      </c>
      <c r="Y18" s="17">
        <f t="shared" si="10"/>
        <v>17</v>
      </c>
      <c r="Z18" s="17">
        <f t="shared" si="10"/>
        <v>23</v>
      </c>
      <c r="AA18" s="17">
        <f t="shared" si="10"/>
        <v>12</v>
      </c>
      <c r="AB18" s="17">
        <f t="shared" si="10"/>
        <v>35</v>
      </c>
      <c r="AC18" s="17">
        <f t="shared" si="10"/>
        <v>196</v>
      </c>
      <c r="AD18" s="17">
        <f t="shared" si="10"/>
        <v>0</v>
      </c>
      <c r="AE18" s="31">
        <f t="shared" si="10"/>
        <v>404</v>
      </c>
      <c r="AF18" s="31">
        <f t="shared" si="10"/>
        <v>600</v>
      </c>
    </row>
    <row r="19" spans="2:32" ht="23.1" customHeight="1" x14ac:dyDescent="0.25">
      <c r="B19" s="45" t="s">
        <v>46</v>
      </c>
      <c r="C19" s="50">
        <v>32</v>
      </c>
      <c r="D19" s="50">
        <v>4</v>
      </c>
      <c r="E19" s="50">
        <v>5</v>
      </c>
      <c r="F19" s="50">
        <v>23</v>
      </c>
      <c r="G19" s="50">
        <v>0</v>
      </c>
      <c r="H19" s="50">
        <v>0</v>
      </c>
      <c r="I19" s="50">
        <v>7</v>
      </c>
      <c r="J19" s="50">
        <v>3</v>
      </c>
      <c r="K19" s="50">
        <v>4</v>
      </c>
      <c r="L19" s="50">
        <v>9</v>
      </c>
      <c r="M19" s="50">
        <v>42</v>
      </c>
      <c r="N19" s="50">
        <v>0</v>
      </c>
      <c r="O19" s="15">
        <f t="shared" si="0"/>
        <v>87</v>
      </c>
      <c r="P19" s="15">
        <f t="shared" si="1"/>
        <v>129</v>
      </c>
      <c r="R19" s="1" t="s">
        <v>15</v>
      </c>
      <c r="S19" s="17">
        <f t="shared" ref="S19:AF19" si="11">SUM(C46:C49)</f>
        <v>118</v>
      </c>
      <c r="T19" s="17">
        <f t="shared" si="11"/>
        <v>20</v>
      </c>
      <c r="U19" s="17">
        <f t="shared" si="11"/>
        <v>19</v>
      </c>
      <c r="V19" s="17">
        <f t="shared" si="11"/>
        <v>85</v>
      </c>
      <c r="W19" s="17">
        <f t="shared" si="11"/>
        <v>7</v>
      </c>
      <c r="X19" s="17">
        <f t="shared" si="11"/>
        <v>9</v>
      </c>
      <c r="Y19" s="17">
        <f t="shared" si="11"/>
        <v>22</v>
      </c>
      <c r="Z19" s="17">
        <f t="shared" si="11"/>
        <v>22</v>
      </c>
      <c r="AA19" s="17">
        <f t="shared" si="11"/>
        <v>12</v>
      </c>
      <c r="AB19" s="17">
        <f t="shared" si="11"/>
        <v>40</v>
      </c>
      <c r="AC19" s="17">
        <f t="shared" si="11"/>
        <v>145</v>
      </c>
      <c r="AD19" s="17">
        <f t="shared" si="11"/>
        <v>0</v>
      </c>
      <c r="AE19" s="31">
        <f t="shared" si="11"/>
        <v>354</v>
      </c>
      <c r="AF19" s="31">
        <f t="shared" si="11"/>
        <v>499</v>
      </c>
    </row>
    <row r="20" spans="2:32" ht="23.1" customHeight="1" x14ac:dyDescent="0.25">
      <c r="B20" s="45" t="s">
        <v>47</v>
      </c>
      <c r="C20" s="50">
        <v>28</v>
      </c>
      <c r="D20" s="50">
        <v>1</v>
      </c>
      <c r="E20" s="50">
        <v>2</v>
      </c>
      <c r="F20" s="50">
        <v>10</v>
      </c>
      <c r="G20" s="50">
        <v>1</v>
      </c>
      <c r="H20" s="50">
        <v>1</v>
      </c>
      <c r="I20" s="50">
        <v>4</v>
      </c>
      <c r="J20" s="50">
        <v>4</v>
      </c>
      <c r="K20" s="50">
        <v>2</v>
      </c>
      <c r="L20" s="50">
        <v>8</v>
      </c>
      <c r="M20" s="50">
        <v>37</v>
      </c>
      <c r="N20" s="50">
        <v>0</v>
      </c>
      <c r="O20" s="15">
        <f t="shared" si="0"/>
        <v>61</v>
      </c>
      <c r="P20" s="15">
        <f t="shared" si="1"/>
        <v>98</v>
      </c>
      <c r="R20" s="1" t="s">
        <v>16</v>
      </c>
      <c r="S20" s="17">
        <f t="shared" ref="S20:AF20" si="12">SUM(C50:C53)</f>
        <v>107</v>
      </c>
      <c r="T20" s="17">
        <f t="shared" si="12"/>
        <v>30</v>
      </c>
      <c r="U20" s="17">
        <f t="shared" si="12"/>
        <v>16</v>
      </c>
      <c r="V20" s="17">
        <f t="shared" si="12"/>
        <v>104</v>
      </c>
      <c r="W20" s="17">
        <f t="shared" si="12"/>
        <v>3</v>
      </c>
      <c r="X20" s="17">
        <f t="shared" si="12"/>
        <v>7</v>
      </c>
      <c r="Y20" s="17">
        <f t="shared" si="12"/>
        <v>14</v>
      </c>
      <c r="Z20" s="17">
        <f t="shared" si="12"/>
        <v>15</v>
      </c>
      <c r="AA20" s="17">
        <f t="shared" si="12"/>
        <v>13</v>
      </c>
      <c r="AB20" s="17">
        <f t="shared" si="12"/>
        <v>43</v>
      </c>
      <c r="AC20" s="17">
        <f t="shared" si="12"/>
        <v>176</v>
      </c>
      <c r="AD20" s="17">
        <f t="shared" si="12"/>
        <v>0</v>
      </c>
      <c r="AE20" s="31">
        <f t="shared" si="12"/>
        <v>352</v>
      </c>
      <c r="AF20" s="31">
        <f t="shared" si="12"/>
        <v>528</v>
      </c>
    </row>
    <row r="21" spans="2:32" ht="23.1" customHeight="1" x14ac:dyDescent="0.25">
      <c r="B21" s="45" t="s">
        <v>48</v>
      </c>
      <c r="C21" s="50">
        <v>32</v>
      </c>
      <c r="D21" s="50">
        <v>2</v>
      </c>
      <c r="E21" s="50">
        <v>6</v>
      </c>
      <c r="F21" s="50">
        <v>31</v>
      </c>
      <c r="G21" s="50">
        <v>1</v>
      </c>
      <c r="H21" s="50">
        <v>1</v>
      </c>
      <c r="I21" s="50">
        <v>4</v>
      </c>
      <c r="J21" s="50">
        <v>5</v>
      </c>
      <c r="K21" s="50">
        <v>1</v>
      </c>
      <c r="L21" s="50">
        <v>3</v>
      </c>
      <c r="M21" s="50">
        <v>45</v>
      </c>
      <c r="N21" s="50">
        <v>0</v>
      </c>
      <c r="O21" s="15">
        <f t="shared" si="0"/>
        <v>86</v>
      </c>
      <c r="P21" s="15">
        <f t="shared" si="1"/>
        <v>131</v>
      </c>
      <c r="R21" s="36" t="s">
        <v>20</v>
      </c>
      <c r="S21" s="34">
        <f t="shared" ref="S21:AF21" si="13">SUM(C54:C57)</f>
        <v>117</v>
      </c>
      <c r="T21" s="17">
        <f t="shared" si="13"/>
        <v>45</v>
      </c>
      <c r="U21" s="17">
        <f t="shared" si="13"/>
        <v>23</v>
      </c>
      <c r="V21" s="17">
        <f t="shared" si="13"/>
        <v>131</v>
      </c>
      <c r="W21" s="17">
        <f t="shared" si="13"/>
        <v>10</v>
      </c>
      <c r="X21" s="17">
        <f t="shared" si="13"/>
        <v>8</v>
      </c>
      <c r="Y21" s="17">
        <f t="shared" si="13"/>
        <v>18</v>
      </c>
      <c r="Z21" s="17">
        <f t="shared" si="13"/>
        <v>37</v>
      </c>
      <c r="AA21" s="17">
        <f t="shared" si="13"/>
        <v>22</v>
      </c>
      <c r="AB21" s="17">
        <f t="shared" si="13"/>
        <v>82</v>
      </c>
      <c r="AC21" s="17">
        <f t="shared" si="13"/>
        <v>173</v>
      </c>
      <c r="AD21" s="17">
        <f t="shared" si="13"/>
        <v>0</v>
      </c>
      <c r="AE21" s="31">
        <f t="shared" si="13"/>
        <v>493</v>
      </c>
      <c r="AF21" s="31">
        <f t="shared" si="13"/>
        <v>666</v>
      </c>
    </row>
    <row r="22" spans="2:32" ht="23.1" customHeight="1" x14ac:dyDescent="0.25">
      <c r="B22" s="45" t="s">
        <v>49</v>
      </c>
      <c r="C22" s="50">
        <v>39</v>
      </c>
      <c r="D22" s="50">
        <v>7</v>
      </c>
      <c r="E22" s="50">
        <v>8</v>
      </c>
      <c r="F22" s="50">
        <v>37</v>
      </c>
      <c r="G22" s="50">
        <v>2</v>
      </c>
      <c r="H22" s="50">
        <v>0</v>
      </c>
      <c r="I22" s="50">
        <v>7</v>
      </c>
      <c r="J22" s="50">
        <v>6</v>
      </c>
      <c r="K22" s="50">
        <v>4</v>
      </c>
      <c r="L22" s="50">
        <v>2</v>
      </c>
      <c r="M22" s="50">
        <v>36</v>
      </c>
      <c r="N22" s="50">
        <v>0</v>
      </c>
      <c r="O22" s="15">
        <f t="shared" si="0"/>
        <v>112</v>
      </c>
      <c r="P22" s="15">
        <f t="shared" si="1"/>
        <v>148</v>
      </c>
      <c r="R22" s="36" t="s">
        <v>146</v>
      </c>
      <c r="S22" s="34">
        <f>SUM(C58:C61)</f>
        <v>231</v>
      </c>
      <c r="T22" s="34">
        <f t="shared" ref="T22:AF22" si="14">SUM(D58:D61)</f>
        <v>42</v>
      </c>
      <c r="U22" s="34">
        <f t="shared" si="14"/>
        <v>26</v>
      </c>
      <c r="V22" s="34">
        <f t="shared" si="14"/>
        <v>195</v>
      </c>
      <c r="W22" s="34">
        <f t="shared" si="14"/>
        <v>21</v>
      </c>
      <c r="X22" s="34">
        <f t="shared" si="14"/>
        <v>35</v>
      </c>
      <c r="Y22" s="34">
        <f t="shared" si="14"/>
        <v>38</v>
      </c>
      <c r="Z22" s="34">
        <f t="shared" si="14"/>
        <v>33</v>
      </c>
      <c r="AA22" s="34">
        <f t="shared" si="14"/>
        <v>18</v>
      </c>
      <c r="AB22" s="34">
        <f t="shared" si="14"/>
        <v>74</v>
      </c>
      <c r="AC22" s="34">
        <f t="shared" si="14"/>
        <v>246</v>
      </c>
      <c r="AD22" s="34">
        <f t="shared" si="14"/>
        <v>0</v>
      </c>
      <c r="AE22" s="31">
        <f t="shared" si="14"/>
        <v>713</v>
      </c>
      <c r="AF22" s="31">
        <f t="shared" si="14"/>
        <v>959</v>
      </c>
    </row>
    <row r="23" spans="2:32" ht="23.1" customHeight="1" x14ac:dyDescent="0.25">
      <c r="B23" s="45" t="s">
        <v>50</v>
      </c>
      <c r="C23" s="50">
        <v>40</v>
      </c>
      <c r="D23" s="50">
        <v>5</v>
      </c>
      <c r="E23" s="50">
        <v>6</v>
      </c>
      <c r="F23" s="50">
        <v>36</v>
      </c>
      <c r="G23" s="50">
        <v>2</v>
      </c>
      <c r="H23" s="50">
        <v>1</v>
      </c>
      <c r="I23" s="50">
        <v>4</v>
      </c>
      <c r="J23" s="50">
        <v>3</v>
      </c>
      <c r="K23" s="50">
        <v>2</v>
      </c>
      <c r="L23" s="50">
        <v>6</v>
      </c>
      <c r="M23" s="50">
        <v>49</v>
      </c>
      <c r="N23" s="50">
        <v>0</v>
      </c>
      <c r="O23" s="15">
        <f t="shared" si="0"/>
        <v>105</v>
      </c>
      <c r="P23" s="15">
        <f t="shared" si="1"/>
        <v>154</v>
      </c>
      <c r="R23" s="36" t="s">
        <v>147</v>
      </c>
      <c r="S23" s="34">
        <f>SUM(C62:C65)</f>
        <v>271</v>
      </c>
      <c r="T23" s="34">
        <f t="shared" ref="T23:AF23" si="15">SUM(D62:D65)</f>
        <v>98</v>
      </c>
      <c r="U23" s="34">
        <f t="shared" si="15"/>
        <v>78</v>
      </c>
      <c r="V23" s="34">
        <f t="shared" si="15"/>
        <v>336</v>
      </c>
      <c r="W23" s="34">
        <f t="shared" si="15"/>
        <v>17</v>
      </c>
      <c r="X23" s="34">
        <f t="shared" si="15"/>
        <v>4</v>
      </c>
      <c r="Y23" s="34">
        <f t="shared" si="15"/>
        <v>29</v>
      </c>
      <c r="Z23" s="34">
        <f t="shared" si="15"/>
        <v>41</v>
      </c>
      <c r="AA23" s="34">
        <f t="shared" si="15"/>
        <v>29</v>
      </c>
      <c r="AB23" s="34">
        <f t="shared" si="15"/>
        <v>89</v>
      </c>
      <c r="AC23" s="34">
        <f t="shared" si="15"/>
        <v>358</v>
      </c>
      <c r="AD23" s="34">
        <f t="shared" si="15"/>
        <v>0</v>
      </c>
      <c r="AE23" s="31">
        <f t="shared" si="15"/>
        <v>992</v>
      </c>
      <c r="AF23" s="31">
        <f t="shared" si="15"/>
        <v>1350</v>
      </c>
    </row>
    <row r="24" spans="2:32" ht="23.1" customHeight="1" x14ac:dyDescent="0.25">
      <c r="B24" s="45" t="s">
        <v>51</v>
      </c>
      <c r="C24" s="50">
        <v>38</v>
      </c>
      <c r="D24" s="50">
        <v>5</v>
      </c>
      <c r="E24" s="50">
        <v>8</v>
      </c>
      <c r="F24" s="50">
        <v>35</v>
      </c>
      <c r="G24" s="50">
        <v>1</v>
      </c>
      <c r="H24" s="50">
        <v>0</v>
      </c>
      <c r="I24" s="50">
        <v>8</v>
      </c>
      <c r="J24" s="50">
        <v>3</v>
      </c>
      <c r="K24" s="50">
        <v>3</v>
      </c>
      <c r="L24" s="50">
        <v>4</v>
      </c>
      <c r="M24" s="50">
        <v>48</v>
      </c>
      <c r="N24" s="50">
        <v>0</v>
      </c>
      <c r="O24" s="15">
        <f t="shared" si="0"/>
        <v>105</v>
      </c>
      <c r="P24" s="15">
        <f t="shared" si="1"/>
        <v>153</v>
      </c>
      <c r="R24" s="36" t="s">
        <v>148</v>
      </c>
      <c r="S24" s="34">
        <f>SUM(C66:C69)</f>
        <v>174</v>
      </c>
      <c r="T24" s="34">
        <f t="shared" ref="T24:AF24" si="16">SUM(D66:D69)</f>
        <v>45</v>
      </c>
      <c r="U24" s="34">
        <f t="shared" si="16"/>
        <v>30</v>
      </c>
      <c r="V24" s="34">
        <f t="shared" si="16"/>
        <v>337</v>
      </c>
      <c r="W24" s="34">
        <f t="shared" si="16"/>
        <v>22</v>
      </c>
      <c r="X24" s="34">
        <f t="shared" si="16"/>
        <v>71</v>
      </c>
      <c r="Y24" s="34">
        <f t="shared" si="16"/>
        <v>47</v>
      </c>
      <c r="Z24" s="34">
        <f t="shared" si="16"/>
        <v>31</v>
      </c>
      <c r="AA24" s="34">
        <f t="shared" si="16"/>
        <v>22</v>
      </c>
      <c r="AB24" s="34">
        <f t="shared" si="16"/>
        <v>81</v>
      </c>
      <c r="AC24" s="34">
        <f t="shared" si="16"/>
        <v>290</v>
      </c>
      <c r="AD24" s="34">
        <f t="shared" si="16"/>
        <v>0</v>
      </c>
      <c r="AE24" s="31">
        <f t="shared" si="16"/>
        <v>860</v>
      </c>
      <c r="AF24" s="31">
        <f t="shared" si="16"/>
        <v>1150</v>
      </c>
    </row>
    <row r="25" spans="2:32" ht="23.1" customHeight="1" x14ac:dyDescent="0.25">
      <c r="B25" s="45" t="s">
        <v>52</v>
      </c>
      <c r="C25" s="50">
        <v>34</v>
      </c>
      <c r="D25" s="50">
        <v>8</v>
      </c>
      <c r="E25" s="50">
        <v>7</v>
      </c>
      <c r="F25" s="50">
        <v>7</v>
      </c>
      <c r="G25" s="50">
        <v>2</v>
      </c>
      <c r="H25" s="50">
        <v>0</v>
      </c>
      <c r="I25" s="50">
        <v>0</v>
      </c>
      <c r="J25" s="50">
        <v>6</v>
      </c>
      <c r="K25" s="50">
        <v>4</v>
      </c>
      <c r="L25" s="50">
        <v>9</v>
      </c>
      <c r="M25" s="50">
        <v>49</v>
      </c>
      <c r="N25" s="50">
        <v>0</v>
      </c>
      <c r="O25" s="15">
        <f t="shared" si="0"/>
        <v>77</v>
      </c>
      <c r="P25" s="15">
        <f t="shared" si="1"/>
        <v>126</v>
      </c>
      <c r="R25" s="36" t="s">
        <v>149</v>
      </c>
      <c r="S25" s="34">
        <f>SUM(C70:C73)</f>
        <v>64</v>
      </c>
      <c r="T25" s="34">
        <f t="shared" ref="T25:AF25" si="17">SUM(D70:D73)</f>
        <v>17</v>
      </c>
      <c r="U25" s="34">
        <f t="shared" si="17"/>
        <v>7</v>
      </c>
      <c r="V25" s="34">
        <f t="shared" si="17"/>
        <v>65</v>
      </c>
      <c r="W25" s="34">
        <f t="shared" si="17"/>
        <v>15</v>
      </c>
      <c r="X25" s="34">
        <f t="shared" si="17"/>
        <v>5</v>
      </c>
      <c r="Y25" s="34">
        <f t="shared" si="17"/>
        <v>16</v>
      </c>
      <c r="Z25" s="34">
        <f t="shared" si="17"/>
        <v>15</v>
      </c>
      <c r="AA25" s="34">
        <f t="shared" si="17"/>
        <v>13</v>
      </c>
      <c r="AB25" s="34">
        <f t="shared" si="17"/>
        <v>35</v>
      </c>
      <c r="AC25" s="34">
        <f t="shared" si="17"/>
        <v>89</v>
      </c>
      <c r="AD25" s="34">
        <f t="shared" si="17"/>
        <v>0</v>
      </c>
      <c r="AE25" s="31">
        <f t="shared" si="17"/>
        <v>252</v>
      </c>
      <c r="AF25" s="31">
        <f t="shared" si="17"/>
        <v>341</v>
      </c>
    </row>
    <row r="26" spans="2:32" ht="23.1" customHeight="1" x14ac:dyDescent="0.25">
      <c r="B26" s="45" t="s">
        <v>53</v>
      </c>
      <c r="C26" s="50">
        <v>48</v>
      </c>
      <c r="D26" s="50">
        <v>4</v>
      </c>
      <c r="E26" s="50">
        <v>9</v>
      </c>
      <c r="F26" s="50">
        <v>38</v>
      </c>
      <c r="G26" s="50">
        <v>0</v>
      </c>
      <c r="H26" s="50">
        <v>1</v>
      </c>
      <c r="I26" s="50">
        <v>6</v>
      </c>
      <c r="J26" s="50">
        <v>9</v>
      </c>
      <c r="K26" s="50">
        <v>2</v>
      </c>
      <c r="L26" s="50">
        <v>9</v>
      </c>
      <c r="M26" s="50">
        <v>48</v>
      </c>
      <c r="N26" s="50">
        <v>0</v>
      </c>
      <c r="O26" s="15">
        <f t="shared" si="0"/>
        <v>126</v>
      </c>
      <c r="P26" s="15">
        <f t="shared" si="1"/>
        <v>174</v>
      </c>
      <c r="R26" s="36" t="s">
        <v>150</v>
      </c>
      <c r="S26" s="34">
        <f>SUM(C74:C77)</f>
        <v>59</v>
      </c>
      <c r="T26" s="34">
        <f t="shared" ref="T26:AF26" si="18">SUM(D74:D77)</f>
        <v>23</v>
      </c>
      <c r="U26" s="34">
        <f t="shared" si="18"/>
        <v>6</v>
      </c>
      <c r="V26" s="34">
        <f t="shared" si="18"/>
        <v>48</v>
      </c>
      <c r="W26" s="34">
        <f t="shared" si="18"/>
        <v>9</v>
      </c>
      <c r="X26" s="34">
        <f t="shared" si="18"/>
        <v>3</v>
      </c>
      <c r="Y26" s="34">
        <f t="shared" si="18"/>
        <v>6</v>
      </c>
      <c r="Z26" s="34">
        <f t="shared" si="18"/>
        <v>10</v>
      </c>
      <c r="AA26" s="34">
        <f t="shared" si="18"/>
        <v>27</v>
      </c>
      <c r="AB26" s="34">
        <f t="shared" si="18"/>
        <v>74</v>
      </c>
      <c r="AC26" s="34">
        <f t="shared" si="18"/>
        <v>75</v>
      </c>
      <c r="AD26" s="34">
        <f t="shared" si="18"/>
        <v>0</v>
      </c>
      <c r="AE26" s="31">
        <f t="shared" si="18"/>
        <v>265</v>
      </c>
      <c r="AF26" s="31">
        <f t="shared" si="18"/>
        <v>340</v>
      </c>
    </row>
    <row r="27" spans="2:32" ht="23.1" customHeight="1" x14ac:dyDescent="0.25">
      <c r="B27" s="45" t="s">
        <v>54</v>
      </c>
      <c r="C27" s="50">
        <v>56</v>
      </c>
      <c r="D27" s="50">
        <v>19</v>
      </c>
      <c r="E27" s="50">
        <v>7</v>
      </c>
      <c r="F27" s="50">
        <v>33</v>
      </c>
      <c r="G27" s="50">
        <v>2</v>
      </c>
      <c r="H27" s="50">
        <v>2</v>
      </c>
      <c r="I27" s="50">
        <v>7</v>
      </c>
      <c r="J27" s="50">
        <v>3</v>
      </c>
      <c r="K27" s="50">
        <v>2</v>
      </c>
      <c r="L27" s="50">
        <v>6</v>
      </c>
      <c r="M27" s="50">
        <v>36</v>
      </c>
      <c r="N27" s="50">
        <v>0</v>
      </c>
      <c r="O27" s="15">
        <f t="shared" si="0"/>
        <v>137</v>
      </c>
      <c r="P27" s="15">
        <f t="shared" si="1"/>
        <v>173</v>
      </c>
      <c r="R27" s="36" t="s">
        <v>151</v>
      </c>
      <c r="S27" s="34">
        <f>SUM(C78:C81)</f>
        <v>34</v>
      </c>
      <c r="T27" s="34">
        <f t="shared" ref="T27:AF27" si="19">SUM(D78:D81)</f>
        <v>13</v>
      </c>
      <c r="U27" s="34">
        <f t="shared" si="19"/>
        <v>13</v>
      </c>
      <c r="V27" s="34">
        <f t="shared" si="19"/>
        <v>15</v>
      </c>
      <c r="W27" s="34">
        <f t="shared" si="19"/>
        <v>7</v>
      </c>
      <c r="X27" s="34">
        <f t="shared" si="19"/>
        <v>4</v>
      </c>
      <c r="Y27" s="34">
        <f t="shared" si="19"/>
        <v>15</v>
      </c>
      <c r="Z27" s="34">
        <f t="shared" si="19"/>
        <v>14</v>
      </c>
      <c r="AA27" s="34">
        <f t="shared" si="19"/>
        <v>23</v>
      </c>
      <c r="AB27" s="34">
        <f t="shared" si="19"/>
        <v>35</v>
      </c>
      <c r="AC27" s="34">
        <f t="shared" si="19"/>
        <v>24</v>
      </c>
      <c r="AD27" s="34">
        <f t="shared" si="19"/>
        <v>0</v>
      </c>
      <c r="AE27" s="31">
        <f t="shared" si="19"/>
        <v>173</v>
      </c>
      <c r="AF27" s="31">
        <f t="shared" si="19"/>
        <v>197</v>
      </c>
    </row>
    <row r="28" spans="2:32" ht="23.1" customHeight="1" x14ac:dyDescent="0.25">
      <c r="B28" s="45" t="s">
        <v>55</v>
      </c>
      <c r="C28" s="50">
        <v>71</v>
      </c>
      <c r="D28" s="50">
        <v>11</v>
      </c>
      <c r="E28" s="50">
        <v>11</v>
      </c>
      <c r="F28" s="50">
        <v>41</v>
      </c>
      <c r="G28" s="50">
        <v>2</v>
      </c>
      <c r="H28" s="50">
        <v>0</v>
      </c>
      <c r="I28" s="50">
        <v>9</v>
      </c>
      <c r="J28" s="50">
        <v>10</v>
      </c>
      <c r="K28" s="50">
        <v>1</v>
      </c>
      <c r="L28" s="50">
        <v>8</v>
      </c>
      <c r="M28" s="50">
        <v>40</v>
      </c>
      <c r="N28" s="50">
        <v>0</v>
      </c>
      <c r="O28" s="15">
        <f t="shared" si="0"/>
        <v>164</v>
      </c>
      <c r="P28" s="15">
        <f t="shared" si="1"/>
        <v>204</v>
      </c>
      <c r="R28" s="36" t="s">
        <v>152</v>
      </c>
      <c r="S28" s="34">
        <f>SUM(C82:C85)</f>
        <v>23</v>
      </c>
      <c r="T28" s="34">
        <f t="shared" ref="T28:AF28" si="20">SUM(D82:D85)</f>
        <v>8</v>
      </c>
      <c r="U28" s="34">
        <f t="shared" si="20"/>
        <v>8</v>
      </c>
      <c r="V28" s="34">
        <f t="shared" si="20"/>
        <v>21</v>
      </c>
      <c r="W28" s="34">
        <f t="shared" si="20"/>
        <v>3</v>
      </c>
      <c r="X28" s="34">
        <f t="shared" si="20"/>
        <v>8</v>
      </c>
      <c r="Y28" s="34">
        <f t="shared" si="20"/>
        <v>5</v>
      </c>
      <c r="Z28" s="34">
        <f t="shared" si="20"/>
        <v>9</v>
      </c>
      <c r="AA28" s="34">
        <f t="shared" si="20"/>
        <v>11</v>
      </c>
      <c r="AB28" s="34">
        <f t="shared" si="20"/>
        <v>31</v>
      </c>
      <c r="AC28" s="34">
        <f t="shared" si="20"/>
        <v>23</v>
      </c>
      <c r="AD28" s="34">
        <f t="shared" si="20"/>
        <v>0</v>
      </c>
      <c r="AE28" s="31">
        <f t="shared" si="20"/>
        <v>127</v>
      </c>
      <c r="AF28" s="31">
        <f t="shared" si="20"/>
        <v>150</v>
      </c>
    </row>
    <row r="29" spans="2:32" ht="23.1" customHeight="1" x14ac:dyDescent="0.25">
      <c r="B29" s="45" t="s">
        <v>56</v>
      </c>
      <c r="C29" s="50">
        <v>81</v>
      </c>
      <c r="D29" s="50">
        <v>13</v>
      </c>
      <c r="E29" s="50">
        <v>15</v>
      </c>
      <c r="F29" s="50">
        <v>18</v>
      </c>
      <c r="G29" s="50">
        <v>2</v>
      </c>
      <c r="H29" s="50">
        <v>0</v>
      </c>
      <c r="I29" s="50">
        <v>7</v>
      </c>
      <c r="J29" s="50">
        <v>9</v>
      </c>
      <c r="K29" s="50">
        <v>3</v>
      </c>
      <c r="L29" s="50">
        <v>6</v>
      </c>
      <c r="M29" s="50">
        <v>76</v>
      </c>
      <c r="N29" s="50">
        <v>0</v>
      </c>
      <c r="O29" s="15">
        <f t="shared" si="0"/>
        <v>154</v>
      </c>
      <c r="P29" s="15">
        <f t="shared" si="1"/>
        <v>230</v>
      </c>
      <c r="R29" s="36" t="s">
        <v>153</v>
      </c>
      <c r="S29" s="34">
        <f>SUM(C86:C89)</f>
        <v>31</v>
      </c>
      <c r="T29" s="34">
        <f t="shared" ref="T29:AF29" si="21">SUM(D86:D89)</f>
        <v>22</v>
      </c>
      <c r="U29" s="34">
        <f t="shared" si="21"/>
        <v>14</v>
      </c>
      <c r="V29" s="34">
        <f t="shared" si="21"/>
        <v>19</v>
      </c>
      <c r="W29" s="34">
        <f t="shared" si="21"/>
        <v>1</v>
      </c>
      <c r="X29" s="34">
        <f t="shared" si="21"/>
        <v>4</v>
      </c>
      <c r="Y29" s="34">
        <f t="shared" si="21"/>
        <v>4</v>
      </c>
      <c r="Z29" s="34">
        <f t="shared" si="21"/>
        <v>5</v>
      </c>
      <c r="AA29" s="34">
        <f t="shared" si="21"/>
        <v>24</v>
      </c>
      <c r="AB29" s="34">
        <f t="shared" si="21"/>
        <v>29</v>
      </c>
      <c r="AC29" s="34">
        <f t="shared" si="21"/>
        <v>17</v>
      </c>
      <c r="AD29" s="34">
        <f t="shared" si="21"/>
        <v>0</v>
      </c>
      <c r="AE29" s="31">
        <f t="shared" si="21"/>
        <v>153</v>
      </c>
      <c r="AF29" s="31">
        <f t="shared" si="21"/>
        <v>170</v>
      </c>
    </row>
    <row r="30" spans="2:32" ht="23.1" customHeight="1" x14ac:dyDescent="0.25">
      <c r="B30" s="45" t="s">
        <v>57</v>
      </c>
      <c r="C30" s="50">
        <v>53</v>
      </c>
      <c r="D30" s="50">
        <v>6</v>
      </c>
      <c r="E30" s="50">
        <v>7</v>
      </c>
      <c r="F30" s="50">
        <v>31</v>
      </c>
      <c r="G30" s="50">
        <v>1</v>
      </c>
      <c r="H30" s="50">
        <v>0</v>
      </c>
      <c r="I30" s="50">
        <v>6</v>
      </c>
      <c r="J30" s="50">
        <v>8</v>
      </c>
      <c r="K30" s="50">
        <v>1</v>
      </c>
      <c r="L30" s="50">
        <v>8</v>
      </c>
      <c r="M30" s="50">
        <v>78</v>
      </c>
      <c r="N30" s="50">
        <v>0</v>
      </c>
      <c r="O30" s="15">
        <f t="shared" si="0"/>
        <v>121</v>
      </c>
      <c r="P30" s="15">
        <f t="shared" si="1"/>
        <v>199</v>
      </c>
      <c r="R30" s="36" t="s">
        <v>154</v>
      </c>
      <c r="S30" s="34">
        <f>SUM(C90:C93)</f>
        <v>41</v>
      </c>
      <c r="T30" s="34">
        <f t="shared" ref="T30:AF30" si="22">SUM(D90:D93)</f>
        <v>25</v>
      </c>
      <c r="U30" s="34">
        <f t="shared" si="22"/>
        <v>12</v>
      </c>
      <c r="V30" s="34">
        <f t="shared" si="22"/>
        <v>41</v>
      </c>
      <c r="W30" s="34">
        <f t="shared" si="22"/>
        <v>3</v>
      </c>
      <c r="X30" s="34">
        <f t="shared" si="22"/>
        <v>8</v>
      </c>
      <c r="Y30" s="34">
        <f t="shared" si="22"/>
        <v>16</v>
      </c>
      <c r="Z30" s="34">
        <f t="shared" si="22"/>
        <v>33</v>
      </c>
      <c r="AA30" s="34">
        <f t="shared" si="22"/>
        <v>17</v>
      </c>
      <c r="AB30" s="34">
        <f t="shared" si="22"/>
        <v>53</v>
      </c>
      <c r="AC30" s="34">
        <f t="shared" si="22"/>
        <v>36</v>
      </c>
      <c r="AD30" s="34">
        <f t="shared" si="22"/>
        <v>0</v>
      </c>
      <c r="AE30" s="31">
        <f t="shared" si="22"/>
        <v>249</v>
      </c>
      <c r="AF30" s="31">
        <f t="shared" si="22"/>
        <v>285</v>
      </c>
    </row>
    <row r="31" spans="2:32" ht="23.1" customHeight="1" x14ac:dyDescent="0.25">
      <c r="B31" s="46" t="s">
        <v>58</v>
      </c>
      <c r="C31" s="50">
        <v>67</v>
      </c>
      <c r="D31" s="50">
        <v>8</v>
      </c>
      <c r="E31" s="50">
        <v>7</v>
      </c>
      <c r="F31" s="50">
        <v>44</v>
      </c>
      <c r="G31" s="50">
        <v>0</v>
      </c>
      <c r="H31" s="50">
        <v>0</v>
      </c>
      <c r="I31" s="50">
        <v>5</v>
      </c>
      <c r="J31" s="50">
        <v>5</v>
      </c>
      <c r="K31" s="50">
        <v>2</v>
      </c>
      <c r="L31" s="50">
        <v>9</v>
      </c>
      <c r="M31" s="50">
        <v>34</v>
      </c>
      <c r="N31" s="50">
        <v>0</v>
      </c>
      <c r="O31" s="15">
        <f t="shared" si="0"/>
        <v>147</v>
      </c>
      <c r="P31" s="15">
        <f t="shared" si="1"/>
        <v>181</v>
      </c>
      <c r="R31" s="36" t="s">
        <v>155</v>
      </c>
      <c r="S31" s="34">
        <f>SUM(C94:C97)</f>
        <v>72</v>
      </c>
      <c r="T31" s="34">
        <f t="shared" ref="T31:AF31" si="23">SUM(D94:D97)</f>
        <v>17</v>
      </c>
      <c r="U31" s="34">
        <f t="shared" si="23"/>
        <v>16</v>
      </c>
      <c r="V31" s="34">
        <f t="shared" si="23"/>
        <v>48</v>
      </c>
      <c r="W31" s="34">
        <f t="shared" si="23"/>
        <v>12</v>
      </c>
      <c r="X31" s="34">
        <f t="shared" si="23"/>
        <v>10</v>
      </c>
      <c r="Y31" s="34">
        <f t="shared" si="23"/>
        <v>39</v>
      </c>
      <c r="Z31" s="34">
        <f t="shared" si="23"/>
        <v>18</v>
      </c>
      <c r="AA31" s="34">
        <f t="shared" si="23"/>
        <v>14</v>
      </c>
      <c r="AB31" s="34">
        <f t="shared" si="23"/>
        <v>51</v>
      </c>
      <c r="AC31" s="34">
        <f t="shared" si="23"/>
        <v>62</v>
      </c>
      <c r="AD31" s="34">
        <f t="shared" si="23"/>
        <v>0</v>
      </c>
      <c r="AE31" s="31">
        <f t="shared" si="23"/>
        <v>297</v>
      </c>
      <c r="AF31" s="31">
        <f t="shared" si="23"/>
        <v>359</v>
      </c>
    </row>
    <row r="32" spans="2:32" ht="23.1" customHeight="1" x14ac:dyDescent="0.25">
      <c r="B32" s="46" t="s">
        <v>59</v>
      </c>
      <c r="C32" s="50">
        <v>48</v>
      </c>
      <c r="D32" s="50">
        <v>8</v>
      </c>
      <c r="E32" s="50">
        <v>10</v>
      </c>
      <c r="F32" s="50">
        <v>33</v>
      </c>
      <c r="G32" s="50">
        <v>2</v>
      </c>
      <c r="H32" s="50">
        <v>2</v>
      </c>
      <c r="I32" s="50">
        <v>2</v>
      </c>
      <c r="J32" s="50">
        <v>4</v>
      </c>
      <c r="K32" s="50">
        <v>8</v>
      </c>
      <c r="L32" s="50">
        <v>13</v>
      </c>
      <c r="M32" s="50">
        <v>63</v>
      </c>
      <c r="N32" s="50">
        <v>0</v>
      </c>
      <c r="O32" s="15">
        <f t="shared" si="0"/>
        <v>130</v>
      </c>
      <c r="P32" s="15">
        <f t="shared" si="1"/>
        <v>193</v>
      </c>
      <c r="R32" s="33" t="s">
        <v>156</v>
      </c>
      <c r="S32" s="34">
        <f>SUM(C98:C101)</f>
        <v>59</v>
      </c>
      <c r="T32" s="34">
        <f t="shared" ref="T32:AF32" si="24">SUM(D98:D101)</f>
        <v>18</v>
      </c>
      <c r="U32" s="34">
        <f t="shared" si="24"/>
        <v>21</v>
      </c>
      <c r="V32" s="34">
        <f t="shared" si="24"/>
        <v>75</v>
      </c>
      <c r="W32" s="34">
        <f t="shared" si="24"/>
        <v>13</v>
      </c>
      <c r="X32" s="34">
        <f t="shared" si="24"/>
        <v>16</v>
      </c>
      <c r="Y32" s="34">
        <f t="shared" si="24"/>
        <v>23</v>
      </c>
      <c r="Z32" s="34">
        <f t="shared" si="24"/>
        <v>24</v>
      </c>
      <c r="AA32" s="34">
        <f t="shared" si="24"/>
        <v>25</v>
      </c>
      <c r="AB32" s="34">
        <f t="shared" si="24"/>
        <v>75</v>
      </c>
      <c r="AC32" s="34">
        <f t="shared" si="24"/>
        <v>43</v>
      </c>
      <c r="AD32" s="34">
        <f t="shared" si="24"/>
        <v>0</v>
      </c>
      <c r="AE32" s="31">
        <f t="shared" si="24"/>
        <v>349</v>
      </c>
      <c r="AF32" s="31">
        <f t="shared" si="24"/>
        <v>392</v>
      </c>
    </row>
    <row r="33" spans="2:32" ht="23.1" customHeight="1" x14ac:dyDescent="0.25">
      <c r="B33" s="45" t="s">
        <v>60</v>
      </c>
      <c r="C33" s="50">
        <v>64</v>
      </c>
      <c r="D33" s="50">
        <v>9</v>
      </c>
      <c r="E33" s="50">
        <v>5</v>
      </c>
      <c r="F33" s="50">
        <v>30</v>
      </c>
      <c r="G33" s="50">
        <v>1</v>
      </c>
      <c r="H33" s="50">
        <v>1</v>
      </c>
      <c r="I33" s="50">
        <v>13</v>
      </c>
      <c r="J33" s="50">
        <v>4</v>
      </c>
      <c r="K33" s="50">
        <v>11</v>
      </c>
      <c r="L33" s="50">
        <v>21</v>
      </c>
      <c r="M33" s="50">
        <v>67</v>
      </c>
      <c r="N33" s="50">
        <v>0</v>
      </c>
      <c r="O33" s="15">
        <f t="shared" si="0"/>
        <v>159</v>
      </c>
      <c r="P33" s="15">
        <f t="shared" si="1"/>
        <v>226</v>
      </c>
      <c r="R33" s="33" t="s">
        <v>157</v>
      </c>
      <c r="S33" s="34">
        <f>SUM(C102:C105)</f>
        <v>206</v>
      </c>
      <c r="T33" s="34">
        <f t="shared" ref="T33:AF33" si="25">SUM(D102:D105)</f>
        <v>21</v>
      </c>
      <c r="U33" s="34">
        <f t="shared" si="25"/>
        <v>20</v>
      </c>
      <c r="V33" s="34">
        <f t="shared" si="25"/>
        <v>170</v>
      </c>
      <c r="W33" s="34">
        <f t="shared" si="25"/>
        <v>5</v>
      </c>
      <c r="X33" s="34">
        <f t="shared" si="25"/>
        <v>12</v>
      </c>
      <c r="Y33" s="34">
        <f t="shared" si="25"/>
        <v>22</v>
      </c>
      <c r="Z33" s="34">
        <f t="shared" si="25"/>
        <v>18</v>
      </c>
      <c r="AA33" s="34">
        <f t="shared" si="25"/>
        <v>25</v>
      </c>
      <c r="AB33" s="34">
        <f t="shared" si="25"/>
        <v>89</v>
      </c>
      <c r="AC33" s="34">
        <f t="shared" si="25"/>
        <v>187</v>
      </c>
      <c r="AD33" s="34">
        <f t="shared" si="25"/>
        <v>0</v>
      </c>
      <c r="AE33" s="31">
        <f t="shared" si="25"/>
        <v>588</v>
      </c>
      <c r="AF33" s="31">
        <f t="shared" si="25"/>
        <v>775</v>
      </c>
    </row>
    <row r="34" spans="2:32" ht="23.1" customHeight="1" x14ac:dyDescent="0.25">
      <c r="B34" s="46" t="s">
        <v>61</v>
      </c>
      <c r="C34" s="50">
        <v>51</v>
      </c>
      <c r="D34" s="50">
        <v>9</v>
      </c>
      <c r="E34" s="50">
        <v>4</v>
      </c>
      <c r="F34" s="50">
        <v>59</v>
      </c>
      <c r="G34" s="50">
        <v>19</v>
      </c>
      <c r="H34" s="50">
        <v>4</v>
      </c>
      <c r="I34" s="50">
        <v>38</v>
      </c>
      <c r="J34" s="50">
        <v>9</v>
      </c>
      <c r="K34" s="50">
        <v>4</v>
      </c>
      <c r="L34" s="50">
        <v>15</v>
      </c>
      <c r="M34" s="50">
        <v>74</v>
      </c>
      <c r="N34" s="50">
        <v>0</v>
      </c>
      <c r="O34" s="15">
        <f t="shared" si="0"/>
        <v>212</v>
      </c>
      <c r="P34" s="15">
        <f t="shared" si="1"/>
        <v>286</v>
      </c>
      <c r="R34" s="38" t="s">
        <v>90</v>
      </c>
      <c r="S34" s="39">
        <f t="shared" ref="S34:AF34" si="26">MAX(S10:S12)</f>
        <v>140</v>
      </c>
      <c r="T34" s="39">
        <f t="shared" si="26"/>
        <v>14</v>
      </c>
      <c r="U34" s="39">
        <f t="shared" si="26"/>
        <v>18</v>
      </c>
      <c r="V34" s="39">
        <f t="shared" si="26"/>
        <v>102</v>
      </c>
      <c r="W34" s="39">
        <f t="shared" si="26"/>
        <v>6</v>
      </c>
      <c r="X34" s="39">
        <f t="shared" si="26"/>
        <v>2</v>
      </c>
      <c r="Y34" s="39">
        <f t="shared" si="26"/>
        <v>19</v>
      </c>
      <c r="Z34" s="39">
        <f t="shared" si="26"/>
        <v>19</v>
      </c>
      <c r="AA34" s="39">
        <f t="shared" si="26"/>
        <v>16</v>
      </c>
      <c r="AB34" s="39">
        <f t="shared" si="26"/>
        <v>30</v>
      </c>
      <c r="AC34" s="39">
        <f t="shared" si="26"/>
        <v>177</v>
      </c>
      <c r="AD34" s="39">
        <f t="shared" si="26"/>
        <v>0</v>
      </c>
      <c r="AE34" s="40">
        <f t="shared" si="26"/>
        <v>324</v>
      </c>
      <c r="AF34" s="40">
        <f t="shared" si="26"/>
        <v>501</v>
      </c>
    </row>
    <row r="35" spans="2:32" ht="23.1" customHeight="1" x14ac:dyDescent="0.25">
      <c r="B35" s="46" t="s">
        <v>62</v>
      </c>
      <c r="C35" s="50">
        <v>48</v>
      </c>
      <c r="D35" s="50">
        <v>4</v>
      </c>
      <c r="E35" s="50">
        <v>10</v>
      </c>
      <c r="F35" s="50">
        <v>43</v>
      </c>
      <c r="G35" s="50">
        <v>3</v>
      </c>
      <c r="H35" s="50">
        <v>6</v>
      </c>
      <c r="I35" s="50">
        <v>4</v>
      </c>
      <c r="J35" s="50">
        <v>7</v>
      </c>
      <c r="K35" s="50">
        <v>9</v>
      </c>
      <c r="L35" s="50">
        <v>15</v>
      </c>
      <c r="M35" s="50">
        <v>84</v>
      </c>
      <c r="N35" s="50">
        <v>0</v>
      </c>
      <c r="O35" s="15">
        <f t="shared" si="0"/>
        <v>149</v>
      </c>
      <c r="P35" s="15">
        <f t="shared" si="1"/>
        <v>233</v>
      </c>
      <c r="R35" s="38" t="s">
        <v>91</v>
      </c>
      <c r="S35" s="39">
        <f t="shared" ref="S35:AF35" si="27">MAX(S13:S18)</f>
        <v>256</v>
      </c>
      <c r="T35" s="39">
        <f t="shared" si="27"/>
        <v>47</v>
      </c>
      <c r="U35" s="39">
        <f t="shared" si="27"/>
        <v>42</v>
      </c>
      <c r="V35" s="39">
        <f t="shared" si="27"/>
        <v>153</v>
      </c>
      <c r="W35" s="39">
        <f t="shared" si="27"/>
        <v>28</v>
      </c>
      <c r="X35" s="39">
        <f t="shared" si="27"/>
        <v>17</v>
      </c>
      <c r="Y35" s="39">
        <f t="shared" si="27"/>
        <v>59</v>
      </c>
      <c r="Z35" s="39">
        <f t="shared" si="27"/>
        <v>31</v>
      </c>
      <c r="AA35" s="39">
        <f t="shared" si="27"/>
        <v>25</v>
      </c>
      <c r="AB35" s="39">
        <f t="shared" si="27"/>
        <v>60</v>
      </c>
      <c r="AC35" s="39">
        <f t="shared" si="27"/>
        <v>297</v>
      </c>
      <c r="AD35" s="39">
        <f t="shared" si="27"/>
        <v>0</v>
      </c>
      <c r="AE35" s="40">
        <f t="shared" si="27"/>
        <v>601</v>
      </c>
      <c r="AF35" s="40">
        <f t="shared" si="27"/>
        <v>898</v>
      </c>
    </row>
    <row r="36" spans="2:32" ht="23.1" customHeight="1" x14ac:dyDescent="0.25">
      <c r="B36" s="46" t="s">
        <v>63</v>
      </c>
      <c r="C36" s="50">
        <v>43</v>
      </c>
      <c r="D36" s="50">
        <v>19</v>
      </c>
      <c r="E36" s="50">
        <v>10</v>
      </c>
      <c r="F36" s="50">
        <v>33</v>
      </c>
      <c r="G36" s="50">
        <v>3</v>
      </c>
      <c r="H36" s="50">
        <v>3</v>
      </c>
      <c r="I36" s="50">
        <v>8</v>
      </c>
      <c r="J36" s="50">
        <v>3</v>
      </c>
      <c r="K36" s="50">
        <v>9</v>
      </c>
      <c r="L36" s="50">
        <v>19</v>
      </c>
      <c r="M36" s="50">
        <v>64</v>
      </c>
      <c r="N36" s="50">
        <v>0</v>
      </c>
      <c r="O36" s="15">
        <f t="shared" si="0"/>
        <v>150</v>
      </c>
      <c r="P36" s="15">
        <f t="shared" si="1"/>
        <v>214</v>
      </c>
      <c r="R36" s="38" t="s">
        <v>92</v>
      </c>
      <c r="S36" s="39">
        <f t="shared" ref="S36:AF36" si="28">MAX(S19:S21)</f>
        <v>118</v>
      </c>
      <c r="T36" s="39">
        <f t="shared" si="28"/>
        <v>45</v>
      </c>
      <c r="U36" s="39">
        <f t="shared" si="28"/>
        <v>23</v>
      </c>
      <c r="V36" s="39">
        <f t="shared" si="28"/>
        <v>131</v>
      </c>
      <c r="W36" s="39">
        <f t="shared" si="28"/>
        <v>10</v>
      </c>
      <c r="X36" s="39">
        <f t="shared" si="28"/>
        <v>9</v>
      </c>
      <c r="Y36" s="39">
        <f t="shared" si="28"/>
        <v>22</v>
      </c>
      <c r="Z36" s="39">
        <f t="shared" si="28"/>
        <v>37</v>
      </c>
      <c r="AA36" s="39">
        <f t="shared" si="28"/>
        <v>22</v>
      </c>
      <c r="AB36" s="39">
        <f t="shared" si="28"/>
        <v>82</v>
      </c>
      <c r="AC36" s="39">
        <f t="shared" si="28"/>
        <v>176</v>
      </c>
      <c r="AD36" s="39">
        <f t="shared" si="28"/>
        <v>0</v>
      </c>
      <c r="AE36" s="40">
        <f t="shared" si="28"/>
        <v>493</v>
      </c>
      <c r="AF36" s="40">
        <f t="shared" si="28"/>
        <v>666</v>
      </c>
    </row>
    <row r="37" spans="2:32" ht="23.1" customHeight="1" x14ac:dyDescent="0.25">
      <c r="B37" s="45" t="s">
        <v>64</v>
      </c>
      <c r="C37" s="50">
        <v>23</v>
      </c>
      <c r="D37" s="50">
        <v>8</v>
      </c>
      <c r="E37" s="50">
        <v>3</v>
      </c>
      <c r="F37" s="50">
        <v>18</v>
      </c>
      <c r="G37" s="50">
        <v>3</v>
      </c>
      <c r="H37" s="50">
        <v>4</v>
      </c>
      <c r="I37" s="50">
        <v>9</v>
      </c>
      <c r="J37" s="50">
        <v>9</v>
      </c>
      <c r="K37" s="50">
        <v>3</v>
      </c>
      <c r="L37" s="50">
        <v>10</v>
      </c>
      <c r="M37" s="50">
        <v>75</v>
      </c>
      <c r="N37" s="50">
        <v>0</v>
      </c>
      <c r="O37" s="15">
        <f t="shared" si="0"/>
        <v>90</v>
      </c>
      <c r="P37" s="15">
        <f t="shared" si="1"/>
        <v>165</v>
      </c>
      <c r="R37" s="37" t="s">
        <v>85</v>
      </c>
      <c r="S37" s="35">
        <f t="shared" ref="S37:AF37" si="29">SUM(S10:S12)</f>
        <v>388</v>
      </c>
      <c r="T37" s="16">
        <f t="shared" si="29"/>
        <v>34</v>
      </c>
      <c r="U37" s="16">
        <f t="shared" si="29"/>
        <v>49</v>
      </c>
      <c r="V37" s="16">
        <f t="shared" si="29"/>
        <v>245</v>
      </c>
      <c r="W37" s="16">
        <f t="shared" si="29"/>
        <v>12</v>
      </c>
      <c r="X37" s="16">
        <f t="shared" si="29"/>
        <v>5</v>
      </c>
      <c r="Y37" s="16">
        <f t="shared" si="29"/>
        <v>36</v>
      </c>
      <c r="Z37" s="16">
        <f t="shared" si="29"/>
        <v>57</v>
      </c>
      <c r="AA37" s="16">
        <f t="shared" si="29"/>
        <v>35</v>
      </c>
      <c r="AB37" s="16">
        <f t="shared" si="29"/>
        <v>79</v>
      </c>
      <c r="AC37" s="16">
        <f t="shared" si="29"/>
        <v>505</v>
      </c>
      <c r="AD37" s="16">
        <f t="shared" si="29"/>
        <v>0</v>
      </c>
      <c r="AE37" s="32">
        <f t="shared" si="29"/>
        <v>940</v>
      </c>
      <c r="AF37" s="32">
        <f t="shared" si="29"/>
        <v>1445</v>
      </c>
    </row>
    <row r="38" spans="2:32" ht="23.1" customHeight="1" x14ac:dyDescent="0.25">
      <c r="B38" s="46" t="s">
        <v>65</v>
      </c>
      <c r="C38" s="50">
        <v>33</v>
      </c>
      <c r="D38" s="50">
        <v>4</v>
      </c>
      <c r="E38" s="50">
        <v>6</v>
      </c>
      <c r="F38" s="50">
        <v>23</v>
      </c>
      <c r="G38" s="50">
        <v>1</v>
      </c>
      <c r="H38" s="50">
        <v>0</v>
      </c>
      <c r="I38" s="50">
        <v>8</v>
      </c>
      <c r="J38" s="50">
        <v>6</v>
      </c>
      <c r="K38" s="50">
        <v>10</v>
      </c>
      <c r="L38" s="50">
        <v>17</v>
      </c>
      <c r="M38" s="50">
        <v>47</v>
      </c>
      <c r="N38" s="50">
        <v>0</v>
      </c>
      <c r="O38" s="15">
        <f t="shared" si="0"/>
        <v>108</v>
      </c>
      <c r="P38" s="15">
        <f t="shared" si="1"/>
        <v>155</v>
      </c>
      <c r="R38" s="28" t="s">
        <v>86</v>
      </c>
      <c r="S38" s="16">
        <f t="shared" ref="S38:AF38" si="30">SUM(S13:S18)</f>
        <v>1148</v>
      </c>
      <c r="T38" s="16">
        <f t="shared" si="30"/>
        <v>172</v>
      </c>
      <c r="U38" s="16">
        <f t="shared" si="30"/>
        <v>166</v>
      </c>
      <c r="V38" s="16">
        <f t="shared" si="30"/>
        <v>764</v>
      </c>
      <c r="W38" s="16">
        <f t="shared" si="30"/>
        <v>48</v>
      </c>
      <c r="X38" s="16">
        <f t="shared" si="30"/>
        <v>29</v>
      </c>
      <c r="Y38" s="16">
        <f t="shared" si="30"/>
        <v>173</v>
      </c>
      <c r="Z38" s="16">
        <f t="shared" si="30"/>
        <v>148</v>
      </c>
      <c r="AA38" s="16">
        <f t="shared" si="30"/>
        <v>98</v>
      </c>
      <c r="AB38" s="16">
        <f t="shared" si="30"/>
        <v>255</v>
      </c>
      <c r="AC38" s="16">
        <f t="shared" si="30"/>
        <v>1297</v>
      </c>
      <c r="AD38" s="16">
        <f t="shared" si="30"/>
        <v>0</v>
      </c>
      <c r="AE38" s="32">
        <f t="shared" si="30"/>
        <v>3001</v>
      </c>
      <c r="AF38" s="32">
        <f t="shared" si="30"/>
        <v>4298</v>
      </c>
    </row>
    <row r="39" spans="2:32" ht="23.1" customHeight="1" x14ac:dyDescent="0.25">
      <c r="B39" s="46" t="s">
        <v>66</v>
      </c>
      <c r="C39" s="50">
        <v>37</v>
      </c>
      <c r="D39" s="50">
        <v>5</v>
      </c>
      <c r="E39" s="50">
        <v>3</v>
      </c>
      <c r="F39" s="50">
        <v>27</v>
      </c>
      <c r="G39" s="50">
        <v>0</v>
      </c>
      <c r="H39" s="50">
        <v>0</v>
      </c>
      <c r="I39" s="50">
        <v>4</v>
      </c>
      <c r="J39" s="50">
        <v>8</v>
      </c>
      <c r="K39" s="50">
        <v>2</v>
      </c>
      <c r="L39" s="50">
        <v>20</v>
      </c>
      <c r="M39" s="50">
        <v>41</v>
      </c>
      <c r="N39" s="50">
        <v>0</v>
      </c>
      <c r="O39" s="15">
        <f t="shared" si="0"/>
        <v>106</v>
      </c>
      <c r="P39" s="15">
        <f t="shared" si="1"/>
        <v>147</v>
      </c>
      <c r="R39" s="29" t="s">
        <v>87</v>
      </c>
      <c r="S39" s="16">
        <f t="shared" ref="S39:AF39" si="31">SUM(S19:S21)</f>
        <v>342</v>
      </c>
      <c r="T39" s="16">
        <f t="shared" si="31"/>
        <v>95</v>
      </c>
      <c r="U39" s="16">
        <f t="shared" si="31"/>
        <v>58</v>
      </c>
      <c r="V39" s="16">
        <f t="shared" si="31"/>
        <v>320</v>
      </c>
      <c r="W39" s="16">
        <f t="shared" si="31"/>
        <v>20</v>
      </c>
      <c r="X39" s="16">
        <f t="shared" si="31"/>
        <v>24</v>
      </c>
      <c r="Y39" s="16">
        <f t="shared" si="31"/>
        <v>54</v>
      </c>
      <c r="Z39" s="16">
        <f t="shared" si="31"/>
        <v>74</v>
      </c>
      <c r="AA39" s="16">
        <f t="shared" si="31"/>
        <v>47</v>
      </c>
      <c r="AB39" s="16">
        <f t="shared" si="31"/>
        <v>165</v>
      </c>
      <c r="AC39" s="16">
        <f t="shared" si="31"/>
        <v>494</v>
      </c>
      <c r="AD39" s="16">
        <f t="shared" si="31"/>
        <v>0</v>
      </c>
      <c r="AE39" s="32">
        <f t="shared" si="31"/>
        <v>1199</v>
      </c>
      <c r="AF39" s="32">
        <f t="shared" si="31"/>
        <v>1693</v>
      </c>
    </row>
    <row r="40" spans="2:32" ht="23.1" customHeight="1" x14ac:dyDescent="0.25">
      <c r="B40" s="46" t="s">
        <v>67</v>
      </c>
      <c r="C40" s="50">
        <v>39</v>
      </c>
      <c r="D40" s="50">
        <v>3</v>
      </c>
      <c r="E40" s="50">
        <v>7</v>
      </c>
      <c r="F40" s="50">
        <v>40</v>
      </c>
      <c r="G40" s="50">
        <v>1</v>
      </c>
      <c r="H40" s="50">
        <v>1</v>
      </c>
      <c r="I40" s="50">
        <v>7</v>
      </c>
      <c r="J40" s="50">
        <v>4</v>
      </c>
      <c r="K40" s="50">
        <v>4</v>
      </c>
      <c r="L40" s="50">
        <v>15</v>
      </c>
      <c r="M40" s="50">
        <v>39</v>
      </c>
      <c r="N40" s="50">
        <v>0</v>
      </c>
      <c r="O40" s="15">
        <f t="shared" si="0"/>
        <v>121</v>
      </c>
      <c r="P40" s="15">
        <f t="shared" si="1"/>
        <v>160</v>
      </c>
      <c r="R40" s="5" t="s">
        <v>17</v>
      </c>
      <c r="S40" s="16">
        <f t="shared" ref="S40:AF40" si="32">SUM(S10:S21)</f>
        <v>1878</v>
      </c>
      <c r="T40" s="16">
        <f t="shared" si="32"/>
        <v>301</v>
      </c>
      <c r="U40" s="16">
        <f t="shared" si="32"/>
        <v>273</v>
      </c>
      <c r="V40" s="16">
        <f t="shared" si="32"/>
        <v>1329</v>
      </c>
      <c r="W40" s="16">
        <f t="shared" si="32"/>
        <v>80</v>
      </c>
      <c r="X40" s="16">
        <f t="shared" si="32"/>
        <v>58</v>
      </c>
      <c r="Y40" s="16">
        <f t="shared" si="32"/>
        <v>263</v>
      </c>
      <c r="Z40" s="16">
        <f t="shared" si="32"/>
        <v>279</v>
      </c>
      <c r="AA40" s="16">
        <f t="shared" si="32"/>
        <v>180</v>
      </c>
      <c r="AB40" s="16">
        <f t="shared" si="32"/>
        <v>499</v>
      </c>
      <c r="AC40" s="16">
        <f t="shared" si="32"/>
        <v>2296</v>
      </c>
      <c r="AD40" s="16">
        <f t="shared" si="32"/>
        <v>0</v>
      </c>
      <c r="AE40" s="32">
        <f t="shared" si="32"/>
        <v>5140</v>
      </c>
      <c r="AF40" s="32">
        <f t="shared" si="32"/>
        <v>7436</v>
      </c>
    </row>
    <row r="41" spans="2:32" ht="23.1" customHeight="1" x14ac:dyDescent="0.25">
      <c r="B41" s="45" t="s">
        <v>68</v>
      </c>
      <c r="C41" s="50">
        <v>48</v>
      </c>
      <c r="D41" s="50">
        <v>2</v>
      </c>
      <c r="E41" s="50">
        <v>4</v>
      </c>
      <c r="F41" s="50">
        <v>47</v>
      </c>
      <c r="G41" s="50">
        <v>0</v>
      </c>
      <c r="H41" s="50">
        <v>0</v>
      </c>
      <c r="I41" s="50">
        <v>4</v>
      </c>
      <c r="J41" s="50">
        <v>9</v>
      </c>
      <c r="K41" s="50">
        <v>2</v>
      </c>
      <c r="L41" s="50">
        <v>8</v>
      </c>
      <c r="M41" s="50">
        <v>53</v>
      </c>
      <c r="N41" s="50">
        <v>0</v>
      </c>
      <c r="O41" s="15">
        <f t="shared" si="0"/>
        <v>124</v>
      </c>
      <c r="P41" s="15">
        <f t="shared" si="1"/>
        <v>177</v>
      </c>
      <c r="R41" s="5" t="s">
        <v>159</v>
      </c>
      <c r="S41" s="16">
        <f>SUM(S10:S33)</f>
        <v>3143</v>
      </c>
      <c r="T41" s="16">
        <f t="shared" ref="T41:AF41" si="33">SUM(T10:T33)</f>
        <v>650</v>
      </c>
      <c r="U41" s="16">
        <f t="shared" si="33"/>
        <v>524</v>
      </c>
      <c r="V41" s="16">
        <f t="shared" si="33"/>
        <v>2699</v>
      </c>
      <c r="W41" s="16">
        <f t="shared" si="33"/>
        <v>208</v>
      </c>
      <c r="X41" s="16">
        <f t="shared" si="33"/>
        <v>238</v>
      </c>
      <c r="Y41" s="16">
        <f t="shared" si="33"/>
        <v>523</v>
      </c>
      <c r="Z41" s="16">
        <f t="shared" si="33"/>
        <v>530</v>
      </c>
      <c r="AA41" s="16">
        <f t="shared" si="33"/>
        <v>428</v>
      </c>
      <c r="AB41" s="16">
        <f t="shared" si="33"/>
        <v>1215</v>
      </c>
      <c r="AC41" s="16">
        <f t="shared" si="33"/>
        <v>3746</v>
      </c>
      <c r="AD41" s="16">
        <f t="shared" si="33"/>
        <v>0</v>
      </c>
      <c r="AE41" s="32">
        <f t="shared" si="33"/>
        <v>10158</v>
      </c>
      <c r="AF41" s="32">
        <f t="shared" si="33"/>
        <v>13904</v>
      </c>
    </row>
    <row r="42" spans="2:32" ht="23.1" customHeight="1" x14ac:dyDescent="0.25">
      <c r="B42" s="46" t="s">
        <v>69</v>
      </c>
      <c r="C42" s="50">
        <v>49</v>
      </c>
      <c r="D42" s="50">
        <v>6</v>
      </c>
      <c r="E42" s="50">
        <v>5</v>
      </c>
      <c r="F42" s="50">
        <v>28</v>
      </c>
      <c r="G42" s="50">
        <v>0</v>
      </c>
      <c r="H42" s="50">
        <v>1</v>
      </c>
      <c r="I42" s="50">
        <v>3</v>
      </c>
      <c r="J42" s="50">
        <v>6</v>
      </c>
      <c r="K42" s="50">
        <v>4</v>
      </c>
      <c r="L42" s="50">
        <v>10</v>
      </c>
      <c r="M42" s="50">
        <v>55</v>
      </c>
      <c r="N42" s="50">
        <v>0</v>
      </c>
      <c r="O42" s="15">
        <f t="shared" si="0"/>
        <v>112</v>
      </c>
      <c r="P42" s="15">
        <f t="shared" si="1"/>
        <v>167</v>
      </c>
      <c r="R42" s="5" t="s">
        <v>160</v>
      </c>
      <c r="S42" s="48">
        <f>S41/S40</f>
        <v>1.6735889243876465</v>
      </c>
      <c r="T42" s="48">
        <f t="shared" ref="T42:AF42" si="34">T41/T40</f>
        <v>2.1594684385382061</v>
      </c>
      <c r="U42" s="48">
        <f t="shared" si="34"/>
        <v>1.9194139194139195</v>
      </c>
      <c r="V42" s="48">
        <f t="shared" si="34"/>
        <v>2.0308502633559069</v>
      </c>
      <c r="W42" s="48">
        <f t="shared" si="34"/>
        <v>2.6</v>
      </c>
      <c r="X42" s="48">
        <f t="shared" si="34"/>
        <v>4.1034482758620694</v>
      </c>
      <c r="Y42" s="48">
        <f t="shared" si="34"/>
        <v>1.9885931558935361</v>
      </c>
      <c r="Z42" s="48">
        <f t="shared" si="34"/>
        <v>1.8996415770609318</v>
      </c>
      <c r="AA42" s="48">
        <f t="shared" si="34"/>
        <v>2.3777777777777778</v>
      </c>
      <c r="AB42" s="48">
        <f t="shared" si="34"/>
        <v>2.434869739478958</v>
      </c>
      <c r="AC42" s="48">
        <f t="shared" si="34"/>
        <v>1.6315331010452963</v>
      </c>
      <c r="AD42" s="48" t="e">
        <f t="shared" si="34"/>
        <v>#DIV/0!</v>
      </c>
      <c r="AE42" s="48">
        <f t="shared" si="34"/>
        <v>1.9762645914396888</v>
      </c>
      <c r="AF42" s="48">
        <f t="shared" si="34"/>
        <v>1.8698224852071006</v>
      </c>
    </row>
    <row r="43" spans="2:32" ht="23.1" customHeight="1" x14ac:dyDescent="0.25">
      <c r="B43" s="45" t="s">
        <v>70</v>
      </c>
      <c r="C43" s="50">
        <v>55</v>
      </c>
      <c r="D43" s="50">
        <v>3</v>
      </c>
      <c r="E43" s="50">
        <v>6</v>
      </c>
      <c r="F43" s="50">
        <v>22</v>
      </c>
      <c r="G43" s="50">
        <v>1</v>
      </c>
      <c r="H43" s="50">
        <v>1</v>
      </c>
      <c r="I43" s="50">
        <v>5</v>
      </c>
      <c r="J43" s="50">
        <v>7</v>
      </c>
      <c r="K43" s="50">
        <v>3</v>
      </c>
      <c r="L43" s="50">
        <v>4</v>
      </c>
      <c r="M43" s="50">
        <v>36</v>
      </c>
      <c r="N43" s="50">
        <v>0</v>
      </c>
      <c r="O43" s="15">
        <f t="shared" si="0"/>
        <v>107</v>
      </c>
      <c r="P43" s="15">
        <f t="shared" si="1"/>
        <v>143</v>
      </c>
    </row>
    <row r="44" spans="2:32" ht="23.1" customHeight="1" x14ac:dyDescent="0.25">
      <c r="B44" s="47" t="s">
        <v>71</v>
      </c>
      <c r="C44" s="50">
        <v>39</v>
      </c>
      <c r="D44" s="50">
        <v>5</v>
      </c>
      <c r="E44" s="50">
        <v>2</v>
      </c>
      <c r="F44" s="50">
        <v>24</v>
      </c>
      <c r="G44" s="50">
        <v>0</v>
      </c>
      <c r="H44" s="50">
        <v>2</v>
      </c>
      <c r="I44" s="50">
        <v>4</v>
      </c>
      <c r="J44" s="50">
        <v>3</v>
      </c>
      <c r="K44" s="50">
        <v>5</v>
      </c>
      <c r="L44" s="50">
        <v>7</v>
      </c>
      <c r="M44" s="50">
        <v>47</v>
      </c>
      <c r="N44" s="50">
        <v>0</v>
      </c>
      <c r="O44" s="15">
        <f t="shared" si="0"/>
        <v>91</v>
      </c>
      <c r="P44" s="15">
        <f t="shared" si="1"/>
        <v>138</v>
      </c>
    </row>
    <row r="45" spans="2:32" ht="23.1" customHeight="1" x14ac:dyDescent="0.25">
      <c r="B45" s="45" t="s">
        <v>72</v>
      </c>
      <c r="C45" s="50">
        <v>44</v>
      </c>
      <c r="D45" s="50">
        <v>1</v>
      </c>
      <c r="E45" s="50">
        <v>6</v>
      </c>
      <c r="F45" s="50">
        <v>17</v>
      </c>
      <c r="G45" s="50">
        <v>0</v>
      </c>
      <c r="H45" s="50">
        <v>0</v>
      </c>
      <c r="I45" s="50">
        <v>5</v>
      </c>
      <c r="J45" s="50">
        <v>7</v>
      </c>
      <c r="K45" s="50">
        <v>0</v>
      </c>
      <c r="L45" s="50">
        <v>14</v>
      </c>
      <c r="M45" s="50">
        <v>58</v>
      </c>
      <c r="N45" s="50">
        <v>0</v>
      </c>
      <c r="O45" s="15">
        <f t="shared" si="0"/>
        <v>94</v>
      </c>
      <c r="P45" s="15">
        <f t="shared" si="1"/>
        <v>152</v>
      </c>
    </row>
    <row r="46" spans="2:32" ht="23.1" customHeight="1" x14ac:dyDescent="0.25">
      <c r="B46" s="46" t="s">
        <v>73</v>
      </c>
      <c r="C46" s="50">
        <v>31</v>
      </c>
      <c r="D46" s="50">
        <v>3</v>
      </c>
      <c r="E46" s="50">
        <v>7</v>
      </c>
      <c r="F46" s="50">
        <v>35</v>
      </c>
      <c r="G46" s="50">
        <v>1</v>
      </c>
      <c r="H46" s="50">
        <v>1</v>
      </c>
      <c r="I46" s="50">
        <v>5</v>
      </c>
      <c r="J46" s="50">
        <v>6</v>
      </c>
      <c r="K46" s="50">
        <v>1</v>
      </c>
      <c r="L46" s="50">
        <v>10</v>
      </c>
      <c r="M46" s="50">
        <v>39</v>
      </c>
      <c r="N46" s="50">
        <v>0</v>
      </c>
      <c r="O46" s="15">
        <f t="shared" si="0"/>
        <v>100</v>
      </c>
      <c r="P46" s="15">
        <f t="shared" si="1"/>
        <v>139</v>
      </c>
      <c r="R46" s="8"/>
      <c r="T46"/>
    </row>
    <row r="47" spans="2:32" ht="23.1" customHeight="1" x14ac:dyDescent="0.25">
      <c r="B47" s="46" t="s">
        <v>74</v>
      </c>
      <c r="C47" s="50">
        <v>33</v>
      </c>
      <c r="D47" s="50">
        <v>3</v>
      </c>
      <c r="E47" s="50">
        <v>4</v>
      </c>
      <c r="F47" s="50">
        <v>9</v>
      </c>
      <c r="G47" s="50">
        <v>2</v>
      </c>
      <c r="H47" s="50">
        <v>4</v>
      </c>
      <c r="I47" s="50">
        <v>6</v>
      </c>
      <c r="J47" s="50">
        <v>4</v>
      </c>
      <c r="K47" s="50">
        <v>1</v>
      </c>
      <c r="L47" s="50">
        <v>10</v>
      </c>
      <c r="M47" s="50">
        <v>43</v>
      </c>
      <c r="N47" s="50">
        <v>0</v>
      </c>
      <c r="O47" s="15">
        <f t="shared" si="0"/>
        <v>76</v>
      </c>
      <c r="P47" s="15">
        <f t="shared" si="1"/>
        <v>119</v>
      </c>
      <c r="R47" s="8"/>
      <c r="T47"/>
    </row>
    <row r="48" spans="2:32" ht="23.1" customHeight="1" x14ac:dyDescent="0.25">
      <c r="B48" s="46" t="s">
        <v>75</v>
      </c>
      <c r="C48" s="50">
        <v>25</v>
      </c>
      <c r="D48" s="50">
        <v>6</v>
      </c>
      <c r="E48" s="50">
        <v>5</v>
      </c>
      <c r="F48" s="50">
        <v>14</v>
      </c>
      <c r="G48" s="50">
        <v>0</v>
      </c>
      <c r="H48" s="50">
        <v>3</v>
      </c>
      <c r="I48" s="50">
        <v>8</v>
      </c>
      <c r="J48" s="50">
        <v>6</v>
      </c>
      <c r="K48" s="50">
        <v>2</v>
      </c>
      <c r="L48" s="50">
        <v>11</v>
      </c>
      <c r="M48" s="50">
        <v>33</v>
      </c>
      <c r="N48" s="50">
        <v>0</v>
      </c>
      <c r="O48" s="15">
        <f t="shared" si="0"/>
        <v>80</v>
      </c>
      <c r="P48" s="15">
        <f t="shared" si="1"/>
        <v>113</v>
      </c>
      <c r="R48" s="8"/>
      <c r="T48"/>
    </row>
    <row r="49" spans="2:20" ht="23.1" customHeight="1" x14ac:dyDescent="0.25">
      <c r="B49" s="45" t="s">
        <v>76</v>
      </c>
      <c r="C49" s="50">
        <v>29</v>
      </c>
      <c r="D49" s="50">
        <v>8</v>
      </c>
      <c r="E49" s="50">
        <v>3</v>
      </c>
      <c r="F49" s="50">
        <v>27</v>
      </c>
      <c r="G49" s="50">
        <v>4</v>
      </c>
      <c r="H49" s="50">
        <v>1</v>
      </c>
      <c r="I49" s="50">
        <v>3</v>
      </c>
      <c r="J49" s="50">
        <v>6</v>
      </c>
      <c r="K49" s="50">
        <v>8</v>
      </c>
      <c r="L49" s="50">
        <v>9</v>
      </c>
      <c r="M49" s="50">
        <v>30</v>
      </c>
      <c r="N49" s="50">
        <v>0</v>
      </c>
      <c r="O49" s="15">
        <f t="shared" si="0"/>
        <v>98</v>
      </c>
      <c r="P49" s="15">
        <f t="shared" si="1"/>
        <v>128</v>
      </c>
      <c r="R49" s="8"/>
      <c r="T49"/>
    </row>
    <row r="50" spans="2:20" ht="23.1" customHeight="1" x14ac:dyDescent="0.25">
      <c r="B50" s="46" t="s">
        <v>77</v>
      </c>
      <c r="C50" s="50">
        <v>9</v>
      </c>
      <c r="D50" s="50">
        <v>1</v>
      </c>
      <c r="E50" s="50">
        <v>2</v>
      </c>
      <c r="F50" s="50">
        <v>8</v>
      </c>
      <c r="G50" s="50">
        <v>3</v>
      </c>
      <c r="H50" s="50">
        <v>1</v>
      </c>
      <c r="I50" s="50">
        <v>1</v>
      </c>
      <c r="J50" s="50">
        <v>8</v>
      </c>
      <c r="K50" s="50">
        <v>4</v>
      </c>
      <c r="L50" s="50">
        <v>9</v>
      </c>
      <c r="M50" s="50">
        <v>43</v>
      </c>
      <c r="N50" s="50">
        <v>0</v>
      </c>
      <c r="O50" s="15">
        <f t="shared" si="0"/>
        <v>46</v>
      </c>
      <c r="P50" s="15">
        <f t="shared" si="1"/>
        <v>89</v>
      </c>
      <c r="R50" s="8"/>
      <c r="T50"/>
    </row>
    <row r="51" spans="2:20" ht="23.1" customHeight="1" x14ac:dyDescent="0.25">
      <c r="B51" s="46" t="s">
        <v>78</v>
      </c>
      <c r="C51" s="50">
        <v>32</v>
      </c>
      <c r="D51" s="50">
        <v>11</v>
      </c>
      <c r="E51" s="50">
        <v>0</v>
      </c>
      <c r="F51" s="50">
        <v>27</v>
      </c>
      <c r="G51" s="50">
        <v>0</v>
      </c>
      <c r="H51" s="50">
        <v>3</v>
      </c>
      <c r="I51" s="50">
        <v>8</v>
      </c>
      <c r="J51" s="50">
        <v>6</v>
      </c>
      <c r="K51" s="50">
        <v>6</v>
      </c>
      <c r="L51" s="50">
        <v>7</v>
      </c>
      <c r="M51" s="50">
        <v>42</v>
      </c>
      <c r="N51" s="50">
        <v>0</v>
      </c>
      <c r="O51" s="15">
        <f t="shared" si="0"/>
        <v>100</v>
      </c>
      <c r="P51" s="15">
        <f t="shared" si="1"/>
        <v>142</v>
      </c>
      <c r="R51" s="8"/>
      <c r="T51"/>
    </row>
    <row r="52" spans="2:20" ht="23.1" customHeight="1" x14ac:dyDescent="0.25">
      <c r="B52" s="46" t="s">
        <v>79</v>
      </c>
      <c r="C52" s="50">
        <v>29</v>
      </c>
      <c r="D52" s="50">
        <v>11</v>
      </c>
      <c r="E52" s="50">
        <v>6</v>
      </c>
      <c r="F52" s="50">
        <v>33</v>
      </c>
      <c r="G52" s="50">
        <v>0</v>
      </c>
      <c r="H52" s="50">
        <v>2</v>
      </c>
      <c r="I52" s="50">
        <v>0</v>
      </c>
      <c r="J52" s="50">
        <v>0</v>
      </c>
      <c r="K52" s="50">
        <v>1</v>
      </c>
      <c r="L52" s="50">
        <v>7</v>
      </c>
      <c r="M52" s="50">
        <v>48</v>
      </c>
      <c r="N52" s="50">
        <v>0</v>
      </c>
      <c r="O52" s="15">
        <f t="shared" si="0"/>
        <v>89</v>
      </c>
      <c r="P52" s="15">
        <f t="shared" si="1"/>
        <v>137</v>
      </c>
      <c r="R52" s="8"/>
      <c r="T52"/>
    </row>
    <row r="53" spans="2:20" ht="23.1" customHeight="1" x14ac:dyDescent="0.25">
      <c r="B53" s="45" t="s">
        <v>80</v>
      </c>
      <c r="C53" s="50">
        <v>37</v>
      </c>
      <c r="D53" s="50">
        <v>7</v>
      </c>
      <c r="E53" s="50">
        <v>8</v>
      </c>
      <c r="F53" s="50">
        <v>36</v>
      </c>
      <c r="G53" s="50">
        <v>0</v>
      </c>
      <c r="H53" s="50">
        <v>1</v>
      </c>
      <c r="I53" s="50">
        <v>5</v>
      </c>
      <c r="J53" s="50">
        <v>1</v>
      </c>
      <c r="K53" s="50">
        <v>2</v>
      </c>
      <c r="L53" s="50">
        <v>20</v>
      </c>
      <c r="M53" s="50">
        <v>43</v>
      </c>
      <c r="N53" s="50">
        <v>0</v>
      </c>
      <c r="O53" s="15">
        <f t="shared" si="0"/>
        <v>117</v>
      </c>
      <c r="P53" s="15">
        <f t="shared" si="1"/>
        <v>160</v>
      </c>
      <c r="R53" s="8"/>
      <c r="T53"/>
    </row>
    <row r="54" spans="2:20" ht="23.1" customHeight="1" x14ac:dyDescent="0.25">
      <c r="B54" s="45" t="s">
        <v>81</v>
      </c>
      <c r="C54" s="50">
        <v>27</v>
      </c>
      <c r="D54" s="50">
        <v>11</v>
      </c>
      <c r="E54" s="50">
        <v>2</v>
      </c>
      <c r="F54" s="50">
        <v>31</v>
      </c>
      <c r="G54" s="50">
        <v>3</v>
      </c>
      <c r="H54" s="50">
        <v>2</v>
      </c>
      <c r="I54" s="50">
        <v>7</v>
      </c>
      <c r="J54" s="50">
        <v>7</v>
      </c>
      <c r="K54" s="50">
        <v>4</v>
      </c>
      <c r="L54" s="50">
        <v>16</v>
      </c>
      <c r="M54" s="50">
        <v>33</v>
      </c>
      <c r="N54" s="50">
        <v>0</v>
      </c>
      <c r="O54" s="15">
        <f t="shared" si="0"/>
        <v>110</v>
      </c>
      <c r="P54" s="15">
        <f t="shared" si="1"/>
        <v>143</v>
      </c>
      <c r="R54" s="8"/>
      <c r="T54"/>
    </row>
    <row r="55" spans="2:20" ht="23.1" customHeight="1" x14ac:dyDescent="0.25">
      <c r="B55" s="45" t="s">
        <v>82</v>
      </c>
      <c r="C55" s="50">
        <v>23</v>
      </c>
      <c r="D55" s="50">
        <v>23</v>
      </c>
      <c r="E55" s="50">
        <v>9</v>
      </c>
      <c r="F55" s="50">
        <v>42</v>
      </c>
      <c r="G55" s="50">
        <v>1</v>
      </c>
      <c r="H55" s="50">
        <v>3</v>
      </c>
      <c r="I55" s="50">
        <v>3</v>
      </c>
      <c r="J55" s="50">
        <v>9</v>
      </c>
      <c r="K55" s="50">
        <v>11</v>
      </c>
      <c r="L55" s="50">
        <v>31</v>
      </c>
      <c r="M55" s="50">
        <v>48</v>
      </c>
      <c r="N55" s="50">
        <v>0</v>
      </c>
      <c r="O55" s="15">
        <f t="shared" si="0"/>
        <v>155</v>
      </c>
      <c r="P55" s="15">
        <f t="shared" si="1"/>
        <v>203</v>
      </c>
      <c r="R55" s="8"/>
      <c r="T55"/>
    </row>
    <row r="56" spans="2:20" ht="23.1" customHeight="1" x14ac:dyDescent="0.25">
      <c r="B56" s="45" t="s">
        <v>83</v>
      </c>
      <c r="C56" s="50">
        <v>35</v>
      </c>
      <c r="D56" s="50">
        <v>8</v>
      </c>
      <c r="E56" s="50">
        <v>6</v>
      </c>
      <c r="F56" s="50">
        <v>31</v>
      </c>
      <c r="G56" s="50">
        <v>2</v>
      </c>
      <c r="H56" s="50">
        <v>3</v>
      </c>
      <c r="I56" s="50">
        <v>5</v>
      </c>
      <c r="J56" s="50">
        <v>14</v>
      </c>
      <c r="K56" s="50">
        <v>5</v>
      </c>
      <c r="L56" s="50">
        <v>22</v>
      </c>
      <c r="M56" s="50">
        <v>44</v>
      </c>
      <c r="N56" s="50">
        <v>0</v>
      </c>
      <c r="O56" s="15">
        <f t="shared" si="0"/>
        <v>131</v>
      </c>
      <c r="P56" s="15">
        <f t="shared" si="1"/>
        <v>175</v>
      </c>
      <c r="R56" s="8"/>
      <c r="T56"/>
    </row>
    <row r="57" spans="2:20" ht="23.1" customHeight="1" x14ac:dyDescent="0.25">
      <c r="B57" s="45" t="s">
        <v>84</v>
      </c>
      <c r="C57" s="50">
        <v>32</v>
      </c>
      <c r="D57" s="50">
        <v>3</v>
      </c>
      <c r="E57" s="50">
        <v>6</v>
      </c>
      <c r="F57" s="50">
        <v>27</v>
      </c>
      <c r="G57" s="50">
        <v>4</v>
      </c>
      <c r="H57" s="50">
        <v>0</v>
      </c>
      <c r="I57" s="50">
        <v>3</v>
      </c>
      <c r="J57" s="50">
        <v>7</v>
      </c>
      <c r="K57" s="50">
        <v>2</v>
      </c>
      <c r="L57" s="50">
        <v>13</v>
      </c>
      <c r="M57" s="50">
        <v>48</v>
      </c>
      <c r="N57" s="50">
        <v>0</v>
      </c>
      <c r="O57" s="15">
        <f t="shared" si="0"/>
        <v>97</v>
      </c>
      <c r="P57" s="15">
        <f t="shared" si="1"/>
        <v>145</v>
      </c>
      <c r="R57" s="8"/>
      <c r="T57"/>
    </row>
    <row r="58" spans="2:20" ht="23.1" customHeight="1" x14ac:dyDescent="0.25">
      <c r="B58" s="45" t="s">
        <v>99</v>
      </c>
      <c r="C58" s="50">
        <v>75</v>
      </c>
      <c r="D58" s="50">
        <v>6</v>
      </c>
      <c r="E58" s="50">
        <v>4</v>
      </c>
      <c r="F58" s="50">
        <v>59</v>
      </c>
      <c r="G58" s="50">
        <v>3</v>
      </c>
      <c r="H58" s="50">
        <v>6</v>
      </c>
      <c r="I58" s="50">
        <v>3</v>
      </c>
      <c r="J58" s="50">
        <v>3</v>
      </c>
      <c r="K58" s="50">
        <v>5</v>
      </c>
      <c r="L58" s="50">
        <v>12</v>
      </c>
      <c r="M58" s="50">
        <v>44</v>
      </c>
      <c r="N58" s="50">
        <v>0</v>
      </c>
      <c r="O58" s="15">
        <f t="shared" si="0"/>
        <v>176</v>
      </c>
      <c r="P58" s="15">
        <f t="shared" si="1"/>
        <v>220</v>
      </c>
      <c r="R58" s="8"/>
      <c r="T58"/>
    </row>
    <row r="59" spans="2:20" ht="23.1" customHeight="1" x14ac:dyDescent="0.25">
      <c r="B59" s="45" t="s">
        <v>100</v>
      </c>
      <c r="C59" s="50">
        <v>93</v>
      </c>
      <c r="D59" s="50">
        <v>13</v>
      </c>
      <c r="E59" s="50">
        <v>6</v>
      </c>
      <c r="F59" s="50">
        <v>58</v>
      </c>
      <c r="G59" s="50">
        <v>2</v>
      </c>
      <c r="H59" s="50">
        <v>0</v>
      </c>
      <c r="I59" s="50">
        <v>11</v>
      </c>
      <c r="J59" s="50">
        <v>15</v>
      </c>
      <c r="K59" s="50">
        <v>8</v>
      </c>
      <c r="L59" s="50">
        <v>13</v>
      </c>
      <c r="M59" s="50">
        <v>63</v>
      </c>
      <c r="N59" s="50">
        <v>0</v>
      </c>
      <c r="O59" s="15">
        <f t="shared" si="0"/>
        <v>219</v>
      </c>
      <c r="P59" s="15">
        <f t="shared" si="1"/>
        <v>282</v>
      </c>
      <c r="R59" s="8"/>
      <c r="T59"/>
    </row>
    <row r="60" spans="2:20" ht="23.1" customHeight="1" x14ac:dyDescent="0.25">
      <c r="B60" s="45" t="s">
        <v>101</v>
      </c>
      <c r="C60" s="50">
        <v>43</v>
      </c>
      <c r="D60" s="50">
        <v>9</v>
      </c>
      <c r="E60" s="50">
        <v>9</v>
      </c>
      <c r="F60" s="50">
        <v>32</v>
      </c>
      <c r="G60" s="50">
        <v>2</v>
      </c>
      <c r="H60" s="50">
        <v>6</v>
      </c>
      <c r="I60" s="50">
        <v>6</v>
      </c>
      <c r="J60" s="50">
        <v>11</v>
      </c>
      <c r="K60" s="50">
        <v>2</v>
      </c>
      <c r="L60" s="50">
        <v>26</v>
      </c>
      <c r="M60" s="50">
        <v>50</v>
      </c>
      <c r="N60" s="50">
        <v>0</v>
      </c>
      <c r="O60" s="15">
        <f t="shared" si="0"/>
        <v>146</v>
      </c>
      <c r="P60" s="15">
        <f t="shared" si="1"/>
        <v>196</v>
      </c>
      <c r="R60" s="8"/>
      <c r="T60"/>
    </row>
    <row r="61" spans="2:20" ht="23.1" customHeight="1" x14ac:dyDescent="0.25">
      <c r="B61" s="45" t="s">
        <v>102</v>
      </c>
      <c r="C61" s="50">
        <v>20</v>
      </c>
      <c r="D61" s="50">
        <v>14</v>
      </c>
      <c r="E61" s="50">
        <v>7</v>
      </c>
      <c r="F61" s="50">
        <v>46</v>
      </c>
      <c r="G61" s="50">
        <v>14</v>
      </c>
      <c r="H61" s="50">
        <v>23</v>
      </c>
      <c r="I61" s="50">
        <v>18</v>
      </c>
      <c r="J61" s="50">
        <v>4</v>
      </c>
      <c r="K61" s="50">
        <v>3</v>
      </c>
      <c r="L61" s="50">
        <v>23</v>
      </c>
      <c r="M61" s="50">
        <v>89</v>
      </c>
      <c r="N61" s="50">
        <v>0</v>
      </c>
      <c r="O61" s="15">
        <f t="shared" si="0"/>
        <v>172</v>
      </c>
      <c r="P61" s="15">
        <f t="shared" si="1"/>
        <v>261</v>
      </c>
      <c r="R61" s="8"/>
      <c r="T61"/>
    </row>
    <row r="62" spans="2:20" ht="23.1" customHeight="1" x14ac:dyDescent="0.25">
      <c r="B62" s="45" t="s">
        <v>107</v>
      </c>
      <c r="C62" s="50">
        <v>80</v>
      </c>
      <c r="D62" s="50">
        <v>29</v>
      </c>
      <c r="E62" s="50">
        <v>31</v>
      </c>
      <c r="F62" s="50">
        <v>84</v>
      </c>
      <c r="G62" s="50">
        <v>2</v>
      </c>
      <c r="H62" s="50">
        <v>3</v>
      </c>
      <c r="I62" s="50">
        <v>3</v>
      </c>
      <c r="J62" s="50">
        <v>34</v>
      </c>
      <c r="K62" s="50">
        <v>14</v>
      </c>
      <c r="L62" s="50">
        <v>33</v>
      </c>
      <c r="M62" s="50">
        <v>104</v>
      </c>
      <c r="N62" s="50">
        <v>0</v>
      </c>
      <c r="O62" s="15">
        <f t="shared" si="0"/>
        <v>313</v>
      </c>
      <c r="P62" s="15">
        <f t="shared" si="1"/>
        <v>417</v>
      </c>
      <c r="R62" s="8"/>
      <c r="T62"/>
    </row>
    <row r="63" spans="2:20" ht="23.1" customHeight="1" x14ac:dyDescent="0.25">
      <c r="B63" s="45" t="s">
        <v>108</v>
      </c>
      <c r="C63" s="50">
        <v>48</v>
      </c>
      <c r="D63" s="50">
        <v>24</v>
      </c>
      <c r="E63" s="50">
        <v>14</v>
      </c>
      <c r="F63" s="50">
        <v>64</v>
      </c>
      <c r="G63" s="50">
        <v>4</v>
      </c>
      <c r="H63" s="50">
        <v>1</v>
      </c>
      <c r="I63" s="50">
        <v>8</v>
      </c>
      <c r="J63" s="50">
        <v>2</v>
      </c>
      <c r="K63" s="50">
        <v>4</v>
      </c>
      <c r="L63" s="50">
        <v>18</v>
      </c>
      <c r="M63" s="50">
        <v>105</v>
      </c>
      <c r="N63" s="50">
        <v>0</v>
      </c>
      <c r="O63" s="15">
        <f t="shared" si="0"/>
        <v>187</v>
      </c>
      <c r="P63" s="15">
        <f t="shared" si="1"/>
        <v>292</v>
      </c>
      <c r="R63" s="8"/>
      <c r="T63"/>
    </row>
    <row r="64" spans="2:20" ht="23.1" customHeight="1" x14ac:dyDescent="0.25">
      <c r="B64" s="45" t="s">
        <v>109</v>
      </c>
      <c r="C64" s="50">
        <v>64</v>
      </c>
      <c r="D64" s="50">
        <v>31</v>
      </c>
      <c r="E64" s="50">
        <v>19</v>
      </c>
      <c r="F64" s="50">
        <v>94</v>
      </c>
      <c r="G64" s="50">
        <v>8</v>
      </c>
      <c r="H64" s="50">
        <v>0</v>
      </c>
      <c r="I64" s="50">
        <v>4</v>
      </c>
      <c r="J64" s="50">
        <v>1</v>
      </c>
      <c r="K64" s="50">
        <v>8</v>
      </c>
      <c r="L64" s="50">
        <v>14</v>
      </c>
      <c r="M64" s="50">
        <v>86</v>
      </c>
      <c r="N64" s="50">
        <v>0</v>
      </c>
      <c r="O64" s="15">
        <f t="shared" si="0"/>
        <v>243</v>
      </c>
      <c r="P64" s="15">
        <f t="shared" si="1"/>
        <v>329</v>
      </c>
      <c r="R64" s="8"/>
      <c r="T64"/>
    </row>
    <row r="65" spans="2:20" ht="23.1" customHeight="1" x14ac:dyDescent="0.25">
      <c r="B65" s="45" t="s">
        <v>158</v>
      </c>
      <c r="C65" s="50">
        <v>79</v>
      </c>
      <c r="D65" s="50">
        <v>14</v>
      </c>
      <c r="E65" s="50">
        <v>14</v>
      </c>
      <c r="F65" s="50">
        <v>94</v>
      </c>
      <c r="G65" s="50">
        <v>3</v>
      </c>
      <c r="H65" s="50">
        <v>0</v>
      </c>
      <c r="I65" s="50">
        <v>14</v>
      </c>
      <c r="J65" s="50">
        <v>4</v>
      </c>
      <c r="K65" s="50">
        <v>3</v>
      </c>
      <c r="L65" s="50">
        <v>24</v>
      </c>
      <c r="M65" s="50">
        <v>63</v>
      </c>
      <c r="N65" s="50">
        <v>0</v>
      </c>
      <c r="O65" s="15">
        <f t="shared" si="0"/>
        <v>249</v>
      </c>
      <c r="P65" s="15">
        <f t="shared" si="1"/>
        <v>312</v>
      </c>
      <c r="R65" s="8"/>
      <c r="T65"/>
    </row>
    <row r="66" spans="2:20" ht="23.1" customHeight="1" x14ac:dyDescent="0.25">
      <c r="B66" s="45" t="s">
        <v>103</v>
      </c>
      <c r="C66" s="50">
        <v>55</v>
      </c>
      <c r="D66" s="50">
        <v>25</v>
      </c>
      <c r="E66" s="50">
        <v>9</v>
      </c>
      <c r="F66" s="50">
        <v>86</v>
      </c>
      <c r="G66" s="50">
        <v>4</v>
      </c>
      <c r="H66" s="50">
        <v>0</v>
      </c>
      <c r="I66" s="50">
        <v>16</v>
      </c>
      <c r="J66" s="50">
        <v>8</v>
      </c>
      <c r="K66" s="50">
        <v>3</v>
      </c>
      <c r="L66" s="50">
        <v>34</v>
      </c>
      <c r="M66" s="50">
        <v>108</v>
      </c>
      <c r="N66" s="50">
        <v>0</v>
      </c>
      <c r="O66" s="15">
        <f t="shared" si="0"/>
        <v>240</v>
      </c>
      <c r="P66" s="15">
        <f t="shared" si="1"/>
        <v>348</v>
      </c>
      <c r="R66" s="8"/>
      <c r="T66"/>
    </row>
    <row r="67" spans="2:20" ht="23.1" customHeight="1" x14ac:dyDescent="0.25">
      <c r="B67" s="45" t="s">
        <v>104</v>
      </c>
      <c r="C67" s="50">
        <v>44</v>
      </c>
      <c r="D67" s="50">
        <v>14</v>
      </c>
      <c r="E67" s="50">
        <v>14</v>
      </c>
      <c r="F67" s="50">
        <v>59</v>
      </c>
      <c r="G67" s="50">
        <v>9</v>
      </c>
      <c r="H67" s="50">
        <v>2</v>
      </c>
      <c r="I67" s="50">
        <v>8</v>
      </c>
      <c r="J67" s="50">
        <v>8</v>
      </c>
      <c r="K67" s="50">
        <v>4</v>
      </c>
      <c r="L67" s="50">
        <v>19</v>
      </c>
      <c r="M67" s="50">
        <v>64</v>
      </c>
      <c r="N67" s="50">
        <v>0</v>
      </c>
      <c r="O67" s="15">
        <f t="shared" si="0"/>
        <v>181</v>
      </c>
      <c r="P67" s="15">
        <f t="shared" si="1"/>
        <v>245</v>
      </c>
      <c r="R67" s="8"/>
      <c r="T67"/>
    </row>
    <row r="68" spans="2:20" ht="23.1" customHeight="1" x14ac:dyDescent="0.25">
      <c r="B68" s="45" t="s">
        <v>105</v>
      </c>
      <c r="C68" s="50">
        <v>71</v>
      </c>
      <c r="D68" s="50">
        <v>4</v>
      </c>
      <c r="E68" s="50">
        <v>4</v>
      </c>
      <c r="F68" s="50">
        <v>98</v>
      </c>
      <c r="G68" s="50">
        <v>9</v>
      </c>
      <c r="H68" s="50">
        <v>44</v>
      </c>
      <c r="I68" s="50">
        <v>14</v>
      </c>
      <c r="J68" s="50">
        <v>11</v>
      </c>
      <c r="K68" s="50">
        <v>9</v>
      </c>
      <c r="L68" s="50">
        <v>14</v>
      </c>
      <c r="M68" s="50">
        <v>44</v>
      </c>
      <c r="N68" s="50">
        <v>0</v>
      </c>
      <c r="O68" s="15">
        <f t="shared" si="0"/>
        <v>278</v>
      </c>
      <c r="P68" s="15">
        <f t="shared" si="1"/>
        <v>322</v>
      </c>
      <c r="R68" s="8"/>
      <c r="T68"/>
    </row>
    <row r="69" spans="2:20" ht="23.1" customHeight="1" x14ac:dyDescent="0.25">
      <c r="B69" s="45" t="s">
        <v>106</v>
      </c>
      <c r="C69" s="50">
        <v>4</v>
      </c>
      <c r="D69" s="50">
        <v>2</v>
      </c>
      <c r="E69" s="50">
        <v>3</v>
      </c>
      <c r="F69" s="50">
        <v>94</v>
      </c>
      <c r="G69" s="50">
        <v>0</v>
      </c>
      <c r="H69" s="50">
        <v>25</v>
      </c>
      <c r="I69" s="50">
        <v>9</v>
      </c>
      <c r="J69" s="50">
        <v>4</v>
      </c>
      <c r="K69" s="50">
        <v>6</v>
      </c>
      <c r="L69" s="50">
        <v>14</v>
      </c>
      <c r="M69" s="50">
        <v>74</v>
      </c>
      <c r="N69" s="50">
        <v>0</v>
      </c>
      <c r="O69" s="15">
        <f t="shared" si="0"/>
        <v>161</v>
      </c>
      <c r="P69" s="15">
        <f t="shared" si="1"/>
        <v>235</v>
      </c>
      <c r="R69" s="8"/>
      <c r="T69"/>
    </row>
    <row r="70" spans="2:20" ht="23.1" customHeight="1" x14ac:dyDescent="0.25">
      <c r="B70" s="45" t="s">
        <v>110</v>
      </c>
      <c r="C70" s="50">
        <v>14</v>
      </c>
      <c r="D70" s="50">
        <v>3</v>
      </c>
      <c r="E70" s="50">
        <v>1</v>
      </c>
      <c r="F70" s="50">
        <v>14</v>
      </c>
      <c r="G70" s="50">
        <v>2</v>
      </c>
      <c r="H70" s="50">
        <v>2</v>
      </c>
      <c r="I70" s="50">
        <v>3</v>
      </c>
      <c r="J70" s="50">
        <v>2</v>
      </c>
      <c r="K70" s="50">
        <v>2</v>
      </c>
      <c r="L70" s="50">
        <v>13</v>
      </c>
      <c r="M70" s="50">
        <v>44</v>
      </c>
      <c r="N70" s="50">
        <v>0</v>
      </c>
      <c r="O70" s="15">
        <f t="shared" si="0"/>
        <v>56</v>
      </c>
      <c r="P70" s="15">
        <f t="shared" si="1"/>
        <v>100</v>
      </c>
      <c r="R70" s="8"/>
      <c r="T70"/>
    </row>
    <row r="71" spans="2:20" ht="23.1" customHeight="1" x14ac:dyDescent="0.25">
      <c r="B71" s="45" t="s">
        <v>111</v>
      </c>
      <c r="C71" s="50">
        <v>23</v>
      </c>
      <c r="D71" s="50">
        <v>4</v>
      </c>
      <c r="E71" s="50">
        <v>3</v>
      </c>
      <c r="F71" s="50">
        <v>19</v>
      </c>
      <c r="G71" s="50">
        <v>4</v>
      </c>
      <c r="H71" s="50">
        <v>0</v>
      </c>
      <c r="I71" s="50">
        <v>6</v>
      </c>
      <c r="J71" s="50">
        <v>3</v>
      </c>
      <c r="K71" s="50">
        <v>2</v>
      </c>
      <c r="L71" s="50">
        <v>9</v>
      </c>
      <c r="M71" s="50">
        <v>18</v>
      </c>
      <c r="N71" s="50">
        <v>0</v>
      </c>
      <c r="O71" s="15">
        <f t="shared" si="0"/>
        <v>73</v>
      </c>
      <c r="P71" s="15">
        <f t="shared" si="1"/>
        <v>91</v>
      </c>
      <c r="R71" s="8"/>
      <c r="T71"/>
    </row>
    <row r="72" spans="2:20" ht="23.1" customHeight="1" x14ac:dyDescent="0.25">
      <c r="B72" s="45" t="s">
        <v>112</v>
      </c>
      <c r="C72" s="50">
        <v>8</v>
      </c>
      <c r="D72" s="50">
        <v>7</v>
      </c>
      <c r="E72" s="50">
        <v>3</v>
      </c>
      <c r="F72" s="50">
        <v>14</v>
      </c>
      <c r="G72" s="50">
        <v>3</v>
      </c>
      <c r="H72" s="50">
        <v>0</v>
      </c>
      <c r="I72" s="50">
        <v>3</v>
      </c>
      <c r="J72" s="50">
        <v>1</v>
      </c>
      <c r="K72" s="50">
        <v>6</v>
      </c>
      <c r="L72" s="50">
        <v>9</v>
      </c>
      <c r="M72" s="50">
        <v>13</v>
      </c>
      <c r="N72" s="50">
        <v>0</v>
      </c>
      <c r="O72" s="15">
        <f t="shared" si="0"/>
        <v>54</v>
      </c>
      <c r="P72" s="15">
        <f t="shared" si="1"/>
        <v>67</v>
      </c>
      <c r="R72" s="8"/>
      <c r="T72"/>
    </row>
    <row r="73" spans="2:20" ht="23.1" customHeight="1" x14ac:dyDescent="0.25">
      <c r="B73" s="45" t="s">
        <v>113</v>
      </c>
      <c r="C73" s="50">
        <v>19</v>
      </c>
      <c r="D73" s="50">
        <v>3</v>
      </c>
      <c r="E73" s="50">
        <v>0</v>
      </c>
      <c r="F73" s="50">
        <v>18</v>
      </c>
      <c r="G73" s="50">
        <v>6</v>
      </c>
      <c r="H73" s="50">
        <v>3</v>
      </c>
      <c r="I73" s="50">
        <v>4</v>
      </c>
      <c r="J73" s="50">
        <v>9</v>
      </c>
      <c r="K73" s="50">
        <v>3</v>
      </c>
      <c r="L73" s="50">
        <v>4</v>
      </c>
      <c r="M73" s="50">
        <v>14</v>
      </c>
      <c r="N73" s="50">
        <v>0</v>
      </c>
      <c r="O73" s="15">
        <f t="shared" si="0"/>
        <v>69</v>
      </c>
      <c r="P73" s="15">
        <f t="shared" si="1"/>
        <v>83</v>
      </c>
      <c r="R73" s="8"/>
      <c r="T73"/>
    </row>
    <row r="74" spans="2:20" ht="23.1" customHeight="1" x14ac:dyDescent="0.25">
      <c r="B74" s="45" t="s">
        <v>114</v>
      </c>
      <c r="C74" s="50">
        <v>23</v>
      </c>
      <c r="D74" s="50">
        <v>8</v>
      </c>
      <c r="E74" s="50">
        <v>2</v>
      </c>
      <c r="F74" s="50">
        <v>8</v>
      </c>
      <c r="G74" s="50">
        <v>3</v>
      </c>
      <c r="H74" s="50">
        <v>2</v>
      </c>
      <c r="I74" s="50">
        <v>1</v>
      </c>
      <c r="J74" s="50">
        <v>0</v>
      </c>
      <c r="K74" s="50">
        <v>11</v>
      </c>
      <c r="L74" s="50">
        <v>34</v>
      </c>
      <c r="M74" s="50">
        <v>14</v>
      </c>
      <c r="N74" s="50">
        <v>0</v>
      </c>
      <c r="O74" s="15">
        <f t="shared" ref="O74:O105" si="35">SUM(C74:L74,N74)</f>
        <v>92</v>
      </c>
      <c r="P74" s="15">
        <f t="shared" ref="P74:P105" si="36">SUM(C74:N74)</f>
        <v>106</v>
      </c>
      <c r="R74" s="8"/>
      <c r="T74"/>
    </row>
    <row r="75" spans="2:20" ht="23.1" customHeight="1" x14ac:dyDescent="0.25">
      <c r="B75" s="45" t="s">
        <v>115</v>
      </c>
      <c r="C75" s="50">
        <v>14</v>
      </c>
      <c r="D75" s="50">
        <v>9</v>
      </c>
      <c r="E75" s="50">
        <v>0</v>
      </c>
      <c r="F75" s="50">
        <v>15</v>
      </c>
      <c r="G75" s="50">
        <v>0</v>
      </c>
      <c r="H75" s="50">
        <v>1</v>
      </c>
      <c r="I75" s="50">
        <v>0</v>
      </c>
      <c r="J75" s="50">
        <v>2</v>
      </c>
      <c r="K75" s="50">
        <v>5</v>
      </c>
      <c r="L75" s="50">
        <v>9</v>
      </c>
      <c r="M75" s="50">
        <v>28</v>
      </c>
      <c r="N75" s="50">
        <v>0</v>
      </c>
      <c r="O75" s="15">
        <f t="shared" si="35"/>
        <v>55</v>
      </c>
      <c r="P75" s="15">
        <f t="shared" si="36"/>
        <v>83</v>
      </c>
      <c r="R75" s="8"/>
      <c r="T75"/>
    </row>
    <row r="76" spans="2:20" ht="23.1" customHeight="1" x14ac:dyDescent="0.25">
      <c r="B76" s="45" t="s">
        <v>116</v>
      </c>
      <c r="C76" s="50">
        <v>9</v>
      </c>
      <c r="D76" s="50">
        <v>2</v>
      </c>
      <c r="E76" s="50">
        <v>3</v>
      </c>
      <c r="F76" s="50">
        <v>14</v>
      </c>
      <c r="G76" s="50">
        <v>2</v>
      </c>
      <c r="H76" s="50">
        <v>0</v>
      </c>
      <c r="I76" s="50">
        <v>3</v>
      </c>
      <c r="J76" s="50">
        <v>5</v>
      </c>
      <c r="K76" s="50">
        <v>3</v>
      </c>
      <c r="L76" s="50">
        <v>18</v>
      </c>
      <c r="M76" s="50">
        <v>16</v>
      </c>
      <c r="N76" s="50">
        <v>0</v>
      </c>
      <c r="O76" s="15">
        <f t="shared" si="35"/>
        <v>59</v>
      </c>
      <c r="P76" s="15">
        <f t="shared" si="36"/>
        <v>75</v>
      </c>
      <c r="R76" s="8"/>
      <c r="T76"/>
    </row>
    <row r="77" spans="2:20" ht="23.1" customHeight="1" x14ac:dyDescent="0.25">
      <c r="B77" s="45" t="s">
        <v>117</v>
      </c>
      <c r="C77" s="50">
        <v>13</v>
      </c>
      <c r="D77" s="50">
        <v>4</v>
      </c>
      <c r="E77" s="50">
        <v>1</v>
      </c>
      <c r="F77" s="50">
        <v>11</v>
      </c>
      <c r="G77" s="50">
        <v>4</v>
      </c>
      <c r="H77" s="50">
        <v>0</v>
      </c>
      <c r="I77" s="50">
        <v>2</v>
      </c>
      <c r="J77" s="50">
        <v>3</v>
      </c>
      <c r="K77" s="50">
        <v>8</v>
      </c>
      <c r="L77" s="50">
        <v>13</v>
      </c>
      <c r="M77" s="50">
        <v>17</v>
      </c>
      <c r="N77" s="50">
        <v>0</v>
      </c>
      <c r="O77" s="15">
        <f t="shared" si="35"/>
        <v>59</v>
      </c>
      <c r="P77" s="15">
        <f t="shared" si="36"/>
        <v>76</v>
      </c>
      <c r="R77" s="8"/>
      <c r="T77"/>
    </row>
    <row r="78" spans="2:20" ht="23.1" customHeight="1" x14ac:dyDescent="0.25">
      <c r="B78" s="46" t="s">
        <v>118</v>
      </c>
      <c r="C78" s="50">
        <v>11</v>
      </c>
      <c r="D78" s="50">
        <v>4</v>
      </c>
      <c r="E78" s="50">
        <v>5</v>
      </c>
      <c r="F78" s="50">
        <v>4</v>
      </c>
      <c r="G78" s="50">
        <v>2</v>
      </c>
      <c r="H78" s="50">
        <v>1</v>
      </c>
      <c r="I78" s="50">
        <v>3</v>
      </c>
      <c r="J78" s="50">
        <v>4</v>
      </c>
      <c r="K78" s="50">
        <v>6</v>
      </c>
      <c r="L78" s="50">
        <v>14</v>
      </c>
      <c r="M78" s="50">
        <v>9</v>
      </c>
      <c r="N78" s="50">
        <v>0</v>
      </c>
      <c r="O78" s="15">
        <f t="shared" si="35"/>
        <v>54</v>
      </c>
      <c r="P78" s="15">
        <f t="shared" si="36"/>
        <v>63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2</v>
      </c>
      <c r="E79" s="50">
        <v>3</v>
      </c>
      <c r="F79" s="50">
        <v>7</v>
      </c>
      <c r="G79" s="50">
        <v>0</v>
      </c>
      <c r="H79" s="50">
        <v>0</v>
      </c>
      <c r="I79" s="50">
        <v>4</v>
      </c>
      <c r="J79" s="50">
        <v>7</v>
      </c>
      <c r="K79" s="50">
        <v>2</v>
      </c>
      <c r="L79" s="50">
        <v>9</v>
      </c>
      <c r="M79" s="50">
        <v>4</v>
      </c>
      <c r="N79" s="50">
        <v>0</v>
      </c>
      <c r="O79" s="15">
        <f t="shared" si="35"/>
        <v>42</v>
      </c>
      <c r="P79" s="15">
        <f t="shared" si="36"/>
        <v>46</v>
      </c>
      <c r="R79" s="8"/>
      <c r="T79"/>
    </row>
    <row r="80" spans="2:20" ht="23.1" customHeight="1" x14ac:dyDescent="0.25">
      <c r="B80" s="47" t="s">
        <v>120</v>
      </c>
      <c r="C80" s="50">
        <v>8</v>
      </c>
      <c r="D80" s="50">
        <v>4</v>
      </c>
      <c r="E80" s="50">
        <v>3</v>
      </c>
      <c r="F80" s="50">
        <v>3</v>
      </c>
      <c r="G80" s="50">
        <v>3</v>
      </c>
      <c r="H80" s="50">
        <v>0</v>
      </c>
      <c r="I80" s="50">
        <v>5</v>
      </c>
      <c r="J80" s="50">
        <v>3</v>
      </c>
      <c r="K80" s="50">
        <v>12</v>
      </c>
      <c r="L80" s="50">
        <v>8</v>
      </c>
      <c r="M80" s="50">
        <v>3</v>
      </c>
      <c r="N80" s="50">
        <v>0</v>
      </c>
      <c r="O80" s="15">
        <f t="shared" si="35"/>
        <v>49</v>
      </c>
      <c r="P80" s="15">
        <f t="shared" si="36"/>
        <v>52</v>
      </c>
      <c r="R80" s="8"/>
      <c r="T80"/>
    </row>
    <row r="81" spans="2:20" ht="23.1" customHeight="1" x14ac:dyDescent="0.25">
      <c r="B81" s="45" t="s">
        <v>121</v>
      </c>
      <c r="C81" s="50">
        <v>7</v>
      </c>
      <c r="D81" s="50">
        <v>3</v>
      </c>
      <c r="E81" s="50">
        <v>2</v>
      </c>
      <c r="F81" s="50">
        <v>1</v>
      </c>
      <c r="G81" s="50">
        <v>2</v>
      </c>
      <c r="H81" s="50">
        <v>3</v>
      </c>
      <c r="I81" s="50">
        <v>3</v>
      </c>
      <c r="J81" s="50">
        <v>0</v>
      </c>
      <c r="K81" s="50">
        <v>3</v>
      </c>
      <c r="L81" s="50">
        <v>4</v>
      </c>
      <c r="M81" s="50">
        <v>8</v>
      </c>
      <c r="N81" s="50">
        <v>0</v>
      </c>
      <c r="O81" s="15">
        <f t="shared" si="35"/>
        <v>28</v>
      </c>
      <c r="P81" s="15">
        <f t="shared" si="36"/>
        <v>36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2</v>
      </c>
      <c r="E82" s="50">
        <v>3</v>
      </c>
      <c r="F82" s="50">
        <v>8</v>
      </c>
      <c r="G82" s="50">
        <v>1</v>
      </c>
      <c r="H82" s="50">
        <v>3</v>
      </c>
      <c r="I82" s="50">
        <v>3</v>
      </c>
      <c r="J82" s="50">
        <v>2</v>
      </c>
      <c r="K82" s="50">
        <v>2</v>
      </c>
      <c r="L82" s="50">
        <v>4</v>
      </c>
      <c r="M82" s="50">
        <v>9</v>
      </c>
      <c r="N82" s="50">
        <v>0</v>
      </c>
      <c r="O82" s="15">
        <f t="shared" si="35"/>
        <v>32</v>
      </c>
      <c r="P82" s="15">
        <f t="shared" si="36"/>
        <v>41</v>
      </c>
      <c r="R82" s="8"/>
      <c r="T82"/>
    </row>
    <row r="83" spans="2:20" ht="23.1" customHeight="1" x14ac:dyDescent="0.25">
      <c r="B83" s="45" t="s">
        <v>123</v>
      </c>
      <c r="C83" s="50">
        <v>7</v>
      </c>
      <c r="D83" s="50">
        <v>0</v>
      </c>
      <c r="E83" s="50">
        <v>1</v>
      </c>
      <c r="F83" s="50">
        <v>4</v>
      </c>
      <c r="G83" s="50">
        <v>0</v>
      </c>
      <c r="H83" s="50">
        <v>1</v>
      </c>
      <c r="I83" s="50">
        <v>0</v>
      </c>
      <c r="J83" s="50">
        <v>4</v>
      </c>
      <c r="K83" s="50">
        <v>2</v>
      </c>
      <c r="L83" s="50">
        <v>9</v>
      </c>
      <c r="M83" s="50">
        <v>7</v>
      </c>
      <c r="N83" s="50">
        <v>0</v>
      </c>
      <c r="O83" s="15">
        <f t="shared" si="35"/>
        <v>28</v>
      </c>
      <c r="P83" s="15">
        <f t="shared" si="36"/>
        <v>35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0</v>
      </c>
      <c r="E84" s="50">
        <v>3</v>
      </c>
      <c r="F84" s="50">
        <v>6</v>
      </c>
      <c r="G84" s="50">
        <v>0</v>
      </c>
      <c r="H84" s="50">
        <v>0</v>
      </c>
      <c r="I84" s="50">
        <v>2</v>
      </c>
      <c r="J84" s="50">
        <v>3</v>
      </c>
      <c r="K84" s="50">
        <v>3</v>
      </c>
      <c r="L84" s="50">
        <v>8</v>
      </c>
      <c r="M84" s="50">
        <v>3</v>
      </c>
      <c r="N84" s="50">
        <v>0</v>
      </c>
      <c r="O84" s="15">
        <f t="shared" si="35"/>
        <v>28</v>
      </c>
      <c r="P84" s="15">
        <f t="shared" si="36"/>
        <v>31</v>
      </c>
      <c r="R84" s="8"/>
      <c r="T84"/>
    </row>
    <row r="85" spans="2:20" ht="23.1" customHeight="1" x14ac:dyDescent="0.25">
      <c r="B85" s="45" t="s">
        <v>125</v>
      </c>
      <c r="C85" s="50">
        <v>9</v>
      </c>
      <c r="D85" s="50">
        <v>6</v>
      </c>
      <c r="E85" s="50">
        <v>1</v>
      </c>
      <c r="F85" s="50">
        <v>3</v>
      </c>
      <c r="G85" s="50">
        <v>2</v>
      </c>
      <c r="H85" s="50">
        <v>4</v>
      </c>
      <c r="I85" s="50">
        <v>0</v>
      </c>
      <c r="J85" s="50">
        <v>0</v>
      </c>
      <c r="K85" s="50">
        <v>4</v>
      </c>
      <c r="L85" s="50">
        <v>10</v>
      </c>
      <c r="M85" s="50">
        <v>4</v>
      </c>
      <c r="N85" s="50">
        <v>0</v>
      </c>
      <c r="O85" s="15">
        <f t="shared" si="35"/>
        <v>39</v>
      </c>
      <c r="P85" s="15">
        <f t="shared" si="36"/>
        <v>43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2</v>
      </c>
      <c r="E86" s="50">
        <v>3</v>
      </c>
      <c r="F86" s="50">
        <v>8</v>
      </c>
      <c r="G86" s="50">
        <v>0</v>
      </c>
      <c r="H86" s="50">
        <v>2</v>
      </c>
      <c r="I86" s="50">
        <v>3</v>
      </c>
      <c r="J86" s="50">
        <v>0</v>
      </c>
      <c r="K86" s="50">
        <v>4</v>
      </c>
      <c r="L86" s="50">
        <v>7</v>
      </c>
      <c r="M86" s="50">
        <v>5</v>
      </c>
      <c r="N86" s="50">
        <v>0</v>
      </c>
      <c r="O86" s="15">
        <f t="shared" si="35"/>
        <v>33</v>
      </c>
      <c r="P86" s="15">
        <f t="shared" si="36"/>
        <v>38</v>
      </c>
      <c r="R86" s="8"/>
      <c r="T86"/>
    </row>
    <row r="87" spans="2:20" ht="23.1" customHeight="1" x14ac:dyDescent="0.25">
      <c r="B87" s="45" t="s">
        <v>127</v>
      </c>
      <c r="C87" s="50">
        <v>9</v>
      </c>
      <c r="D87" s="50">
        <v>5</v>
      </c>
      <c r="E87" s="50">
        <v>5</v>
      </c>
      <c r="F87" s="50">
        <v>3</v>
      </c>
      <c r="G87" s="50">
        <v>0</v>
      </c>
      <c r="H87" s="50">
        <v>1</v>
      </c>
      <c r="I87" s="50">
        <v>1</v>
      </c>
      <c r="J87" s="50">
        <v>4</v>
      </c>
      <c r="K87" s="50">
        <v>7</v>
      </c>
      <c r="L87" s="50">
        <v>3</v>
      </c>
      <c r="M87" s="50">
        <v>7</v>
      </c>
      <c r="N87" s="50">
        <v>0</v>
      </c>
      <c r="O87" s="15">
        <f t="shared" si="35"/>
        <v>38</v>
      </c>
      <c r="P87" s="15">
        <f t="shared" si="36"/>
        <v>45</v>
      </c>
      <c r="R87" s="8"/>
      <c r="T87"/>
    </row>
    <row r="88" spans="2:20" ht="23.1" customHeight="1" x14ac:dyDescent="0.25">
      <c r="B88" s="47" t="s">
        <v>128</v>
      </c>
      <c r="C88" s="50">
        <v>10</v>
      </c>
      <c r="D88" s="50">
        <v>8</v>
      </c>
      <c r="E88" s="50">
        <v>4</v>
      </c>
      <c r="F88" s="50">
        <v>7</v>
      </c>
      <c r="G88" s="50">
        <v>0</v>
      </c>
      <c r="H88" s="50">
        <v>1</v>
      </c>
      <c r="I88" s="50">
        <v>0</v>
      </c>
      <c r="J88" s="50">
        <v>0</v>
      </c>
      <c r="K88" s="50">
        <v>5</v>
      </c>
      <c r="L88" s="50">
        <v>11</v>
      </c>
      <c r="M88" s="50">
        <v>2</v>
      </c>
      <c r="N88" s="50">
        <v>0</v>
      </c>
      <c r="O88" s="15">
        <f t="shared" si="35"/>
        <v>46</v>
      </c>
      <c r="P88" s="15">
        <f t="shared" si="36"/>
        <v>48</v>
      </c>
      <c r="R88" s="8"/>
      <c r="T88"/>
    </row>
    <row r="89" spans="2:20" ht="23.1" customHeight="1" x14ac:dyDescent="0.25">
      <c r="B89" s="45" t="s">
        <v>129</v>
      </c>
      <c r="C89" s="50">
        <v>8</v>
      </c>
      <c r="D89" s="50">
        <v>7</v>
      </c>
      <c r="E89" s="50">
        <v>2</v>
      </c>
      <c r="F89" s="50">
        <v>1</v>
      </c>
      <c r="G89" s="50">
        <v>1</v>
      </c>
      <c r="H89" s="50">
        <v>0</v>
      </c>
      <c r="I89" s="50">
        <v>0</v>
      </c>
      <c r="J89" s="50">
        <v>1</v>
      </c>
      <c r="K89" s="50">
        <v>8</v>
      </c>
      <c r="L89" s="50">
        <v>8</v>
      </c>
      <c r="M89" s="50">
        <v>3</v>
      </c>
      <c r="N89" s="50">
        <v>0</v>
      </c>
      <c r="O89" s="15">
        <f t="shared" si="35"/>
        <v>36</v>
      </c>
      <c r="P89" s="15">
        <f t="shared" si="36"/>
        <v>39</v>
      </c>
      <c r="R89" s="8"/>
      <c r="T89"/>
    </row>
    <row r="90" spans="2:20" ht="23.1" customHeight="1" x14ac:dyDescent="0.25">
      <c r="B90" s="46" t="s">
        <v>130</v>
      </c>
      <c r="C90" s="50">
        <v>9</v>
      </c>
      <c r="D90" s="50">
        <v>4</v>
      </c>
      <c r="E90" s="50">
        <v>2</v>
      </c>
      <c r="F90" s="50">
        <v>11</v>
      </c>
      <c r="G90" s="50">
        <v>1</v>
      </c>
      <c r="H90" s="50">
        <v>2</v>
      </c>
      <c r="I90" s="50">
        <v>4</v>
      </c>
      <c r="J90" s="50">
        <v>3</v>
      </c>
      <c r="K90" s="50">
        <v>3</v>
      </c>
      <c r="L90" s="50">
        <v>19</v>
      </c>
      <c r="M90" s="50">
        <v>9</v>
      </c>
      <c r="N90" s="50">
        <v>0</v>
      </c>
      <c r="O90" s="15">
        <f t="shared" si="35"/>
        <v>58</v>
      </c>
      <c r="P90" s="15">
        <f t="shared" si="36"/>
        <v>67</v>
      </c>
      <c r="R90" s="8"/>
      <c r="T90"/>
    </row>
    <row r="91" spans="2:20" ht="23.1" customHeight="1" x14ac:dyDescent="0.25">
      <c r="B91" s="45" t="s">
        <v>131</v>
      </c>
      <c r="C91" s="50">
        <v>7</v>
      </c>
      <c r="D91" s="50">
        <v>7</v>
      </c>
      <c r="E91" s="50">
        <v>0</v>
      </c>
      <c r="F91" s="50">
        <v>9</v>
      </c>
      <c r="G91" s="50">
        <v>0</v>
      </c>
      <c r="H91" s="50">
        <v>0</v>
      </c>
      <c r="I91" s="50">
        <v>6</v>
      </c>
      <c r="J91" s="50">
        <v>14</v>
      </c>
      <c r="K91" s="50">
        <v>4</v>
      </c>
      <c r="L91" s="50">
        <v>11</v>
      </c>
      <c r="M91" s="50">
        <v>8</v>
      </c>
      <c r="N91" s="50">
        <v>0</v>
      </c>
      <c r="O91" s="15">
        <f t="shared" si="35"/>
        <v>58</v>
      </c>
      <c r="P91" s="15">
        <f t="shared" si="36"/>
        <v>66</v>
      </c>
      <c r="R91" s="8"/>
      <c r="T91"/>
    </row>
    <row r="92" spans="2:20" ht="23.1" customHeight="1" x14ac:dyDescent="0.25">
      <c r="B92" s="47" t="s">
        <v>132</v>
      </c>
      <c r="C92" s="50">
        <v>14</v>
      </c>
      <c r="D92" s="50">
        <v>9</v>
      </c>
      <c r="E92" s="50">
        <v>4</v>
      </c>
      <c r="F92" s="50">
        <v>13</v>
      </c>
      <c r="G92" s="50">
        <v>0</v>
      </c>
      <c r="H92" s="50">
        <v>4</v>
      </c>
      <c r="I92" s="50">
        <v>4</v>
      </c>
      <c r="J92" s="50">
        <v>8</v>
      </c>
      <c r="K92" s="50">
        <v>3</v>
      </c>
      <c r="L92" s="50">
        <v>14</v>
      </c>
      <c r="M92" s="50">
        <v>10</v>
      </c>
      <c r="N92" s="50">
        <v>0</v>
      </c>
      <c r="O92" s="15">
        <f t="shared" si="35"/>
        <v>73</v>
      </c>
      <c r="P92" s="15">
        <f t="shared" si="36"/>
        <v>83</v>
      </c>
      <c r="R92" s="8"/>
      <c r="T92"/>
    </row>
    <row r="93" spans="2:20" ht="23.1" customHeight="1" x14ac:dyDescent="0.25">
      <c r="B93" s="45" t="s">
        <v>133</v>
      </c>
      <c r="C93" s="50">
        <v>11</v>
      </c>
      <c r="D93" s="50">
        <v>5</v>
      </c>
      <c r="E93" s="50">
        <v>6</v>
      </c>
      <c r="F93" s="50">
        <v>8</v>
      </c>
      <c r="G93" s="50">
        <v>2</v>
      </c>
      <c r="H93" s="50">
        <v>2</v>
      </c>
      <c r="I93" s="50">
        <v>2</v>
      </c>
      <c r="J93" s="50">
        <v>8</v>
      </c>
      <c r="K93" s="50">
        <v>7</v>
      </c>
      <c r="L93" s="50">
        <v>9</v>
      </c>
      <c r="M93" s="50">
        <v>9</v>
      </c>
      <c r="N93" s="50">
        <v>0</v>
      </c>
      <c r="O93" s="15">
        <f t="shared" si="35"/>
        <v>60</v>
      </c>
      <c r="P93" s="15">
        <f t="shared" si="36"/>
        <v>69</v>
      </c>
      <c r="R93" s="8"/>
      <c r="T93"/>
    </row>
    <row r="94" spans="2:20" ht="23.1" customHeight="1" x14ac:dyDescent="0.25">
      <c r="B94" s="46" t="s">
        <v>134</v>
      </c>
      <c r="C94" s="50">
        <v>9</v>
      </c>
      <c r="D94" s="50">
        <v>4</v>
      </c>
      <c r="E94" s="50">
        <v>4</v>
      </c>
      <c r="F94" s="50">
        <v>9</v>
      </c>
      <c r="G94" s="50">
        <v>2</v>
      </c>
      <c r="H94" s="50">
        <v>1</v>
      </c>
      <c r="I94" s="50">
        <v>14</v>
      </c>
      <c r="J94" s="50">
        <v>4</v>
      </c>
      <c r="K94" s="50">
        <v>1</v>
      </c>
      <c r="L94" s="50">
        <v>16</v>
      </c>
      <c r="M94" s="50">
        <v>19</v>
      </c>
      <c r="N94" s="50">
        <v>0</v>
      </c>
      <c r="O94" s="15">
        <f t="shared" si="35"/>
        <v>64</v>
      </c>
      <c r="P94" s="15">
        <f t="shared" si="36"/>
        <v>83</v>
      </c>
      <c r="R94" s="8"/>
      <c r="T94"/>
    </row>
    <row r="95" spans="2:20" ht="23.1" customHeight="1" x14ac:dyDescent="0.25">
      <c r="B95" s="45" t="s">
        <v>135</v>
      </c>
      <c r="C95" s="50">
        <v>18</v>
      </c>
      <c r="D95" s="50">
        <v>3</v>
      </c>
      <c r="E95" s="50">
        <v>7</v>
      </c>
      <c r="F95" s="50">
        <v>12</v>
      </c>
      <c r="G95" s="50">
        <v>4</v>
      </c>
      <c r="H95" s="50">
        <v>3</v>
      </c>
      <c r="I95" s="50">
        <v>4</v>
      </c>
      <c r="J95" s="50">
        <v>3</v>
      </c>
      <c r="K95" s="50">
        <v>3</v>
      </c>
      <c r="L95" s="50">
        <v>13</v>
      </c>
      <c r="M95" s="50">
        <v>16</v>
      </c>
      <c r="N95" s="50">
        <v>0</v>
      </c>
      <c r="O95" s="15">
        <f t="shared" si="35"/>
        <v>70</v>
      </c>
      <c r="P95" s="15">
        <f t="shared" si="36"/>
        <v>86</v>
      </c>
      <c r="R95" s="8"/>
      <c r="T95"/>
    </row>
    <row r="96" spans="2:20" ht="23.1" customHeight="1" x14ac:dyDescent="0.25">
      <c r="B96" s="47" t="s">
        <v>136</v>
      </c>
      <c r="C96" s="50">
        <v>29</v>
      </c>
      <c r="D96" s="50">
        <v>1</v>
      </c>
      <c r="E96" s="50">
        <v>3</v>
      </c>
      <c r="F96" s="50">
        <v>8</v>
      </c>
      <c r="G96" s="50">
        <v>3</v>
      </c>
      <c r="H96" s="50">
        <v>2</v>
      </c>
      <c r="I96" s="50">
        <v>8</v>
      </c>
      <c r="J96" s="50">
        <v>7</v>
      </c>
      <c r="K96" s="50">
        <v>3</v>
      </c>
      <c r="L96" s="50">
        <v>13</v>
      </c>
      <c r="M96" s="50">
        <v>11</v>
      </c>
      <c r="N96" s="50">
        <v>0</v>
      </c>
      <c r="O96" s="15">
        <f t="shared" si="35"/>
        <v>77</v>
      </c>
      <c r="P96" s="15">
        <f t="shared" si="36"/>
        <v>88</v>
      </c>
      <c r="R96" s="8"/>
      <c r="T96"/>
    </row>
    <row r="97" spans="2:20" ht="23.1" customHeight="1" x14ac:dyDescent="0.25">
      <c r="B97" s="45" t="s">
        <v>137</v>
      </c>
      <c r="C97" s="50">
        <v>16</v>
      </c>
      <c r="D97" s="50">
        <v>9</v>
      </c>
      <c r="E97" s="50">
        <v>2</v>
      </c>
      <c r="F97" s="50">
        <v>19</v>
      </c>
      <c r="G97" s="50">
        <v>3</v>
      </c>
      <c r="H97" s="50">
        <v>4</v>
      </c>
      <c r="I97" s="50">
        <v>13</v>
      </c>
      <c r="J97" s="50">
        <v>4</v>
      </c>
      <c r="K97" s="50">
        <v>7</v>
      </c>
      <c r="L97" s="50">
        <v>9</v>
      </c>
      <c r="M97" s="50">
        <v>16</v>
      </c>
      <c r="N97" s="50">
        <v>0</v>
      </c>
      <c r="O97" s="15">
        <f t="shared" si="35"/>
        <v>86</v>
      </c>
      <c r="P97" s="15">
        <f t="shared" si="36"/>
        <v>102</v>
      </c>
      <c r="R97" s="8"/>
      <c r="T97"/>
    </row>
    <row r="98" spans="2:20" ht="23.1" customHeight="1" x14ac:dyDescent="0.25">
      <c r="B98" s="46" t="s">
        <v>138</v>
      </c>
      <c r="C98" s="50">
        <v>17</v>
      </c>
      <c r="D98" s="50">
        <v>3</v>
      </c>
      <c r="E98" s="50">
        <v>5</v>
      </c>
      <c r="F98" s="50">
        <v>19</v>
      </c>
      <c r="G98" s="50">
        <v>3</v>
      </c>
      <c r="H98" s="50">
        <v>7</v>
      </c>
      <c r="I98" s="50">
        <v>4</v>
      </c>
      <c r="J98" s="50">
        <v>11</v>
      </c>
      <c r="K98" s="50">
        <v>3</v>
      </c>
      <c r="L98" s="50">
        <v>14</v>
      </c>
      <c r="M98" s="50">
        <v>9</v>
      </c>
      <c r="N98" s="50">
        <v>0</v>
      </c>
      <c r="O98" s="15">
        <f t="shared" si="35"/>
        <v>86</v>
      </c>
      <c r="P98" s="15">
        <f t="shared" si="36"/>
        <v>95</v>
      </c>
      <c r="R98" s="8"/>
      <c r="T98"/>
    </row>
    <row r="99" spans="2:20" ht="23.1" customHeight="1" x14ac:dyDescent="0.25">
      <c r="B99" s="45" t="s">
        <v>139</v>
      </c>
      <c r="C99" s="50">
        <v>14</v>
      </c>
      <c r="D99" s="50">
        <v>4</v>
      </c>
      <c r="E99" s="50">
        <v>9</v>
      </c>
      <c r="F99" s="50">
        <v>34</v>
      </c>
      <c r="G99" s="50">
        <v>4</v>
      </c>
      <c r="H99" s="50">
        <v>3</v>
      </c>
      <c r="I99" s="50">
        <v>8</v>
      </c>
      <c r="J99" s="50">
        <v>4</v>
      </c>
      <c r="K99" s="50">
        <v>6</v>
      </c>
      <c r="L99" s="50">
        <v>18</v>
      </c>
      <c r="M99" s="50">
        <v>7</v>
      </c>
      <c r="N99" s="50">
        <v>0</v>
      </c>
      <c r="O99" s="15">
        <f t="shared" si="35"/>
        <v>104</v>
      </c>
      <c r="P99" s="15">
        <f t="shared" si="36"/>
        <v>111</v>
      </c>
      <c r="R99" s="8"/>
      <c r="T99"/>
    </row>
    <row r="100" spans="2:20" ht="23.1" customHeight="1" x14ac:dyDescent="0.25">
      <c r="B100" s="47" t="s">
        <v>140</v>
      </c>
      <c r="C100" s="50">
        <v>9</v>
      </c>
      <c r="D100" s="50">
        <v>2</v>
      </c>
      <c r="E100" s="50">
        <v>3</v>
      </c>
      <c r="F100" s="50">
        <v>9</v>
      </c>
      <c r="G100" s="50">
        <v>1</v>
      </c>
      <c r="H100" s="50">
        <v>5</v>
      </c>
      <c r="I100" s="50">
        <v>4</v>
      </c>
      <c r="J100" s="50">
        <v>0</v>
      </c>
      <c r="K100" s="50">
        <v>4</v>
      </c>
      <c r="L100" s="50">
        <v>14</v>
      </c>
      <c r="M100" s="50">
        <v>14</v>
      </c>
      <c r="N100" s="50">
        <v>0</v>
      </c>
      <c r="O100" s="15">
        <f t="shared" si="35"/>
        <v>51</v>
      </c>
      <c r="P100" s="15">
        <f t="shared" si="36"/>
        <v>65</v>
      </c>
      <c r="R100" s="8"/>
      <c r="T100"/>
    </row>
    <row r="101" spans="2:20" ht="23.1" customHeight="1" x14ac:dyDescent="0.25">
      <c r="B101" s="45" t="s">
        <v>141</v>
      </c>
      <c r="C101" s="50">
        <v>19</v>
      </c>
      <c r="D101" s="50">
        <v>9</v>
      </c>
      <c r="E101" s="50">
        <v>4</v>
      </c>
      <c r="F101" s="50">
        <v>13</v>
      </c>
      <c r="G101" s="50">
        <v>5</v>
      </c>
      <c r="H101" s="50">
        <v>1</v>
      </c>
      <c r="I101" s="50">
        <v>7</v>
      </c>
      <c r="J101" s="50">
        <v>9</v>
      </c>
      <c r="K101" s="50">
        <v>12</v>
      </c>
      <c r="L101" s="50">
        <v>29</v>
      </c>
      <c r="M101" s="50">
        <v>13</v>
      </c>
      <c r="N101" s="50">
        <v>0</v>
      </c>
      <c r="O101" s="15">
        <f t="shared" si="35"/>
        <v>108</v>
      </c>
      <c r="P101" s="15">
        <f t="shared" si="36"/>
        <v>121</v>
      </c>
      <c r="R101" s="8"/>
      <c r="T101"/>
    </row>
    <row r="102" spans="2:20" ht="23.1" customHeight="1" x14ac:dyDescent="0.25">
      <c r="B102" s="46" t="s">
        <v>142</v>
      </c>
      <c r="C102" s="50">
        <v>64</v>
      </c>
      <c r="D102" s="50">
        <v>5</v>
      </c>
      <c r="E102" s="50">
        <v>4</v>
      </c>
      <c r="F102" s="50">
        <v>83</v>
      </c>
      <c r="G102" s="50">
        <v>3</v>
      </c>
      <c r="H102" s="50">
        <v>4</v>
      </c>
      <c r="I102" s="50">
        <v>4</v>
      </c>
      <c r="J102" s="50">
        <v>4</v>
      </c>
      <c r="K102" s="50">
        <v>2</v>
      </c>
      <c r="L102" s="50">
        <v>7</v>
      </c>
      <c r="M102" s="50">
        <v>49</v>
      </c>
      <c r="N102" s="50">
        <v>0</v>
      </c>
      <c r="O102" s="15">
        <f t="shared" si="35"/>
        <v>180</v>
      </c>
      <c r="P102" s="15">
        <f t="shared" si="36"/>
        <v>229</v>
      </c>
      <c r="R102" s="8"/>
      <c r="T102"/>
    </row>
    <row r="103" spans="2:20" ht="23.1" customHeight="1" x14ac:dyDescent="0.25">
      <c r="B103" s="45" t="s">
        <v>143</v>
      </c>
      <c r="C103" s="50">
        <v>34</v>
      </c>
      <c r="D103" s="50">
        <v>4</v>
      </c>
      <c r="E103" s="50">
        <v>7</v>
      </c>
      <c r="F103" s="50">
        <v>44</v>
      </c>
      <c r="G103" s="50">
        <v>2</v>
      </c>
      <c r="H103" s="50">
        <v>3</v>
      </c>
      <c r="I103" s="50">
        <v>8</v>
      </c>
      <c r="J103" s="50">
        <v>7</v>
      </c>
      <c r="K103" s="50">
        <v>4</v>
      </c>
      <c r="L103" s="50">
        <v>4</v>
      </c>
      <c r="M103" s="50">
        <v>24</v>
      </c>
      <c r="N103" s="50">
        <v>0</v>
      </c>
      <c r="O103" s="15">
        <f t="shared" si="35"/>
        <v>117</v>
      </c>
      <c r="P103" s="15">
        <f t="shared" si="36"/>
        <v>141</v>
      </c>
      <c r="R103" s="8"/>
      <c r="T103"/>
    </row>
    <row r="104" spans="2:20" ht="23.1" customHeight="1" x14ac:dyDescent="0.25">
      <c r="B104" s="47" t="s">
        <v>144</v>
      </c>
      <c r="C104" s="50">
        <v>34</v>
      </c>
      <c r="D104" s="50">
        <v>7</v>
      </c>
      <c r="E104" s="50">
        <v>6</v>
      </c>
      <c r="F104" s="50">
        <v>20</v>
      </c>
      <c r="G104" s="50">
        <v>0</v>
      </c>
      <c r="H104" s="50">
        <v>2</v>
      </c>
      <c r="I104" s="50">
        <v>1</v>
      </c>
      <c r="J104" s="50">
        <v>3</v>
      </c>
      <c r="K104" s="50">
        <v>1</v>
      </c>
      <c r="L104" s="50">
        <v>19</v>
      </c>
      <c r="M104" s="50">
        <v>39</v>
      </c>
      <c r="N104" s="50">
        <v>0</v>
      </c>
      <c r="O104" s="15">
        <f t="shared" si="35"/>
        <v>93</v>
      </c>
      <c r="P104" s="15">
        <f t="shared" si="36"/>
        <v>132</v>
      </c>
      <c r="R104" s="8"/>
      <c r="T104"/>
    </row>
    <row r="105" spans="2:20" ht="23.1" customHeight="1" x14ac:dyDescent="0.25">
      <c r="B105" s="45" t="s">
        <v>145</v>
      </c>
      <c r="C105" s="50">
        <v>74</v>
      </c>
      <c r="D105" s="50">
        <v>5</v>
      </c>
      <c r="E105" s="50">
        <v>3</v>
      </c>
      <c r="F105" s="50">
        <v>23</v>
      </c>
      <c r="G105" s="50">
        <v>0</v>
      </c>
      <c r="H105" s="50">
        <v>3</v>
      </c>
      <c r="I105" s="50">
        <v>9</v>
      </c>
      <c r="J105" s="50">
        <v>4</v>
      </c>
      <c r="K105" s="50">
        <v>18</v>
      </c>
      <c r="L105" s="50">
        <v>59</v>
      </c>
      <c r="M105" s="50">
        <v>75</v>
      </c>
      <c r="N105" s="50">
        <v>0</v>
      </c>
      <c r="O105" s="15">
        <f t="shared" si="35"/>
        <v>198</v>
      </c>
      <c r="P105" s="15">
        <f t="shared" si="36"/>
        <v>273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3143</v>
      </c>
      <c r="D106" s="16">
        <f t="shared" ref="D106:P106" si="37">SUM(D10:D105)</f>
        <v>650</v>
      </c>
      <c r="E106" s="16">
        <f t="shared" si="37"/>
        <v>524</v>
      </c>
      <c r="F106" s="16">
        <f t="shared" si="37"/>
        <v>2699</v>
      </c>
      <c r="G106" s="16">
        <f t="shared" si="37"/>
        <v>208</v>
      </c>
      <c r="H106" s="16">
        <f t="shared" si="37"/>
        <v>238</v>
      </c>
      <c r="I106" s="16">
        <f t="shared" si="37"/>
        <v>523</v>
      </c>
      <c r="J106" s="16">
        <f t="shared" si="37"/>
        <v>530</v>
      </c>
      <c r="K106" s="16">
        <f t="shared" si="37"/>
        <v>428</v>
      </c>
      <c r="L106" s="16">
        <f t="shared" si="37"/>
        <v>1215</v>
      </c>
      <c r="M106" s="16">
        <f t="shared" si="37"/>
        <v>3746</v>
      </c>
      <c r="N106" s="16">
        <f t="shared" si="37"/>
        <v>0</v>
      </c>
      <c r="O106" s="16">
        <f t="shared" si="37"/>
        <v>10158</v>
      </c>
      <c r="P106" s="16">
        <f t="shared" si="37"/>
        <v>13904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0.22605005753739932</v>
      </c>
      <c r="D107" s="43">
        <f t="shared" si="38"/>
        <v>4.6749136939010359E-2</v>
      </c>
      <c r="E107" s="43">
        <f t="shared" si="38"/>
        <v>3.7686996547756042E-2</v>
      </c>
      <c r="F107" s="43">
        <f t="shared" si="38"/>
        <v>0.19411680092059838</v>
      </c>
      <c r="G107" s="43">
        <f t="shared" si="38"/>
        <v>1.4959723820483314E-2</v>
      </c>
      <c r="H107" s="43">
        <f t="shared" si="38"/>
        <v>1.7117376294591483E-2</v>
      </c>
      <c r="I107" s="43">
        <f t="shared" si="38"/>
        <v>3.76150747986191E-2</v>
      </c>
      <c r="J107" s="43">
        <f t="shared" si="38"/>
        <v>3.8118527042577677E-2</v>
      </c>
      <c r="K107" s="43">
        <f t="shared" si="38"/>
        <v>3.0782508630609898E-2</v>
      </c>
      <c r="L107" s="43">
        <f t="shared" si="38"/>
        <v>8.73849252013809E-2</v>
      </c>
      <c r="M107" s="43">
        <f t="shared" si="38"/>
        <v>0.26941887226697353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0.30941130143729079</v>
      </c>
      <c r="D108" s="44">
        <f t="shared" ref="D108:N108" si="39">D106/$O$106</f>
        <v>6.3988974207521171E-2</v>
      </c>
      <c r="E108" s="44">
        <f t="shared" si="39"/>
        <v>5.1584957668832448E-2</v>
      </c>
      <c r="F108" s="44">
        <f t="shared" si="39"/>
        <v>0.26570190982476866</v>
      </c>
      <c r="G108" s="44">
        <f t="shared" si="39"/>
        <v>2.0476471746406773E-2</v>
      </c>
      <c r="H108" s="44">
        <f t="shared" si="39"/>
        <v>2.3429809017523135E-2</v>
      </c>
      <c r="I108" s="44">
        <f t="shared" si="39"/>
        <v>5.1486513093128572E-2</v>
      </c>
      <c r="J108" s="44">
        <f t="shared" si="39"/>
        <v>5.2175625123055722E-2</v>
      </c>
      <c r="K108" s="44">
        <f t="shared" si="39"/>
        <v>4.2134278401260092E-2</v>
      </c>
      <c r="L108" s="44">
        <f t="shared" si="39"/>
        <v>0.11961015948021264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40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'2.11 Mukono-Mbalala-24h'!D5</f>
        <v>2.11.19</v>
      </c>
      <c r="E5" s="3"/>
      <c r="F5" s="41" t="s">
        <v>1</v>
      </c>
      <c r="G5" s="61" t="str">
        <f>'2.11 Mukono-Mbalala-24h'!G5:H5</f>
        <v>Perfect tents</v>
      </c>
      <c r="H5" s="62"/>
      <c r="I5" s="14"/>
      <c r="J5" s="2" t="s">
        <v>5</v>
      </c>
      <c r="K5" s="61" t="s">
        <v>181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Mbalala-Mukono'!D6:E6</f>
        <v>Mbalala</v>
      </c>
      <c r="E6" s="62"/>
      <c r="F6" s="2" t="s">
        <v>2</v>
      </c>
      <c r="G6" s="61" t="str">
        <f>'29.10 Mbalala-Mukono'!G6:H6</f>
        <v>Mukono</v>
      </c>
      <c r="H6" s="62"/>
      <c r="J6" s="2" t="s">
        <v>21</v>
      </c>
      <c r="K6" s="61" t="str">
        <f>'2.11 Mukono-Mbalala-24h'!K6:L6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3</v>
      </c>
      <c r="E10" s="50">
        <v>3</v>
      </c>
      <c r="F10" s="50">
        <v>23</v>
      </c>
      <c r="G10" s="50">
        <v>0</v>
      </c>
      <c r="H10" s="50">
        <v>1</v>
      </c>
      <c r="I10" s="50">
        <v>1</v>
      </c>
      <c r="J10" s="50">
        <v>1</v>
      </c>
      <c r="K10" s="50">
        <v>2</v>
      </c>
      <c r="L10" s="50">
        <v>11</v>
      </c>
      <c r="M10" s="50">
        <v>50</v>
      </c>
      <c r="N10" s="50">
        <v>0</v>
      </c>
      <c r="O10" s="15">
        <f t="shared" ref="O10:O73" si="0">SUM(C10:L10,N10)</f>
        <v>49</v>
      </c>
      <c r="P10" s="15">
        <f t="shared" ref="P10:P73" si="1">SUM(C10:N10)</f>
        <v>99</v>
      </c>
      <c r="R10" s="1" t="s">
        <v>6</v>
      </c>
      <c r="S10" s="17">
        <f t="shared" ref="S10:AF10" si="2">SUM(C10:C13)</f>
        <v>32</v>
      </c>
      <c r="T10" s="17">
        <f t="shared" si="2"/>
        <v>16</v>
      </c>
      <c r="U10" s="17">
        <f t="shared" si="2"/>
        <v>10</v>
      </c>
      <c r="V10" s="17">
        <f t="shared" si="2"/>
        <v>90</v>
      </c>
      <c r="W10" s="17">
        <f t="shared" si="2"/>
        <v>4</v>
      </c>
      <c r="X10" s="17">
        <f t="shared" si="2"/>
        <v>2</v>
      </c>
      <c r="Y10" s="17">
        <f t="shared" si="2"/>
        <v>6</v>
      </c>
      <c r="Z10" s="17">
        <f t="shared" si="2"/>
        <v>9</v>
      </c>
      <c r="AA10" s="17">
        <f t="shared" si="2"/>
        <v>7</v>
      </c>
      <c r="AB10" s="17">
        <f t="shared" si="2"/>
        <v>53</v>
      </c>
      <c r="AC10" s="17">
        <f t="shared" si="2"/>
        <v>210</v>
      </c>
      <c r="AD10" s="17">
        <f t="shared" si="2"/>
        <v>0</v>
      </c>
      <c r="AE10" s="31">
        <f t="shared" si="2"/>
        <v>229</v>
      </c>
      <c r="AF10" s="31">
        <f t="shared" si="2"/>
        <v>439</v>
      </c>
    </row>
    <row r="11" spans="2:32" s="6" customFormat="1" ht="23.1" customHeight="1" x14ac:dyDescent="0.25">
      <c r="B11" s="45" t="s">
        <v>38</v>
      </c>
      <c r="C11" s="50">
        <v>7</v>
      </c>
      <c r="D11" s="50">
        <v>4</v>
      </c>
      <c r="E11" s="50">
        <v>1</v>
      </c>
      <c r="F11" s="50">
        <v>21</v>
      </c>
      <c r="G11" s="50">
        <v>2</v>
      </c>
      <c r="H11" s="50">
        <v>0</v>
      </c>
      <c r="I11" s="50">
        <v>1</v>
      </c>
      <c r="J11" s="50">
        <v>1</v>
      </c>
      <c r="K11" s="50">
        <v>0</v>
      </c>
      <c r="L11" s="50">
        <v>10</v>
      </c>
      <c r="M11" s="50">
        <v>47</v>
      </c>
      <c r="N11" s="50">
        <v>0</v>
      </c>
      <c r="O11" s="15">
        <f t="shared" si="0"/>
        <v>47</v>
      </c>
      <c r="P11" s="15">
        <f t="shared" si="1"/>
        <v>94</v>
      </c>
      <c r="R11" s="1" t="s">
        <v>7</v>
      </c>
      <c r="S11" s="17">
        <f t="shared" ref="S11:AF11" si="3">SUM(C14:C17)</f>
        <v>64</v>
      </c>
      <c r="T11" s="17">
        <f t="shared" si="3"/>
        <v>27</v>
      </c>
      <c r="U11" s="17">
        <f t="shared" si="3"/>
        <v>17</v>
      </c>
      <c r="V11" s="17">
        <f t="shared" si="3"/>
        <v>110</v>
      </c>
      <c r="W11" s="17">
        <f t="shared" si="3"/>
        <v>3</v>
      </c>
      <c r="X11" s="17">
        <f t="shared" si="3"/>
        <v>2</v>
      </c>
      <c r="Y11" s="17">
        <f t="shared" si="3"/>
        <v>14</v>
      </c>
      <c r="Z11" s="17">
        <f t="shared" si="3"/>
        <v>15</v>
      </c>
      <c r="AA11" s="17">
        <f t="shared" si="3"/>
        <v>8</v>
      </c>
      <c r="AB11" s="17">
        <f t="shared" si="3"/>
        <v>54</v>
      </c>
      <c r="AC11" s="17">
        <f t="shared" si="3"/>
        <v>232</v>
      </c>
      <c r="AD11" s="17">
        <f t="shared" si="3"/>
        <v>0</v>
      </c>
      <c r="AE11" s="31">
        <f t="shared" si="3"/>
        <v>314</v>
      </c>
      <c r="AF11" s="31">
        <f t="shared" si="3"/>
        <v>546</v>
      </c>
    </row>
    <row r="12" spans="2:32" ht="23.1" customHeight="1" x14ac:dyDescent="0.25">
      <c r="B12" s="45" t="s">
        <v>39</v>
      </c>
      <c r="C12" s="50">
        <v>15</v>
      </c>
      <c r="D12" s="50">
        <v>4</v>
      </c>
      <c r="E12" s="50">
        <v>1</v>
      </c>
      <c r="F12" s="50">
        <v>21</v>
      </c>
      <c r="G12" s="50">
        <v>2</v>
      </c>
      <c r="H12" s="50">
        <v>0</v>
      </c>
      <c r="I12" s="50">
        <v>2</v>
      </c>
      <c r="J12" s="50">
        <v>2</v>
      </c>
      <c r="K12" s="50">
        <v>2</v>
      </c>
      <c r="L12" s="50">
        <v>20</v>
      </c>
      <c r="M12" s="50">
        <v>62</v>
      </c>
      <c r="N12" s="50">
        <v>0</v>
      </c>
      <c r="O12" s="15">
        <f t="shared" si="0"/>
        <v>69</v>
      </c>
      <c r="P12" s="15">
        <f t="shared" si="1"/>
        <v>131</v>
      </c>
      <c r="R12" s="1" t="s">
        <v>8</v>
      </c>
      <c r="S12" s="17">
        <f t="shared" ref="S12:AF12" si="4">SUM(C18:C21)</f>
        <v>58</v>
      </c>
      <c r="T12" s="17">
        <f t="shared" si="4"/>
        <v>19</v>
      </c>
      <c r="U12" s="17">
        <f t="shared" si="4"/>
        <v>10</v>
      </c>
      <c r="V12" s="17">
        <f t="shared" si="4"/>
        <v>101</v>
      </c>
      <c r="W12" s="17">
        <f t="shared" si="4"/>
        <v>0</v>
      </c>
      <c r="X12" s="17">
        <f t="shared" si="4"/>
        <v>1</v>
      </c>
      <c r="Y12" s="17">
        <f t="shared" si="4"/>
        <v>8</v>
      </c>
      <c r="Z12" s="17">
        <f t="shared" si="4"/>
        <v>13</v>
      </c>
      <c r="AA12" s="17">
        <f t="shared" si="4"/>
        <v>9</v>
      </c>
      <c r="AB12" s="17">
        <f t="shared" si="4"/>
        <v>40</v>
      </c>
      <c r="AC12" s="17">
        <f t="shared" si="4"/>
        <v>190</v>
      </c>
      <c r="AD12" s="17">
        <f t="shared" si="4"/>
        <v>0</v>
      </c>
      <c r="AE12" s="31">
        <f t="shared" si="4"/>
        <v>259</v>
      </c>
      <c r="AF12" s="31">
        <f t="shared" si="4"/>
        <v>449</v>
      </c>
    </row>
    <row r="13" spans="2:32" ht="23.1" customHeight="1" x14ac:dyDescent="0.25">
      <c r="B13" s="45" t="s">
        <v>40</v>
      </c>
      <c r="C13" s="50">
        <v>6</v>
      </c>
      <c r="D13" s="50">
        <v>5</v>
      </c>
      <c r="E13" s="50">
        <v>5</v>
      </c>
      <c r="F13" s="50">
        <v>25</v>
      </c>
      <c r="G13" s="50">
        <v>0</v>
      </c>
      <c r="H13" s="50">
        <v>1</v>
      </c>
      <c r="I13" s="50">
        <v>2</v>
      </c>
      <c r="J13" s="50">
        <v>5</v>
      </c>
      <c r="K13" s="50">
        <v>3</v>
      </c>
      <c r="L13" s="50">
        <v>12</v>
      </c>
      <c r="M13" s="50">
        <v>51</v>
      </c>
      <c r="N13" s="50">
        <v>0</v>
      </c>
      <c r="O13" s="15">
        <f t="shared" si="0"/>
        <v>64</v>
      </c>
      <c r="P13" s="15">
        <f t="shared" si="1"/>
        <v>115</v>
      </c>
      <c r="R13" s="1" t="s">
        <v>9</v>
      </c>
      <c r="S13" s="17">
        <f t="shared" ref="S13:AF13" si="5">SUM(C22:C25)</f>
        <v>80</v>
      </c>
      <c r="T13" s="17">
        <f t="shared" si="5"/>
        <v>39</v>
      </c>
      <c r="U13" s="17">
        <f t="shared" si="5"/>
        <v>26</v>
      </c>
      <c r="V13" s="17">
        <f t="shared" si="5"/>
        <v>114</v>
      </c>
      <c r="W13" s="17">
        <f t="shared" si="5"/>
        <v>4</v>
      </c>
      <c r="X13" s="17">
        <f t="shared" si="5"/>
        <v>3</v>
      </c>
      <c r="Y13" s="17">
        <f t="shared" si="5"/>
        <v>26</v>
      </c>
      <c r="Z13" s="17">
        <f t="shared" si="5"/>
        <v>22</v>
      </c>
      <c r="AA13" s="17">
        <f t="shared" si="5"/>
        <v>8</v>
      </c>
      <c r="AB13" s="17">
        <f t="shared" si="5"/>
        <v>22</v>
      </c>
      <c r="AC13" s="17">
        <f t="shared" si="5"/>
        <v>233</v>
      </c>
      <c r="AD13" s="17">
        <f t="shared" si="5"/>
        <v>0</v>
      </c>
      <c r="AE13" s="31">
        <f t="shared" si="5"/>
        <v>344</v>
      </c>
      <c r="AF13" s="31">
        <f t="shared" si="5"/>
        <v>577</v>
      </c>
    </row>
    <row r="14" spans="2:32" ht="23.1" customHeight="1" x14ac:dyDescent="0.25">
      <c r="B14" s="45" t="s">
        <v>41</v>
      </c>
      <c r="C14" s="50">
        <v>16</v>
      </c>
      <c r="D14" s="50">
        <v>7</v>
      </c>
      <c r="E14" s="50">
        <v>3</v>
      </c>
      <c r="F14" s="50">
        <v>25</v>
      </c>
      <c r="G14" s="50">
        <v>1</v>
      </c>
      <c r="H14" s="50">
        <v>0</v>
      </c>
      <c r="I14" s="50">
        <v>3</v>
      </c>
      <c r="J14" s="50">
        <v>3</v>
      </c>
      <c r="K14" s="50">
        <v>1</v>
      </c>
      <c r="L14" s="50">
        <v>19</v>
      </c>
      <c r="M14" s="50">
        <v>77</v>
      </c>
      <c r="N14" s="50">
        <v>0</v>
      </c>
      <c r="O14" s="15">
        <f t="shared" si="0"/>
        <v>78</v>
      </c>
      <c r="P14" s="15">
        <f t="shared" si="1"/>
        <v>155</v>
      </c>
      <c r="R14" s="1" t="s">
        <v>10</v>
      </c>
      <c r="S14" s="17">
        <f t="shared" ref="S14:AF14" si="6">SUM(C26:C29)</f>
        <v>95</v>
      </c>
      <c r="T14" s="17">
        <f t="shared" si="6"/>
        <v>40</v>
      </c>
      <c r="U14" s="17">
        <f t="shared" si="6"/>
        <v>19</v>
      </c>
      <c r="V14" s="17">
        <f t="shared" si="6"/>
        <v>120</v>
      </c>
      <c r="W14" s="17">
        <f t="shared" si="6"/>
        <v>3</v>
      </c>
      <c r="X14" s="17">
        <f t="shared" si="6"/>
        <v>2</v>
      </c>
      <c r="Y14" s="17">
        <f t="shared" si="6"/>
        <v>30</v>
      </c>
      <c r="Z14" s="17">
        <f t="shared" si="6"/>
        <v>31</v>
      </c>
      <c r="AA14" s="17">
        <f t="shared" si="6"/>
        <v>14</v>
      </c>
      <c r="AB14" s="17">
        <f t="shared" si="6"/>
        <v>47</v>
      </c>
      <c r="AC14" s="17">
        <f t="shared" si="6"/>
        <v>182</v>
      </c>
      <c r="AD14" s="17">
        <f t="shared" si="6"/>
        <v>0</v>
      </c>
      <c r="AE14" s="31">
        <f t="shared" si="6"/>
        <v>401</v>
      </c>
      <c r="AF14" s="31">
        <f t="shared" si="6"/>
        <v>583</v>
      </c>
    </row>
    <row r="15" spans="2:32" ht="23.1" customHeight="1" x14ac:dyDescent="0.25">
      <c r="B15" s="45" t="s">
        <v>42</v>
      </c>
      <c r="C15" s="50">
        <v>15</v>
      </c>
      <c r="D15" s="50">
        <v>10</v>
      </c>
      <c r="E15" s="50">
        <v>5</v>
      </c>
      <c r="F15" s="50">
        <v>29</v>
      </c>
      <c r="G15" s="50">
        <v>0</v>
      </c>
      <c r="H15" s="50">
        <v>0</v>
      </c>
      <c r="I15" s="50">
        <v>6</v>
      </c>
      <c r="J15" s="50">
        <v>4</v>
      </c>
      <c r="K15" s="50">
        <v>3</v>
      </c>
      <c r="L15" s="50">
        <v>20</v>
      </c>
      <c r="M15" s="50">
        <v>61</v>
      </c>
      <c r="N15" s="50">
        <v>0</v>
      </c>
      <c r="O15" s="15">
        <f t="shared" si="0"/>
        <v>92</v>
      </c>
      <c r="P15" s="15">
        <f t="shared" si="1"/>
        <v>153</v>
      </c>
      <c r="R15" s="1" t="s">
        <v>11</v>
      </c>
      <c r="S15" s="17">
        <f t="shared" ref="S15:AF15" si="7">SUM(C30:C33)</f>
        <v>122</v>
      </c>
      <c r="T15" s="17">
        <f t="shared" si="7"/>
        <v>46</v>
      </c>
      <c r="U15" s="17">
        <f t="shared" si="7"/>
        <v>30</v>
      </c>
      <c r="V15" s="17">
        <f t="shared" si="7"/>
        <v>112</v>
      </c>
      <c r="W15" s="17">
        <f t="shared" si="7"/>
        <v>2</v>
      </c>
      <c r="X15" s="17">
        <f t="shared" si="7"/>
        <v>3</v>
      </c>
      <c r="Y15" s="17">
        <f t="shared" si="7"/>
        <v>38</v>
      </c>
      <c r="Z15" s="17">
        <f t="shared" si="7"/>
        <v>23</v>
      </c>
      <c r="AA15" s="17">
        <f t="shared" si="7"/>
        <v>9</v>
      </c>
      <c r="AB15" s="17">
        <f t="shared" si="7"/>
        <v>37</v>
      </c>
      <c r="AC15" s="17">
        <f t="shared" si="7"/>
        <v>204</v>
      </c>
      <c r="AD15" s="17">
        <f t="shared" si="7"/>
        <v>0</v>
      </c>
      <c r="AE15" s="31">
        <f t="shared" si="7"/>
        <v>422</v>
      </c>
      <c r="AF15" s="31">
        <f t="shared" si="7"/>
        <v>626</v>
      </c>
    </row>
    <row r="16" spans="2:32" ht="23.1" customHeight="1" x14ac:dyDescent="0.25">
      <c r="B16" s="45" t="s">
        <v>43</v>
      </c>
      <c r="C16" s="50">
        <v>19</v>
      </c>
      <c r="D16" s="50">
        <v>4</v>
      </c>
      <c r="E16" s="50">
        <v>6</v>
      </c>
      <c r="F16" s="50">
        <v>29</v>
      </c>
      <c r="G16" s="50">
        <v>1</v>
      </c>
      <c r="H16" s="50">
        <v>2</v>
      </c>
      <c r="I16" s="50">
        <v>4</v>
      </c>
      <c r="J16" s="50">
        <v>2</v>
      </c>
      <c r="K16" s="50">
        <v>3</v>
      </c>
      <c r="L16" s="50">
        <v>6</v>
      </c>
      <c r="M16" s="50">
        <v>51</v>
      </c>
      <c r="N16" s="50">
        <v>0</v>
      </c>
      <c r="O16" s="15">
        <f t="shared" si="0"/>
        <v>76</v>
      </c>
      <c r="P16" s="15">
        <f t="shared" si="1"/>
        <v>127</v>
      </c>
      <c r="R16" s="1" t="s">
        <v>12</v>
      </c>
      <c r="S16" s="17">
        <f t="shared" ref="S16:AF16" si="8">SUM(C34:C37)</f>
        <v>127</v>
      </c>
      <c r="T16" s="17">
        <f t="shared" si="8"/>
        <v>50</v>
      </c>
      <c r="U16" s="17">
        <f t="shared" si="8"/>
        <v>30</v>
      </c>
      <c r="V16" s="17">
        <f t="shared" si="8"/>
        <v>119</v>
      </c>
      <c r="W16" s="17">
        <f t="shared" si="8"/>
        <v>2</v>
      </c>
      <c r="X16" s="17">
        <f t="shared" si="8"/>
        <v>1</v>
      </c>
      <c r="Y16" s="17">
        <f t="shared" si="8"/>
        <v>35</v>
      </c>
      <c r="Z16" s="17">
        <f t="shared" si="8"/>
        <v>17</v>
      </c>
      <c r="AA16" s="17">
        <f t="shared" si="8"/>
        <v>7</v>
      </c>
      <c r="AB16" s="17">
        <f t="shared" si="8"/>
        <v>20</v>
      </c>
      <c r="AC16" s="17">
        <f t="shared" si="8"/>
        <v>185</v>
      </c>
      <c r="AD16" s="17">
        <f t="shared" si="8"/>
        <v>0</v>
      </c>
      <c r="AE16" s="31">
        <f t="shared" si="8"/>
        <v>408</v>
      </c>
      <c r="AF16" s="31">
        <f t="shared" si="8"/>
        <v>593</v>
      </c>
    </row>
    <row r="17" spans="2:32" ht="23.1" customHeight="1" x14ac:dyDescent="0.25">
      <c r="B17" s="45" t="s">
        <v>44</v>
      </c>
      <c r="C17" s="50">
        <v>14</v>
      </c>
      <c r="D17" s="50">
        <v>6</v>
      </c>
      <c r="E17" s="50">
        <v>3</v>
      </c>
      <c r="F17" s="50">
        <v>27</v>
      </c>
      <c r="G17" s="50">
        <v>1</v>
      </c>
      <c r="H17" s="50">
        <v>0</v>
      </c>
      <c r="I17" s="50">
        <v>1</v>
      </c>
      <c r="J17" s="50">
        <v>6</v>
      </c>
      <c r="K17" s="50">
        <v>1</v>
      </c>
      <c r="L17" s="50">
        <v>9</v>
      </c>
      <c r="M17" s="50">
        <v>43</v>
      </c>
      <c r="N17" s="50">
        <v>0</v>
      </c>
      <c r="O17" s="15">
        <f t="shared" si="0"/>
        <v>68</v>
      </c>
      <c r="P17" s="15">
        <f t="shared" si="1"/>
        <v>111</v>
      </c>
      <c r="R17" s="1" t="s">
        <v>13</v>
      </c>
      <c r="S17" s="17">
        <f t="shared" ref="S17:AF17" si="9">SUM(C38:C41)</f>
        <v>133</v>
      </c>
      <c r="T17" s="17">
        <f t="shared" si="9"/>
        <v>53</v>
      </c>
      <c r="U17" s="17">
        <f t="shared" si="9"/>
        <v>31</v>
      </c>
      <c r="V17" s="17">
        <f t="shared" si="9"/>
        <v>89</v>
      </c>
      <c r="W17" s="17">
        <f t="shared" si="9"/>
        <v>4</v>
      </c>
      <c r="X17" s="17">
        <f t="shared" si="9"/>
        <v>3</v>
      </c>
      <c r="Y17" s="17">
        <f t="shared" si="9"/>
        <v>33</v>
      </c>
      <c r="Z17" s="17">
        <f t="shared" si="9"/>
        <v>19</v>
      </c>
      <c r="AA17" s="17">
        <f t="shared" si="9"/>
        <v>9</v>
      </c>
      <c r="AB17" s="17">
        <f t="shared" si="9"/>
        <v>38</v>
      </c>
      <c r="AC17" s="17">
        <f t="shared" si="9"/>
        <v>130</v>
      </c>
      <c r="AD17" s="17">
        <f t="shared" si="9"/>
        <v>0</v>
      </c>
      <c r="AE17" s="31">
        <f t="shared" si="9"/>
        <v>412</v>
      </c>
      <c r="AF17" s="31">
        <f t="shared" si="9"/>
        <v>542</v>
      </c>
    </row>
    <row r="18" spans="2:32" ht="23.1" customHeight="1" x14ac:dyDescent="0.25">
      <c r="B18" s="45" t="s">
        <v>45</v>
      </c>
      <c r="C18" s="50">
        <v>12</v>
      </c>
      <c r="D18" s="50">
        <v>3</v>
      </c>
      <c r="E18" s="50">
        <v>1</v>
      </c>
      <c r="F18" s="50">
        <v>20</v>
      </c>
      <c r="G18" s="50">
        <v>0</v>
      </c>
      <c r="H18" s="50">
        <v>0</v>
      </c>
      <c r="I18" s="50">
        <v>2</v>
      </c>
      <c r="J18" s="50">
        <v>5</v>
      </c>
      <c r="K18" s="50">
        <v>3</v>
      </c>
      <c r="L18" s="50">
        <v>9</v>
      </c>
      <c r="M18" s="50">
        <v>44</v>
      </c>
      <c r="N18" s="50">
        <v>0</v>
      </c>
      <c r="O18" s="15">
        <f t="shared" si="0"/>
        <v>55</v>
      </c>
      <c r="P18" s="15">
        <f t="shared" si="1"/>
        <v>99</v>
      </c>
      <c r="R18" s="1" t="s">
        <v>14</v>
      </c>
      <c r="S18" s="17">
        <f t="shared" ref="S18:AF18" si="10">SUM(C42:C45)</f>
        <v>185</v>
      </c>
      <c r="T18" s="17">
        <f t="shared" si="10"/>
        <v>84</v>
      </c>
      <c r="U18" s="17">
        <f t="shared" si="10"/>
        <v>29</v>
      </c>
      <c r="V18" s="17">
        <f t="shared" si="10"/>
        <v>102</v>
      </c>
      <c r="W18" s="17">
        <f t="shared" si="10"/>
        <v>4</v>
      </c>
      <c r="X18" s="17">
        <f t="shared" si="10"/>
        <v>2</v>
      </c>
      <c r="Y18" s="17">
        <f t="shared" si="10"/>
        <v>33</v>
      </c>
      <c r="Z18" s="17">
        <f t="shared" si="10"/>
        <v>27</v>
      </c>
      <c r="AA18" s="17">
        <f t="shared" si="10"/>
        <v>11</v>
      </c>
      <c r="AB18" s="17">
        <f t="shared" si="10"/>
        <v>34</v>
      </c>
      <c r="AC18" s="17">
        <f t="shared" si="10"/>
        <v>185</v>
      </c>
      <c r="AD18" s="17">
        <f t="shared" si="10"/>
        <v>0</v>
      </c>
      <c r="AE18" s="31">
        <f t="shared" si="10"/>
        <v>511</v>
      </c>
      <c r="AF18" s="31">
        <f t="shared" si="10"/>
        <v>696</v>
      </c>
    </row>
    <row r="19" spans="2:32" ht="23.1" customHeight="1" x14ac:dyDescent="0.25">
      <c r="B19" s="45" t="s">
        <v>46</v>
      </c>
      <c r="C19" s="50">
        <v>13</v>
      </c>
      <c r="D19" s="50">
        <v>7</v>
      </c>
      <c r="E19" s="50">
        <v>3</v>
      </c>
      <c r="F19" s="50">
        <v>23</v>
      </c>
      <c r="G19" s="50">
        <v>0</v>
      </c>
      <c r="H19" s="50">
        <v>1</v>
      </c>
      <c r="I19" s="50">
        <v>3</v>
      </c>
      <c r="J19" s="50">
        <v>4</v>
      </c>
      <c r="K19" s="50">
        <v>2</v>
      </c>
      <c r="L19" s="50">
        <v>10</v>
      </c>
      <c r="M19" s="50">
        <v>42</v>
      </c>
      <c r="N19" s="50">
        <v>0</v>
      </c>
      <c r="O19" s="15">
        <f t="shared" si="0"/>
        <v>66</v>
      </c>
      <c r="P19" s="15">
        <f t="shared" si="1"/>
        <v>108</v>
      </c>
      <c r="R19" s="1" t="s">
        <v>15</v>
      </c>
      <c r="S19" s="17">
        <f t="shared" ref="S19:AF19" si="11">SUM(C46:C49)</f>
        <v>238</v>
      </c>
      <c r="T19" s="17">
        <f t="shared" si="11"/>
        <v>105</v>
      </c>
      <c r="U19" s="17">
        <f t="shared" si="11"/>
        <v>36</v>
      </c>
      <c r="V19" s="17">
        <f t="shared" si="11"/>
        <v>114</v>
      </c>
      <c r="W19" s="17">
        <f t="shared" si="11"/>
        <v>7</v>
      </c>
      <c r="X19" s="17">
        <f t="shared" si="11"/>
        <v>7</v>
      </c>
      <c r="Y19" s="17">
        <f t="shared" si="11"/>
        <v>29</v>
      </c>
      <c r="Z19" s="17">
        <f t="shared" si="11"/>
        <v>8</v>
      </c>
      <c r="AA19" s="17">
        <f t="shared" si="11"/>
        <v>7</v>
      </c>
      <c r="AB19" s="17">
        <f t="shared" si="11"/>
        <v>37</v>
      </c>
      <c r="AC19" s="17">
        <f t="shared" si="11"/>
        <v>198</v>
      </c>
      <c r="AD19" s="17">
        <f t="shared" si="11"/>
        <v>2</v>
      </c>
      <c r="AE19" s="31">
        <f t="shared" si="11"/>
        <v>590</v>
      </c>
      <c r="AF19" s="31">
        <f t="shared" si="11"/>
        <v>788</v>
      </c>
    </row>
    <row r="20" spans="2:32" ht="23.1" customHeight="1" x14ac:dyDescent="0.25">
      <c r="B20" s="45" t="s">
        <v>47</v>
      </c>
      <c r="C20" s="50">
        <v>8</v>
      </c>
      <c r="D20" s="50">
        <v>2</v>
      </c>
      <c r="E20" s="50">
        <v>3</v>
      </c>
      <c r="F20" s="50">
        <v>12</v>
      </c>
      <c r="G20" s="50">
        <v>0</v>
      </c>
      <c r="H20" s="50">
        <v>0</v>
      </c>
      <c r="I20" s="50">
        <v>0</v>
      </c>
      <c r="J20" s="50">
        <v>2</v>
      </c>
      <c r="K20" s="50">
        <v>1</v>
      </c>
      <c r="L20" s="50">
        <v>7</v>
      </c>
      <c r="M20" s="50">
        <v>40</v>
      </c>
      <c r="N20" s="50">
        <v>0</v>
      </c>
      <c r="O20" s="15">
        <f t="shared" si="0"/>
        <v>35</v>
      </c>
      <c r="P20" s="15">
        <f t="shared" si="1"/>
        <v>75</v>
      </c>
      <c r="R20" s="1" t="s">
        <v>16</v>
      </c>
      <c r="S20" s="17">
        <f t="shared" ref="S20:AF20" si="12">SUM(C50:C53)</f>
        <v>245</v>
      </c>
      <c r="T20" s="17">
        <f t="shared" si="12"/>
        <v>132</v>
      </c>
      <c r="U20" s="17">
        <f t="shared" si="12"/>
        <v>35</v>
      </c>
      <c r="V20" s="17">
        <f t="shared" si="12"/>
        <v>131</v>
      </c>
      <c r="W20" s="17">
        <f t="shared" si="12"/>
        <v>3</v>
      </c>
      <c r="X20" s="17">
        <f t="shared" si="12"/>
        <v>6</v>
      </c>
      <c r="Y20" s="17">
        <f t="shared" si="12"/>
        <v>32</v>
      </c>
      <c r="Z20" s="17">
        <f t="shared" si="12"/>
        <v>21</v>
      </c>
      <c r="AA20" s="17">
        <f t="shared" si="12"/>
        <v>10</v>
      </c>
      <c r="AB20" s="17">
        <f t="shared" si="12"/>
        <v>30</v>
      </c>
      <c r="AC20" s="17">
        <f t="shared" si="12"/>
        <v>196</v>
      </c>
      <c r="AD20" s="17">
        <f t="shared" si="12"/>
        <v>1</v>
      </c>
      <c r="AE20" s="31">
        <f t="shared" si="12"/>
        <v>646</v>
      </c>
      <c r="AF20" s="31">
        <f t="shared" si="12"/>
        <v>842</v>
      </c>
    </row>
    <row r="21" spans="2:32" ht="23.1" customHeight="1" x14ac:dyDescent="0.25">
      <c r="B21" s="45" t="s">
        <v>48</v>
      </c>
      <c r="C21" s="50">
        <v>25</v>
      </c>
      <c r="D21" s="50">
        <v>7</v>
      </c>
      <c r="E21" s="50">
        <v>3</v>
      </c>
      <c r="F21" s="50">
        <v>46</v>
      </c>
      <c r="G21" s="50">
        <v>0</v>
      </c>
      <c r="H21" s="50">
        <v>0</v>
      </c>
      <c r="I21" s="50">
        <v>3</v>
      </c>
      <c r="J21" s="50">
        <v>2</v>
      </c>
      <c r="K21" s="50">
        <v>3</v>
      </c>
      <c r="L21" s="50">
        <v>14</v>
      </c>
      <c r="M21" s="50">
        <v>64</v>
      </c>
      <c r="N21" s="50">
        <v>0</v>
      </c>
      <c r="O21" s="15">
        <f t="shared" si="0"/>
        <v>103</v>
      </c>
      <c r="P21" s="15">
        <f t="shared" si="1"/>
        <v>167</v>
      </c>
      <c r="R21" s="36" t="s">
        <v>20</v>
      </c>
      <c r="S21" s="34">
        <f t="shared" ref="S21:AF21" si="13">SUM(C54:C57)</f>
        <v>273</v>
      </c>
      <c r="T21" s="17">
        <f t="shared" si="13"/>
        <v>111</v>
      </c>
      <c r="U21" s="17">
        <f t="shared" si="13"/>
        <v>46</v>
      </c>
      <c r="V21" s="17">
        <f t="shared" si="13"/>
        <v>145</v>
      </c>
      <c r="W21" s="17">
        <f t="shared" si="13"/>
        <v>8</v>
      </c>
      <c r="X21" s="17">
        <f t="shared" si="13"/>
        <v>5</v>
      </c>
      <c r="Y21" s="17">
        <f t="shared" si="13"/>
        <v>38</v>
      </c>
      <c r="Z21" s="17">
        <f t="shared" si="13"/>
        <v>20</v>
      </c>
      <c r="AA21" s="17">
        <f t="shared" si="13"/>
        <v>13</v>
      </c>
      <c r="AB21" s="17">
        <f t="shared" si="13"/>
        <v>30</v>
      </c>
      <c r="AC21" s="17">
        <f t="shared" si="13"/>
        <v>203</v>
      </c>
      <c r="AD21" s="17">
        <f t="shared" si="13"/>
        <v>0</v>
      </c>
      <c r="AE21" s="31">
        <f t="shared" si="13"/>
        <v>689</v>
      </c>
      <c r="AF21" s="31">
        <f t="shared" si="13"/>
        <v>892</v>
      </c>
    </row>
    <row r="22" spans="2:32" ht="23.1" customHeight="1" x14ac:dyDescent="0.25">
      <c r="B22" s="45" t="s">
        <v>49</v>
      </c>
      <c r="C22" s="50">
        <v>6</v>
      </c>
      <c r="D22" s="50">
        <v>14</v>
      </c>
      <c r="E22" s="50">
        <v>10</v>
      </c>
      <c r="F22" s="50">
        <v>27</v>
      </c>
      <c r="G22" s="50">
        <v>0</v>
      </c>
      <c r="H22" s="50">
        <v>0</v>
      </c>
      <c r="I22" s="50">
        <v>6</v>
      </c>
      <c r="J22" s="50">
        <v>4</v>
      </c>
      <c r="K22" s="50">
        <v>1</v>
      </c>
      <c r="L22" s="50">
        <v>8</v>
      </c>
      <c r="M22" s="50">
        <v>64</v>
      </c>
      <c r="N22" s="50">
        <v>0</v>
      </c>
      <c r="O22" s="15">
        <f t="shared" si="0"/>
        <v>76</v>
      </c>
      <c r="P22" s="15">
        <f t="shared" si="1"/>
        <v>140</v>
      </c>
      <c r="R22" s="36" t="s">
        <v>146</v>
      </c>
      <c r="S22" s="34">
        <f>SUM(C58:C61)</f>
        <v>142</v>
      </c>
      <c r="T22" s="34">
        <f t="shared" ref="T22:AF22" si="14">SUM(D58:D61)</f>
        <v>37</v>
      </c>
      <c r="U22" s="34">
        <f t="shared" si="14"/>
        <v>28</v>
      </c>
      <c r="V22" s="34">
        <f t="shared" si="14"/>
        <v>102</v>
      </c>
      <c r="W22" s="34">
        <f t="shared" si="14"/>
        <v>9</v>
      </c>
      <c r="X22" s="34">
        <f t="shared" si="14"/>
        <v>3</v>
      </c>
      <c r="Y22" s="34">
        <f t="shared" si="14"/>
        <v>22</v>
      </c>
      <c r="Z22" s="34">
        <f t="shared" si="14"/>
        <v>21</v>
      </c>
      <c r="AA22" s="34">
        <f t="shared" si="14"/>
        <v>16</v>
      </c>
      <c r="AB22" s="34">
        <f t="shared" si="14"/>
        <v>45</v>
      </c>
      <c r="AC22" s="34">
        <f t="shared" si="14"/>
        <v>116</v>
      </c>
      <c r="AD22" s="34">
        <f t="shared" si="14"/>
        <v>0</v>
      </c>
      <c r="AE22" s="31">
        <f t="shared" si="14"/>
        <v>425</v>
      </c>
      <c r="AF22" s="31">
        <f t="shared" si="14"/>
        <v>541</v>
      </c>
    </row>
    <row r="23" spans="2:32" ht="23.1" customHeight="1" x14ac:dyDescent="0.25">
      <c r="B23" s="45" t="s">
        <v>50</v>
      </c>
      <c r="C23" s="50">
        <v>22</v>
      </c>
      <c r="D23" s="50">
        <v>6</v>
      </c>
      <c r="E23" s="50">
        <v>5</v>
      </c>
      <c r="F23" s="50">
        <v>30</v>
      </c>
      <c r="G23" s="50">
        <v>3</v>
      </c>
      <c r="H23" s="50">
        <v>2</v>
      </c>
      <c r="I23" s="50">
        <v>5</v>
      </c>
      <c r="J23" s="50">
        <v>7</v>
      </c>
      <c r="K23" s="50">
        <v>1</v>
      </c>
      <c r="L23" s="50">
        <v>3</v>
      </c>
      <c r="M23" s="50">
        <v>50</v>
      </c>
      <c r="N23" s="50">
        <v>0</v>
      </c>
      <c r="O23" s="15">
        <f t="shared" si="0"/>
        <v>84</v>
      </c>
      <c r="P23" s="15">
        <f t="shared" si="1"/>
        <v>134</v>
      </c>
      <c r="R23" s="36" t="s">
        <v>147</v>
      </c>
      <c r="S23" s="34">
        <f>SUM(C62:C65)</f>
        <v>205</v>
      </c>
      <c r="T23" s="34">
        <f t="shared" ref="T23:AF23" si="15">SUM(D62:D65)</f>
        <v>30</v>
      </c>
      <c r="U23" s="34">
        <f t="shared" si="15"/>
        <v>13</v>
      </c>
      <c r="V23" s="34">
        <f t="shared" si="15"/>
        <v>158</v>
      </c>
      <c r="W23" s="34">
        <f t="shared" si="15"/>
        <v>11</v>
      </c>
      <c r="X23" s="34">
        <f t="shared" si="15"/>
        <v>2</v>
      </c>
      <c r="Y23" s="34">
        <f t="shared" si="15"/>
        <v>32</v>
      </c>
      <c r="Z23" s="34">
        <f t="shared" si="15"/>
        <v>44</v>
      </c>
      <c r="AA23" s="34">
        <f t="shared" si="15"/>
        <v>2</v>
      </c>
      <c r="AB23" s="34">
        <f t="shared" si="15"/>
        <v>29</v>
      </c>
      <c r="AC23" s="34">
        <f t="shared" si="15"/>
        <v>103</v>
      </c>
      <c r="AD23" s="34">
        <f t="shared" si="15"/>
        <v>0</v>
      </c>
      <c r="AE23" s="31">
        <f t="shared" si="15"/>
        <v>526</v>
      </c>
      <c r="AF23" s="31">
        <f t="shared" si="15"/>
        <v>629</v>
      </c>
    </row>
    <row r="24" spans="2:32" ht="23.1" customHeight="1" x14ac:dyDescent="0.25">
      <c r="B24" s="45" t="s">
        <v>51</v>
      </c>
      <c r="C24" s="50">
        <v>16</v>
      </c>
      <c r="D24" s="50">
        <v>8</v>
      </c>
      <c r="E24" s="50">
        <v>6</v>
      </c>
      <c r="F24" s="50">
        <v>25</v>
      </c>
      <c r="G24" s="50">
        <v>0</v>
      </c>
      <c r="H24" s="50">
        <v>0</v>
      </c>
      <c r="I24" s="50">
        <v>5</v>
      </c>
      <c r="J24" s="50">
        <v>3</v>
      </c>
      <c r="K24" s="50">
        <v>3</v>
      </c>
      <c r="L24" s="50">
        <v>6</v>
      </c>
      <c r="M24" s="50">
        <v>63</v>
      </c>
      <c r="N24" s="50">
        <v>0</v>
      </c>
      <c r="O24" s="15">
        <f t="shared" si="0"/>
        <v>72</v>
      </c>
      <c r="P24" s="15">
        <f t="shared" si="1"/>
        <v>135</v>
      </c>
      <c r="R24" s="36" t="s">
        <v>148</v>
      </c>
      <c r="S24" s="34">
        <f>SUM(C66:C69)</f>
        <v>127</v>
      </c>
      <c r="T24" s="34">
        <f t="shared" ref="T24:AF24" si="16">SUM(D66:D69)</f>
        <v>12</v>
      </c>
      <c r="U24" s="34">
        <f t="shared" si="16"/>
        <v>14</v>
      </c>
      <c r="V24" s="34">
        <f t="shared" si="16"/>
        <v>106</v>
      </c>
      <c r="W24" s="34">
        <f t="shared" si="16"/>
        <v>5</v>
      </c>
      <c r="X24" s="34">
        <f t="shared" si="16"/>
        <v>6</v>
      </c>
      <c r="Y24" s="34">
        <f t="shared" si="16"/>
        <v>23</v>
      </c>
      <c r="Z24" s="34">
        <f t="shared" si="16"/>
        <v>33</v>
      </c>
      <c r="AA24" s="34">
        <f t="shared" si="16"/>
        <v>10</v>
      </c>
      <c r="AB24" s="34">
        <f t="shared" si="16"/>
        <v>40</v>
      </c>
      <c r="AC24" s="34">
        <f t="shared" si="16"/>
        <v>97</v>
      </c>
      <c r="AD24" s="34">
        <f t="shared" si="16"/>
        <v>0</v>
      </c>
      <c r="AE24" s="31">
        <f t="shared" si="16"/>
        <v>376</v>
      </c>
      <c r="AF24" s="31">
        <f t="shared" si="16"/>
        <v>473</v>
      </c>
    </row>
    <row r="25" spans="2:32" ht="23.1" customHeight="1" x14ac:dyDescent="0.25">
      <c r="B25" s="45" t="s">
        <v>52</v>
      </c>
      <c r="C25" s="50">
        <v>36</v>
      </c>
      <c r="D25" s="50">
        <v>11</v>
      </c>
      <c r="E25" s="50">
        <v>5</v>
      </c>
      <c r="F25" s="50">
        <v>32</v>
      </c>
      <c r="G25" s="50">
        <v>1</v>
      </c>
      <c r="H25" s="50">
        <v>1</v>
      </c>
      <c r="I25" s="50">
        <v>10</v>
      </c>
      <c r="J25" s="50">
        <v>8</v>
      </c>
      <c r="K25" s="50">
        <v>3</v>
      </c>
      <c r="L25" s="50">
        <v>5</v>
      </c>
      <c r="M25" s="50">
        <v>56</v>
      </c>
      <c r="N25" s="50">
        <v>0</v>
      </c>
      <c r="O25" s="15">
        <f t="shared" si="0"/>
        <v>112</v>
      </c>
      <c r="P25" s="15">
        <f t="shared" si="1"/>
        <v>168</v>
      </c>
      <c r="R25" s="36" t="s">
        <v>149</v>
      </c>
      <c r="S25" s="34">
        <f>SUM(C70:C73)</f>
        <v>104</v>
      </c>
      <c r="T25" s="34">
        <f t="shared" ref="T25:AF25" si="17">SUM(D70:D73)</f>
        <v>22</v>
      </c>
      <c r="U25" s="34">
        <f t="shared" si="17"/>
        <v>16</v>
      </c>
      <c r="V25" s="34">
        <f t="shared" si="17"/>
        <v>106</v>
      </c>
      <c r="W25" s="34">
        <f t="shared" si="17"/>
        <v>5</v>
      </c>
      <c r="X25" s="34">
        <f t="shared" si="17"/>
        <v>4</v>
      </c>
      <c r="Y25" s="34">
        <f t="shared" si="17"/>
        <v>28</v>
      </c>
      <c r="Z25" s="34">
        <f t="shared" si="17"/>
        <v>39</v>
      </c>
      <c r="AA25" s="34">
        <f t="shared" si="17"/>
        <v>15</v>
      </c>
      <c r="AB25" s="34">
        <f t="shared" si="17"/>
        <v>53</v>
      </c>
      <c r="AC25" s="34">
        <f t="shared" si="17"/>
        <v>110</v>
      </c>
      <c r="AD25" s="34">
        <f t="shared" si="17"/>
        <v>0</v>
      </c>
      <c r="AE25" s="31">
        <f t="shared" si="17"/>
        <v>392</v>
      </c>
      <c r="AF25" s="31">
        <f t="shared" si="17"/>
        <v>502</v>
      </c>
    </row>
    <row r="26" spans="2:32" ht="23.1" customHeight="1" x14ac:dyDescent="0.25">
      <c r="B26" s="45" t="s">
        <v>53</v>
      </c>
      <c r="C26" s="50">
        <v>30</v>
      </c>
      <c r="D26" s="50">
        <v>12</v>
      </c>
      <c r="E26" s="50">
        <v>5</v>
      </c>
      <c r="F26" s="50">
        <v>25</v>
      </c>
      <c r="G26" s="50">
        <v>1</v>
      </c>
      <c r="H26" s="50">
        <v>1</v>
      </c>
      <c r="I26" s="50">
        <v>5</v>
      </c>
      <c r="J26" s="50">
        <v>7</v>
      </c>
      <c r="K26" s="50">
        <v>0</v>
      </c>
      <c r="L26" s="50">
        <v>10</v>
      </c>
      <c r="M26" s="50">
        <v>56</v>
      </c>
      <c r="N26" s="50">
        <v>0</v>
      </c>
      <c r="O26" s="15">
        <f t="shared" si="0"/>
        <v>96</v>
      </c>
      <c r="P26" s="15">
        <f t="shared" si="1"/>
        <v>152</v>
      </c>
      <c r="R26" s="36" t="s">
        <v>150</v>
      </c>
      <c r="S26" s="34">
        <f>SUM(C74:C77)</f>
        <v>83</v>
      </c>
      <c r="T26" s="34">
        <f t="shared" ref="T26:AF26" si="18">SUM(D74:D77)</f>
        <v>15</v>
      </c>
      <c r="U26" s="34">
        <f t="shared" si="18"/>
        <v>9</v>
      </c>
      <c r="V26" s="34">
        <f t="shared" si="18"/>
        <v>83</v>
      </c>
      <c r="W26" s="34">
        <f t="shared" si="18"/>
        <v>7</v>
      </c>
      <c r="X26" s="34">
        <f t="shared" si="18"/>
        <v>7</v>
      </c>
      <c r="Y26" s="34">
        <f t="shared" si="18"/>
        <v>29</v>
      </c>
      <c r="Z26" s="34">
        <f t="shared" si="18"/>
        <v>33</v>
      </c>
      <c r="AA26" s="34">
        <f t="shared" si="18"/>
        <v>10</v>
      </c>
      <c r="AB26" s="34">
        <f t="shared" si="18"/>
        <v>53</v>
      </c>
      <c r="AC26" s="34">
        <f t="shared" si="18"/>
        <v>77</v>
      </c>
      <c r="AD26" s="34">
        <f t="shared" si="18"/>
        <v>0</v>
      </c>
      <c r="AE26" s="31">
        <f t="shared" si="18"/>
        <v>329</v>
      </c>
      <c r="AF26" s="31">
        <f t="shared" si="18"/>
        <v>406</v>
      </c>
    </row>
    <row r="27" spans="2:32" ht="23.1" customHeight="1" x14ac:dyDescent="0.25">
      <c r="B27" s="45" t="s">
        <v>54</v>
      </c>
      <c r="C27" s="50">
        <v>14</v>
      </c>
      <c r="D27" s="50">
        <v>6</v>
      </c>
      <c r="E27" s="50">
        <v>2</v>
      </c>
      <c r="F27" s="50">
        <v>18</v>
      </c>
      <c r="G27" s="50">
        <v>0</v>
      </c>
      <c r="H27" s="50">
        <v>0</v>
      </c>
      <c r="I27" s="50">
        <v>5</v>
      </c>
      <c r="J27" s="50">
        <v>4</v>
      </c>
      <c r="K27" s="50">
        <v>5</v>
      </c>
      <c r="L27" s="50">
        <v>12</v>
      </c>
      <c r="M27" s="50">
        <v>48</v>
      </c>
      <c r="N27" s="50">
        <v>0</v>
      </c>
      <c r="O27" s="15">
        <f t="shared" si="0"/>
        <v>66</v>
      </c>
      <c r="P27" s="15">
        <f t="shared" si="1"/>
        <v>114</v>
      </c>
      <c r="R27" s="36" t="s">
        <v>151</v>
      </c>
      <c r="S27" s="34">
        <f>SUM(C78:C81)</f>
        <v>48</v>
      </c>
      <c r="T27" s="34">
        <f t="shared" ref="T27:AF27" si="19">SUM(D78:D81)</f>
        <v>8</v>
      </c>
      <c r="U27" s="34">
        <f t="shared" si="19"/>
        <v>7</v>
      </c>
      <c r="V27" s="34">
        <f t="shared" si="19"/>
        <v>44</v>
      </c>
      <c r="W27" s="34">
        <f t="shared" si="19"/>
        <v>4</v>
      </c>
      <c r="X27" s="34">
        <f t="shared" si="19"/>
        <v>5</v>
      </c>
      <c r="Y27" s="34">
        <f t="shared" si="19"/>
        <v>21</v>
      </c>
      <c r="Z27" s="34">
        <f t="shared" si="19"/>
        <v>42</v>
      </c>
      <c r="AA27" s="34">
        <f t="shared" si="19"/>
        <v>4</v>
      </c>
      <c r="AB27" s="34">
        <f t="shared" si="19"/>
        <v>35</v>
      </c>
      <c r="AC27" s="34">
        <f t="shared" si="19"/>
        <v>14</v>
      </c>
      <c r="AD27" s="34">
        <f t="shared" si="19"/>
        <v>0</v>
      </c>
      <c r="AE27" s="31">
        <f t="shared" si="19"/>
        <v>218</v>
      </c>
      <c r="AF27" s="31">
        <f t="shared" si="19"/>
        <v>232</v>
      </c>
    </row>
    <row r="28" spans="2:32" ht="23.1" customHeight="1" x14ac:dyDescent="0.25">
      <c r="B28" s="45" t="s">
        <v>55</v>
      </c>
      <c r="C28" s="50">
        <v>31</v>
      </c>
      <c r="D28" s="50">
        <v>19</v>
      </c>
      <c r="E28" s="50">
        <v>5</v>
      </c>
      <c r="F28" s="50">
        <v>39</v>
      </c>
      <c r="G28" s="50">
        <v>2</v>
      </c>
      <c r="H28" s="50">
        <v>0</v>
      </c>
      <c r="I28" s="50">
        <v>11</v>
      </c>
      <c r="J28" s="50">
        <v>9</v>
      </c>
      <c r="K28" s="50">
        <v>6</v>
      </c>
      <c r="L28" s="50">
        <v>15</v>
      </c>
      <c r="M28" s="50">
        <v>38</v>
      </c>
      <c r="N28" s="50">
        <v>0</v>
      </c>
      <c r="O28" s="15">
        <f t="shared" si="0"/>
        <v>137</v>
      </c>
      <c r="P28" s="15">
        <f t="shared" si="1"/>
        <v>175</v>
      </c>
      <c r="R28" s="36" t="s">
        <v>152</v>
      </c>
      <c r="S28" s="34">
        <f>SUM(C82:C85)</f>
        <v>11</v>
      </c>
      <c r="T28" s="34">
        <f t="shared" ref="T28:AF28" si="20">SUM(D82:D85)</f>
        <v>2</v>
      </c>
      <c r="U28" s="34">
        <f t="shared" si="20"/>
        <v>3</v>
      </c>
      <c r="V28" s="34">
        <f t="shared" si="20"/>
        <v>9</v>
      </c>
      <c r="W28" s="34">
        <f t="shared" si="20"/>
        <v>0</v>
      </c>
      <c r="X28" s="34">
        <f t="shared" si="20"/>
        <v>2</v>
      </c>
      <c r="Y28" s="34">
        <f t="shared" si="20"/>
        <v>7</v>
      </c>
      <c r="Z28" s="34">
        <f t="shared" si="20"/>
        <v>16</v>
      </c>
      <c r="AA28" s="34">
        <f t="shared" si="20"/>
        <v>3</v>
      </c>
      <c r="AB28" s="34">
        <f t="shared" si="20"/>
        <v>23</v>
      </c>
      <c r="AC28" s="34">
        <f t="shared" si="20"/>
        <v>3</v>
      </c>
      <c r="AD28" s="34">
        <f t="shared" si="20"/>
        <v>0</v>
      </c>
      <c r="AE28" s="31">
        <f t="shared" si="20"/>
        <v>76</v>
      </c>
      <c r="AF28" s="31">
        <f t="shared" si="20"/>
        <v>79</v>
      </c>
    </row>
    <row r="29" spans="2:32" ht="23.1" customHeight="1" x14ac:dyDescent="0.25">
      <c r="B29" s="45" t="s">
        <v>56</v>
      </c>
      <c r="C29" s="50">
        <v>20</v>
      </c>
      <c r="D29" s="50">
        <v>3</v>
      </c>
      <c r="E29" s="50">
        <v>7</v>
      </c>
      <c r="F29" s="50">
        <v>38</v>
      </c>
      <c r="G29" s="50">
        <v>0</v>
      </c>
      <c r="H29" s="50">
        <v>1</v>
      </c>
      <c r="I29" s="50">
        <v>9</v>
      </c>
      <c r="J29" s="50">
        <v>11</v>
      </c>
      <c r="K29" s="50">
        <v>3</v>
      </c>
      <c r="L29" s="50">
        <v>10</v>
      </c>
      <c r="M29" s="50">
        <v>40</v>
      </c>
      <c r="N29" s="50">
        <v>0</v>
      </c>
      <c r="O29" s="15">
        <f t="shared" si="0"/>
        <v>102</v>
      </c>
      <c r="P29" s="15">
        <f t="shared" si="1"/>
        <v>142</v>
      </c>
      <c r="R29" s="36" t="s">
        <v>153</v>
      </c>
      <c r="S29" s="34">
        <f>SUM(C86:C89)</f>
        <v>13</v>
      </c>
      <c r="T29" s="34">
        <f t="shared" ref="T29:AF29" si="21">SUM(D86:D89)</f>
        <v>4</v>
      </c>
      <c r="U29" s="34">
        <f t="shared" si="21"/>
        <v>7</v>
      </c>
      <c r="V29" s="34">
        <f t="shared" si="21"/>
        <v>5</v>
      </c>
      <c r="W29" s="34">
        <f t="shared" si="21"/>
        <v>0</v>
      </c>
      <c r="X29" s="34">
        <f t="shared" si="21"/>
        <v>2</v>
      </c>
      <c r="Y29" s="34">
        <f t="shared" si="21"/>
        <v>7</v>
      </c>
      <c r="Z29" s="34">
        <f t="shared" si="21"/>
        <v>8</v>
      </c>
      <c r="AA29" s="34">
        <f t="shared" si="21"/>
        <v>3</v>
      </c>
      <c r="AB29" s="34">
        <f t="shared" si="21"/>
        <v>17</v>
      </c>
      <c r="AC29" s="34">
        <f t="shared" si="21"/>
        <v>0</v>
      </c>
      <c r="AD29" s="34">
        <f t="shared" si="21"/>
        <v>0</v>
      </c>
      <c r="AE29" s="31">
        <f t="shared" si="21"/>
        <v>66</v>
      </c>
      <c r="AF29" s="31">
        <f t="shared" si="21"/>
        <v>66</v>
      </c>
    </row>
    <row r="30" spans="2:32" ht="23.1" customHeight="1" x14ac:dyDescent="0.25">
      <c r="B30" s="45" t="s">
        <v>57</v>
      </c>
      <c r="C30" s="50">
        <v>22</v>
      </c>
      <c r="D30" s="50">
        <v>13</v>
      </c>
      <c r="E30" s="50">
        <v>5</v>
      </c>
      <c r="F30" s="50">
        <v>27</v>
      </c>
      <c r="G30" s="50">
        <v>2</v>
      </c>
      <c r="H30" s="50">
        <v>0</v>
      </c>
      <c r="I30" s="50">
        <v>10</v>
      </c>
      <c r="J30" s="50">
        <v>1</v>
      </c>
      <c r="K30" s="50">
        <v>0</v>
      </c>
      <c r="L30" s="50">
        <v>6</v>
      </c>
      <c r="M30" s="50">
        <v>56</v>
      </c>
      <c r="N30" s="50">
        <v>0</v>
      </c>
      <c r="O30" s="15">
        <f t="shared" si="0"/>
        <v>86</v>
      </c>
      <c r="P30" s="15">
        <f t="shared" si="1"/>
        <v>142</v>
      </c>
      <c r="R30" s="36" t="s">
        <v>154</v>
      </c>
      <c r="S30" s="34">
        <f>SUM(C90:C93)</f>
        <v>8</v>
      </c>
      <c r="T30" s="34">
        <f t="shared" ref="T30:AF30" si="22">SUM(D90:D93)</f>
        <v>3</v>
      </c>
      <c r="U30" s="34">
        <f t="shared" si="22"/>
        <v>2</v>
      </c>
      <c r="V30" s="34">
        <f t="shared" si="22"/>
        <v>5</v>
      </c>
      <c r="W30" s="34">
        <f t="shared" si="22"/>
        <v>0</v>
      </c>
      <c r="X30" s="34">
        <f t="shared" si="22"/>
        <v>0</v>
      </c>
      <c r="Y30" s="34">
        <f t="shared" si="22"/>
        <v>13</v>
      </c>
      <c r="Z30" s="34">
        <f t="shared" si="22"/>
        <v>17</v>
      </c>
      <c r="AA30" s="34">
        <f t="shared" si="22"/>
        <v>0</v>
      </c>
      <c r="AB30" s="34">
        <f t="shared" si="22"/>
        <v>22</v>
      </c>
      <c r="AC30" s="34">
        <f t="shared" si="22"/>
        <v>5</v>
      </c>
      <c r="AD30" s="34">
        <f t="shared" si="22"/>
        <v>0</v>
      </c>
      <c r="AE30" s="31">
        <f t="shared" si="22"/>
        <v>70</v>
      </c>
      <c r="AF30" s="31">
        <f t="shared" si="22"/>
        <v>75</v>
      </c>
    </row>
    <row r="31" spans="2:32" ht="23.1" customHeight="1" x14ac:dyDescent="0.25">
      <c r="B31" s="46" t="s">
        <v>58</v>
      </c>
      <c r="C31" s="50">
        <v>28</v>
      </c>
      <c r="D31" s="50">
        <v>10</v>
      </c>
      <c r="E31" s="50">
        <v>9</v>
      </c>
      <c r="F31" s="50">
        <v>22</v>
      </c>
      <c r="G31" s="50">
        <v>0</v>
      </c>
      <c r="H31" s="50">
        <v>0</v>
      </c>
      <c r="I31" s="50">
        <v>6</v>
      </c>
      <c r="J31" s="50">
        <v>6</v>
      </c>
      <c r="K31" s="50">
        <v>3</v>
      </c>
      <c r="L31" s="50">
        <v>13</v>
      </c>
      <c r="M31" s="50">
        <v>53</v>
      </c>
      <c r="N31" s="50">
        <v>0</v>
      </c>
      <c r="O31" s="15">
        <f t="shared" si="0"/>
        <v>97</v>
      </c>
      <c r="P31" s="15">
        <f t="shared" si="1"/>
        <v>150</v>
      </c>
      <c r="R31" s="36" t="s">
        <v>155</v>
      </c>
      <c r="S31" s="34">
        <f>SUM(C94:C97)</f>
        <v>13</v>
      </c>
      <c r="T31" s="34">
        <f t="shared" ref="T31:AF31" si="23">SUM(D94:D97)</f>
        <v>5</v>
      </c>
      <c r="U31" s="34">
        <f t="shared" si="23"/>
        <v>2</v>
      </c>
      <c r="V31" s="34">
        <f t="shared" si="23"/>
        <v>7</v>
      </c>
      <c r="W31" s="34">
        <f t="shared" si="23"/>
        <v>2</v>
      </c>
      <c r="X31" s="34">
        <f t="shared" si="23"/>
        <v>2</v>
      </c>
      <c r="Y31" s="34">
        <f t="shared" si="23"/>
        <v>0</v>
      </c>
      <c r="Z31" s="34">
        <f t="shared" si="23"/>
        <v>9</v>
      </c>
      <c r="AA31" s="34">
        <f t="shared" si="23"/>
        <v>4</v>
      </c>
      <c r="AB31" s="34">
        <f t="shared" si="23"/>
        <v>18</v>
      </c>
      <c r="AC31" s="34">
        <f t="shared" si="23"/>
        <v>9</v>
      </c>
      <c r="AD31" s="34">
        <f t="shared" si="23"/>
        <v>0</v>
      </c>
      <c r="AE31" s="31">
        <f t="shared" si="23"/>
        <v>62</v>
      </c>
      <c r="AF31" s="31">
        <f t="shared" si="23"/>
        <v>71</v>
      </c>
    </row>
    <row r="32" spans="2:32" ht="23.1" customHeight="1" x14ac:dyDescent="0.25">
      <c r="B32" s="46" t="s">
        <v>59</v>
      </c>
      <c r="C32" s="50">
        <v>45</v>
      </c>
      <c r="D32" s="50">
        <v>15</v>
      </c>
      <c r="E32" s="50">
        <v>10</v>
      </c>
      <c r="F32" s="50">
        <v>29</v>
      </c>
      <c r="G32" s="50">
        <v>0</v>
      </c>
      <c r="H32" s="50">
        <v>1</v>
      </c>
      <c r="I32" s="50">
        <v>10</v>
      </c>
      <c r="J32" s="50">
        <v>11</v>
      </c>
      <c r="K32" s="50">
        <v>3</v>
      </c>
      <c r="L32" s="50">
        <v>8</v>
      </c>
      <c r="M32" s="50">
        <v>48</v>
      </c>
      <c r="N32" s="50">
        <v>0</v>
      </c>
      <c r="O32" s="15">
        <f t="shared" si="0"/>
        <v>132</v>
      </c>
      <c r="P32" s="15">
        <f t="shared" si="1"/>
        <v>180</v>
      </c>
      <c r="R32" s="33" t="s">
        <v>156</v>
      </c>
      <c r="S32" s="34">
        <f>SUM(C98:C101)</f>
        <v>23</v>
      </c>
      <c r="T32" s="34">
        <f t="shared" ref="T32:AF32" si="24">SUM(D98:D101)</f>
        <v>4</v>
      </c>
      <c r="U32" s="34">
        <f t="shared" si="24"/>
        <v>3</v>
      </c>
      <c r="V32" s="34">
        <f t="shared" si="24"/>
        <v>36</v>
      </c>
      <c r="W32" s="34">
        <f t="shared" si="24"/>
        <v>1</v>
      </c>
      <c r="X32" s="34">
        <f t="shared" si="24"/>
        <v>6</v>
      </c>
      <c r="Y32" s="34">
        <f t="shared" si="24"/>
        <v>2</v>
      </c>
      <c r="Z32" s="34">
        <f t="shared" si="24"/>
        <v>15</v>
      </c>
      <c r="AA32" s="34">
        <f t="shared" si="24"/>
        <v>1</v>
      </c>
      <c r="AB32" s="34">
        <f t="shared" si="24"/>
        <v>45</v>
      </c>
      <c r="AC32" s="34">
        <f t="shared" si="24"/>
        <v>22</v>
      </c>
      <c r="AD32" s="34">
        <f t="shared" si="24"/>
        <v>0</v>
      </c>
      <c r="AE32" s="31">
        <f t="shared" si="24"/>
        <v>136</v>
      </c>
      <c r="AF32" s="31">
        <f t="shared" si="24"/>
        <v>158</v>
      </c>
    </row>
    <row r="33" spans="2:32" ht="23.1" customHeight="1" x14ac:dyDescent="0.25">
      <c r="B33" s="45" t="s">
        <v>60</v>
      </c>
      <c r="C33" s="50">
        <v>27</v>
      </c>
      <c r="D33" s="50">
        <v>8</v>
      </c>
      <c r="E33" s="50">
        <v>6</v>
      </c>
      <c r="F33" s="50">
        <v>34</v>
      </c>
      <c r="G33" s="50">
        <v>0</v>
      </c>
      <c r="H33" s="50">
        <v>2</v>
      </c>
      <c r="I33" s="50">
        <v>12</v>
      </c>
      <c r="J33" s="50">
        <v>5</v>
      </c>
      <c r="K33" s="50">
        <v>3</v>
      </c>
      <c r="L33" s="50">
        <v>10</v>
      </c>
      <c r="M33" s="50">
        <v>47</v>
      </c>
      <c r="N33" s="50">
        <v>0</v>
      </c>
      <c r="O33" s="15">
        <f t="shared" si="0"/>
        <v>107</v>
      </c>
      <c r="P33" s="15">
        <f t="shared" si="1"/>
        <v>154</v>
      </c>
      <c r="R33" s="33" t="s">
        <v>157</v>
      </c>
      <c r="S33" s="34">
        <f>SUM(C102:C105)</f>
        <v>33</v>
      </c>
      <c r="T33" s="34">
        <f t="shared" ref="T33:AF33" si="25">SUM(D102:D105)</f>
        <v>5</v>
      </c>
      <c r="U33" s="34">
        <f t="shared" si="25"/>
        <v>5</v>
      </c>
      <c r="V33" s="34">
        <f t="shared" si="25"/>
        <v>40</v>
      </c>
      <c r="W33" s="34">
        <f t="shared" si="25"/>
        <v>0</v>
      </c>
      <c r="X33" s="34">
        <f t="shared" si="25"/>
        <v>4</v>
      </c>
      <c r="Y33" s="34">
        <f t="shared" si="25"/>
        <v>8</v>
      </c>
      <c r="Z33" s="34">
        <f t="shared" si="25"/>
        <v>9</v>
      </c>
      <c r="AA33" s="34">
        <f t="shared" si="25"/>
        <v>2</v>
      </c>
      <c r="AB33" s="34">
        <f t="shared" si="25"/>
        <v>18</v>
      </c>
      <c r="AC33" s="34">
        <f t="shared" si="25"/>
        <v>51</v>
      </c>
      <c r="AD33" s="34">
        <f t="shared" si="25"/>
        <v>0</v>
      </c>
      <c r="AE33" s="31">
        <f t="shared" si="25"/>
        <v>124</v>
      </c>
      <c r="AF33" s="31">
        <f t="shared" si="25"/>
        <v>175</v>
      </c>
    </row>
    <row r="34" spans="2:32" ht="23.1" customHeight="1" x14ac:dyDescent="0.25">
      <c r="B34" s="46" t="s">
        <v>61</v>
      </c>
      <c r="C34" s="50">
        <v>42</v>
      </c>
      <c r="D34" s="50">
        <v>4</v>
      </c>
      <c r="E34" s="50">
        <v>5</v>
      </c>
      <c r="F34" s="50">
        <v>30</v>
      </c>
      <c r="G34" s="50">
        <v>1</v>
      </c>
      <c r="H34" s="50">
        <v>0</v>
      </c>
      <c r="I34" s="50">
        <v>10</v>
      </c>
      <c r="J34" s="50">
        <v>6</v>
      </c>
      <c r="K34" s="50">
        <v>3</v>
      </c>
      <c r="L34" s="50">
        <v>6</v>
      </c>
      <c r="M34" s="50">
        <v>53</v>
      </c>
      <c r="N34" s="50">
        <v>0</v>
      </c>
      <c r="O34" s="15">
        <f t="shared" si="0"/>
        <v>107</v>
      </c>
      <c r="P34" s="15">
        <f t="shared" si="1"/>
        <v>160</v>
      </c>
      <c r="R34" s="38" t="s">
        <v>90</v>
      </c>
      <c r="S34" s="39">
        <f t="shared" ref="S34:AF34" si="26">MAX(S10:S12)</f>
        <v>64</v>
      </c>
      <c r="T34" s="39">
        <f t="shared" si="26"/>
        <v>27</v>
      </c>
      <c r="U34" s="39">
        <f t="shared" si="26"/>
        <v>17</v>
      </c>
      <c r="V34" s="39">
        <f t="shared" si="26"/>
        <v>110</v>
      </c>
      <c r="W34" s="39">
        <f t="shared" si="26"/>
        <v>4</v>
      </c>
      <c r="X34" s="39">
        <f t="shared" si="26"/>
        <v>2</v>
      </c>
      <c r="Y34" s="39">
        <f t="shared" si="26"/>
        <v>14</v>
      </c>
      <c r="Z34" s="39">
        <f t="shared" si="26"/>
        <v>15</v>
      </c>
      <c r="AA34" s="39">
        <f t="shared" si="26"/>
        <v>9</v>
      </c>
      <c r="AB34" s="39">
        <f t="shared" si="26"/>
        <v>54</v>
      </c>
      <c r="AC34" s="39">
        <f t="shared" si="26"/>
        <v>232</v>
      </c>
      <c r="AD34" s="39">
        <f t="shared" si="26"/>
        <v>0</v>
      </c>
      <c r="AE34" s="40">
        <f t="shared" si="26"/>
        <v>314</v>
      </c>
      <c r="AF34" s="40">
        <f t="shared" si="26"/>
        <v>546</v>
      </c>
    </row>
    <row r="35" spans="2:32" ht="23.1" customHeight="1" x14ac:dyDescent="0.25">
      <c r="B35" s="46" t="s">
        <v>62</v>
      </c>
      <c r="C35" s="50">
        <v>35</v>
      </c>
      <c r="D35" s="50">
        <v>14</v>
      </c>
      <c r="E35" s="50">
        <v>7</v>
      </c>
      <c r="F35" s="50">
        <v>37</v>
      </c>
      <c r="G35" s="50">
        <v>0</v>
      </c>
      <c r="H35" s="50">
        <v>0</v>
      </c>
      <c r="I35" s="50">
        <v>12</v>
      </c>
      <c r="J35" s="50">
        <v>5</v>
      </c>
      <c r="K35" s="50">
        <v>2</v>
      </c>
      <c r="L35" s="50">
        <v>3</v>
      </c>
      <c r="M35" s="50">
        <v>48</v>
      </c>
      <c r="N35" s="50">
        <v>0</v>
      </c>
      <c r="O35" s="15">
        <f t="shared" si="0"/>
        <v>115</v>
      </c>
      <c r="P35" s="15">
        <f t="shared" si="1"/>
        <v>163</v>
      </c>
      <c r="R35" s="38" t="s">
        <v>91</v>
      </c>
      <c r="S35" s="39">
        <f t="shared" ref="S35:AF35" si="27">MAX(S13:S18)</f>
        <v>185</v>
      </c>
      <c r="T35" s="39">
        <f t="shared" si="27"/>
        <v>84</v>
      </c>
      <c r="U35" s="39">
        <f t="shared" si="27"/>
        <v>31</v>
      </c>
      <c r="V35" s="39">
        <f t="shared" si="27"/>
        <v>120</v>
      </c>
      <c r="W35" s="39">
        <f t="shared" si="27"/>
        <v>4</v>
      </c>
      <c r="X35" s="39">
        <f t="shared" si="27"/>
        <v>3</v>
      </c>
      <c r="Y35" s="39">
        <f t="shared" si="27"/>
        <v>38</v>
      </c>
      <c r="Z35" s="39">
        <f t="shared" si="27"/>
        <v>31</v>
      </c>
      <c r="AA35" s="39">
        <f t="shared" si="27"/>
        <v>14</v>
      </c>
      <c r="AB35" s="39">
        <f t="shared" si="27"/>
        <v>47</v>
      </c>
      <c r="AC35" s="39">
        <f t="shared" si="27"/>
        <v>233</v>
      </c>
      <c r="AD35" s="39">
        <f t="shared" si="27"/>
        <v>0</v>
      </c>
      <c r="AE35" s="40">
        <f t="shared" si="27"/>
        <v>511</v>
      </c>
      <c r="AF35" s="40">
        <f t="shared" si="27"/>
        <v>696</v>
      </c>
    </row>
    <row r="36" spans="2:32" ht="23.1" customHeight="1" x14ac:dyDescent="0.25">
      <c r="B36" s="46" t="s">
        <v>63</v>
      </c>
      <c r="C36" s="50">
        <v>25</v>
      </c>
      <c r="D36" s="50">
        <v>15</v>
      </c>
      <c r="E36" s="50">
        <v>10</v>
      </c>
      <c r="F36" s="50">
        <v>24</v>
      </c>
      <c r="G36" s="50">
        <v>1</v>
      </c>
      <c r="H36" s="50">
        <v>1</v>
      </c>
      <c r="I36" s="50">
        <v>5</v>
      </c>
      <c r="J36" s="50">
        <v>3</v>
      </c>
      <c r="K36" s="50">
        <v>1</v>
      </c>
      <c r="L36" s="50">
        <v>7</v>
      </c>
      <c r="M36" s="50">
        <v>40</v>
      </c>
      <c r="N36" s="50">
        <v>0</v>
      </c>
      <c r="O36" s="15">
        <f t="shared" si="0"/>
        <v>92</v>
      </c>
      <c r="P36" s="15">
        <f t="shared" si="1"/>
        <v>132</v>
      </c>
      <c r="R36" s="38" t="s">
        <v>92</v>
      </c>
      <c r="S36" s="39">
        <f t="shared" ref="S36:AF36" si="28">MAX(S19:S21)</f>
        <v>273</v>
      </c>
      <c r="T36" s="39">
        <f t="shared" si="28"/>
        <v>132</v>
      </c>
      <c r="U36" s="39">
        <f t="shared" si="28"/>
        <v>46</v>
      </c>
      <c r="V36" s="39">
        <f t="shared" si="28"/>
        <v>145</v>
      </c>
      <c r="W36" s="39">
        <f t="shared" si="28"/>
        <v>8</v>
      </c>
      <c r="X36" s="39">
        <f t="shared" si="28"/>
        <v>7</v>
      </c>
      <c r="Y36" s="39">
        <f t="shared" si="28"/>
        <v>38</v>
      </c>
      <c r="Z36" s="39">
        <f t="shared" si="28"/>
        <v>21</v>
      </c>
      <c r="AA36" s="39">
        <f t="shared" si="28"/>
        <v>13</v>
      </c>
      <c r="AB36" s="39">
        <f t="shared" si="28"/>
        <v>37</v>
      </c>
      <c r="AC36" s="39">
        <f t="shared" si="28"/>
        <v>203</v>
      </c>
      <c r="AD36" s="39">
        <f t="shared" si="28"/>
        <v>2</v>
      </c>
      <c r="AE36" s="40">
        <f t="shared" si="28"/>
        <v>689</v>
      </c>
      <c r="AF36" s="40">
        <f t="shared" si="28"/>
        <v>892</v>
      </c>
    </row>
    <row r="37" spans="2:32" ht="23.1" customHeight="1" x14ac:dyDescent="0.25">
      <c r="B37" s="45" t="s">
        <v>64</v>
      </c>
      <c r="C37" s="50">
        <v>25</v>
      </c>
      <c r="D37" s="50">
        <v>17</v>
      </c>
      <c r="E37" s="50">
        <v>8</v>
      </c>
      <c r="F37" s="50">
        <v>28</v>
      </c>
      <c r="G37" s="50">
        <v>0</v>
      </c>
      <c r="H37" s="50">
        <v>0</v>
      </c>
      <c r="I37" s="50">
        <v>8</v>
      </c>
      <c r="J37" s="50">
        <v>3</v>
      </c>
      <c r="K37" s="50">
        <v>1</v>
      </c>
      <c r="L37" s="50">
        <v>4</v>
      </c>
      <c r="M37" s="50">
        <v>44</v>
      </c>
      <c r="N37" s="50">
        <v>0</v>
      </c>
      <c r="O37" s="15">
        <f t="shared" si="0"/>
        <v>94</v>
      </c>
      <c r="P37" s="15">
        <f t="shared" si="1"/>
        <v>138</v>
      </c>
      <c r="R37" s="37" t="s">
        <v>85</v>
      </c>
      <c r="S37" s="35">
        <f t="shared" ref="S37:AF37" si="29">SUM(S10:S12)</f>
        <v>154</v>
      </c>
      <c r="T37" s="16">
        <f t="shared" si="29"/>
        <v>62</v>
      </c>
      <c r="U37" s="16">
        <f t="shared" si="29"/>
        <v>37</v>
      </c>
      <c r="V37" s="16">
        <f t="shared" si="29"/>
        <v>301</v>
      </c>
      <c r="W37" s="16">
        <f t="shared" si="29"/>
        <v>7</v>
      </c>
      <c r="X37" s="16">
        <f t="shared" si="29"/>
        <v>5</v>
      </c>
      <c r="Y37" s="16">
        <f t="shared" si="29"/>
        <v>28</v>
      </c>
      <c r="Z37" s="16">
        <f t="shared" si="29"/>
        <v>37</v>
      </c>
      <c r="AA37" s="16">
        <f t="shared" si="29"/>
        <v>24</v>
      </c>
      <c r="AB37" s="16">
        <f t="shared" si="29"/>
        <v>147</v>
      </c>
      <c r="AC37" s="16">
        <f t="shared" si="29"/>
        <v>632</v>
      </c>
      <c r="AD37" s="16">
        <f t="shared" si="29"/>
        <v>0</v>
      </c>
      <c r="AE37" s="32">
        <f t="shared" si="29"/>
        <v>802</v>
      </c>
      <c r="AF37" s="32">
        <f t="shared" si="29"/>
        <v>1434</v>
      </c>
    </row>
    <row r="38" spans="2:32" ht="23.1" customHeight="1" x14ac:dyDescent="0.25">
      <c r="B38" s="46" t="s">
        <v>65</v>
      </c>
      <c r="C38" s="50">
        <v>22</v>
      </c>
      <c r="D38" s="50">
        <v>13</v>
      </c>
      <c r="E38" s="50">
        <v>2</v>
      </c>
      <c r="F38" s="50">
        <v>12</v>
      </c>
      <c r="G38" s="50">
        <v>0</v>
      </c>
      <c r="H38" s="50">
        <v>0</v>
      </c>
      <c r="I38" s="50">
        <v>5</v>
      </c>
      <c r="J38" s="50">
        <v>2</v>
      </c>
      <c r="K38" s="50">
        <v>2</v>
      </c>
      <c r="L38" s="50">
        <v>10</v>
      </c>
      <c r="M38" s="50">
        <v>9</v>
      </c>
      <c r="N38" s="50">
        <v>0</v>
      </c>
      <c r="O38" s="15">
        <f t="shared" si="0"/>
        <v>68</v>
      </c>
      <c r="P38" s="15">
        <f t="shared" si="1"/>
        <v>77</v>
      </c>
      <c r="R38" s="28" t="s">
        <v>86</v>
      </c>
      <c r="S38" s="16">
        <f t="shared" ref="S38:AF38" si="30">SUM(S13:S18)</f>
        <v>742</v>
      </c>
      <c r="T38" s="16">
        <f t="shared" si="30"/>
        <v>312</v>
      </c>
      <c r="U38" s="16">
        <f t="shared" si="30"/>
        <v>165</v>
      </c>
      <c r="V38" s="16">
        <f t="shared" si="30"/>
        <v>656</v>
      </c>
      <c r="W38" s="16">
        <f t="shared" si="30"/>
        <v>19</v>
      </c>
      <c r="X38" s="16">
        <f t="shared" si="30"/>
        <v>14</v>
      </c>
      <c r="Y38" s="16">
        <f t="shared" si="30"/>
        <v>195</v>
      </c>
      <c r="Z38" s="16">
        <f t="shared" si="30"/>
        <v>139</v>
      </c>
      <c r="AA38" s="16">
        <f t="shared" si="30"/>
        <v>58</v>
      </c>
      <c r="AB38" s="16">
        <f t="shared" si="30"/>
        <v>198</v>
      </c>
      <c r="AC38" s="16">
        <f t="shared" si="30"/>
        <v>1119</v>
      </c>
      <c r="AD38" s="16">
        <f t="shared" si="30"/>
        <v>0</v>
      </c>
      <c r="AE38" s="32">
        <f t="shared" si="30"/>
        <v>2498</v>
      </c>
      <c r="AF38" s="32">
        <f t="shared" si="30"/>
        <v>3617</v>
      </c>
    </row>
    <row r="39" spans="2:32" ht="23.1" customHeight="1" x14ac:dyDescent="0.25">
      <c r="B39" s="46" t="s">
        <v>66</v>
      </c>
      <c r="C39" s="50">
        <v>31</v>
      </c>
      <c r="D39" s="50">
        <v>8</v>
      </c>
      <c r="E39" s="50">
        <v>6</v>
      </c>
      <c r="F39" s="50">
        <v>24</v>
      </c>
      <c r="G39" s="50">
        <v>1</v>
      </c>
      <c r="H39" s="50">
        <v>2</v>
      </c>
      <c r="I39" s="50">
        <v>6</v>
      </c>
      <c r="J39" s="50">
        <v>9</v>
      </c>
      <c r="K39" s="50">
        <v>1</v>
      </c>
      <c r="L39" s="50">
        <v>9</v>
      </c>
      <c r="M39" s="50">
        <v>25</v>
      </c>
      <c r="N39" s="50">
        <v>0</v>
      </c>
      <c r="O39" s="15">
        <f t="shared" si="0"/>
        <v>97</v>
      </c>
      <c r="P39" s="15">
        <f t="shared" si="1"/>
        <v>122</v>
      </c>
      <c r="R39" s="29" t="s">
        <v>87</v>
      </c>
      <c r="S39" s="16">
        <f t="shared" ref="S39:AF39" si="31">SUM(S19:S21)</f>
        <v>756</v>
      </c>
      <c r="T39" s="16">
        <f t="shared" si="31"/>
        <v>348</v>
      </c>
      <c r="U39" s="16">
        <f t="shared" si="31"/>
        <v>117</v>
      </c>
      <c r="V39" s="16">
        <f t="shared" si="31"/>
        <v>390</v>
      </c>
      <c r="W39" s="16">
        <f t="shared" si="31"/>
        <v>18</v>
      </c>
      <c r="X39" s="16">
        <f t="shared" si="31"/>
        <v>18</v>
      </c>
      <c r="Y39" s="16">
        <f t="shared" si="31"/>
        <v>99</v>
      </c>
      <c r="Z39" s="16">
        <f t="shared" si="31"/>
        <v>49</v>
      </c>
      <c r="AA39" s="16">
        <f t="shared" si="31"/>
        <v>30</v>
      </c>
      <c r="AB39" s="16">
        <f t="shared" si="31"/>
        <v>97</v>
      </c>
      <c r="AC39" s="16">
        <f t="shared" si="31"/>
        <v>597</v>
      </c>
      <c r="AD39" s="16">
        <f t="shared" si="31"/>
        <v>3</v>
      </c>
      <c r="AE39" s="32">
        <f t="shared" si="31"/>
        <v>1925</v>
      </c>
      <c r="AF39" s="32">
        <f t="shared" si="31"/>
        <v>2522</v>
      </c>
    </row>
    <row r="40" spans="2:32" ht="23.1" customHeight="1" x14ac:dyDescent="0.25">
      <c r="B40" s="46" t="s">
        <v>67</v>
      </c>
      <c r="C40" s="50">
        <v>35</v>
      </c>
      <c r="D40" s="50">
        <v>17</v>
      </c>
      <c r="E40" s="50">
        <v>8</v>
      </c>
      <c r="F40" s="50">
        <v>27</v>
      </c>
      <c r="G40" s="50">
        <v>2</v>
      </c>
      <c r="H40" s="50">
        <v>0</v>
      </c>
      <c r="I40" s="50">
        <v>10</v>
      </c>
      <c r="J40" s="50">
        <v>2</v>
      </c>
      <c r="K40" s="50">
        <v>1</v>
      </c>
      <c r="L40" s="50">
        <v>7</v>
      </c>
      <c r="M40" s="50">
        <v>32</v>
      </c>
      <c r="N40" s="50">
        <v>0</v>
      </c>
      <c r="O40" s="15">
        <f t="shared" si="0"/>
        <v>109</v>
      </c>
      <c r="P40" s="15">
        <f t="shared" si="1"/>
        <v>141</v>
      </c>
      <c r="R40" s="5" t="s">
        <v>17</v>
      </c>
      <c r="S40" s="16">
        <f t="shared" ref="S40:AF40" si="32">SUM(S10:S21)</f>
        <v>1652</v>
      </c>
      <c r="T40" s="16">
        <f t="shared" si="32"/>
        <v>722</v>
      </c>
      <c r="U40" s="16">
        <f t="shared" si="32"/>
        <v>319</v>
      </c>
      <c r="V40" s="16">
        <f t="shared" si="32"/>
        <v>1347</v>
      </c>
      <c r="W40" s="16">
        <f t="shared" si="32"/>
        <v>44</v>
      </c>
      <c r="X40" s="16">
        <f t="shared" si="32"/>
        <v>37</v>
      </c>
      <c r="Y40" s="16">
        <f t="shared" si="32"/>
        <v>322</v>
      </c>
      <c r="Z40" s="16">
        <f t="shared" si="32"/>
        <v>225</v>
      </c>
      <c r="AA40" s="16">
        <f t="shared" si="32"/>
        <v>112</v>
      </c>
      <c r="AB40" s="16">
        <f t="shared" si="32"/>
        <v>442</v>
      </c>
      <c r="AC40" s="16">
        <f t="shared" si="32"/>
        <v>2348</v>
      </c>
      <c r="AD40" s="16">
        <f t="shared" si="32"/>
        <v>3</v>
      </c>
      <c r="AE40" s="32">
        <f t="shared" si="32"/>
        <v>5225</v>
      </c>
      <c r="AF40" s="32">
        <f t="shared" si="32"/>
        <v>7573</v>
      </c>
    </row>
    <row r="41" spans="2:32" ht="23.1" customHeight="1" x14ac:dyDescent="0.25">
      <c r="B41" s="45" t="s">
        <v>68</v>
      </c>
      <c r="C41" s="50">
        <v>45</v>
      </c>
      <c r="D41" s="50">
        <v>15</v>
      </c>
      <c r="E41" s="50">
        <v>15</v>
      </c>
      <c r="F41" s="50">
        <v>26</v>
      </c>
      <c r="G41" s="50">
        <v>1</v>
      </c>
      <c r="H41" s="50">
        <v>1</v>
      </c>
      <c r="I41" s="50">
        <v>12</v>
      </c>
      <c r="J41" s="50">
        <v>6</v>
      </c>
      <c r="K41" s="50">
        <v>5</v>
      </c>
      <c r="L41" s="50">
        <v>12</v>
      </c>
      <c r="M41" s="50">
        <v>64</v>
      </c>
      <c r="N41" s="50">
        <v>0</v>
      </c>
      <c r="O41" s="15">
        <f t="shared" si="0"/>
        <v>138</v>
      </c>
      <c r="P41" s="15">
        <f t="shared" si="1"/>
        <v>202</v>
      </c>
      <c r="R41" s="5" t="s">
        <v>159</v>
      </c>
      <c r="S41" s="16">
        <f>SUM(S10:S33)</f>
        <v>2462</v>
      </c>
      <c r="T41" s="16">
        <f t="shared" ref="T41:AF41" si="33">SUM(T10:T33)</f>
        <v>869</v>
      </c>
      <c r="U41" s="16">
        <f t="shared" si="33"/>
        <v>428</v>
      </c>
      <c r="V41" s="16">
        <f t="shared" si="33"/>
        <v>2048</v>
      </c>
      <c r="W41" s="16">
        <f t="shared" si="33"/>
        <v>88</v>
      </c>
      <c r="X41" s="16">
        <f t="shared" si="33"/>
        <v>80</v>
      </c>
      <c r="Y41" s="16">
        <f t="shared" si="33"/>
        <v>514</v>
      </c>
      <c r="Z41" s="16">
        <f t="shared" si="33"/>
        <v>511</v>
      </c>
      <c r="AA41" s="16">
        <f t="shared" si="33"/>
        <v>182</v>
      </c>
      <c r="AB41" s="16">
        <f t="shared" si="33"/>
        <v>840</v>
      </c>
      <c r="AC41" s="16">
        <f t="shared" si="33"/>
        <v>2955</v>
      </c>
      <c r="AD41" s="16">
        <f t="shared" si="33"/>
        <v>3</v>
      </c>
      <c r="AE41" s="32">
        <f t="shared" si="33"/>
        <v>8025</v>
      </c>
      <c r="AF41" s="32">
        <f t="shared" si="33"/>
        <v>10980</v>
      </c>
    </row>
    <row r="42" spans="2:32" ht="23.1" customHeight="1" x14ac:dyDescent="0.25">
      <c r="B42" s="46" t="s">
        <v>69</v>
      </c>
      <c r="C42" s="50">
        <v>27</v>
      </c>
      <c r="D42" s="50">
        <v>14</v>
      </c>
      <c r="E42" s="50">
        <v>9</v>
      </c>
      <c r="F42" s="50">
        <v>26</v>
      </c>
      <c r="G42" s="50">
        <v>2</v>
      </c>
      <c r="H42" s="50">
        <v>0</v>
      </c>
      <c r="I42" s="50">
        <v>10</v>
      </c>
      <c r="J42" s="50">
        <v>7</v>
      </c>
      <c r="K42" s="50">
        <v>1</v>
      </c>
      <c r="L42" s="50">
        <v>9</v>
      </c>
      <c r="M42" s="50">
        <v>40</v>
      </c>
      <c r="N42" s="50">
        <v>0</v>
      </c>
      <c r="O42" s="15">
        <f t="shared" si="0"/>
        <v>105</v>
      </c>
      <c r="P42" s="15">
        <f t="shared" si="1"/>
        <v>145</v>
      </c>
      <c r="R42" s="5" t="s">
        <v>160</v>
      </c>
      <c r="S42" s="48">
        <f>S41/S40</f>
        <v>1.4903147699757868</v>
      </c>
      <c r="T42" s="48">
        <f t="shared" ref="T42:AF42" si="34">T41/T40</f>
        <v>1.2036011080332409</v>
      </c>
      <c r="U42" s="48">
        <f t="shared" si="34"/>
        <v>1.3416927899686519</v>
      </c>
      <c r="V42" s="48">
        <f t="shared" si="34"/>
        <v>1.5204157386785448</v>
      </c>
      <c r="W42" s="48">
        <f t="shared" si="34"/>
        <v>2</v>
      </c>
      <c r="X42" s="48">
        <f t="shared" si="34"/>
        <v>2.1621621621621623</v>
      </c>
      <c r="Y42" s="48">
        <f t="shared" si="34"/>
        <v>1.5962732919254659</v>
      </c>
      <c r="Z42" s="48">
        <f t="shared" si="34"/>
        <v>2.2711111111111113</v>
      </c>
      <c r="AA42" s="48">
        <f t="shared" si="34"/>
        <v>1.625</v>
      </c>
      <c r="AB42" s="48">
        <f t="shared" si="34"/>
        <v>1.9004524886877827</v>
      </c>
      <c r="AC42" s="48">
        <f t="shared" si="34"/>
        <v>1.2585178875638841</v>
      </c>
      <c r="AD42" s="48">
        <f t="shared" si="34"/>
        <v>1</v>
      </c>
      <c r="AE42" s="48">
        <f t="shared" si="34"/>
        <v>1.5358851674641147</v>
      </c>
      <c r="AF42" s="48">
        <f t="shared" si="34"/>
        <v>1.4498877591443284</v>
      </c>
    </row>
    <row r="43" spans="2:32" ht="23.1" customHeight="1" x14ac:dyDescent="0.25">
      <c r="B43" s="45" t="s">
        <v>70</v>
      </c>
      <c r="C43" s="50">
        <v>50</v>
      </c>
      <c r="D43" s="50">
        <v>25</v>
      </c>
      <c r="E43" s="50">
        <v>4</v>
      </c>
      <c r="F43" s="50">
        <v>34</v>
      </c>
      <c r="G43" s="50">
        <v>1</v>
      </c>
      <c r="H43" s="50">
        <v>0</v>
      </c>
      <c r="I43" s="50">
        <v>8</v>
      </c>
      <c r="J43" s="50">
        <v>4</v>
      </c>
      <c r="K43" s="50">
        <v>3</v>
      </c>
      <c r="L43" s="50">
        <v>9</v>
      </c>
      <c r="M43" s="50">
        <v>54</v>
      </c>
      <c r="N43" s="50">
        <v>0</v>
      </c>
      <c r="O43" s="15">
        <f t="shared" si="0"/>
        <v>138</v>
      </c>
      <c r="P43" s="15">
        <f t="shared" si="1"/>
        <v>192</v>
      </c>
    </row>
    <row r="44" spans="2:32" ht="23.1" customHeight="1" x14ac:dyDescent="0.25">
      <c r="B44" s="47" t="s">
        <v>71</v>
      </c>
      <c r="C44" s="50">
        <v>69</v>
      </c>
      <c r="D44" s="50">
        <v>29</v>
      </c>
      <c r="E44" s="50">
        <v>9</v>
      </c>
      <c r="F44" s="50">
        <v>22</v>
      </c>
      <c r="G44" s="50">
        <v>1</v>
      </c>
      <c r="H44" s="50">
        <v>1</v>
      </c>
      <c r="I44" s="50">
        <v>9</v>
      </c>
      <c r="J44" s="50">
        <v>11</v>
      </c>
      <c r="K44" s="50">
        <v>4</v>
      </c>
      <c r="L44" s="50">
        <v>8</v>
      </c>
      <c r="M44" s="50">
        <v>61</v>
      </c>
      <c r="N44" s="50">
        <v>0</v>
      </c>
      <c r="O44" s="15">
        <f t="shared" si="0"/>
        <v>163</v>
      </c>
      <c r="P44" s="15">
        <f t="shared" si="1"/>
        <v>224</v>
      </c>
    </row>
    <row r="45" spans="2:32" ht="23.1" customHeight="1" x14ac:dyDescent="0.25">
      <c r="B45" s="45" t="s">
        <v>72</v>
      </c>
      <c r="C45" s="50">
        <v>39</v>
      </c>
      <c r="D45" s="50">
        <v>16</v>
      </c>
      <c r="E45" s="50">
        <v>7</v>
      </c>
      <c r="F45" s="50">
        <v>20</v>
      </c>
      <c r="G45" s="50">
        <v>0</v>
      </c>
      <c r="H45" s="50">
        <v>1</v>
      </c>
      <c r="I45" s="50">
        <v>6</v>
      </c>
      <c r="J45" s="50">
        <v>5</v>
      </c>
      <c r="K45" s="50">
        <v>3</v>
      </c>
      <c r="L45" s="50">
        <v>8</v>
      </c>
      <c r="M45" s="50">
        <v>30</v>
      </c>
      <c r="N45" s="50">
        <v>0</v>
      </c>
      <c r="O45" s="15">
        <f t="shared" si="0"/>
        <v>105</v>
      </c>
      <c r="P45" s="15">
        <f t="shared" si="1"/>
        <v>135</v>
      </c>
    </row>
    <row r="46" spans="2:32" ht="23.1" customHeight="1" x14ac:dyDescent="0.25">
      <c r="B46" s="46" t="s">
        <v>73</v>
      </c>
      <c r="C46" s="50">
        <v>53</v>
      </c>
      <c r="D46" s="50">
        <v>25</v>
      </c>
      <c r="E46" s="50">
        <v>10</v>
      </c>
      <c r="F46" s="50">
        <v>24</v>
      </c>
      <c r="G46" s="50">
        <v>1</v>
      </c>
      <c r="H46" s="50">
        <v>1</v>
      </c>
      <c r="I46" s="50">
        <v>8</v>
      </c>
      <c r="J46" s="50">
        <v>5</v>
      </c>
      <c r="K46" s="50">
        <v>2</v>
      </c>
      <c r="L46" s="50">
        <v>8</v>
      </c>
      <c r="M46" s="50">
        <v>55</v>
      </c>
      <c r="N46" s="50">
        <v>0</v>
      </c>
      <c r="O46" s="15">
        <f t="shared" si="0"/>
        <v>137</v>
      </c>
      <c r="P46" s="15">
        <f t="shared" si="1"/>
        <v>192</v>
      </c>
      <c r="R46" s="8"/>
      <c r="T46"/>
    </row>
    <row r="47" spans="2:32" ht="23.1" customHeight="1" x14ac:dyDescent="0.25">
      <c r="B47" s="46" t="s">
        <v>74</v>
      </c>
      <c r="C47" s="50">
        <v>65</v>
      </c>
      <c r="D47" s="50">
        <v>32</v>
      </c>
      <c r="E47" s="50">
        <v>12</v>
      </c>
      <c r="F47" s="50">
        <v>29</v>
      </c>
      <c r="G47" s="50">
        <v>0</v>
      </c>
      <c r="H47" s="50">
        <v>3</v>
      </c>
      <c r="I47" s="50">
        <v>7</v>
      </c>
      <c r="J47" s="50">
        <v>1</v>
      </c>
      <c r="K47" s="50">
        <v>3</v>
      </c>
      <c r="L47" s="50">
        <v>11</v>
      </c>
      <c r="M47" s="50">
        <v>44</v>
      </c>
      <c r="N47" s="50">
        <v>0</v>
      </c>
      <c r="O47" s="15">
        <f t="shared" si="0"/>
        <v>163</v>
      </c>
      <c r="P47" s="15">
        <f t="shared" si="1"/>
        <v>207</v>
      </c>
      <c r="R47" s="8"/>
      <c r="T47"/>
    </row>
    <row r="48" spans="2:32" ht="23.1" customHeight="1" x14ac:dyDescent="0.25">
      <c r="B48" s="46" t="s">
        <v>75</v>
      </c>
      <c r="C48" s="50">
        <v>53</v>
      </c>
      <c r="D48" s="50">
        <v>26</v>
      </c>
      <c r="E48" s="50">
        <v>6</v>
      </c>
      <c r="F48" s="50">
        <v>28</v>
      </c>
      <c r="G48" s="50">
        <v>1</v>
      </c>
      <c r="H48" s="50">
        <v>1</v>
      </c>
      <c r="I48" s="50">
        <v>4</v>
      </c>
      <c r="J48" s="50">
        <v>0</v>
      </c>
      <c r="K48" s="50">
        <v>2</v>
      </c>
      <c r="L48" s="50">
        <v>9</v>
      </c>
      <c r="M48" s="50">
        <v>56</v>
      </c>
      <c r="N48" s="50">
        <v>1</v>
      </c>
      <c r="O48" s="15">
        <f t="shared" si="0"/>
        <v>131</v>
      </c>
      <c r="P48" s="15">
        <f t="shared" si="1"/>
        <v>187</v>
      </c>
      <c r="R48" s="8"/>
      <c r="T48"/>
    </row>
    <row r="49" spans="2:20" ht="23.1" customHeight="1" x14ac:dyDescent="0.25">
      <c r="B49" s="45" t="s">
        <v>76</v>
      </c>
      <c r="C49" s="50">
        <v>67</v>
      </c>
      <c r="D49" s="50">
        <v>22</v>
      </c>
      <c r="E49" s="50">
        <v>8</v>
      </c>
      <c r="F49" s="50">
        <v>33</v>
      </c>
      <c r="G49" s="50">
        <v>5</v>
      </c>
      <c r="H49" s="50">
        <v>2</v>
      </c>
      <c r="I49" s="50">
        <v>10</v>
      </c>
      <c r="J49" s="50">
        <v>2</v>
      </c>
      <c r="K49" s="50">
        <v>0</v>
      </c>
      <c r="L49" s="50">
        <v>9</v>
      </c>
      <c r="M49" s="50">
        <v>43</v>
      </c>
      <c r="N49" s="50">
        <v>1</v>
      </c>
      <c r="O49" s="15">
        <f t="shared" si="0"/>
        <v>159</v>
      </c>
      <c r="P49" s="15">
        <f t="shared" si="1"/>
        <v>202</v>
      </c>
      <c r="R49" s="8"/>
      <c r="T49"/>
    </row>
    <row r="50" spans="2:20" ht="23.1" customHeight="1" x14ac:dyDescent="0.25">
      <c r="B50" s="46" t="s">
        <v>77</v>
      </c>
      <c r="C50" s="50">
        <v>44</v>
      </c>
      <c r="D50" s="50">
        <v>26</v>
      </c>
      <c r="E50" s="50">
        <v>9</v>
      </c>
      <c r="F50" s="50">
        <v>36</v>
      </c>
      <c r="G50" s="50">
        <v>1</v>
      </c>
      <c r="H50" s="50">
        <v>4</v>
      </c>
      <c r="I50" s="50">
        <v>5</v>
      </c>
      <c r="J50" s="50">
        <v>5</v>
      </c>
      <c r="K50" s="50">
        <v>6</v>
      </c>
      <c r="L50" s="50">
        <v>9</v>
      </c>
      <c r="M50" s="50">
        <v>52</v>
      </c>
      <c r="N50" s="50">
        <v>1</v>
      </c>
      <c r="O50" s="15">
        <f t="shared" si="0"/>
        <v>146</v>
      </c>
      <c r="P50" s="15">
        <f t="shared" si="1"/>
        <v>198</v>
      </c>
      <c r="R50" s="8"/>
      <c r="T50"/>
    </row>
    <row r="51" spans="2:20" ht="23.1" customHeight="1" x14ac:dyDescent="0.25">
      <c r="B51" s="46" t="s">
        <v>78</v>
      </c>
      <c r="C51" s="50">
        <v>52</v>
      </c>
      <c r="D51" s="50">
        <v>58</v>
      </c>
      <c r="E51" s="50">
        <v>6</v>
      </c>
      <c r="F51" s="50">
        <v>39</v>
      </c>
      <c r="G51" s="50">
        <v>0</v>
      </c>
      <c r="H51" s="50">
        <v>0</v>
      </c>
      <c r="I51" s="50">
        <v>10</v>
      </c>
      <c r="J51" s="50">
        <v>4</v>
      </c>
      <c r="K51" s="50">
        <v>1</v>
      </c>
      <c r="L51" s="50">
        <v>10</v>
      </c>
      <c r="M51" s="50">
        <v>53</v>
      </c>
      <c r="N51" s="50">
        <v>0</v>
      </c>
      <c r="O51" s="15">
        <f t="shared" si="0"/>
        <v>180</v>
      </c>
      <c r="P51" s="15">
        <f t="shared" si="1"/>
        <v>233</v>
      </c>
      <c r="R51" s="8"/>
      <c r="T51"/>
    </row>
    <row r="52" spans="2:20" ht="23.1" customHeight="1" x14ac:dyDescent="0.25">
      <c r="B52" s="46" t="s">
        <v>79</v>
      </c>
      <c r="C52" s="50">
        <v>68</v>
      </c>
      <c r="D52" s="50">
        <v>21</v>
      </c>
      <c r="E52" s="50">
        <v>7</v>
      </c>
      <c r="F52" s="50">
        <v>30</v>
      </c>
      <c r="G52" s="50">
        <v>0</v>
      </c>
      <c r="H52" s="50">
        <v>1</v>
      </c>
      <c r="I52" s="50">
        <v>7</v>
      </c>
      <c r="J52" s="50">
        <v>6</v>
      </c>
      <c r="K52" s="50">
        <v>3</v>
      </c>
      <c r="L52" s="50">
        <v>7</v>
      </c>
      <c r="M52" s="50">
        <v>40</v>
      </c>
      <c r="N52" s="50">
        <v>0</v>
      </c>
      <c r="O52" s="15">
        <f t="shared" si="0"/>
        <v>150</v>
      </c>
      <c r="P52" s="15">
        <f t="shared" si="1"/>
        <v>190</v>
      </c>
      <c r="R52" s="8"/>
      <c r="T52"/>
    </row>
    <row r="53" spans="2:20" ht="23.1" customHeight="1" x14ac:dyDescent="0.25">
      <c r="B53" s="45" t="s">
        <v>80</v>
      </c>
      <c r="C53" s="50">
        <v>81</v>
      </c>
      <c r="D53" s="50">
        <v>27</v>
      </c>
      <c r="E53" s="50">
        <v>13</v>
      </c>
      <c r="F53" s="50">
        <v>26</v>
      </c>
      <c r="G53" s="50">
        <v>2</v>
      </c>
      <c r="H53" s="50">
        <v>1</v>
      </c>
      <c r="I53" s="50">
        <v>10</v>
      </c>
      <c r="J53" s="50">
        <v>6</v>
      </c>
      <c r="K53" s="50">
        <v>0</v>
      </c>
      <c r="L53" s="50">
        <v>4</v>
      </c>
      <c r="M53" s="50">
        <v>51</v>
      </c>
      <c r="N53" s="50">
        <v>0</v>
      </c>
      <c r="O53" s="15">
        <f t="shared" si="0"/>
        <v>170</v>
      </c>
      <c r="P53" s="15">
        <f t="shared" si="1"/>
        <v>221</v>
      </c>
      <c r="R53" s="8"/>
      <c r="T53"/>
    </row>
    <row r="54" spans="2:20" ht="23.1" customHeight="1" x14ac:dyDescent="0.25">
      <c r="B54" s="45" t="s">
        <v>81</v>
      </c>
      <c r="C54" s="50">
        <v>63</v>
      </c>
      <c r="D54" s="50">
        <v>28</v>
      </c>
      <c r="E54" s="50">
        <v>5</v>
      </c>
      <c r="F54" s="50">
        <v>36</v>
      </c>
      <c r="G54" s="50">
        <v>2</v>
      </c>
      <c r="H54" s="50">
        <v>3</v>
      </c>
      <c r="I54" s="50">
        <v>7</v>
      </c>
      <c r="J54" s="50">
        <v>5</v>
      </c>
      <c r="K54" s="50">
        <v>2</v>
      </c>
      <c r="L54" s="50">
        <v>6</v>
      </c>
      <c r="M54" s="50">
        <v>36</v>
      </c>
      <c r="N54" s="50">
        <v>0</v>
      </c>
      <c r="O54" s="15">
        <f t="shared" si="0"/>
        <v>157</v>
      </c>
      <c r="P54" s="15">
        <f t="shared" si="1"/>
        <v>193</v>
      </c>
      <c r="R54" s="8"/>
      <c r="T54"/>
    </row>
    <row r="55" spans="2:20" ht="23.1" customHeight="1" x14ac:dyDescent="0.25">
      <c r="B55" s="45" t="s">
        <v>82</v>
      </c>
      <c r="C55" s="50">
        <v>59</v>
      </c>
      <c r="D55" s="50">
        <v>27</v>
      </c>
      <c r="E55" s="50">
        <v>11</v>
      </c>
      <c r="F55" s="50">
        <v>37</v>
      </c>
      <c r="G55" s="50">
        <v>2</v>
      </c>
      <c r="H55" s="50">
        <v>0</v>
      </c>
      <c r="I55" s="50">
        <v>8</v>
      </c>
      <c r="J55" s="50">
        <v>3</v>
      </c>
      <c r="K55" s="50">
        <v>4</v>
      </c>
      <c r="L55" s="50">
        <v>8</v>
      </c>
      <c r="M55" s="50">
        <v>49</v>
      </c>
      <c r="N55" s="50">
        <v>0</v>
      </c>
      <c r="O55" s="15">
        <f t="shared" si="0"/>
        <v>159</v>
      </c>
      <c r="P55" s="15">
        <f t="shared" si="1"/>
        <v>208</v>
      </c>
      <c r="R55" s="8"/>
      <c r="T55"/>
    </row>
    <row r="56" spans="2:20" ht="23.1" customHeight="1" x14ac:dyDescent="0.25">
      <c r="B56" s="45" t="s">
        <v>83</v>
      </c>
      <c r="C56" s="50">
        <v>79</v>
      </c>
      <c r="D56" s="50">
        <v>28</v>
      </c>
      <c r="E56" s="50">
        <v>14</v>
      </c>
      <c r="F56" s="50">
        <v>32</v>
      </c>
      <c r="G56" s="50">
        <v>0</v>
      </c>
      <c r="H56" s="50">
        <v>1</v>
      </c>
      <c r="I56" s="50">
        <v>14</v>
      </c>
      <c r="J56" s="50">
        <v>5</v>
      </c>
      <c r="K56" s="50">
        <v>3</v>
      </c>
      <c r="L56" s="50">
        <v>9</v>
      </c>
      <c r="M56" s="50">
        <v>58</v>
      </c>
      <c r="N56" s="50">
        <v>0</v>
      </c>
      <c r="O56" s="15">
        <f t="shared" si="0"/>
        <v>185</v>
      </c>
      <c r="P56" s="15">
        <f t="shared" si="1"/>
        <v>243</v>
      </c>
      <c r="R56" s="8"/>
      <c r="T56"/>
    </row>
    <row r="57" spans="2:20" ht="23.1" customHeight="1" x14ac:dyDescent="0.25">
      <c r="B57" s="45" t="s">
        <v>84</v>
      </c>
      <c r="C57" s="50">
        <v>72</v>
      </c>
      <c r="D57" s="50">
        <v>28</v>
      </c>
      <c r="E57" s="50">
        <v>16</v>
      </c>
      <c r="F57" s="50">
        <v>40</v>
      </c>
      <c r="G57" s="50">
        <v>4</v>
      </c>
      <c r="H57" s="50">
        <v>1</v>
      </c>
      <c r="I57" s="50">
        <v>9</v>
      </c>
      <c r="J57" s="50">
        <v>7</v>
      </c>
      <c r="K57" s="50">
        <v>4</v>
      </c>
      <c r="L57" s="50">
        <v>7</v>
      </c>
      <c r="M57" s="50">
        <v>60</v>
      </c>
      <c r="N57" s="50">
        <v>0</v>
      </c>
      <c r="O57" s="15">
        <f t="shared" si="0"/>
        <v>188</v>
      </c>
      <c r="P57" s="15">
        <f t="shared" si="1"/>
        <v>248</v>
      </c>
      <c r="R57" s="8"/>
      <c r="T57"/>
    </row>
    <row r="58" spans="2:20" ht="23.1" customHeight="1" x14ac:dyDescent="0.25">
      <c r="B58" s="45" t="s">
        <v>99</v>
      </c>
      <c r="C58" s="50">
        <v>35</v>
      </c>
      <c r="D58" s="50">
        <v>15</v>
      </c>
      <c r="E58" s="50">
        <v>8</v>
      </c>
      <c r="F58" s="50">
        <v>30</v>
      </c>
      <c r="G58" s="50">
        <v>3</v>
      </c>
      <c r="H58" s="50">
        <v>1</v>
      </c>
      <c r="I58" s="50">
        <v>4</v>
      </c>
      <c r="J58" s="50">
        <v>5</v>
      </c>
      <c r="K58" s="50">
        <v>5</v>
      </c>
      <c r="L58" s="50">
        <v>15</v>
      </c>
      <c r="M58" s="50">
        <v>20</v>
      </c>
      <c r="N58" s="50">
        <v>0</v>
      </c>
      <c r="O58" s="15">
        <f t="shared" si="0"/>
        <v>121</v>
      </c>
      <c r="P58" s="15">
        <f t="shared" si="1"/>
        <v>141</v>
      </c>
      <c r="R58" s="8"/>
      <c r="T58"/>
    </row>
    <row r="59" spans="2:20" ht="23.1" customHeight="1" x14ac:dyDescent="0.25">
      <c r="B59" s="45" t="s">
        <v>100</v>
      </c>
      <c r="C59" s="50">
        <v>20</v>
      </c>
      <c r="D59" s="50">
        <v>10</v>
      </c>
      <c r="E59" s="50">
        <v>5</v>
      </c>
      <c r="F59" s="50">
        <v>15</v>
      </c>
      <c r="G59" s="50">
        <v>0</v>
      </c>
      <c r="H59" s="50">
        <v>0</v>
      </c>
      <c r="I59" s="50">
        <v>2</v>
      </c>
      <c r="J59" s="50">
        <v>7</v>
      </c>
      <c r="K59" s="50">
        <v>4</v>
      </c>
      <c r="L59" s="50">
        <v>14</v>
      </c>
      <c r="M59" s="50">
        <v>25</v>
      </c>
      <c r="N59" s="50">
        <v>0</v>
      </c>
      <c r="O59" s="15">
        <f t="shared" si="0"/>
        <v>77</v>
      </c>
      <c r="P59" s="15">
        <f t="shared" si="1"/>
        <v>102</v>
      </c>
      <c r="R59" s="8"/>
      <c r="T59"/>
    </row>
    <row r="60" spans="2:20" ht="23.1" customHeight="1" x14ac:dyDescent="0.25">
      <c r="B60" s="45" t="s">
        <v>101</v>
      </c>
      <c r="C60" s="50">
        <v>42</v>
      </c>
      <c r="D60" s="50">
        <v>10</v>
      </c>
      <c r="E60" s="50">
        <v>8</v>
      </c>
      <c r="F60" s="50">
        <v>27</v>
      </c>
      <c r="G60" s="50">
        <v>3</v>
      </c>
      <c r="H60" s="50">
        <v>2</v>
      </c>
      <c r="I60" s="50">
        <v>9</v>
      </c>
      <c r="J60" s="50">
        <v>5</v>
      </c>
      <c r="K60" s="50">
        <v>5</v>
      </c>
      <c r="L60" s="50">
        <v>10</v>
      </c>
      <c r="M60" s="50">
        <v>31</v>
      </c>
      <c r="N60" s="50">
        <v>0</v>
      </c>
      <c r="O60" s="15">
        <f t="shared" si="0"/>
        <v>121</v>
      </c>
      <c r="P60" s="15">
        <f t="shared" si="1"/>
        <v>152</v>
      </c>
      <c r="R60" s="8"/>
      <c r="T60"/>
    </row>
    <row r="61" spans="2:20" ht="23.1" customHeight="1" x14ac:dyDescent="0.25">
      <c r="B61" s="45" t="s">
        <v>102</v>
      </c>
      <c r="C61" s="50">
        <v>45</v>
      </c>
      <c r="D61" s="50">
        <v>2</v>
      </c>
      <c r="E61" s="50">
        <v>7</v>
      </c>
      <c r="F61" s="50">
        <v>30</v>
      </c>
      <c r="G61" s="50">
        <v>3</v>
      </c>
      <c r="H61" s="50">
        <v>0</v>
      </c>
      <c r="I61" s="50">
        <v>7</v>
      </c>
      <c r="J61" s="50">
        <v>4</v>
      </c>
      <c r="K61" s="50">
        <v>2</v>
      </c>
      <c r="L61" s="50">
        <v>6</v>
      </c>
      <c r="M61" s="50">
        <v>40</v>
      </c>
      <c r="N61" s="50">
        <v>0</v>
      </c>
      <c r="O61" s="15">
        <f t="shared" si="0"/>
        <v>106</v>
      </c>
      <c r="P61" s="15">
        <f t="shared" si="1"/>
        <v>146</v>
      </c>
      <c r="R61" s="8"/>
      <c r="T61"/>
    </row>
    <row r="62" spans="2:20" ht="23.1" customHeight="1" x14ac:dyDescent="0.25">
      <c r="B62" s="45" t="s">
        <v>107</v>
      </c>
      <c r="C62" s="50">
        <v>47</v>
      </c>
      <c r="D62" s="50">
        <v>13</v>
      </c>
      <c r="E62" s="50">
        <v>5</v>
      </c>
      <c r="F62" s="50">
        <v>35</v>
      </c>
      <c r="G62" s="50">
        <v>5</v>
      </c>
      <c r="H62" s="50">
        <v>0</v>
      </c>
      <c r="I62" s="50">
        <v>10</v>
      </c>
      <c r="J62" s="50">
        <v>14</v>
      </c>
      <c r="K62" s="50">
        <v>0</v>
      </c>
      <c r="L62" s="50">
        <v>10</v>
      </c>
      <c r="M62" s="50">
        <v>40</v>
      </c>
      <c r="N62" s="50">
        <v>0</v>
      </c>
      <c r="O62" s="15">
        <f t="shared" si="0"/>
        <v>139</v>
      </c>
      <c r="P62" s="15">
        <f t="shared" si="1"/>
        <v>179</v>
      </c>
      <c r="R62" s="8"/>
      <c r="T62"/>
    </row>
    <row r="63" spans="2:20" ht="23.1" customHeight="1" x14ac:dyDescent="0.25">
      <c r="B63" s="45" t="s">
        <v>108</v>
      </c>
      <c r="C63" s="50">
        <v>75</v>
      </c>
      <c r="D63" s="50">
        <v>4</v>
      </c>
      <c r="E63" s="50">
        <v>3</v>
      </c>
      <c r="F63" s="50">
        <v>43</v>
      </c>
      <c r="G63" s="50">
        <v>3</v>
      </c>
      <c r="H63" s="50">
        <v>1</v>
      </c>
      <c r="I63" s="50">
        <v>6</v>
      </c>
      <c r="J63" s="50">
        <v>4</v>
      </c>
      <c r="K63" s="50">
        <v>0</v>
      </c>
      <c r="L63" s="50">
        <v>6</v>
      </c>
      <c r="M63" s="50">
        <v>18</v>
      </c>
      <c r="N63" s="50">
        <v>0</v>
      </c>
      <c r="O63" s="15">
        <f t="shared" si="0"/>
        <v>145</v>
      </c>
      <c r="P63" s="15">
        <f t="shared" si="1"/>
        <v>163</v>
      </c>
      <c r="R63" s="8"/>
      <c r="T63"/>
    </row>
    <row r="64" spans="2:20" ht="23.1" customHeight="1" x14ac:dyDescent="0.25">
      <c r="B64" s="45" t="s">
        <v>109</v>
      </c>
      <c r="C64" s="50">
        <v>48</v>
      </c>
      <c r="D64" s="50">
        <v>7</v>
      </c>
      <c r="E64" s="50">
        <v>3</v>
      </c>
      <c r="F64" s="50">
        <v>50</v>
      </c>
      <c r="G64" s="50">
        <v>2</v>
      </c>
      <c r="H64" s="50">
        <v>1</v>
      </c>
      <c r="I64" s="50">
        <v>6</v>
      </c>
      <c r="J64" s="50">
        <v>16</v>
      </c>
      <c r="K64" s="50">
        <v>1</v>
      </c>
      <c r="L64" s="50">
        <v>8</v>
      </c>
      <c r="M64" s="50">
        <v>29</v>
      </c>
      <c r="N64" s="50">
        <v>0</v>
      </c>
      <c r="O64" s="15">
        <f t="shared" si="0"/>
        <v>142</v>
      </c>
      <c r="P64" s="15">
        <f t="shared" si="1"/>
        <v>171</v>
      </c>
      <c r="R64" s="8"/>
      <c r="T64"/>
    </row>
    <row r="65" spans="2:20" ht="23.1" customHeight="1" x14ac:dyDescent="0.25">
      <c r="B65" s="45" t="s">
        <v>158</v>
      </c>
      <c r="C65" s="50">
        <v>35</v>
      </c>
      <c r="D65" s="50">
        <v>6</v>
      </c>
      <c r="E65" s="50">
        <v>2</v>
      </c>
      <c r="F65" s="50">
        <v>30</v>
      </c>
      <c r="G65" s="50">
        <v>1</v>
      </c>
      <c r="H65" s="50">
        <v>0</v>
      </c>
      <c r="I65" s="50">
        <v>10</v>
      </c>
      <c r="J65" s="50">
        <v>10</v>
      </c>
      <c r="K65" s="50">
        <v>1</v>
      </c>
      <c r="L65" s="50">
        <v>5</v>
      </c>
      <c r="M65" s="50">
        <v>16</v>
      </c>
      <c r="N65" s="50">
        <v>0</v>
      </c>
      <c r="O65" s="15">
        <f t="shared" si="0"/>
        <v>100</v>
      </c>
      <c r="P65" s="15">
        <f t="shared" si="1"/>
        <v>116</v>
      </c>
      <c r="R65" s="8"/>
      <c r="T65"/>
    </row>
    <row r="66" spans="2:20" ht="23.1" customHeight="1" x14ac:dyDescent="0.25">
      <c r="B66" s="45" t="s">
        <v>103</v>
      </c>
      <c r="C66" s="50">
        <v>31</v>
      </c>
      <c r="D66" s="50">
        <v>3</v>
      </c>
      <c r="E66" s="50">
        <v>2</v>
      </c>
      <c r="F66" s="50">
        <v>30</v>
      </c>
      <c r="G66" s="50">
        <v>1</v>
      </c>
      <c r="H66" s="50">
        <v>1</v>
      </c>
      <c r="I66" s="50">
        <v>5</v>
      </c>
      <c r="J66" s="50">
        <v>5</v>
      </c>
      <c r="K66" s="50">
        <v>1</v>
      </c>
      <c r="L66" s="50">
        <v>7</v>
      </c>
      <c r="M66" s="50">
        <v>15</v>
      </c>
      <c r="N66" s="50">
        <v>0</v>
      </c>
      <c r="O66" s="15">
        <f t="shared" si="0"/>
        <v>86</v>
      </c>
      <c r="P66" s="15">
        <f t="shared" si="1"/>
        <v>101</v>
      </c>
      <c r="R66" s="8"/>
      <c r="T66"/>
    </row>
    <row r="67" spans="2:20" ht="23.1" customHeight="1" x14ac:dyDescent="0.25">
      <c r="B67" s="45" t="s">
        <v>104</v>
      </c>
      <c r="C67" s="50">
        <v>38</v>
      </c>
      <c r="D67" s="50">
        <v>5</v>
      </c>
      <c r="E67" s="50">
        <v>4</v>
      </c>
      <c r="F67" s="50">
        <v>27</v>
      </c>
      <c r="G67" s="50">
        <v>3</v>
      </c>
      <c r="H67" s="50">
        <v>1</v>
      </c>
      <c r="I67" s="50">
        <v>3</v>
      </c>
      <c r="J67" s="50">
        <v>10</v>
      </c>
      <c r="K67" s="50">
        <v>1</v>
      </c>
      <c r="L67" s="50">
        <v>10</v>
      </c>
      <c r="M67" s="50">
        <v>23</v>
      </c>
      <c r="N67" s="50">
        <v>0</v>
      </c>
      <c r="O67" s="15">
        <f t="shared" si="0"/>
        <v>102</v>
      </c>
      <c r="P67" s="15">
        <f t="shared" si="1"/>
        <v>125</v>
      </c>
      <c r="R67" s="8"/>
      <c r="T67"/>
    </row>
    <row r="68" spans="2:20" ht="23.1" customHeight="1" x14ac:dyDescent="0.25">
      <c r="B68" s="45" t="s">
        <v>105</v>
      </c>
      <c r="C68" s="50">
        <v>32</v>
      </c>
      <c r="D68" s="50">
        <v>1</v>
      </c>
      <c r="E68" s="50">
        <v>3</v>
      </c>
      <c r="F68" s="50">
        <v>20</v>
      </c>
      <c r="G68" s="50">
        <v>0</v>
      </c>
      <c r="H68" s="50">
        <v>1</v>
      </c>
      <c r="I68" s="50">
        <v>8</v>
      </c>
      <c r="J68" s="50">
        <v>8</v>
      </c>
      <c r="K68" s="50">
        <v>3</v>
      </c>
      <c r="L68" s="50">
        <v>11</v>
      </c>
      <c r="M68" s="50">
        <v>28</v>
      </c>
      <c r="N68" s="50">
        <v>0</v>
      </c>
      <c r="O68" s="15">
        <f t="shared" si="0"/>
        <v>87</v>
      </c>
      <c r="P68" s="15">
        <f t="shared" si="1"/>
        <v>115</v>
      </c>
      <c r="R68" s="8"/>
      <c r="T68"/>
    </row>
    <row r="69" spans="2:20" ht="23.1" customHeight="1" x14ac:dyDescent="0.25">
      <c r="B69" s="45" t="s">
        <v>106</v>
      </c>
      <c r="C69" s="50">
        <v>26</v>
      </c>
      <c r="D69" s="50">
        <v>3</v>
      </c>
      <c r="E69" s="50">
        <v>5</v>
      </c>
      <c r="F69" s="50">
        <v>29</v>
      </c>
      <c r="G69" s="50">
        <v>1</v>
      </c>
      <c r="H69" s="50">
        <v>3</v>
      </c>
      <c r="I69" s="50">
        <v>7</v>
      </c>
      <c r="J69" s="50">
        <v>10</v>
      </c>
      <c r="K69" s="50">
        <v>5</v>
      </c>
      <c r="L69" s="50">
        <v>12</v>
      </c>
      <c r="M69" s="50">
        <v>31</v>
      </c>
      <c r="N69" s="50">
        <v>0</v>
      </c>
      <c r="O69" s="15">
        <f t="shared" si="0"/>
        <v>101</v>
      </c>
      <c r="P69" s="15">
        <f t="shared" si="1"/>
        <v>132</v>
      </c>
      <c r="R69" s="8"/>
      <c r="T69"/>
    </row>
    <row r="70" spans="2:20" ht="23.1" customHeight="1" x14ac:dyDescent="0.25">
      <c r="B70" s="45" t="s">
        <v>110</v>
      </c>
      <c r="C70" s="50">
        <v>23</v>
      </c>
      <c r="D70" s="50">
        <v>7</v>
      </c>
      <c r="E70" s="50">
        <v>2</v>
      </c>
      <c r="F70" s="50">
        <v>24</v>
      </c>
      <c r="G70" s="50">
        <v>0</v>
      </c>
      <c r="H70" s="50">
        <v>1</v>
      </c>
      <c r="I70" s="50">
        <v>5</v>
      </c>
      <c r="J70" s="50">
        <v>9</v>
      </c>
      <c r="K70" s="50">
        <v>3</v>
      </c>
      <c r="L70" s="50">
        <v>13</v>
      </c>
      <c r="M70" s="50">
        <v>24</v>
      </c>
      <c r="N70" s="50">
        <v>0</v>
      </c>
      <c r="O70" s="15">
        <f t="shared" si="0"/>
        <v>87</v>
      </c>
      <c r="P70" s="15">
        <f t="shared" si="1"/>
        <v>111</v>
      </c>
      <c r="R70" s="8"/>
      <c r="T70"/>
    </row>
    <row r="71" spans="2:20" ht="23.1" customHeight="1" x14ac:dyDescent="0.25">
      <c r="B71" s="45" t="s">
        <v>111</v>
      </c>
      <c r="C71" s="50">
        <v>27</v>
      </c>
      <c r="D71" s="50">
        <v>3</v>
      </c>
      <c r="E71" s="50">
        <v>5</v>
      </c>
      <c r="F71" s="50">
        <v>31</v>
      </c>
      <c r="G71" s="50">
        <v>2</v>
      </c>
      <c r="H71" s="50">
        <v>3</v>
      </c>
      <c r="I71" s="50">
        <v>8</v>
      </c>
      <c r="J71" s="50">
        <v>7</v>
      </c>
      <c r="K71" s="50">
        <v>5</v>
      </c>
      <c r="L71" s="50">
        <v>14</v>
      </c>
      <c r="M71" s="50">
        <v>32</v>
      </c>
      <c r="N71" s="50">
        <v>0</v>
      </c>
      <c r="O71" s="15">
        <f t="shared" si="0"/>
        <v>105</v>
      </c>
      <c r="P71" s="15">
        <f t="shared" si="1"/>
        <v>137</v>
      </c>
      <c r="R71" s="8"/>
      <c r="T71"/>
    </row>
    <row r="72" spans="2:20" ht="23.1" customHeight="1" x14ac:dyDescent="0.25">
      <c r="B72" s="45" t="s">
        <v>112</v>
      </c>
      <c r="C72" s="50">
        <v>33</v>
      </c>
      <c r="D72" s="50">
        <v>7</v>
      </c>
      <c r="E72" s="50">
        <v>3</v>
      </c>
      <c r="F72" s="50">
        <v>24</v>
      </c>
      <c r="G72" s="50">
        <v>3</v>
      </c>
      <c r="H72" s="50">
        <v>0</v>
      </c>
      <c r="I72" s="50">
        <v>7</v>
      </c>
      <c r="J72" s="50">
        <v>11</v>
      </c>
      <c r="K72" s="50">
        <v>2</v>
      </c>
      <c r="L72" s="50">
        <v>11</v>
      </c>
      <c r="M72" s="50">
        <v>28</v>
      </c>
      <c r="N72" s="50">
        <v>0</v>
      </c>
      <c r="O72" s="15">
        <f t="shared" si="0"/>
        <v>101</v>
      </c>
      <c r="P72" s="15">
        <f t="shared" si="1"/>
        <v>129</v>
      </c>
      <c r="R72" s="8"/>
      <c r="T72"/>
    </row>
    <row r="73" spans="2:20" ht="23.1" customHeight="1" x14ac:dyDescent="0.25">
      <c r="B73" s="45" t="s">
        <v>113</v>
      </c>
      <c r="C73" s="50">
        <v>21</v>
      </c>
      <c r="D73" s="50">
        <v>5</v>
      </c>
      <c r="E73" s="50">
        <v>6</v>
      </c>
      <c r="F73" s="50">
        <v>27</v>
      </c>
      <c r="G73" s="50">
        <v>0</v>
      </c>
      <c r="H73" s="50">
        <v>0</v>
      </c>
      <c r="I73" s="50">
        <v>8</v>
      </c>
      <c r="J73" s="50">
        <v>12</v>
      </c>
      <c r="K73" s="50">
        <v>5</v>
      </c>
      <c r="L73" s="50">
        <v>15</v>
      </c>
      <c r="M73" s="50">
        <v>26</v>
      </c>
      <c r="N73" s="50">
        <v>0</v>
      </c>
      <c r="O73" s="15">
        <f t="shared" si="0"/>
        <v>99</v>
      </c>
      <c r="P73" s="15">
        <f t="shared" si="1"/>
        <v>125</v>
      </c>
      <c r="R73" s="8"/>
      <c r="T73"/>
    </row>
    <row r="74" spans="2:20" ht="23.1" customHeight="1" x14ac:dyDescent="0.25">
      <c r="B74" s="45" t="s">
        <v>114</v>
      </c>
      <c r="C74" s="50">
        <v>19</v>
      </c>
      <c r="D74" s="50">
        <v>3</v>
      </c>
      <c r="E74" s="50">
        <v>2</v>
      </c>
      <c r="F74" s="50">
        <v>21</v>
      </c>
      <c r="G74" s="50">
        <v>2</v>
      </c>
      <c r="H74" s="50">
        <v>3</v>
      </c>
      <c r="I74" s="50">
        <v>10</v>
      </c>
      <c r="J74" s="50">
        <v>8</v>
      </c>
      <c r="K74" s="50">
        <v>2</v>
      </c>
      <c r="L74" s="50">
        <v>10</v>
      </c>
      <c r="M74" s="50">
        <v>20</v>
      </c>
      <c r="N74" s="50">
        <v>0</v>
      </c>
      <c r="O74" s="15">
        <f t="shared" ref="O74:O105" si="35">SUM(C74:L74,N74)</f>
        <v>80</v>
      </c>
      <c r="P74" s="15">
        <f t="shared" ref="P74:P105" si="36">SUM(C74:N74)</f>
        <v>100</v>
      </c>
      <c r="R74" s="8"/>
      <c r="T74"/>
    </row>
    <row r="75" spans="2:20" ht="23.1" customHeight="1" x14ac:dyDescent="0.25">
      <c r="B75" s="45" t="s">
        <v>115</v>
      </c>
      <c r="C75" s="50">
        <v>22</v>
      </c>
      <c r="D75" s="50">
        <v>5</v>
      </c>
      <c r="E75" s="50">
        <v>5</v>
      </c>
      <c r="F75" s="50">
        <v>23</v>
      </c>
      <c r="G75" s="50">
        <v>0</v>
      </c>
      <c r="H75" s="50">
        <v>1</v>
      </c>
      <c r="I75" s="50">
        <v>5</v>
      </c>
      <c r="J75" s="50">
        <v>7</v>
      </c>
      <c r="K75" s="50">
        <v>0</v>
      </c>
      <c r="L75" s="50">
        <v>12</v>
      </c>
      <c r="M75" s="50">
        <v>23</v>
      </c>
      <c r="N75" s="50">
        <v>0</v>
      </c>
      <c r="O75" s="15">
        <f t="shared" si="35"/>
        <v>80</v>
      </c>
      <c r="P75" s="15">
        <f t="shared" si="36"/>
        <v>103</v>
      </c>
      <c r="R75" s="8"/>
      <c r="T75"/>
    </row>
    <row r="76" spans="2:20" ht="23.1" customHeight="1" x14ac:dyDescent="0.25">
      <c r="B76" s="45" t="s">
        <v>116</v>
      </c>
      <c r="C76" s="50">
        <v>25</v>
      </c>
      <c r="D76" s="50">
        <v>3</v>
      </c>
      <c r="E76" s="50">
        <v>2</v>
      </c>
      <c r="F76" s="50">
        <v>19</v>
      </c>
      <c r="G76" s="50">
        <v>1</v>
      </c>
      <c r="H76" s="50">
        <v>0</v>
      </c>
      <c r="I76" s="50">
        <v>8</v>
      </c>
      <c r="J76" s="50">
        <v>8</v>
      </c>
      <c r="K76" s="50">
        <v>5</v>
      </c>
      <c r="L76" s="50">
        <v>13</v>
      </c>
      <c r="M76" s="50">
        <v>18</v>
      </c>
      <c r="N76" s="50">
        <v>0</v>
      </c>
      <c r="O76" s="15">
        <f t="shared" si="35"/>
        <v>84</v>
      </c>
      <c r="P76" s="15">
        <f t="shared" si="36"/>
        <v>102</v>
      </c>
      <c r="R76" s="8"/>
      <c r="T76"/>
    </row>
    <row r="77" spans="2:20" ht="23.1" customHeight="1" x14ac:dyDescent="0.25">
      <c r="B77" s="45" t="s">
        <v>117</v>
      </c>
      <c r="C77" s="50">
        <v>17</v>
      </c>
      <c r="D77" s="50">
        <v>4</v>
      </c>
      <c r="E77" s="50">
        <v>0</v>
      </c>
      <c r="F77" s="50">
        <v>20</v>
      </c>
      <c r="G77" s="50">
        <v>4</v>
      </c>
      <c r="H77" s="50">
        <v>3</v>
      </c>
      <c r="I77" s="50">
        <v>6</v>
      </c>
      <c r="J77" s="50">
        <v>10</v>
      </c>
      <c r="K77" s="50">
        <v>3</v>
      </c>
      <c r="L77" s="50">
        <v>18</v>
      </c>
      <c r="M77" s="50">
        <v>16</v>
      </c>
      <c r="N77" s="50">
        <v>0</v>
      </c>
      <c r="O77" s="15">
        <f t="shared" si="35"/>
        <v>85</v>
      </c>
      <c r="P77" s="15">
        <f t="shared" si="36"/>
        <v>101</v>
      </c>
      <c r="R77" s="8"/>
      <c r="T77"/>
    </row>
    <row r="78" spans="2:20" ht="23.1" customHeight="1" x14ac:dyDescent="0.25">
      <c r="B78" s="46" t="s">
        <v>118</v>
      </c>
      <c r="C78" s="50">
        <v>13</v>
      </c>
      <c r="D78" s="50">
        <v>2</v>
      </c>
      <c r="E78" s="50">
        <v>1</v>
      </c>
      <c r="F78" s="50">
        <v>12</v>
      </c>
      <c r="G78" s="50">
        <v>1</v>
      </c>
      <c r="H78" s="50">
        <v>0</v>
      </c>
      <c r="I78" s="50">
        <v>7</v>
      </c>
      <c r="J78" s="50">
        <v>11</v>
      </c>
      <c r="K78" s="50">
        <v>1</v>
      </c>
      <c r="L78" s="50">
        <v>10</v>
      </c>
      <c r="M78" s="50">
        <v>6</v>
      </c>
      <c r="N78" s="50">
        <v>0</v>
      </c>
      <c r="O78" s="15">
        <f t="shared" si="35"/>
        <v>58</v>
      </c>
      <c r="P78" s="15">
        <f t="shared" si="36"/>
        <v>64</v>
      </c>
      <c r="R78" s="8"/>
      <c r="T78"/>
    </row>
    <row r="79" spans="2:20" ht="23.1" customHeight="1" x14ac:dyDescent="0.25">
      <c r="B79" s="45" t="s">
        <v>119</v>
      </c>
      <c r="C79" s="50">
        <v>15</v>
      </c>
      <c r="D79" s="50">
        <v>0</v>
      </c>
      <c r="E79" s="50">
        <v>0</v>
      </c>
      <c r="F79" s="50">
        <v>15</v>
      </c>
      <c r="G79" s="50">
        <v>2</v>
      </c>
      <c r="H79" s="50">
        <v>3</v>
      </c>
      <c r="I79" s="50">
        <v>5</v>
      </c>
      <c r="J79" s="50">
        <v>14</v>
      </c>
      <c r="K79" s="50">
        <v>0</v>
      </c>
      <c r="L79" s="50">
        <v>7</v>
      </c>
      <c r="M79" s="50">
        <v>5</v>
      </c>
      <c r="N79" s="50">
        <v>0</v>
      </c>
      <c r="O79" s="15">
        <f t="shared" si="35"/>
        <v>61</v>
      </c>
      <c r="P79" s="15">
        <f t="shared" si="36"/>
        <v>66</v>
      </c>
      <c r="R79" s="8"/>
      <c r="T79"/>
    </row>
    <row r="80" spans="2:20" ht="23.1" customHeight="1" x14ac:dyDescent="0.25">
      <c r="B80" s="47" t="s">
        <v>120</v>
      </c>
      <c r="C80" s="50">
        <v>12</v>
      </c>
      <c r="D80" s="50">
        <v>3</v>
      </c>
      <c r="E80" s="50">
        <v>2</v>
      </c>
      <c r="F80" s="50">
        <v>9</v>
      </c>
      <c r="G80" s="50">
        <v>0</v>
      </c>
      <c r="H80" s="50">
        <v>0</v>
      </c>
      <c r="I80" s="50">
        <v>6</v>
      </c>
      <c r="J80" s="50">
        <v>9</v>
      </c>
      <c r="K80" s="50">
        <v>3</v>
      </c>
      <c r="L80" s="50">
        <v>10</v>
      </c>
      <c r="M80" s="50">
        <v>3</v>
      </c>
      <c r="N80" s="50">
        <v>0</v>
      </c>
      <c r="O80" s="15">
        <f t="shared" si="35"/>
        <v>54</v>
      </c>
      <c r="P80" s="15">
        <f t="shared" si="36"/>
        <v>57</v>
      </c>
      <c r="R80" s="8"/>
      <c r="T80"/>
    </row>
    <row r="81" spans="2:20" ht="23.1" customHeight="1" x14ac:dyDescent="0.25">
      <c r="B81" s="45" t="s">
        <v>121</v>
      </c>
      <c r="C81" s="50">
        <v>8</v>
      </c>
      <c r="D81" s="50">
        <v>3</v>
      </c>
      <c r="E81" s="50">
        <v>4</v>
      </c>
      <c r="F81" s="50">
        <v>8</v>
      </c>
      <c r="G81" s="50">
        <v>1</v>
      </c>
      <c r="H81" s="50">
        <v>2</v>
      </c>
      <c r="I81" s="50">
        <v>3</v>
      </c>
      <c r="J81" s="50">
        <v>8</v>
      </c>
      <c r="K81" s="50">
        <v>0</v>
      </c>
      <c r="L81" s="50">
        <v>8</v>
      </c>
      <c r="M81" s="50">
        <v>0</v>
      </c>
      <c r="N81" s="50">
        <v>0</v>
      </c>
      <c r="O81" s="15">
        <f t="shared" si="35"/>
        <v>45</v>
      </c>
      <c r="P81" s="15">
        <f t="shared" si="36"/>
        <v>45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1</v>
      </c>
      <c r="E82" s="50">
        <v>0</v>
      </c>
      <c r="F82" s="50">
        <v>3</v>
      </c>
      <c r="G82" s="50">
        <v>0</v>
      </c>
      <c r="H82" s="50">
        <v>1</v>
      </c>
      <c r="I82" s="50">
        <v>3</v>
      </c>
      <c r="J82" s="50">
        <v>6</v>
      </c>
      <c r="K82" s="50">
        <v>1</v>
      </c>
      <c r="L82" s="50">
        <v>5</v>
      </c>
      <c r="M82" s="50">
        <v>0</v>
      </c>
      <c r="N82" s="50">
        <v>0</v>
      </c>
      <c r="O82" s="15">
        <f t="shared" si="35"/>
        <v>23</v>
      </c>
      <c r="P82" s="15">
        <f t="shared" si="36"/>
        <v>23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0</v>
      </c>
      <c r="E83" s="50">
        <v>1</v>
      </c>
      <c r="F83" s="50">
        <v>4</v>
      </c>
      <c r="G83" s="50">
        <v>0</v>
      </c>
      <c r="H83" s="50">
        <v>0</v>
      </c>
      <c r="I83" s="50">
        <v>0</v>
      </c>
      <c r="J83" s="50">
        <v>3</v>
      </c>
      <c r="K83" s="50">
        <v>0</v>
      </c>
      <c r="L83" s="50">
        <v>7</v>
      </c>
      <c r="M83" s="50">
        <v>2</v>
      </c>
      <c r="N83" s="50">
        <v>0</v>
      </c>
      <c r="O83" s="15">
        <f t="shared" si="35"/>
        <v>18</v>
      </c>
      <c r="P83" s="15">
        <f t="shared" si="36"/>
        <v>20</v>
      </c>
      <c r="R83" s="8"/>
      <c r="T83"/>
    </row>
    <row r="84" spans="2:20" ht="23.1" customHeight="1" x14ac:dyDescent="0.25">
      <c r="B84" s="47" t="s">
        <v>124</v>
      </c>
      <c r="C84" s="50">
        <v>5</v>
      </c>
      <c r="D84" s="50">
        <v>1</v>
      </c>
      <c r="E84" s="50">
        <v>0</v>
      </c>
      <c r="F84" s="50">
        <v>2</v>
      </c>
      <c r="G84" s="50">
        <v>0</v>
      </c>
      <c r="H84" s="50">
        <v>1</v>
      </c>
      <c r="I84" s="50">
        <v>4</v>
      </c>
      <c r="J84" s="50">
        <v>4</v>
      </c>
      <c r="K84" s="50">
        <v>2</v>
      </c>
      <c r="L84" s="50">
        <v>5</v>
      </c>
      <c r="M84" s="50">
        <v>1</v>
      </c>
      <c r="N84" s="50">
        <v>0</v>
      </c>
      <c r="O84" s="15">
        <f t="shared" si="35"/>
        <v>24</v>
      </c>
      <c r="P84" s="15">
        <f t="shared" si="36"/>
        <v>25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2</v>
      </c>
      <c r="F85" s="50">
        <v>0</v>
      </c>
      <c r="G85" s="50">
        <v>0</v>
      </c>
      <c r="H85" s="50">
        <v>0</v>
      </c>
      <c r="I85" s="50">
        <v>0</v>
      </c>
      <c r="J85" s="50">
        <v>3</v>
      </c>
      <c r="K85" s="50">
        <v>0</v>
      </c>
      <c r="L85" s="50">
        <v>6</v>
      </c>
      <c r="M85" s="50">
        <v>0</v>
      </c>
      <c r="N85" s="50">
        <v>0</v>
      </c>
      <c r="O85" s="15">
        <f t="shared" si="35"/>
        <v>11</v>
      </c>
      <c r="P85" s="15">
        <f t="shared" si="36"/>
        <v>11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0</v>
      </c>
      <c r="E86" s="50">
        <v>5</v>
      </c>
      <c r="F86" s="50">
        <v>2</v>
      </c>
      <c r="G86" s="50">
        <v>0</v>
      </c>
      <c r="H86" s="50">
        <v>0</v>
      </c>
      <c r="I86" s="50">
        <v>3</v>
      </c>
      <c r="J86" s="50">
        <v>5</v>
      </c>
      <c r="K86" s="50">
        <v>0</v>
      </c>
      <c r="L86" s="50">
        <v>5</v>
      </c>
      <c r="M86" s="50">
        <v>0</v>
      </c>
      <c r="N86" s="50">
        <v>0</v>
      </c>
      <c r="O86" s="15">
        <f t="shared" si="35"/>
        <v>25</v>
      </c>
      <c r="P86" s="15">
        <f t="shared" si="36"/>
        <v>25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3</v>
      </c>
      <c r="E87" s="50">
        <v>1</v>
      </c>
      <c r="F87" s="50">
        <v>0</v>
      </c>
      <c r="G87" s="50">
        <v>0</v>
      </c>
      <c r="H87" s="50">
        <v>2</v>
      </c>
      <c r="I87" s="50">
        <v>0</v>
      </c>
      <c r="J87" s="50">
        <v>3</v>
      </c>
      <c r="K87" s="50">
        <v>0</v>
      </c>
      <c r="L87" s="50">
        <v>3</v>
      </c>
      <c r="M87" s="50">
        <v>0</v>
      </c>
      <c r="N87" s="50">
        <v>0</v>
      </c>
      <c r="O87" s="15">
        <f t="shared" si="35"/>
        <v>12</v>
      </c>
      <c r="P87" s="15">
        <f t="shared" si="36"/>
        <v>12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0</v>
      </c>
      <c r="E88" s="50">
        <v>0</v>
      </c>
      <c r="F88" s="50">
        <v>3</v>
      </c>
      <c r="G88" s="50">
        <v>0</v>
      </c>
      <c r="H88" s="50">
        <v>0</v>
      </c>
      <c r="I88" s="50">
        <v>4</v>
      </c>
      <c r="J88" s="50">
        <v>0</v>
      </c>
      <c r="K88" s="50">
        <v>2</v>
      </c>
      <c r="L88" s="50">
        <v>5</v>
      </c>
      <c r="M88" s="50">
        <v>0</v>
      </c>
      <c r="N88" s="50">
        <v>0</v>
      </c>
      <c r="O88" s="15">
        <f t="shared" si="35"/>
        <v>17</v>
      </c>
      <c r="P88" s="15">
        <f t="shared" si="36"/>
        <v>17</v>
      </c>
      <c r="R88" s="8"/>
      <c r="T88"/>
    </row>
    <row r="89" spans="2:20" ht="23.1" customHeight="1" x14ac:dyDescent="0.25">
      <c r="B89" s="45" t="s">
        <v>129</v>
      </c>
      <c r="C89" s="50">
        <v>5</v>
      </c>
      <c r="D89" s="50">
        <v>1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4</v>
      </c>
      <c r="M89" s="50">
        <v>0</v>
      </c>
      <c r="N89" s="50">
        <v>0</v>
      </c>
      <c r="O89" s="15">
        <f t="shared" si="35"/>
        <v>12</v>
      </c>
      <c r="P89" s="15">
        <f t="shared" si="36"/>
        <v>12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1</v>
      </c>
      <c r="E90" s="50">
        <v>0</v>
      </c>
      <c r="F90" s="50">
        <v>2</v>
      </c>
      <c r="G90" s="50">
        <v>0</v>
      </c>
      <c r="H90" s="50">
        <v>0</v>
      </c>
      <c r="I90" s="50">
        <v>8</v>
      </c>
      <c r="J90" s="50">
        <v>5</v>
      </c>
      <c r="K90" s="50">
        <v>0</v>
      </c>
      <c r="L90" s="50">
        <v>8</v>
      </c>
      <c r="M90" s="50">
        <v>0</v>
      </c>
      <c r="N90" s="50">
        <v>0</v>
      </c>
      <c r="O90" s="15">
        <f t="shared" si="35"/>
        <v>26</v>
      </c>
      <c r="P90" s="15">
        <f t="shared" si="36"/>
        <v>26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2</v>
      </c>
      <c r="F91" s="50">
        <v>0</v>
      </c>
      <c r="G91" s="50">
        <v>0</v>
      </c>
      <c r="H91" s="50">
        <v>0</v>
      </c>
      <c r="I91" s="50">
        <v>3</v>
      </c>
      <c r="J91" s="50">
        <v>4</v>
      </c>
      <c r="K91" s="50">
        <v>0</v>
      </c>
      <c r="L91" s="50">
        <v>7</v>
      </c>
      <c r="M91" s="50">
        <v>2</v>
      </c>
      <c r="N91" s="50">
        <v>0</v>
      </c>
      <c r="O91" s="15">
        <f t="shared" si="35"/>
        <v>19</v>
      </c>
      <c r="P91" s="15">
        <f t="shared" si="36"/>
        <v>21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2</v>
      </c>
      <c r="E92" s="50">
        <v>0</v>
      </c>
      <c r="F92" s="50">
        <v>3</v>
      </c>
      <c r="G92" s="50">
        <v>0</v>
      </c>
      <c r="H92" s="50">
        <v>0</v>
      </c>
      <c r="I92" s="50">
        <v>2</v>
      </c>
      <c r="J92" s="50">
        <v>2</v>
      </c>
      <c r="K92" s="50">
        <v>0</v>
      </c>
      <c r="L92" s="50">
        <v>3</v>
      </c>
      <c r="M92" s="50">
        <v>0</v>
      </c>
      <c r="N92" s="50">
        <v>0</v>
      </c>
      <c r="O92" s="15">
        <f t="shared" si="35"/>
        <v>12</v>
      </c>
      <c r="P92" s="15">
        <f t="shared" si="36"/>
        <v>12</v>
      </c>
      <c r="R92" s="8"/>
      <c r="T92"/>
    </row>
    <row r="93" spans="2:20" ht="23.1" customHeight="1" x14ac:dyDescent="0.25">
      <c r="B93" s="45" t="s">
        <v>133</v>
      </c>
      <c r="C93" s="50">
        <v>3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6</v>
      </c>
      <c r="K93" s="50">
        <v>0</v>
      </c>
      <c r="L93" s="50">
        <v>4</v>
      </c>
      <c r="M93" s="50">
        <v>3</v>
      </c>
      <c r="N93" s="50">
        <v>0</v>
      </c>
      <c r="O93" s="15">
        <f t="shared" si="35"/>
        <v>13</v>
      </c>
      <c r="P93" s="15">
        <f t="shared" si="36"/>
        <v>16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2</v>
      </c>
      <c r="G94" s="50">
        <v>0</v>
      </c>
      <c r="H94" s="50">
        <v>1</v>
      </c>
      <c r="I94" s="50">
        <v>0</v>
      </c>
      <c r="J94" s="50">
        <v>1</v>
      </c>
      <c r="K94" s="50">
        <v>0</v>
      </c>
      <c r="L94" s="50">
        <v>2</v>
      </c>
      <c r="M94" s="50">
        <v>3</v>
      </c>
      <c r="N94" s="50">
        <v>0</v>
      </c>
      <c r="O94" s="15">
        <f t="shared" si="35"/>
        <v>8</v>
      </c>
      <c r="P94" s="15">
        <f t="shared" si="36"/>
        <v>11</v>
      </c>
      <c r="R94" s="8"/>
      <c r="T94"/>
    </row>
    <row r="95" spans="2:20" ht="23.1" customHeight="1" x14ac:dyDescent="0.25">
      <c r="B95" s="45" t="s">
        <v>135</v>
      </c>
      <c r="C95" s="50">
        <v>4</v>
      </c>
      <c r="D95" s="50">
        <v>2</v>
      </c>
      <c r="E95" s="50">
        <v>1</v>
      </c>
      <c r="F95" s="50">
        <v>0</v>
      </c>
      <c r="G95" s="50">
        <v>2</v>
      </c>
      <c r="H95" s="50">
        <v>0</v>
      </c>
      <c r="I95" s="50">
        <v>0</v>
      </c>
      <c r="J95" s="50">
        <v>2</v>
      </c>
      <c r="K95" s="50">
        <v>0</v>
      </c>
      <c r="L95" s="50">
        <v>3</v>
      </c>
      <c r="M95" s="50">
        <v>1</v>
      </c>
      <c r="N95" s="50">
        <v>0</v>
      </c>
      <c r="O95" s="15">
        <f t="shared" si="35"/>
        <v>14</v>
      </c>
      <c r="P95" s="15">
        <f t="shared" si="36"/>
        <v>15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1</v>
      </c>
      <c r="F96" s="50">
        <v>2</v>
      </c>
      <c r="G96" s="50">
        <v>0</v>
      </c>
      <c r="H96" s="50">
        <v>0</v>
      </c>
      <c r="I96" s="50">
        <v>0</v>
      </c>
      <c r="J96" s="50">
        <v>5</v>
      </c>
      <c r="K96" s="50">
        <v>0</v>
      </c>
      <c r="L96" s="50">
        <v>4</v>
      </c>
      <c r="M96" s="50">
        <v>3</v>
      </c>
      <c r="N96" s="50">
        <v>0</v>
      </c>
      <c r="O96" s="15">
        <f t="shared" si="35"/>
        <v>14</v>
      </c>
      <c r="P96" s="15">
        <f t="shared" si="36"/>
        <v>17</v>
      </c>
      <c r="R96" s="8"/>
      <c r="T96"/>
    </row>
    <row r="97" spans="2:20" ht="23.1" customHeight="1" x14ac:dyDescent="0.25">
      <c r="B97" s="45" t="s">
        <v>137</v>
      </c>
      <c r="C97" s="50">
        <v>5</v>
      </c>
      <c r="D97" s="50">
        <v>3</v>
      </c>
      <c r="E97" s="50">
        <v>0</v>
      </c>
      <c r="F97" s="50">
        <v>3</v>
      </c>
      <c r="G97" s="50">
        <v>0</v>
      </c>
      <c r="H97" s="50">
        <v>1</v>
      </c>
      <c r="I97" s="50">
        <v>0</v>
      </c>
      <c r="J97" s="50">
        <v>1</v>
      </c>
      <c r="K97" s="50">
        <v>4</v>
      </c>
      <c r="L97" s="50">
        <v>9</v>
      </c>
      <c r="M97" s="50">
        <v>2</v>
      </c>
      <c r="N97" s="50">
        <v>0</v>
      </c>
      <c r="O97" s="15">
        <f t="shared" si="35"/>
        <v>26</v>
      </c>
      <c r="P97" s="15">
        <f t="shared" si="36"/>
        <v>28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1</v>
      </c>
      <c r="E98" s="50">
        <v>1</v>
      </c>
      <c r="F98" s="50">
        <v>7</v>
      </c>
      <c r="G98" s="50">
        <v>1</v>
      </c>
      <c r="H98" s="50">
        <v>3</v>
      </c>
      <c r="I98" s="50">
        <v>0</v>
      </c>
      <c r="J98" s="50">
        <v>2</v>
      </c>
      <c r="K98" s="50">
        <v>0</v>
      </c>
      <c r="L98" s="50">
        <v>16</v>
      </c>
      <c r="M98" s="50">
        <v>3</v>
      </c>
      <c r="N98" s="50">
        <v>0</v>
      </c>
      <c r="O98" s="15">
        <f t="shared" si="35"/>
        <v>34</v>
      </c>
      <c r="P98" s="15">
        <f t="shared" si="36"/>
        <v>37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1</v>
      </c>
      <c r="E99" s="50">
        <v>1</v>
      </c>
      <c r="F99" s="50">
        <v>11</v>
      </c>
      <c r="G99" s="50">
        <v>0</v>
      </c>
      <c r="H99" s="50">
        <v>0</v>
      </c>
      <c r="I99" s="50">
        <v>0</v>
      </c>
      <c r="J99" s="50">
        <v>5</v>
      </c>
      <c r="K99" s="50">
        <v>1</v>
      </c>
      <c r="L99" s="50">
        <v>9</v>
      </c>
      <c r="M99" s="50">
        <v>4</v>
      </c>
      <c r="N99" s="50">
        <v>0</v>
      </c>
      <c r="O99" s="15">
        <f t="shared" si="35"/>
        <v>35</v>
      </c>
      <c r="P99" s="15">
        <f t="shared" si="36"/>
        <v>39</v>
      </c>
      <c r="R99" s="8"/>
      <c r="T99"/>
    </row>
    <row r="100" spans="2:20" ht="23.1" customHeight="1" x14ac:dyDescent="0.25">
      <c r="B100" s="47" t="s">
        <v>140</v>
      </c>
      <c r="C100" s="50">
        <v>10</v>
      </c>
      <c r="D100" s="50">
        <v>1</v>
      </c>
      <c r="E100" s="50">
        <v>0</v>
      </c>
      <c r="F100" s="50">
        <v>12</v>
      </c>
      <c r="G100" s="50">
        <v>0</v>
      </c>
      <c r="H100" s="50">
        <v>3</v>
      </c>
      <c r="I100" s="50">
        <v>0</v>
      </c>
      <c r="J100" s="50">
        <v>4</v>
      </c>
      <c r="K100" s="50">
        <v>0</v>
      </c>
      <c r="L100" s="50">
        <v>10</v>
      </c>
      <c r="M100" s="50">
        <v>8</v>
      </c>
      <c r="N100" s="50">
        <v>0</v>
      </c>
      <c r="O100" s="15">
        <f t="shared" si="35"/>
        <v>40</v>
      </c>
      <c r="P100" s="15">
        <f t="shared" si="36"/>
        <v>48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1</v>
      </c>
      <c r="F101" s="50">
        <v>6</v>
      </c>
      <c r="G101" s="50">
        <v>0</v>
      </c>
      <c r="H101" s="50">
        <v>0</v>
      </c>
      <c r="I101" s="50">
        <v>2</v>
      </c>
      <c r="J101" s="50">
        <v>4</v>
      </c>
      <c r="K101" s="50">
        <v>0</v>
      </c>
      <c r="L101" s="50">
        <v>10</v>
      </c>
      <c r="M101" s="50">
        <v>7</v>
      </c>
      <c r="N101" s="50">
        <v>0</v>
      </c>
      <c r="O101" s="15">
        <f t="shared" si="35"/>
        <v>27</v>
      </c>
      <c r="P101" s="15">
        <f t="shared" si="36"/>
        <v>34</v>
      </c>
      <c r="R101" s="8"/>
      <c r="T101"/>
    </row>
    <row r="102" spans="2:20" ht="23.1" customHeight="1" x14ac:dyDescent="0.25">
      <c r="B102" s="46" t="s">
        <v>142</v>
      </c>
      <c r="C102" s="50">
        <v>12</v>
      </c>
      <c r="D102" s="50">
        <v>0</v>
      </c>
      <c r="E102" s="50">
        <v>1</v>
      </c>
      <c r="F102" s="50">
        <v>16</v>
      </c>
      <c r="G102" s="50">
        <v>0</v>
      </c>
      <c r="H102" s="50">
        <v>1</v>
      </c>
      <c r="I102" s="50">
        <v>2</v>
      </c>
      <c r="J102" s="50">
        <v>3</v>
      </c>
      <c r="K102" s="50">
        <v>1</v>
      </c>
      <c r="L102" s="50">
        <v>8</v>
      </c>
      <c r="M102" s="50">
        <v>7</v>
      </c>
      <c r="N102" s="50">
        <v>0</v>
      </c>
      <c r="O102" s="15">
        <f t="shared" si="35"/>
        <v>44</v>
      </c>
      <c r="P102" s="15">
        <f t="shared" si="36"/>
        <v>51</v>
      </c>
      <c r="R102" s="8"/>
      <c r="T102"/>
    </row>
    <row r="103" spans="2:20" ht="23.1" customHeight="1" x14ac:dyDescent="0.25">
      <c r="B103" s="45" t="s">
        <v>143</v>
      </c>
      <c r="C103" s="50">
        <v>9</v>
      </c>
      <c r="D103" s="50">
        <v>2</v>
      </c>
      <c r="E103" s="50">
        <v>0</v>
      </c>
      <c r="F103" s="50">
        <v>8</v>
      </c>
      <c r="G103" s="50">
        <v>0</v>
      </c>
      <c r="H103" s="50">
        <v>0</v>
      </c>
      <c r="I103" s="50">
        <v>1</v>
      </c>
      <c r="J103" s="50">
        <v>2</v>
      </c>
      <c r="K103" s="50">
        <v>0</v>
      </c>
      <c r="L103" s="50">
        <v>4</v>
      </c>
      <c r="M103" s="50">
        <v>9</v>
      </c>
      <c r="N103" s="50">
        <v>0</v>
      </c>
      <c r="O103" s="15">
        <f t="shared" si="35"/>
        <v>26</v>
      </c>
      <c r="P103" s="15">
        <f t="shared" si="36"/>
        <v>35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1</v>
      </c>
      <c r="E104" s="50">
        <v>2</v>
      </c>
      <c r="F104" s="50">
        <v>5</v>
      </c>
      <c r="G104" s="50">
        <v>0</v>
      </c>
      <c r="H104" s="50">
        <v>2</v>
      </c>
      <c r="I104" s="50">
        <v>3</v>
      </c>
      <c r="J104" s="50">
        <v>2</v>
      </c>
      <c r="K104" s="50">
        <v>1</v>
      </c>
      <c r="L104" s="50">
        <v>3</v>
      </c>
      <c r="M104" s="50">
        <v>10</v>
      </c>
      <c r="N104" s="50">
        <v>0</v>
      </c>
      <c r="O104" s="15">
        <f t="shared" si="35"/>
        <v>26</v>
      </c>
      <c r="P104" s="15">
        <f t="shared" si="36"/>
        <v>36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2</v>
      </c>
      <c r="E105" s="50">
        <v>2</v>
      </c>
      <c r="F105" s="50">
        <v>11</v>
      </c>
      <c r="G105" s="50">
        <v>0</v>
      </c>
      <c r="H105" s="50">
        <v>1</v>
      </c>
      <c r="I105" s="50">
        <v>2</v>
      </c>
      <c r="J105" s="50">
        <v>2</v>
      </c>
      <c r="K105" s="50">
        <v>0</v>
      </c>
      <c r="L105" s="50">
        <v>3</v>
      </c>
      <c r="M105" s="50">
        <v>25</v>
      </c>
      <c r="N105" s="50">
        <v>0</v>
      </c>
      <c r="O105" s="15">
        <f t="shared" si="35"/>
        <v>28</v>
      </c>
      <c r="P105" s="15">
        <f t="shared" si="36"/>
        <v>53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2462</v>
      </c>
      <c r="D106" s="16">
        <f t="shared" ref="D106:P106" si="37">SUM(D10:D105)</f>
        <v>869</v>
      </c>
      <c r="E106" s="16">
        <f t="shared" si="37"/>
        <v>428</v>
      </c>
      <c r="F106" s="16">
        <f t="shared" si="37"/>
        <v>2048</v>
      </c>
      <c r="G106" s="16">
        <f t="shared" si="37"/>
        <v>88</v>
      </c>
      <c r="H106" s="16">
        <f t="shared" si="37"/>
        <v>80</v>
      </c>
      <c r="I106" s="16">
        <f t="shared" si="37"/>
        <v>514</v>
      </c>
      <c r="J106" s="16">
        <f t="shared" si="37"/>
        <v>511</v>
      </c>
      <c r="K106" s="16">
        <f t="shared" si="37"/>
        <v>182</v>
      </c>
      <c r="L106" s="16">
        <f t="shared" si="37"/>
        <v>840</v>
      </c>
      <c r="M106" s="16">
        <f t="shared" si="37"/>
        <v>2955</v>
      </c>
      <c r="N106" s="16">
        <f t="shared" si="37"/>
        <v>3</v>
      </c>
      <c r="O106" s="16">
        <f t="shared" si="37"/>
        <v>8025</v>
      </c>
      <c r="P106" s="16">
        <f t="shared" si="37"/>
        <v>10980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0.22422586520947177</v>
      </c>
      <c r="D107" s="43">
        <f t="shared" si="38"/>
        <v>7.9143897996357016E-2</v>
      </c>
      <c r="E107" s="43">
        <f t="shared" si="38"/>
        <v>3.8979963570127507E-2</v>
      </c>
      <c r="F107" s="43">
        <f t="shared" si="38"/>
        <v>0.18652094717668488</v>
      </c>
      <c r="G107" s="43">
        <f t="shared" si="38"/>
        <v>8.0145719489981785E-3</v>
      </c>
      <c r="H107" s="43">
        <f t="shared" si="38"/>
        <v>7.2859744990892532E-3</v>
      </c>
      <c r="I107" s="43">
        <f t="shared" si="38"/>
        <v>4.6812386156648449E-2</v>
      </c>
      <c r="J107" s="43">
        <f t="shared" si="38"/>
        <v>4.6539162112932603E-2</v>
      </c>
      <c r="K107" s="43">
        <f t="shared" si="38"/>
        <v>1.6575591985428052E-2</v>
      </c>
      <c r="L107" s="43">
        <f t="shared" si="38"/>
        <v>7.650273224043716E-2</v>
      </c>
      <c r="M107" s="43">
        <f t="shared" si="38"/>
        <v>0.26912568306010931</v>
      </c>
      <c r="N107" s="43">
        <f t="shared" si="38"/>
        <v>2.7322404371584699E-4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0.30679127725856697</v>
      </c>
      <c r="D108" s="44">
        <f t="shared" ref="D108:N108" si="39">D106/$O$106</f>
        <v>0.10828660436137072</v>
      </c>
      <c r="E108" s="44">
        <f t="shared" si="39"/>
        <v>5.3333333333333337E-2</v>
      </c>
      <c r="F108" s="44">
        <f t="shared" si="39"/>
        <v>0.25520249221183799</v>
      </c>
      <c r="G108" s="44">
        <f t="shared" si="39"/>
        <v>1.0965732087227415E-2</v>
      </c>
      <c r="H108" s="44">
        <f t="shared" si="39"/>
        <v>9.9688473520249225E-3</v>
      </c>
      <c r="I108" s="44">
        <f t="shared" si="39"/>
        <v>6.404984423676012E-2</v>
      </c>
      <c r="J108" s="44">
        <f t="shared" si="39"/>
        <v>6.3676012461059195E-2</v>
      </c>
      <c r="K108" s="44">
        <f t="shared" si="39"/>
        <v>2.2679127725856698E-2</v>
      </c>
      <c r="L108" s="44">
        <f t="shared" si="39"/>
        <v>0.10467289719626169</v>
      </c>
      <c r="M108" s="44"/>
      <c r="N108" s="44">
        <f t="shared" si="39"/>
        <v>3.7383177570093456E-4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177</v>
      </c>
      <c r="E5" s="3"/>
      <c r="F5" s="41" t="s">
        <v>1</v>
      </c>
      <c r="G5" s="61" t="str">
        <f>'31.10 Mbalala-Mukono'!G5:H5</f>
        <v>Perfect tents</v>
      </c>
      <c r="H5" s="62"/>
      <c r="I5" s="14"/>
      <c r="J5" s="2" t="s">
        <v>5</v>
      </c>
      <c r="K5" s="61" t="s">
        <v>178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Mukono-Mbalala'!D6:E6</f>
        <v>Mukono</v>
      </c>
      <c r="E6" s="62"/>
      <c r="F6" s="2" t="s">
        <v>2</v>
      </c>
      <c r="G6" s="61" t="str">
        <f>'29.10 Mukono-Mbalala'!G6:H6</f>
        <v>Mbalala</v>
      </c>
      <c r="H6" s="62"/>
      <c r="J6" s="2" t="s">
        <v>21</v>
      </c>
      <c r="K6" s="61" t="str">
        <f>'31.10 Mbalala-Mukono'!K6:L6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34</v>
      </c>
      <c r="D10" s="50">
        <v>6</v>
      </c>
      <c r="E10" s="50">
        <v>3</v>
      </c>
      <c r="F10" s="50">
        <v>53</v>
      </c>
      <c r="G10" s="50">
        <v>8</v>
      </c>
      <c r="H10" s="50">
        <v>1</v>
      </c>
      <c r="I10" s="50">
        <v>12</v>
      </c>
      <c r="J10" s="50">
        <v>3</v>
      </c>
      <c r="K10" s="50">
        <v>3</v>
      </c>
      <c r="L10" s="50">
        <v>7</v>
      </c>
      <c r="M10" s="50">
        <v>42</v>
      </c>
      <c r="N10" s="50">
        <v>0</v>
      </c>
      <c r="O10" s="15">
        <f t="shared" ref="O10:O57" si="0">SUM(C10:L10,N10)</f>
        <v>130</v>
      </c>
      <c r="P10" s="15">
        <f t="shared" ref="P10:P57" si="1">SUM(C10:N10)</f>
        <v>172</v>
      </c>
      <c r="R10" s="1" t="s">
        <v>6</v>
      </c>
      <c r="S10" s="17">
        <f t="shared" ref="S10:AF10" si="2">SUM(C10:C13)</f>
        <v>172</v>
      </c>
      <c r="T10" s="17">
        <f t="shared" si="2"/>
        <v>26</v>
      </c>
      <c r="U10" s="17">
        <f t="shared" si="2"/>
        <v>26</v>
      </c>
      <c r="V10" s="17">
        <f t="shared" si="2"/>
        <v>204</v>
      </c>
      <c r="W10" s="17">
        <f t="shared" si="2"/>
        <v>21</v>
      </c>
      <c r="X10" s="17">
        <f t="shared" si="2"/>
        <v>10</v>
      </c>
      <c r="Y10" s="17">
        <f t="shared" si="2"/>
        <v>25</v>
      </c>
      <c r="Z10" s="17">
        <f t="shared" si="2"/>
        <v>9</v>
      </c>
      <c r="AA10" s="17">
        <f t="shared" si="2"/>
        <v>16</v>
      </c>
      <c r="AB10" s="17">
        <f t="shared" si="2"/>
        <v>34</v>
      </c>
      <c r="AC10" s="17">
        <f t="shared" si="2"/>
        <v>208</v>
      </c>
      <c r="AD10" s="17">
        <f t="shared" si="2"/>
        <v>0</v>
      </c>
      <c r="AE10" s="31">
        <f t="shared" si="2"/>
        <v>543</v>
      </c>
      <c r="AF10" s="31">
        <f t="shared" si="2"/>
        <v>751</v>
      </c>
    </row>
    <row r="11" spans="2:32" s="6" customFormat="1" ht="23.1" customHeight="1" x14ac:dyDescent="0.25">
      <c r="B11" s="23" t="s">
        <v>38</v>
      </c>
      <c r="C11" s="50">
        <v>44</v>
      </c>
      <c r="D11" s="50">
        <v>8</v>
      </c>
      <c r="E11" s="50">
        <v>6</v>
      </c>
      <c r="F11" s="50">
        <v>54</v>
      </c>
      <c r="G11" s="50">
        <v>3</v>
      </c>
      <c r="H11" s="50">
        <v>2</v>
      </c>
      <c r="I11" s="50">
        <v>4</v>
      </c>
      <c r="J11" s="50">
        <v>3</v>
      </c>
      <c r="K11" s="50">
        <v>7</v>
      </c>
      <c r="L11" s="50">
        <v>11</v>
      </c>
      <c r="M11" s="50">
        <v>62</v>
      </c>
      <c r="N11" s="50">
        <v>0</v>
      </c>
      <c r="O11" s="15">
        <f t="shared" si="0"/>
        <v>142</v>
      </c>
      <c r="P11" s="15">
        <f t="shared" si="1"/>
        <v>204</v>
      </c>
      <c r="R11" s="1" t="s">
        <v>7</v>
      </c>
      <c r="S11" s="17">
        <f t="shared" ref="S11:AF11" si="3">SUM(C14:C17)</f>
        <v>225</v>
      </c>
      <c r="T11" s="17">
        <f t="shared" si="3"/>
        <v>36</v>
      </c>
      <c r="U11" s="17">
        <f t="shared" si="3"/>
        <v>32</v>
      </c>
      <c r="V11" s="17">
        <f t="shared" si="3"/>
        <v>204</v>
      </c>
      <c r="W11" s="17">
        <f t="shared" si="3"/>
        <v>6</v>
      </c>
      <c r="X11" s="17">
        <f t="shared" si="3"/>
        <v>4</v>
      </c>
      <c r="Y11" s="17">
        <f t="shared" si="3"/>
        <v>42</v>
      </c>
      <c r="Z11" s="17">
        <f t="shared" si="3"/>
        <v>20</v>
      </c>
      <c r="AA11" s="17">
        <f t="shared" si="3"/>
        <v>8</v>
      </c>
      <c r="AB11" s="17">
        <f t="shared" si="3"/>
        <v>27</v>
      </c>
      <c r="AC11" s="17">
        <f t="shared" si="3"/>
        <v>430</v>
      </c>
      <c r="AD11" s="17">
        <f t="shared" si="3"/>
        <v>0</v>
      </c>
      <c r="AE11" s="31">
        <f t="shared" si="3"/>
        <v>604</v>
      </c>
      <c r="AF11" s="31">
        <f t="shared" si="3"/>
        <v>1034</v>
      </c>
    </row>
    <row r="12" spans="2:32" ht="23.1" customHeight="1" x14ac:dyDescent="0.25">
      <c r="B12" s="23" t="s">
        <v>39</v>
      </c>
      <c r="C12" s="50">
        <v>46</v>
      </c>
      <c r="D12" s="50">
        <v>8</v>
      </c>
      <c r="E12" s="50">
        <v>9</v>
      </c>
      <c r="F12" s="50">
        <v>58</v>
      </c>
      <c r="G12" s="50">
        <v>7</v>
      </c>
      <c r="H12" s="50">
        <v>4</v>
      </c>
      <c r="I12" s="50">
        <v>9</v>
      </c>
      <c r="J12" s="50">
        <v>3</v>
      </c>
      <c r="K12" s="50">
        <v>5</v>
      </c>
      <c r="L12" s="50">
        <v>14</v>
      </c>
      <c r="M12" s="50">
        <v>59</v>
      </c>
      <c r="N12" s="50">
        <v>0</v>
      </c>
      <c r="O12" s="15">
        <f t="shared" si="0"/>
        <v>163</v>
      </c>
      <c r="P12" s="15">
        <f t="shared" si="1"/>
        <v>222</v>
      </c>
      <c r="R12" s="1" t="s">
        <v>8</v>
      </c>
      <c r="S12" s="17">
        <f t="shared" ref="S12:AF12" si="4">SUM(C18:C21)</f>
        <v>187</v>
      </c>
      <c r="T12" s="17">
        <f t="shared" si="4"/>
        <v>43</v>
      </c>
      <c r="U12" s="17">
        <f t="shared" si="4"/>
        <v>33</v>
      </c>
      <c r="V12" s="17">
        <f t="shared" si="4"/>
        <v>266</v>
      </c>
      <c r="W12" s="17">
        <f t="shared" si="4"/>
        <v>17</v>
      </c>
      <c r="X12" s="17">
        <f t="shared" si="4"/>
        <v>2</v>
      </c>
      <c r="Y12" s="17">
        <f t="shared" si="4"/>
        <v>23</v>
      </c>
      <c r="Z12" s="17">
        <f t="shared" si="4"/>
        <v>12</v>
      </c>
      <c r="AA12" s="17">
        <f t="shared" si="4"/>
        <v>11</v>
      </c>
      <c r="AB12" s="17">
        <f t="shared" si="4"/>
        <v>20</v>
      </c>
      <c r="AC12" s="17">
        <f t="shared" si="4"/>
        <v>618</v>
      </c>
      <c r="AD12" s="17">
        <f t="shared" si="4"/>
        <v>0</v>
      </c>
      <c r="AE12" s="31">
        <f t="shared" si="4"/>
        <v>614</v>
      </c>
      <c r="AF12" s="31">
        <f t="shared" si="4"/>
        <v>1232</v>
      </c>
    </row>
    <row r="13" spans="2:32" ht="23.1" customHeight="1" x14ac:dyDescent="0.25">
      <c r="B13" s="23" t="s">
        <v>40</v>
      </c>
      <c r="C13" s="50">
        <v>48</v>
      </c>
      <c r="D13" s="50">
        <v>4</v>
      </c>
      <c r="E13" s="50">
        <v>8</v>
      </c>
      <c r="F13" s="50">
        <v>39</v>
      </c>
      <c r="G13" s="50">
        <v>3</v>
      </c>
      <c r="H13" s="50">
        <v>3</v>
      </c>
      <c r="I13" s="50">
        <v>0</v>
      </c>
      <c r="J13" s="50">
        <v>0</v>
      </c>
      <c r="K13" s="50">
        <v>1</v>
      </c>
      <c r="L13" s="50">
        <v>2</v>
      </c>
      <c r="M13" s="50">
        <v>45</v>
      </c>
      <c r="N13" s="50">
        <v>0</v>
      </c>
      <c r="O13" s="15">
        <f t="shared" si="0"/>
        <v>108</v>
      </c>
      <c r="P13" s="15">
        <f t="shared" si="1"/>
        <v>153</v>
      </c>
      <c r="R13" s="1" t="s">
        <v>9</v>
      </c>
      <c r="S13" s="17">
        <f t="shared" ref="S13:AF13" si="5">SUM(C22:C25)</f>
        <v>279</v>
      </c>
      <c r="T13" s="17">
        <f t="shared" si="5"/>
        <v>44</v>
      </c>
      <c r="U13" s="17">
        <f t="shared" si="5"/>
        <v>49</v>
      </c>
      <c r="V13" s="17">
        <f t="shared" si="5"/>
        <v>259</v>
      </c>
      <c r="W13" s="17">
        <f t="shared" si="5"/>
        <v>13</v>
      </c>
      <c r="X13" s="17">
        <f t="shared" si="5"/>
        <v>1</v>
      </c>
      <c r="Y13" s="17">
        <f t="shared" si="5"/>
        <v>35</v>
      </c>
      <c r="Z13" s="17">
        <f t="shared" si="5"/>
        <v>17</v>
      </c>
      <c r="AA13" s="17">
        <f t="shared" si="5"/>
        <v>11</v>
      </c>
      <c r="AB13" s="17">
        <f t="shared" si="5"/>
        <v>21</v>
      </c>
      <c r="AC13" s="17">
        <f t="shared" si="5"/>
        <v>608</v>
      </c>
      <c r="AD13" s="17">
        <f t="shared" si="5"/>
        <v>0</v>
      </c>
      <c r="AE13" s="31">
        <f t="shared" si="5"/>
        <v>729</v>
      </c>
      <c r="AF13" s="31">
        <f t="shared" si="5"/>
        <v>1337</v>
      </c>
    </row>
    <row r="14" spans="2:32" ht="23.1" customHeight="1" x14ac:dyDescent="0.25">
      <c r="B14" s="23" t="s">
        <v>41</v>
      </c>
      <c r="C14" s="50">
        <v>71</v>
      </c>
      <c r="D14" s="50">
        <v>11</v>
      </c>
      <c r="E14" s="50">
        <v>9</v>
      </c>
      <c r="F14" s="50">
        <v>56</v>
      </c>
      <c r="G14" s="50">
        <v>3</v>
      </c>
      <c r="H14" s="50">
        <v>2</v>
      </c>
      <c r="I14" s="50">
        <v>21</v>
      </c>
      <c r="J14" s="50">
        <v>12</v>
      </c>
      <c r="K14" s="50">
        <v>4</v>
      </c>
      <c r="L14" s="50">
        <v>15</v>
      </c>
      <c r="M14" s="50">
        <v>109</v>
      </c>
      <c r="N14" s="50">
        <v>0</v>
      </c>
      <c r="O14" s="15">
        <f t="shared" si="0"/>
        <v>204</v>
      </c>
      <c r="P14" s="15">
        <f t="shared" si="1"/>
        <v>313</v>
      </c>
      <c r="R14" s="1" t="s">
        <v>10</v>
      </c>
      <c r="S14" s="17">
        <f t="shared" ref="S14:AF14" si="6">SUM(C26:C29)</f>
        <v>173</v>
      </c>
      <c r="T14" s="17">
        <f t="shared" si="6"/>
        <v>33</v>
      </c>
      <c r="U14" s="17">
        <f t="shared" si="6"/>
        <v>31</v>
      </c>
      <c r="V14" s="17">
        <f t="shared" si="6"/>
        <v>131</v>
      </c>
      <c r="W14" s="17">
        <f t="shared" si="6"/>
        <v>11</v>
      </c>
      <c r="X14" s="17">
        <f t="shared" si="6"/>
        <v>5</v>
      </c>
      <c r="Y14" s="17">
        <f t="shared" si="6"/>
        <v>41</v>
      </c>
      <c r="Z14" s="17">
        <f t="shared" si="6"/>
        <v>15</v>
      </c>
      <c r="AA14" s="17">
        <f t="shared" si="6"/>
        <v>17</v>
      </c>
      <c r="AB14" s="17">
        <f t="shared" si="6"/>
        <v>29</v>
      </c>
      <c r="AC14" s="17">
        <f t="shared" si="6"/>
        <v>541</v>
      </c>
      <c r="AD14" s="17">
        <f t="shared" si="6"/>
        <v>0</v>
      </c>
      <c r="AE14" s="31">
        <f t="shared" si="6"/>
        <v>486</v>
      </c>
      <c r="AF14" s="31">
        <f t="shared" si="6"/>
        <v>1027</v>
      </c>
    </row>
    <row r="15" spans="2:32" ht="23.1" customHeight="1" x14ac:dyDescent="0.25">
      <c r="B15" s="23" t="s">
        <v>42</v>
      </c>
      <c r="C15" s="50">
        <v>58</v>
      </c>
      <c r="D15" s="50">
        <v>10</v>
      </c>
      <c r="E15" s="50">
        <v>11</v>
      </c>
      <c r="F15" s="50">
        <v>82</v>
      </c>
      <c r="G15" s="50">
        <v>1</v>
      </c>
      <c r="H15" s="50">
        <v>0</v>
      </c>
      <c r="I15" s="50">
        <v>4</v>
      </c>
      <c r="J15" s="50">
        <v>3</v>
      </c>
      <c r="K15" s="50">
        <v>0</v>
      </c>
      <c r="L15" s="50">
        <v>4</v>
      </c>
      <c r="M15" s="50">
        <v>50</v>
      </c>
      <c r="N15" s="50">
        <v>0</v>
      </c>
      <c r="O15" s="15">
        <f t="shared" si="0"/>
        <v>173</v>
      </c>
      <c r="P15" s="15">
        <f t="shared" si="1"/>
        <v>223</v>
      </c>
      <c r="R15" s="1" t="s">
        <v>11</v>
      </c>
      <c r="S15" s="17">
        <f t="shared" ref="S15:AF15" si="7">SUM(C30:C33)</f>
        <v>383</v>
      </c>
      <c r="T15" s="17">
        <f t="shared" si="7"/>
        <v>53</v>
      </c>
      <c r="U15" s="17">
        <f t="shared" si="7"/>
        <v>36</v>
      </c>
      <c r="V15" s="17">
        <f t="shared" si="7"/>
        <v>372</v>
      </c>
      <c r="W15" s="17">
        <f t="shared" si="7"/>
        <v>17</v>
      </c>
      <c r="X15" s="17">
        <f t="shared" si="7"/>
        <v>5</v>
      </c>
      <c r="Y15" s="17">
        <f t="shared" si="7"/>
        <v>64</v>
      </c>
      <c r="Z15" s="17">
        <f t="shared" si="7"/>
        <v>24</v>
      </c>
      <c r="AA15" s="17">
        <f t="shared" si="7"/>
        <v>24</v>
      </c>
      <c r="AB15" s="17">
        <f t="shared" si="7"/>
        <v>61</v>
      </c>
      <c r="AC15" s="17">
        <f t="shared" si="7"/>
        <v>507</v>
      </c>
      <c r="AD15" s="17">
        <f t="shared" si="7"/>
        <v>0</v>
      </c>
      <c r="AE15" s="31">
        <f t="shared" si="7"/>
        <v>1039</v>
      </c>
      <c r="AF15" s="31">
        <f t="shared" si="7"/>
        <v>1546</v>
      </c>
    </row>
    <row r="16" spans="2:32" ht="23.1" customHeight="1" x14ac:dyDescent="0.25">
      <c r="B16" s="23" t="s">
        <v>43</v>
      </c>
      <c r="C16" s="50">
        <v>57</v>
      </c>
      <c r="D16" s="50">
        <v>9</v>
      </c>
      <c r="E16" s="50">
        <v>8</v>
      </c>
      <c r="F16" s="50">
        <v>39</v>
      </c>
      <c r="G16" s="50">
        <v>1</v>
      </c>
      <c r="H16" s="50">
        <v>1</v>
      </c>
      <c r="I16" s="50">
        <v>12</v>
      </c>
      <c r="J16" s="50">
        <v>3</v>
      </c>
      <c r="K16" s="50">
        <v>2</v>
      </c>
      <c r="L16" s="50">
        <v>1</v>
      </c>
      <c r="M16" s="50">
        <v>161</v>
      </c>
      <c r="N16" s="50">
        <v>0</v>
      </c>
      <c r="O16" s="15">
        <f t="shared" si="0"/>
        <v>133</v>
      </c>
      <c r="P16" s="15">
        <f t="shared" si="1"/>
        <v>294</v>
      </c>
      <c r="R16" s="1" t="s">
        <v>12</v>
      </c>
      <c r="S16" s="17">
        <f t="shared" ref="S16:AF16" si="8">SUM(C34:C37)</f>
        <v>259</v>
      </c>
      <c r="T16" s="17">
        <f t="shared" si="8"/>
        <v>48</v>
      </c>
      <c r="U16" s="17">
        <f t="shared" si="8"/>
        <v>20</v>
      </c>
      <c r="V16" s="17">
        <f t="shared" si="8"/>
        <v>240</v>
      </c>
      <c r="W16" s="17">
        <f t="shared" si="8"/>
        <v>6</v>
      </c>
      <c r="X16" s="17">
        <f t="shared" si="8"/>
        <v>2</v>
      </c>
      <c r="Y16" s="17">
        <f t="shared" si="8"/>
        <v>27</v>
      </c>
      <c r="Z16" s="17">
        <f t="shared" si="8"/>
        <v>10</v>
      </c>
      <c r="AA16" s="17">
        <f t="shared" si="8"/>
        <v>15</v>
      </c>
      <c r="AB16" s="17">
        <f t="shared" si="8"/>
        <v>17</v>
      </c>
      <c r="AC16" s="17">
        <f t="shared" si="8"/>
        <v>420</v>
      </c>
      <c r="AD16" s="17">
        <f t="shared" si="8"/>
        <v>0</v>
      </c>
      <c r="AE16" s="31">
        <f t="shared" si="8"/>
        <v>644</v>
      </c>
      <c r="AF16" s="31">
        <f t="shared" si="8"/>
        <v>1064</v>
      </c>
    </row>
    <row r="17" spans="2:32" ht="23.1" customHeight="1" x14ac:dyDescent="0.25">
      <c r="B17" s="23" t="s">
        <v>44</v>
      </c>
      <c r="C17" s="50">
        <v>39</v>
      </c>
      <c r="D17" s="50">
        <v>6</v>
      </c>
      <c r="E17" s="50">
        <v>4</v>
      </c>
      <c r="F17" s="50">
        <v>27</v>
      </c>
      <c r="G17" s="50">
        <v>1</v>
      </c>
      <c r="H17" s="50">
        <v>1</v>
      </c>
      <c r="I17" s="50">
        <v>5</v>
      </c>
      <c r="J17" s="50">
        <v>2</v>
      </c>
      <c r="K17" s="50">
        <v>2</v>
      </c>
      <c r="L17" s="50">
        <v>7</v>
      </c>
      <c r="M17" s="50">
        <v>110</v>
      </c>
      <c r="N17" s="50">
        <v>0</v>
      </c>
      <c r="O17" s="15">
        <f t="shared" si="0"/>
        <v>94</v>
      </c>
      <c r="P17" s="15">
        <f t="shared" si="1"/>
        <v>204</v>
      </c>
      <c r="R17" s="1" t="s">
        <v>13</v>
      </c>
      <c r="S17" s="17">
        <f t="shared" ref="S17:AF17" si="9">SUM(C38:C41)</f>
        <v>230</v>
      </c>
      <c r="T17" s="17">
        <f t="shared" si="9"/>
        <v>29</v>
      </c>
      <c r="U17" s="17">
        <f t="shared" si="9"/>
        <v>21</v>
      </c>
      <c r="V17" s="17">
        <f t="shared" si="9"/>
        <v>251</v>
      </c>
      <c r="W17" s="17">
        <f t="shared" si="9"/>
        <v>8</v>
      </c>
      <c r="X17" s="17">
        <f t="shared" si="9"/>
        <v>2</v>
      </c>
      <c r="Y17" s="17">
        <f t="shared" si="9"/>
        <v>23</v>
      </c>
      <c r="Z17" s="17">
        <f t="shared" si="9"/>
        <v>15</v>
      </c>
      <c r="AA17" s="17">
        <f t="shared" si="9"/>
        <v>4</v>
      </c>
      <c r="AB17" s="17">
        <f t="shared" si="9"/>
        <v>43</v>
      </c>
      <c r="AC17" s="17">
        <f t="shared" si="9"/>
        <v>547</v>
      </c>
      <c r="AD17" s="17">
        <f t="shared" si="9"/>
        <v>0</v>
      </c>
      <c r="AE17" s="31">
        <f t="shared" si="9"/>
        <v>626</v>
      </c>
      <c r="AF17" s="31">
        <f t="shared" si="9"/>
        <v>1173</v>
      </c>
    </row>
    <row r="18" spans="2:32" ht="23.1" customHeight="1" x14ac:dyDescent="0.25">
      <c r="B18" s="23" t="s">
        <v>45</v>
      </c>
      <c r="C18" s="50">
        <v>44</v>
      </c>
      <c r="D18" s="50">
        <v>18</v>
      </c>
      <c r="E18" s="50">
        <v>12</v>
      </c>
      <c r="F18" s="50">
        <v>64</v>
      </c>
      <c r="G18" s="50">
        <v>6</v>
      </c>
      <c r="H18" s="50">
        <v>0</v>
      </c>
      <c r="I18" s="50">
        <v>4</v>
      </c>
      <c r="J18" s="50">
        <v>5</v>
      </c>
      <c r="K18" s="50">
        <v>1</v>
      </c>
      <c r="L18" s="50">
        <v>4</v>
      </c>
      <c r="M18" s="50">
        <v>164</v>
      </c>
      <c r="N18" s="50">
        <v>0</v>
      </c>
      <c r="O18" s="15">
        <f t="shared" si="0"/>
        <v>158</v>
      </c>
      <c r="P18" s="15">
        <f t="shared" si="1"/>
        <v>322</v>
      </c>
      <c r="R18" s="1" t="s">
        <v>14</v>
      </c>
      <c r="S18" s="17">
        <f t="shared" ref="S18:AF18" si="10">SUM(C42:C45)</f>
        <v>203</v>
      </c>
      <c r="T18" s="17">
        <f t="shared" si="10"/>
        <v>22</v>
      </c>
      <c r="U18" s="17">
        <f t="shared" si="10"/>
        <v>16</v>
      </c>
      <c r="V18" s="17">
        <f t="shared" si="10"/>
        <v>226</v>
      </c>
      <c r="W18" s="17">
        <f t="shared" si="10"/>
        <v>8</v>
      </c>
      <c r="X18" s="17">
        <f t="shared" si="10"/>
        <v>4</v>
      </c>
      <c r="Y18" s="17">
        <f t="shared" si="10"/>
        <v>22</v>
      </c>
      <c r="Z18" s="17">
        <f t="shared" si="10"/>
        <v>12</v>
      </c>
      <c r="AA18" s="17">
        <f t="shared" si="10"/>
        <v>10</v>
      </c>
      <c r="AB18" s="17">
        <f t="shared" si="10"/>
        <v>42</v>
      </c>
      <c r="AC18" s="17">
        <f t="shared" si="10"/>
        <v>454</v>
      </c>
      <c r="AD18" s="17">
        <f t="shared" si="10"/>
        <v>0</v>
      </c>
      <c r="AE18" s="31">
        <f t="shared" si="10"/>
        <v>565</v>
      </c>
      <c r="AF18" s="31">
        <f t="shared" si="10"/>
        <v>1019</v>
      </c>
    </row>
    <row r="19" spans="2:32" ht="23.1" customHeight="1" x14ac:dyDescent="0.25">
      <c r="B19" s="23" t="s">
        <v>46</v>
      </c>
      <c r="C19" s="50">
        <v>38</v>
      </c>
      <c r="D19" s="50">
        <v>5</v>
      </c>
      <c r="E19" s="50">
        <v>4</v>
      </c>
      <c r="F19" s="50">
        <v>65</v>
      </c>
      <c r="G19" s="50">
        <v>5</v>
      </c>
      <c r="H19" s="50">
        <v>1</v>
      </c>
      <c r="I19" s="50">
        <v>3</v>
      </c>
      <c r="J19" s="50">
        <v>1</v>
      </c>
      <c r="K19" s="50">
        <v>4</v>
      </c>
      <c r="L19" s="50">
        <v>7</v>
      </c>
      <c r="M19" s="50">
        <v>115</v>
      </c>
      <c r="N19" s="50">
        <v>0</v>
      </c>
      <c r="O19" s="15">
        <f t="shared" si="0"/>
        <v>133</v>
      </c>
      <c r="P19" s="15">
        <f t="shared" si="1"/>
        <v>248</v>
      </c>
      <c r="R19" s="1" t="s">
        <v>15</v>
      </c>
      <c r="S19" s="17">
        <f t="shared" ref="S19:AF19" si="11">SUM(C46:C49)</f>
        <v>257</v>
      </c>
      <c r="T19" s="17">
        <f t="shared" si="11"/>
        <v>35</v>
      </c>
      <c r="U19" s="17">
        <f t="shared" si="11"/>
        <v>26</v>
      </c>
      <c r="V19" s="17">
        <f t="shared" si="11"/>
        <v>213</v>
      </c>
      <c r="W19" s="17">
        <f t="shared" si="11"/>
        <v>10</v>
      </c>
      <c r="X19" s="17">
        <f t="shared" si="11"/>
        <v>4</v>
      </c>
      <c r="Y19" s="17">
        <f t="shared" si="11"/>
        <v>51</v>
      </c>
      <c r="Z19" s="17">
        <f t="shared" si="11"/>
        <v>9</v>
      </c>
      <c r="AA19" s="17">
        <f t="shared" si="11"/>
        <v>22</v>
      </c>
      <c r="AB19" s="17">
        <f t="shared" si="11"/>
        <v>46</v>
      </c>
      <c r="AC19" s="17">
        <f t="shared" si="11"/>
        <v>438</v>
      </c>
      <c r="AD19" s="17">
        <f t="shared" si="11"/>
        <v>0</v>
      </c>
      <c r="AE19" s="31">
        <f t="shared" si="11"/>
        <v>673</v>
      </c>
      <c r="AF19" s="31">
        <f t="shared" si="11"/>
        <v>1111</v>
      </c>
    </row>
    <row r="20" spans="2:32" ht="23.1" customHeight="1" x14ac:dyDescent="0.25">
      <c r="B20" s="23" t="s">
        <v>47</v>
      </c>
      <c r="C20" s="50">
        <v>39</v>
      </c>
      <c r="D20" s="50">
        <v>12</v>
      </c>
      <c r="E20" s="50">
        <v>11</v>
      </c>
      <c r="F20" s="50">
        <v>69</v>
      </c>
      <c r="G20" s="50">
        <v>3</v>
      </c>
      <c r="H20" s="50">
        <v>0</v>
      </c>
      <c r="I20" s="50">
        <v>8</v>
      </c>
      <c r="J20" s="50">
        <v>4</v>
      </c>
      <c r="K20" s="50">
        <v>4</v>
      </c>
      <c r="L20" s="50">
        <v>4</v>
      </c>
      <c r="M20" s="50">
        <v>119</v>
      </c>
      <c r="N20" s="50">
        <v>0</v>
      </c>
      <c r="O20" s="15">
        <f t="shared" si="0"/>
        <v>154</v>
      </c>
      <c r="P20" s="15">
        <f t="shared" si="1"/>
        <v>273</v>
      </c>
      <c r="R20" s="1" t="s">
        <v>16</v>
      </c>
      <c r="S20" s="17">
        <f t="shared" ref="S20:AF20" si="12">SUM(C50:C53)</f>
        <v>263</v>
      </c>
      <c r="T20" s="17">
        <f t="shared" si="12"/>
        <v>40</v>
      </c>
      <c r="U20" s="17">
        <f t="shared" si="12"/>
        <v>31</v>
      </c>
      <c r="V20" s="17">
        <f t="shared" si="12"/>
        <v>180</v>
      </c>
      <c r="W20" s="17">
        <f t="shared" si="12"/>
        <v>9</v>
      </c>
      <c r="X20" s="17">
        <f t="shared" si="12"/>
        <v>13</v>
      </c>
      <c r="Y20" s="17">
        <f t="shared" si="12"/>
        <v>33</v>
      </c>
      <c r="Z20" s="17">
        <f t="shared" si="12"/>
        <v>16</v>
      </c>
      <c r="AA20" s="17">
        <f t="shared" si="12"/>
        <v>17</v>
      </c>
      <c r="AB20" s="17">
        <f t="shared" si="12"/>
        <v>40</v>
      </c>
      <c r="AC20" s="17">
        <f t="shared" si="12"/>
        <v>427</v>
      </c>
      <c r="AD20" s="17">
        <f t="shared" si="12"/>
        <v>0</v>
      </c>
      <c r="AE20" s="31">
        <f t="shared" si="12"/>
        <v>642</v>
      </c>
      <c r="AF20" s="31">
        <f t="shared" si="12"/>
        <v>1069</v>
      </c>
    </row>
    <row r="21" spans="2:32" ht="23.1" customHeight="1" x14ac:dyDescent="0.25">
      <c r="B21" s="23" t="s">
        <v>48</v>
      </c>
      <c r="C21" s="50">
        <v>66</v>
      </c>
      <c r="D21" s="50">
        <v>8</v>
      </c>
      <c r="E21" s="50">
        <v>6</v>
      </c>
      <c r="F21" s="50">
        <v>68</v>
      </c>
      <c r="G21" s="50">
        <v>3</v>
      </c>
      <c r="H21" s="50">
        <v>1</v>
      </c>
      <c r="I21" s="50">
        <v>8</v>
      </c>
      <c r="J21" s="50">
        <v>2</v>
      </c>
      <c r="K21" s="50">
        <v>2</v>
      </c>
      <c r="L21" s="50">
        <v>5</v>
      </c>
      <c r="M21" s="50">
        <v>220</v>
      </c>
      <c r="N21" s="50">
        <v>0</v>
      </c>
      <c r="O21" s="15">
        <f t="shared" si="0"/>
        <v>169</v>
      </c>
      <c r="P21" s="15">
        <f t="shared" si="1"/>
        <v>389</v>
      </c>
      <c r="R21" s="36" t="s">
        <v>20</v>
      </c>
      <c r="S21" s="34">
        <f t="shared" ref="S21:AF21" si="13">SUM(C54:C57)</f>
        <v>240</v>
      </c>
      <c r="T21" s="17">
        <f t="shared" si="13"/>
        <v>35</v>
      </c>
      <c r="U21" s="17">
        <f t="shared" si="13"/>
        <v>32</v>
      </c>
      <c r="V21" s="17">
        <f t="shared" si="13"/>
        <v>209</v>
      </c>
      <c r="W21" s="17">
        <f t="shared" si="13"/>
        <v>4</v>
      </c>
      <c r="X21" s="17">
        <f t="shared" si="13"/>
        <v>3</v>
      </c>
      <c r="Y21" s="17">
        <f t="shared" si="13"/>
        <v>57</v>
      </c>
      <c r="Z21" s="17">
        <f t="shared" si="13"/>
        <v>10</v>
      </c>
      <c r="AA21" s="17">
        <f t="shared" si="13"/>
        <v>7</v>
      </c>
      <c r="AB21" s="17">
        <f t="shared" si="13"/>
        <v>22</v>
      </c>
      <c r="AC21" s="17">
        <f t="shared" si="13"/>
        <v>537</v>
      </c>
      <c r="AD21" s="17">
        <f t="shared" si="13"/>
        <v>0</v>
      </c>
      <c r="AE21" s="31">
        <f t="shared" si="13"/>
        <v>619</v>
      </c>
      <c r="AF21" s="31">
        <f t="shared" si="13"/>
        <v>1156</v>
      </c>
    </row>
    <row r="22" spans="2:32" ht="23.1" customHeight="1" x14ac:dyDescent="0.25">
      <c r="B22" s="23" t="s">
        <v>49</v>
      </c>
      <c r="C22" s="50">
        <v>83</v>
      </c>
      <c r="D22" s="50">
        <v>14</v>
      </c>
      <c r="E22" s="50">
        <v>6</v>
      </c>
      <c r="F22" s="50">
        <v>86</v>
      </c>
      <c r="G22" s="50">
        <v>3</v>
      </c>
      <c r="H22" s="50">
        <v>0</v>
      </c>
      <c r="I22" s="50">
        <v>11</v>
      </c>
      <c r="J22" s="50">
        <v>4</v>
      </c>
      <c r="K22" s="50">
        <v>4</v>
      </c>
      <c r="L22" s="50">
        <v>4</v>
      </c>
      <c r="M22" s="50">
        <v>155</v>
      </c>
      <c r="N22" s="50">
        <v>0</v>
      </c>
      <c r="O22" s="15">
        <f t="shared" si="0"/>
        <v>215</v>
      </c>
      <c r="P22" s="15">
        <f t="shared" si="1"/>
        <v>370</v>
      </c>
      <c r="R22" s="38" t="s">
        <v>90</v>
      </c>
      <c r="S22" s="39">
        <f>MAX(S10:S12)</f>
        <v>225</v>
      </c>
      <c r="T22" s="39">
        <f t="shared" ref="T22:AF22" si="14">MAX(T10:T12)</f>
        <v>43</v>
      </c>
      <c r="U22" s="39">
        <f t="shared" si="14"/>
        <v>33</v>
      </c>
      <c r="V22" s="39">
        <f t="shared" si="14"/>
        <v>266</v>
      </c>
      <c r="W22" s="39">
        <f t="shared" si="14"/>
        <v>21</v>
      </c>
      <c r="X22" s="39">
        <f t="shared" si="14"/>
        <v>10</v>
      </c>
      <c r="Y22" s="39">
        <f t="shared" si="14"/>
        <v>42</v>
      </c>
      <c r="Z22" s="39">
        <f t="shared" si="14"/>
        <v>20</v>
      </c>
      <c r="AA22" s="39">
        <f t="shared" si="14"/>
        <v>16</v>
      </c>
      <c r="AB22" s="39">
        <f t="shared" si="14"/>
        <v>34</v>
      </c>
      <c r="AC22" s="39">
        <f t="shared" si="14"/>
        <v>618</v>
      </c>
      <c r="AD22" s="39">
        <f t="shared" si="14"/>
        <v>0</v>
      </c>
      <c r="AE22" s="40">
        <f t="shared" si="14"/>
        <v>614</v>
      </c>
      <c r="AF22" s="40">
        <f t="shared" si="14"/>
        <v>1232</v>
      </c>
    </row>
    <row r="23" spans="2:32" ht="23.1" customHeight="1" x14ac:dyDescent="0.25">
      <c r="B23" s="23" t="s">
        <v>50</v>
      </c>
      <c r="C23" s="50">
        <v>63</v>
      </c>
      <c r="D23" s="50">
        <v>8</v>
      </c>
      <c r="E23" s="50">
        <v>16</v>
      </c>
      <c r="F23" s="50">
        <v>64</v>
      </c>
      <c r="G23" s="50">
        <v>7</v>
      </c>
      <c r="H23" s="50">
        <v>0</v>
      </c>
      <c r="I23" s="50">
        <v>8</v>
      </c>
      <c r="J23" s="50">
        <v>5</v>
      </c>
      <c r="K23" s="50">
        <v>1</v>
      </c>
      <c r="L23" s="50">
        <v>4</v>
      </c>
      <c r="M23" s="50">
        <v>171</v>
      </c>
      <c r="N23" s="50">
        <v>0</v>
      </c>
      <c r="O23" s="15">
        <f t="shared" si="0"/>
        <v>176</v>
      </c>
      <c r="P23" s="15">
        <f t="shared" si="1"/>
        <v>347</v>
      </c>
      <c r="R23" s="38" t="s">
        <v>91</v>
      </c>
      <c r="S23" s="39">
        <f>MAX(S13:S18)</f>
        <v>383</v>
      </c>
      <c r="T23" s="39">
        <f t="shared" ref="T23:AF23" si="15">MAX(T13:T18)</f>
        <v>53</v>
      </c>
      <c r="U23" s="39">
        <f t="shared" si="15"/>
        <v>49</v>
      </c>
      <c r="V23" s="39">
        <f t="shared" si="15"/>
        <v>372</v>
      </c>
      <c r="W23" s="39">
        <f t="shared" si="15"/>
        <v>17</v>
      </c>
      <c r="X23" s="39">
        <f t="shared" si="15"/>
        <v>5</v>
      </c>
      <c r="Y23" s="39">
        <f t="shared" si="15"/>
        <v>64</v>
      </c>
      <c r="Z23" s="39">
        <f t="shared" si="15"/>
        <v>24</v>
      </c>
      <c r="AA23" s="39">
        <f t="shared" si="15"/>
        <v>24</v>
      </c>
      <c r="AB23" s="39">
        <f t="shared" si="15"/>
        <v>61</v>
      </c>
      <c r="AC23" s="39">
        <f t="shared" si="15"/>
        <v>608</v>
      </c>
      <c r="AD23" s="39">
        <f t="shared" si="15"/>
        <v>0</v>
      </c>
      <c r="AE23" s="40">
        <f t="shared" si="15"/>
        <v>1039</v>
      </c>
      <c r="AF23" s="40">
        <f t="shared" si="15"/>
        <v>1546</v>
      </c>
    </row>
    <row r="24" spans="2:32" ht="23.1" customHeight="1" x14ac:dyDescent="0.25">
      <c r="B24" s="23" t="s">
        <v>51</v>
      </c>
      <c r="C24" s="50">
        <v>48</v>
      </c>
      <c r="D24" s="50">
        <v>14</v>
      </c>
      <c r="E24" s="50">
        <v>12</v>
      </c>
      <c r="F24" s="50">
        <v>45</v>
      </c>
      <c r="G24" s="50">
        <v>1</v>
      </c>
      <c r="H24" s="50">
        <v>0</v>
      </c>
      <c r="I24" s="50">
        <v>6</v>
      </c>
      <c r="J24" s="50">
        <v>5</v>
      </c>
      <c r="K24" s="50">
        <v>2</v>
      </c>
      <c r="L24" s="50">
        <v>4</v>
      </c>
      <c r="M24" s="50">
        <v>118</v>
      </c>
      <c r="N24" s="50">
        <v>0</v>
      </c>
      <c r="O24" s="15">
        <f t="shared" si="0"/>
        <v>137</v>
      </c>
      <c r="P24" s="15">
        <f t="shared" si="1"/>
        <v>255</v>
      </c>
      <c r="R24" s="38" t="s">
        <v>92</v>
      </c>
      <c r="S24" s="39">
        <f>MAX(S19:S21)</f>
        <v>263</v>
      </c>
      <c r="T24" s="39">
        <f t="shared" ref="T24:AF24" si="16">MAX(T19:T21)</f>
        <v>40</v>
      </c>
      <c r="U24" s="39">
        <f t="shared" si="16"/>
        <v>32</v>
      </c>
      <c r="V24" s="39">
        <f t="shared" si="16"/>
        <v>213</v>
      </c>
      <c r="W24" s="39">
        <f t="shared" si="16"/>
        <v>10</v>
      </c>
      <c r="X24" s="39">
        <f t="shared" si="16"/>
        <v>13</v>
      </c>
      <c r="Y24" s="39">
        <f t="shared" si="16"/>
        <v>57</v>
      </c>
      <c r="Z24" s="39">
        <f t="shared" si="16"/>
        <v>16</v>
      </c>
      <c r="AA24" s="39">
        <f t="shared" si="16"/>
        <v>22</v>
      </c>
      <c r="AB24" s="39">
        <f t="shared" si="16"/>
        <v>46</v>
      </c>
      <c r="AC24" s="39">
        <f t="shared" si="16"/>
        <v>537</v>
      </c>
      <c r="AD24" s="39">
        <f t="shared" si="16"/>
        <v>0</v>
      </c>
      <c r="AE24" s="40">
        <f t="shared" si="16"/>
        <v>673</v>
      </c>
      <c r="AF24" s="40">
        <f t="shared" si="16"/>
        <v>1156</v>
      </c>
    </row>
    <row r="25" spans="2:32" ht="23.1" customHeight="1" x14ac:dyDescent="0.25">
      <c r="B25" s="23" t="s">
        <v>52</v>
      </c>
      <c r="C25" s="50">
        <v>85</v>
      </c>
      <c r="D25" s="50">
        <v>8</v>
      </c>
      <c r="E25" s="50">
        <v>15</v>
      </c>
      <c r="F25" s="50">
        <v>64</v>
      </c>
      <c r="G25" s="50">
        <v>2</v>
      </c>
      <c r="H25" s="50">
        <v>1</v>
      </c>
      <c r="I25" s="50">
        <v>10</v>
      </c>
      <c r="J25" s="50">
        <v>3</v>
      </c>
      <c r="K25" s="50">
        <v>4</v>
      </c>
      <c r="L25" s="50">
        <v>9</v>
      </c>
      <c r="M25" s="50">
        <v>164</v>
      </c>
      <c r="N25" s="50">
        <v>0</v>
      </c>
      <c r="O25" s="15">
        <f t="shared" si="0"/>
        <v>201</v>
      </c>
      <c r="P25" s="15">
        <f t="shared" si="1"/>
        <v>365</v>
      </c>
      <c r="R25" s="37" t="s">
        <v>85</v>
      </c>
      <c r="S25" s="35">
        <f t="shared" ref="S25:AF25" si="17">SUM(S10:S12)</f>
        <v>584</v>
      </c>
      <c r="T25" s="16">
        <f t="shared" si="17"/>
        <v>105</v>
      </c>
      <c r="U25" s="16">
        <f t="shared" si="17"/>
        <v>91</v>
      </c>
      <c r="V25" s="16">
        <f t="shared" si="17"/>
        <v>674</v>
      </c>
      <c r="W25" s="16">
        <f t="shared" si="17"/>
        <v>44</v>
      </c>
      <c r="X25" s="16">
        <f t="shared" si="17"/>
        <v>16</v>
      </c>
      <c r="Y25" s="16">
        <f t="shared" si="17"/>
        <v>90</v>
      </c>
      <c r="Z25" s="16">
        <f t="shared" si="17"/>
        <v>41</v>
      </c>
      <c r="AA25" s="16">
        <f t="shared" si="17"/>
        <v>35</v>
      </c>
      <c r="AB25" s="16">
        <f t="shared" si="17"/>
        <v>81</v>
      </c>
      <c r="AC25" s="16">
        <f t="shared" si="17"/>
        <v>1256</v>
      </c>
      <c r="AD25" s="16">
        <f t="shared" si="17"/>
        <v>0</v>
      </c>
      <c r="AE25" s="32">
        <f t="shared" si="17"/>
        <v>1761</v>
      </c>
      <c r="AF25" s="32">
        <f t="shared" si="17"/>
        <v>3017</v>
      </c>
    </row>
    <row r="26" spans="2:32" ht="23.1" customHeight="1" x14ac:dyDescent="0.25">
      <c r="B26" s="23" t="s">
        <v>53</v>
      </c>
      <c r="C26" s="50">
        <v>48</v>
      </c>
      <c r="D26" s="50">
        <v>10</v>
      </c>
      <c r="E26" s="50">
        <v>7</v>
      </c>
      <c r="F26" s="50">
        <v>43</v>
      </c>
      <c r="G26" s="50">
        <v>0</v>
      </c>
      <c r="H26" s="50">
        <v>0</v>
      </c>
      <c r="I26" s="50">
        <v>5</v>
      </c>
      <c r="J26" s="50">
        <v>3</v>
      </c>
      <c r="K26" s="50">
        <v>6</v>
      </c>
      <c r="L26" s="50">
        <v>5</v>
      </c>
      <c r="M26" s="50">
        <v>173</v>
      </c>
      <c r="N26" s="50">
        <v>0</v>
      </c>
      <c r="O26" s="15">
        <f t="shared" si="0"/>
        <v>127</v>
      </c>
      <c r="P26" s="15">
        <f t="shared" si="1"/>
        <v>300</v>
      </c>
      <c r="R26" s="28" t="s">
        <v>86</v>
      </c>
      <c r="S26" s="16">
        <f t="shared" ref="S26:AF26" si="18">SUM(S13:S18)</f>
        <v>1527</v>
      </c>
      <c r="T26" s="16">
        <f t="shared" si="18"/>
        <v>229</v>
      </c>
      <c r="U26" s="16">
        <f t="shared" si="18"/>
        <v>173</v>
      </c>
      <c r="V26" s="16">
        <f t="shared" si="18"/>
        <v>1479</v>
      </c>
      <c r="W26" s="16">
        <f t="shared" si="18"/>
        <v>63</v>
      </c>
      <c r="X26" s="16">
        <f t="shared" si="18"/>
        <v>19</v>
      </c>
      <c r="Y26" s="16">
        <f t="shared" si="18"/>
        <v>212</v>
      </c>
      <c r="Z26" s="16">
        <f t="shared" si="18"/>
        <v>93</v>
      </c>
      <c r="AA26" s="16">
        <f t="shared" si="18"/>
        <v>81</v>
      </c>
      <c r="AB26" s="16">
        <f t="shared" si="18"/>
        <v>213</v>
      </c>
      <c r="AC26" s="16">
        <f t="shared" si="18"/>
        <v>3077</v>
      </c>
      <c r="AD26" s="16">
        <f t="shared" si="18"/>
        <v>0</v>
      </c>
      <c r="AE26" s="32">
        <f t="shared" si="18"/>
        <v>4089</v>
      </c>
      <c r="AF26" s="32">
        <f t="shared" si="18"/>
        <v>7166</v>
      </c>
    </row>
    <row r="27" spans="2:32" ht="23.1" customHeight="1" x14ac:dyDescent="0.25">
      <c r="B27" s="23" t="s">
        <v>54</v>
      </c>
      <c r="C27" s="50">
        <v>51</v>
      </c>
      <c r="D27" s="50">
        <v>10</v>
      </c>
      <c r="E27" s="50">
        <v>10</v>
      </c>
      <c r="F27" s="50">
        <v>47</v>
      </c>
      <c r="G27" s="50">
        <v>4</v>
      </c>
      <c r="H27" s="50">
        <v>2</v>
      </c>
      <c r="I27" s="50">
        <v>10</v>
      </c>
      <c r="J27" s="50">
        <v>2</v>
      </c>
      <c r="K27" s="50">
        <v>4</v>
      </c>
      <c r="L27" s="50">
        <v>4</v>
      </c>
      <c r="M27" s="50">
        <v>121</v>
      </c>
      <c r="N27" s="50">
        <v>0</v>
      </c>
      <c r="O27" s="15">
        <f t="shared" si="0"/>
        <v>144</v>
      </c>
      <c r="P27" s="15">
        <f t="shared" si="1"/>
        <v>265</v>
      </c>
      <c r="R27" s="29" t="s">
        <v>87</v>
      </c>
      <c r="S27" s="16">
        <f t="shared" ref="S27:AF27" si="19">SUM(S19:S21)</f>
        <v>760</v>
      </c>
      <c r="T27" s="16">
        <f t="shared" si="19"/>
        <v>110</v>
      </c>
      <c r="U27" s="16">
        <f t="shared" si="19"/>
        <v>89</v>
      </c>
      <c r="V27" s="16">
        <f t="shared" si="19"/>
        <v>602</v>
      </c>
      <c r="W27" s="16">
        <f t="shared" si="19"/>
        <v>23</v>
      </c>
      <c r="X27" s="16">
        <f t="shared" si="19"/>
        <v>20</v>
      </c>
      <c r="Y27" s="16">
        <f t="shared" si="19"/>
        <v>141</v>
      </c>
      <c r="Z27" s="16">
        <f t="shared" si="19"/>
        <v>35</v>
      </c>
      <c r="AA27" s="16">
        <f t="shared" si="19"/>
        <v>46</v>
      </c>
      <c r="AB27" s="16">
        <f t="shared" si="19"/>
        <v>108</v>
      </c>
      <c r="AC27" s="16">
        <f t="shared" si="19"/>
        <v>1402</v>
      </c>
      <c r="AD27" s="16">
        <f t="shared" si="19"/>
        <v>0</v>
      </c>
      <c r="AE27" s="32">
        <f t="shared" si="19"/>
        <v>1934</v>
      </c>
      <c r="AF27" s="32">
        <f t="shared" si="19"/>
        <v>3336</v>
      </c>
    </row>
    <row r="28" spans="2:32" ht="23.1" customHeight="1" x14ac:dyDescent="0.25">
      <c r="B28" s="23" t="s">
        <v>55</v>
      </c>
      <c r="C28" s="50">
        <v>65</v>
      </c>
      <c r="D28" s="50">
        <v>10</v>
      </c>
      <c r="E28" s="50">
        <v>5</v>
      </c>
      <c r="F28" s="50">
        <v>34</v>
      </c>
      <c r="G28" s="50">
        <v>4</v>
      </c>
      <c r="H28" s="50">
        <v>0</v>
      </c>
      <c r="I28" s="50">
        <v>15</v>
      </c>
      <c r="J28" s="50">
        <v>4</v>
      </c>
      <c r="K28" s="50">
        <v>0</v>
      </c>
      <c r="L28" s="50">
        <v>5</v>
      </c>
      <c r="M28" s="50">
        <v>127</v>
      </c>
      <c r="N28" s="50">
        <v>0</v>
      </c>
      <c r="O28" s="15">
        <f t="shared" si="0"/>
        <v>142</v>
      </c>
      <c r="P28" s="15">
        <f t="shared" si="1"/>
        <v>269</v>
      </c>
      <c r="R28" s="5" t="s">
        <v>17</v>
      </c>
      <c r="S28" s="16">
        <f t="shared" ref="S28:AF28" si="20">SUM(S10:S21)</f>
        <v>2871</v>
      </c>
      <c r="T28" s="16">
        <f t="shared" si="20"/>
        <v>444</v>
      </c>
      <c r="U28" s="16">
        <f t="shared" si="20"/>
        <v>353</v>
      </c>
      <c r="V28" s="16">
        <f t="shared" si="20"/>
        <v>2755</v>
      </c>
      <c r="W28" s="16">
        <f t="shared" si="20"/>
        <v>130</v>
      </c>
      <c r="X28" s="16">
        <f t="shared" si="20"/>
        <v>55</v>
      </c>
      <c r="Y28" s="16">
        <f t="shared" si="20"/>
        <v>443</v>
      </c>
      <c r="Z28" s="16">
        <f t="shared" si="20"/>
        <v>169</v>
      </c>
      <c r="AA28" s="16">
        <f t="shared" si="20"/>
        <v>162</v>
      </c>
      <c r="AB28" s="16">
        <f t="shared" si="20"/>
        <v>402</v>
      </c>
      <c r="AC28" s="16">
        <f t="shared" si="20"/>
        <v>5735</v>
      </c>
      <c r="AD28" s="16">
        <f t="shared" si="20"/>
        <v>0</v>
      </c>
      <c r="AE28" s="32">
        <f t="shared" si="20"/>
        <v>7784</v>
      </c>
      <c r="AF28" s="32">
        <f t="shared" si="20"/>
        <v>13519</v>
      </c>
    </row>
    <row r="29" spans="2:32" ht="23.1" customHeight="1" x14ac:dyDescent="0.25">
      <c r="B29" s="23" t="s">
        <v>56</v>
      </c>
      <c r="C29" s="50">
        <v>9</v>
      </c>
      <c r="D29" s="50">
        <v>3</v>
      </c>
      <c r="E29" s="50">
        <v>9</v>
      </c>
      <c r="F29" s="50">
        <v>7</v>
      </c>
      <c r="G29" s="50">
        <v>3</v>
      </c>
      <c r="H29" s="50">
        <v>3</v>
      </c>
      <c r="I29" s="50">
        <v>11</v>
      </c>
      <c r="J29" s="50">
        <v>6</v>
      </c>
      <c r="K29" s="50">
        <v>7</v>
      </c>
      <c r="L29" s="50">
        <v>15</v>
      </c>
      <c r="M29" s="50">
        <v>120</v>
      </c>
      <c r="N29" s="50">
        <v>0</v>
      </c>
      <c r="O29" s="15">
        <f t="shared" si="0"/>
        <v>73</v>
      </c>
      <c r="P29" s="15">
        <f t="shared" si="1"/>
        <v>193</v>
      </c>
      <c r="R29"/>
      <c r="S29" s="20"/>
      <c r="T29" s="19"/>
    </row>
    <row r="30" spans="2:32" ht="23.1" customHeight="1" x14ac:dyDescent="0.25">
      <c r="B30" s="23" t="s">
        <v>57</v>
      </c>
      <c r="C30" s="50">
        <v>71</v>
      </c>
      <c r="D30" s="50">
        <v>11</v>
      </c>
      <c r="E30" s="50">
        <v>9</v>
      </c>
      <c r="F30" s="50">
        <v>76</v>
      </c>
      <c r="G30" s="50">
        <v>4</v>
      </c>
      <c r="H30" s="50">
        <v>2</v>
      </c>
      <c r="I30" s="50">
        <v>16</v>
      </c>
      <c r="J30" s="50">
        <v>14</v>
      </c>
      <c r="K30" s="50">
        <v>14</v>
      </c>
      <c r="L30" s="50">
        <v>12</v>
      </c>
      <c r="M30" s="50">
        <v>134</v>
      </c>
      <c r="N30" s="50">
        <v>0</v>
      </c>
      <c r="O30" s="15">
        <f t="shared" si="0"/>
        <v>229</v>
      </c>
      <c r="P30" s="15">
        <f t="shared" si="1"/>
        <v>363</v>
      </c>
    </row>
    <row r="31" spans="2:32" ht="23.1" customHeight="1" x14ac:dyDescent="0.25">
      <c r="B31" s="24" t="s">
        <v>58</v>
      </c>
      <c r="C31" s="50">
        <v>99</v>
      </c>
      <c r="D31" s="50">
        <v>13</v>
      </c>
      <c r="E31" s="50">
        <v>14</v>
      </c>
      <c r="F31" s="50">
        <v>83</v>
      </c>
      <c r="G31" s="50">
        <v>2</v>
      </c>
      <c r="H31" s="50">
        <v>2</v>
      </c>
      <c r="I31" s="50">
        <v>31</v>
      </c>
      <c r="J31" s="50">
        <v>0</v>
      </c>
      <c r="K31" s="50">
        <v>6</v>
      </c>
      <c r="L31" s="50">
        <v>27</v>
      </c>
      <c r="M31" s="50">
        <v>134</v>
      </c>
      <c r="N31" s="50">
        <v>0</v>
      </c>
      <c r="O31" s="15">
        <f t="shared" si="0"/>
        <v>277</v>
      </c>
      <c r="P31" s="15">
        <f t="shared" si="1"/>
        <v>411</v>
      </c>
    </row>
    <row r="32" spans="2:32" ht="23.1" customHeight="1" x14ac:dyDescent="0.25">
      <c r="B32" s="24" t="s">
        <v>59</v>
      </c>
      <c r="C32" s="50">
        <v>104</v>
      </c>
      <c r="D32" s="50">
        <v>13</v>
      </c>
      <c r="E32" s="50">
        <v>9</v>
      </c>
      <c r="F32" s="50">
        <v>103</v>
      </c>
      <c r="G32" s="50">
        <v>4</v>
      </c>
      <c r="H32" s="50">
        <v>1</v>
      </c>
      <c r="I32" s="50">
        <v>4</v>
      </c>
      <c r="J32" s="50">
        <v>10</v>
      </c>
      <c r="K32" s="50">
        <v>1</v>
      </c>
      <c r="L32" s="50">
        <v>6</v>
      </c>
      <c r="M32" s="50">
        <v>119</v>
      </c>
      <c r="N32" s="50">
        <v>0</v>
      </c>
      <c r="O32" s="15">
        <f t="shared" si="0"/>
        <v>255</v>
      </c>
      <c r="P32" s="15">
        <f t="shared" si="1"/>
        <v>374</v>
      </c>
    </row>
    <row r="33" spans="2:20" ht="23.1" customHeight="1" x14ac:dyDescent="0.25">
      <c r="B33" s="23" t="s">
        <v>60</v>
      </c>
      <c r="C33" s="50">
        <v>109</v>
      </c>
      <c r="D33" s="50">
        <v>16</v>
      </c>
      <c r="E33" s="50">
        <v>4</v>
      </c>
      <c r="F33" s="50">
        <v>110</v>
      </c>
      <c r="G33" s="50">
        <v>7</v>
      </c>
      <c r="H33" s="50">
        <v>0</v>
      </c>
      <c r="I33" s="50">
        <v>13</v>
      </c>
      <c r="J33" s="50">
        <v>0</v>
      </c>
      <c r="K33" s="50">
        <v>3</v>
      </c>
      <c r="L33" s="50">
        <v>16</v>
      </c>
      <c r="M33" s="50">
        <v>120</v>
      </c>
      <c r="N33" s="50">
        <v>0</v>
      </c>
      <c r="O33" s="15">
        <f t="shared" si="0"/>
        <v>278</v>
      </c>
      <c r="P33" s="15">
        <f t="shared" si="1"/>
        <v>398</v>
      </c>
    </row>
    <row r="34" spans="2:20" ht="23.1" customHeight="1" x14ac:dyDescent="0.25">
      <c r="B34" s="24" t="s">
        <v>61</v>
      </c>
      <c r="C34" s="50">
        <v>63</v>
      </c>
      <c r="D34" s="50">
        <v>14</v>
      </c>
      <c r="E34" s="50">
        <v>3</v>
      </c>
      <c r="F34" s="50">
        <v>83</v>
      </c>
      <c r="G34" s="50">
        <v>3</v>
      </c>
      <c r="H34" s="50">
        <v>2</v>
      </c>
      <c r="I34" s="50">
        <v>9</v>
      </c>
      <c r="J34" s="50">
        <v>3</v>
      </c>
      <c r="K34" s="50">
        <v>7</v>
      </c>
      <c r="L34" s="50">
        <v>3</v>
      </c>
      <c r="M34" s="50">
        <v>124</v>
      </c>
      <c r="N34" s="50">
        <v>0</v>
      </c>
      <c r="O34" s="15">
        <f t="shared" si="0"/>
        <v>190</v>
      </c>
      <c r="P34" s="15">
        <f t="shared" si="1"/>
        <v>314</v>
      </c>
    </row>
    <row r="35" spans="2:20" ht="23.1" customHeight="1" x14ac:dyDescent="0.25">
      <c r="B35" s="24" t="s">
        <v>62</v>
      </c>
      <c r="C35" s="50">
        <v>81</v>
      </c>
      <c r="D35" s="50">
        <v>8</v>
      </c>
      <c r="E35" s="50">
        <v>7</v>
      </c>
      <c r="F35" s="50">
        <v>68</v>
      </c>
      <c r="G35" s="50">
        <v>0</v>
      </c>
      <c r="H35" s="50">
        <v>0</v>
      </c>
      <c r="I35" s="50">
        <v>7</v>
      </c>
      <c r="J35" s="50">
        <v>2</v>
      </c>
      <c r="K35" s="50">
        <v>2</v>
      </c>
      <c r="L35" s="50">
        <v>6</v>
      </c>
      <c r="M35" s="50">
        <v>103</v>
      </c>
      <c r="N35" s="50">
        <v>0</v>
      </c>
      <c r="O35" s="15">
        <f t="shared" si="0"/>
        <v>181</v>
      </c>
      <c r="P35" s="15">
        <f t="shared" si="1"/>
        <v>284</v>
      </c>
    </row>
    <row r="36" spans="2:20" ht="23.1" customHeight="1" x14ac:dyDescent="0.25">
      <c r="B36" s="24" t="s">
        <v>63</v>
      </c>
      <c r="C36" s="50">
        <v>84</v>
      </c>
      <c r="D36" s="50">
        <v>11</v>
      </c>
      <c r="E36" s="50">
        <v>5</v>
      </c>
      <c r="F36" s="50">
        <v>41</v>
      </c>
      <c r="G36" s="50">
        <v>1</v>
      </c>
      <c r="H36" s="50">
        <v>0</v>
      </c>
      <c r="I36" s="50">
        <v>6</v>
      </c>
      <c r="J36" s="50">
        <v>0</v>
      </c>
      <c r="K36" s="50">
        <v>5</v>
      </c>
      <c r="L36" s="50">
        <v>1</v>
      </c>
      <c r="M36" s="50">
        <v>86</v>
      </c>
      <c r="N36" s="50">
        <v>0</v>
      </c>
      <c r="O36" s="15">
        <f t="shared" si="0"/>
        <v>154</v>
      </c>
      <c r="P36" s="15">
        <f t="shared" si="1"/>
        <v>240</v>
      </c>
    </row>
    <row r="37" spans="2:20" ht="23.1" customHeight="1" x14ac:dyDescent="0.25">
      <c r="B37" s="23" t="s">
        <v>64</v>
      </c>
      <c r="C37" s="50">
        <v>31</v>
      </c>
      <c r="D37" s="50">
        <v>15</v>
      </c>
      <c r="E37" s="50">
        <v>5</v>
      </c>
      <c r="F37" s="50">
        <v>48</v>
      </c>
      <c r="G37" s="50">
        <v>2</v>
      </c>
      <c r="H37" s="50">
        <v>0</v>
      </c>
      <c r="I37" s="50">
        <v>5</v>
      </c>
      <c r="J37" s="50">
        <v>5</v>
      </c>
      <c r="K37" s="50">
        <v>1</v>
      </c>
      <c r="L37" s="50">
        <v>7</v>
      </c>
      <c r="M37" s="50">
        <v>107</v>
      </c>
      <c r="N37" s="50">
        <v>0</v>
      </c>
      <c r="O37" s="15">
        <f t="shared" si="0"/>
        <v>119</v>
      </c>
      <c r="P37" s="15">
        <f t="shared" si="1"/>
        <v>226</v>
      </c>
    </row>
    <row r="38" spans="2:20" ht="23.1" customHeight="1" x14ac:dyDescent="0.25">
      <c r="B38" s="24" t="s">
        <v>65</v>
      </c>
      <c r="C38" s="50">
        <v>51</v>
      </c>
      <c r="D38" s="50">
        <v>7</v>
      </c>
      <c r="E38" s="50">
        <v>6</v>
      </c>
      <c r="F38" s="50">
        <v>61</v>
      </c>
      <c r="G38" s="50">
        <v>4</v>
      </c>
      <c r="H38" s="50">
        <v>0</v>
      </c>
      <c r="I38" s="50">
        <v>4</v>
      </c>
      <c r="J38" s="50">
        <v>8</v>
      </c>
      <c r="K38" s="50">
        <v>3</v>
      </c>
      <c r="L38" s="50">
        <v>8</v>
      </c>
      <c r="M38" s="50">
        <v>136</v>
      </c>
      <c r="N38" s="50">
        <v>0</v>
      </c>
      <c r="O38" s="15">
        <f t="shared" si="0"/>
        <v>152</v>
      </c>
      <c r="P38" s="15">
        <f t="shared" si="1"/>
        <v>288</v>
      </c>
    </row>
    <row r="39" spans="2:20" ht="23.1" customHeight="1" x14ac:dyDescent="0.25">
      <c r="B39" s="24" t="s">
        <v>66</v>
      </c>
      <c r="C39" s="50">
        <v>89</v>
      </c>
      <c r="D39" s="50">
        <v>4</v>
      </c>
      <c r="E39" s="50">
        <v>7</v>
      </c>
      <c r="F39" s="50">
        <v>82</v>
      </c>
      <c r="G39" s="50">
        <v>2</v>
      </c>
      <c r="H39" s="50">
        <v>0</v>
      </c>
      <c r="I39" s="50">
        <v>7</v>
      </c>
      <c r="J39" s="50">
        <v>2</v>
      </c>
      <c r="K39" s="50">
        <v>1</v>
      </c>
      <c r="L39" s="50">
        <v>3</v>
      </c>
      <c r="M39" s="50">
        <v>125</v>
      </c>
      <c r="N39" s="50">
        <v>0</v>
      </c>
      <c r="O39" s="15">
        <f t="shared" si="0"/>
        <v>197</v>
      </c>
      <c r="P39" s="15">
        <f t="shared" si="1"/>
        <v>322</v>
      </c>
    </row>
    <row r="40" spans="2:20" ht="23.1" customHeight="1" x14ac:dyDescent="0.25">
      <c r="B40" s="24" t="s">
        <v>67</v>
      </c>
      <c r="C40" s="50">
        <v>54</v>
      </c>
      <c r="D40" s="50">
        <v>7</v>
      </c>
      <c r="E40" s="50">
        <v>5</v>
      </c>
      <c r="F40" s="50">
        <v>59</v>
      </c>
      <c r="G40" s="50">
        <v>1</v>
      </c>
      <c r="H40" s="50">
        <v>1</v>
      </c>
      <c r="I40" s="50">
        <v>7</v>
      </c>
      <c r="J40" s="50">
        <v>4</v>
      </c>
      <c r="K40" s="50">
        <v>0</v>
      </c>
      <c r="L40" s="50">
        <v>11</v>
      </c>
      <c r="M40" s="50">
        <v>140</v>
      </c>
      <c r="N40" s="50">
        <v>0</v>
      </c>
      <c r="O40" s="15">
        <f t="shared" si="0"/>
        <v>149</v>
      </c>
      <c r="P40" s="15">
        <f t="shared" si="1"/>
        <v>289</v>
      </c>
    </row>
    <row r="41" spans="2:20" ht="23.1" customHeight="1" x14ac:dyDescent="0.25">
      <c r="B41" s="23" t="s">
        <v>68</v>
      </c>
      <c r="C41" s="50">
        <v>36</v>
      </c>
      <c r="D41" s="50">
        <v>11</v>
      </c>
      <c r="E41" s="50">
        <v>3</v>
      </c>
      <c r="F41" s="50">
        <v>49</v>
      </c>
      <c r="G41" s="50">
        <v>1</v>
      </c>
      <c r="H41" s="50">
        <v>1</v>
      </c>
      <c r="I41" s="50">
        <v>5</v>
      </c>
      <c r="J41" s="50">
        <v>1</v>
      </c>
      <c r="K41" s="50">
        <v>0</v>
      </c>
      <c r="L41" s="50">
        <v>21</v>
      </c>
      <c r="M41" s="50">
        <v>146</v>
      </c>
      <c r="N41" s="50">
        <v>0</v>
      </c>
      <c r="O41" s="15">
        <f t="shared" si="0"/>
        <v>128</v>
      </c>
      <c r="P41" s="15">
        <f t="shared" si="1"/>
        <v>274</v>
      </c>
    </row>
    <row r="42" spans="2:20" ht="23.1" customHeight="1" x14ac:dyDescent="0.25">
      <c r="B42" s="24" t="s">
        <v>69</v>
      </c>
      <c r="C42" s="50">
        <v>64</v>
      </c>
      <c r="D42" s="50">
        <v>9</v>
      </c>
      <c r="E42" s="50">
        <v>7</v>
      </c>
      <c r="F42" s="50">
        <v>84</v>
      </c>
      <c r="G42" s="50">
        <v>4</v>
      </c>
      <c r="H42" s="50">
        <v>1</v>
      </c>
      <c r="I42" s="50">
        <v>2</v>
      </c>
      <c r="J42" s="50">
        <v>0</v>
      </c>
      <c r="K42" s="50">
        <v>3</v>
      </c>
      <c r="L42" s="50">
        <v>9</v>
      </c>
      <c r="M42" s="50">
        <v>101</v>
      </c>
      <c r="N42" s="50">
        <v>0</v>
      </c>
      <c r="O42" s="15">
        <f t="shared" si="0"/>
        <v>183</v>
      </c>
      <c r="P42" s="15">
        <f t="shared" si="1"/>
        <v>284</v>
      </c>
    </row>
    <row r="43" spans="2:20" ht="23.1" customHeight="1" x14ac:dyDescent="0.25">
      <c r="B43" s="23" t="s">
        <v>70</v>
      </c>
      <c r="C43" s="50">
        <v>57</v>
      </c>
      <c r="D43" s="50">
        <v>7</v>
      </c>
      <c r="E43" s="50">
        <v>3</v>
      </c>
      <c r="F43" s="50">
        <v>45</v>
      </c>
      <c r="G43" s="50">
        <v>0</v>
      </c>
      <c r="H43" s="50">
        <v>2</v>
      </c>
      <c r="I43" s="50">
        <v>7</v>
      </c>
      <c r="J43" s="50">
        <v>4</v>
      </c>
      <c r="K43" s="50">
        <v>1</v>
      </c>
      <c r="L43" s="50">
        <v>9</v>
      </c>
      <c r="M43" s="50">
        <v>149</v>
      </c>
      <c r="N43" s="50">
        <v>0</v>
      </c>
      <c r="O43" s="15">
        <f t="shared" si="0"/>
        <v>135</v>
      </c>
      <c r="P43" s="15">
        <f t="shared" si="1"/>
        <v>284</v>
      </c>
    </row>
    <row r="44" spans="2:20" ht="23.1" customHeight="1" x14ac:dyDescent="0.25">
      <c r="B44" s="25" t="s">
        <v>71</v>
      </c>
      <c r="C44" s="50">
        <v>49</v>
      </c>
      <c r="D44" s="50">
        <v>4</v>
      </c>
      <c r="E44" s="50">
        <v>5</v>
      </c>
      <c r="F44" s="50">
        <v>52</v>
      </c>
      <c r="G44" s="50">
        <v>1</v>
      </c>
      <c r="H44" s="50">
        <v>0</v>
      </c>
      <c r="I44" s="50">
        <v>9</v>
      </c>
      <c r="J44" s="50">
        <v>3</v>
      </c>
      <c r="K44" s="50">
        <v>3</v>
      </c>
      <c r="L44" s="50">
        <v>13</v>
      </c>
      <c r="M44" s="50">
        <v>90</v>
      </c>
      <c r="N44" s="50">
        <v>0</v>
      </c>
      <c r="O44" s="15">
        <f t="shared" si="0"/>
        <v>139</v>
      </c>
      <c r="P44" s="15">
        <f t="shared" si="1"/>
        <v>229</v>
      </c>
    </row>
    <row r="45" spans="2:20" ht="23.1" customHeight="1" x14ac:dyDescent="0.25">
      <c r="B45" s="23" t="s">
        <v>72</v>
      </c>
      <c r="C45" s="50">
        <v>33</v>
      </c>
      <c r="D45" s="50">
        <v>2</v>
      </c>
      <c r="E45" s="50">
        <v>1</v>
      </c>
      <c r="F45" s="50">
        <v>45</v>
      </c>
      <c r="G45" s="50">
        <v>3</v>
      </c>
      <c r="H45" s="50">
        <v>1</v>
      </c>
      <c r="I45" s="50">
        <v>4</v>
      </c>
      <c r="J45" s="50">
        <v>5</v>
      </c>
      <c r="K45" s="50">
        <v>3</v>
      </c>
      <c r="L45" s="50">
        <v>11</v>
      </c>
      <c r="M45" s="50">
        <v>114</v>
      </c>
      <c r="N45" s="50">
        <v>0</v>
      </c>
      <c r="O45" s="15">
        <f t="shared" si="0"/>
        <v>108</v>
      </c>
      <c r="P45" s="15">
        <f t="shared" si="1"/>
        <v>222</v>
      </c>
    </row>
    <row r="46" spans="2:20" ht="23.1" customHeight="1" x14ac:dyDescent="0.25">
      <c r="B46" s="24" t="s">
        <v>73</v>
      </c>
      <c r="C46" s="50">
        <v>39</v>
      </c>
      <c r="D46" s="50">
        <v>5</v>
      </c>
      <c r="E46" s="50">
        <v>9</v>
      </c>
      <c r="F46" s="50">
        <v>15</v>
      </c>
      <c r="G46" s="50">
        <v>4</v>
      </c>
      <c r="H46" s="50">
        <v>2</v>
      </c>
      <c r="I46" s="50">
        <v>8</v>
      </c>
      <c r="J46" s="50">
        <v>4</v>
      </c>
      <c r="K46" s="50">
        <v>4</v>
      </c>
      <c r="L46" s="50">
        <v>19</v>
      </c>
      <c r="M46" s="50">
        <v>78</v>
      </c>
      <c r="N46" s="50">
        <v>0</v>
      </c>
      <c r="O46" s="15">
        <f t="shared" si="0"/>
        <v>109</v>
      </c>
      <c r="P46" s="15">
        <f t="shared" si="1"/>
        <v>187</v>
      </c>
      <c r="R46" s="8"/>
      <c r="T46"/>
    </row>
    <row r="47" spans="2:20" ht="23.1" customHeight="1" x14ac:dyDescent="0.25">
      <c r="B47" s="24" t="s">
        <v>74</v>
      </c>
      <c r="C47" s="50">
        <v>84</v>
      </c>
      <c r="D47" s="50">
        <v>14</v>
      </c>
      <c r="E47" s="50">
        <v>7</v>
      </c>
      <c r="F47" s="50">
        <v>79</v>
      </c>
      <c r="G47" s="50">
        <v>3</v>
      </c>
      <c r="H47" s="50">
        <v>0</v>
      </c>
      <c r="I47" s="50">
        <v>20</v>
      </c>
      <c r="J47" s="50">
        <v>0</v>
      </c>
      <c r="K47" s="50">
        <v>8</v>
      </c>
      <c r="L47" s="50">
        <v>11</v>
      </c>
      <c r="M47" s="50">
        <v>123</v>
      </c>
      <c r="N47" s="50">
        <v>0</v>
      </c>
      <c r="O47" s="15">
        <f t="shared" si="0"/>
        <v>226</v>
      </c>
      <c r="P47" s="15">
        <f t="shared" si="1"/>
        <v>349</v>
      </c>
      <c r="R47" s="8"/>
      <c r="T47"/>
    </row>
    <row r="48" spans="2:20" ht="23.1" customHeight="1" x14ac:dyDescent="0.25">
      <c r="B48" s="24" t="s">
        <v>75</v>
      </c>
      <c r="C48" s="50">
        <v>101</v>
      </c>
      <c r="D48" s="50">
        <v>11</v>
      </c>
      <c r="E48" s="50">
        <v>4</v>
      </c>
      <c r="F48" s="50">
        <v>86</v>
      </c>
      <c r="G48" s="50">
        <v>2</v>
      </c>
      <c r="H48" s="50">
        <v>1</v>
      </c>
      <c r="I48" s="50">
        <v>14</v>
      </c>
      <c r="J48" s="50">
        <v>4</v>
      </c>
      <c r="K48" s="50">
        <v>7</v>
      </c>
      <c r="L48" s="50">
        <v>8</v>
      </c>
      <c r="M48" s="50">
        <v>146</v>
      </c>
      <c r="N48" s="50">
        <v>0</v>
      </c>
      <c r="O48" s="15">
        <f t="shared" si="0"/>
        <v>238</v>
      </c>
      <c r="P48" s="15">
        <f t="shared" si="1"/>
        <v>384</v>
      </c>
      <c r="R48" s="8"/>
      <c r="T48"/>
    </row>
    <row r="49" spans="2:20" ht="23.1" customHeight="1" x14ac:dyDescent="0.25">
      <c r="B49" s="23" t="s">
        <v>76</v>
      </c>
      <c r="C49" s="50">
        <v>33</v>
      </c>
      <c r="D49" s="50">
        <v>5</v>
      </c>
      <c r="E49" s="50">
        <v>6</v>
      </c>
      <c r="F49" s="50">
        <v>33</v>
      </c>
      <c r="G49" s="50">
        <v>1</v>
      </c>
      <c r="H49" s="50">
        <v>1</v>
      </c>
      <c r="I49" s="50">
        <v>9</v>
      </c>
      <c r="J49" s="50">
        <v>1</v>
      </c>
      <c r="K49" s="50">
        <v>3</v>
      </c>
      <c r="L49" s="50">
        <v>8</v>
      </c>
      <c r="M49" s="50">
        <v>91</v>
      </c>
      <c r="N49" s="50">
        <v>0</v>
      </c>
      <c r="O49" s="15">
        <f t="shared" si="0"/>
        <v>100</v>
      </c>
      <c r="P49" s="15">
        <f t="shared" si="1"/>
        <v>191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7</v>
      </c>
      <c r="E50" s="50">
        <v>7</v>
      </c>
      <c r="F50" s="50">
        <v>40</v>
      </c>
      <c r="G50" s="50">
        <v>3</v>
      </c>
      <c r="H50" s="50">
        <v>8</v>
      </c>
      <c r="I50" s="50">
        <v>13</v>
      </c>
      <c r="J50" s="50">
        <v>3</v>
      </c>
      <c r="K50" s="50">
        <v>3</v>
      </c>
      <c r="L50" s="50">
        <v>8</v>
      </c>
      <c r="M50" s="50">
        <v>125</v>
      </c>
      <c r="N50" s="50">
        <v>0</v>
      </c>
      <c r="O50" s="15">
        <f t="shared" si="0"/>
        <v>147</v>
      </c>
      <c r="P50" s="15">
        <f t="shared" si="1"/>
        <v>272</v>
      </c>
      <c r="R50" s="8"/>
      <c r="T50"/>
    </row>
    <row r="51" spans="2:20" ht="23.1" customHeight="1" x14ac:dyDescent="0.25">
      <c r="B51" s="24" t="s">
        <v>78</v>
      </c>
      <c r="C51" s="50">
        <v>44</v>
      </c>
      <c r="D51" s="50">
        <v>14</v>
      </c>
      <c r="E51" s="50">
        <v>7</v>
      </c>
      <c r="F51" s="50">
        <v>41</v>
      </c>
      <c r="G51" s="50">
        <v>3</v>
      </c>
      <c r="H51" s="50">
        <v>1</v>
      </c>
      <c r="I51" s="50">
        <v>6</v>
      </c>
      <c r="J51" s="50">
        <v>3</v>
      </c>
      <c r="K51" s="50">
        <v>2</v>
      </c>
      <c r="L51" s="50">
        <v>7</v>
      </c>
      <c r="M51" s="50">
        <v>155</v>
      </c>
      <c r="N51" s="50">
        <v>0</v>
      </c>
      <c r="O51" s="15">
        <f t="shared" si="0"/>
        <v>128</v>
      </c>
      <c r="P51" s="15">
        <f t="shared" si="1"/>
        <v>283</v>
      </c>
      <c r="R51" s="8"/>
      <c r="T51"/>
    </row>
    <row r="52" spans="2:20" ht="23.1" customHeight="1" x14ac:dyDescent="0.25">
      <c r="B52" s="24" t="s">
        <v>79</v>
      </c>
      <c r="C52" s="50">
        <v>64</v>
      </c>
      <c r="D52" s="50">
        <v>11</v>
      </c>
      <c r="E52" s="50">
        <v>4</v>
      </c>
      <c r="F52" s="50">
        <v>6</v>
      </c>
      <c r="G52" s="50">
        <v>1</v>
      </c>
      <c r="H52" s="50">
        <v>4</v>
      </c>
      <c r="I52" s="50">
        <v>9</v>
      </c>
      <c r="J52" s="50">
        <v>8</v>
      </c>
      <c r="K52" s="50">
        <v>4</v>
      </c>
      <c r="L52" s="50">
        <v>14</v>
      </c>
      <c r="M52" s="50">
        <v>45</v>
      </c>
      <c r="N52" s="50">
        <v>0</v>
      </c>
      <c r="O52" s="15">
        <f t="shared" si="0"/>
        <v>125</v>
      </c>
      <c r="P52" s="15">
        <f t="shared" si="1"/>
        <v>170</v>
      </c>
      <c r="R52" s="8"/>
      <c r="T52"/>
    </row>
    <row r="53" spans="2:20" ht="23.1" customHeight="1" x14ac:dyDescent="0.25">
      <c r="B53" s="23" t="s">
        <v>80</v>
      </c>
      <c r="C53" s="50">
        <v>100</v>
      </c>
      <c r="D53" s="50">
        <v>8</v>
      </c>
      <c r="E53" s="50">
        <v>13</v>
      </c>
      <c r="F53" s="50">
        <v>93</v>
      </c>
      <c r="G53" s="50">
        <v>2</v>
      </c>
      <c r="H53" s="50">
        <v>0</v>
      </c>
      <c r="I53" s="50">
        <v>5</v>
      </c>
      <c r="J53" s="50">
        <v>2</v>
      </c>
      <c r="K53" s="50">
        <v>8</v>
      </c>
      <c r="L53" s="50">
        <v>11</v>
      </c>
      <c r="M53" s="50">
        <v>102</v>
      </c>
      <c r="N53" s="50">
        <v>0</v>
      </c>
      <c r="O53" s="15">
        <f t="shared" si="0"/>
        <v>242</v>
      </c>
      <c r="P53" s="15">
        <f t="shared" si="1"/>
        <v>344</v>
      </c>
      <c r="R53" s="8"/>
      <c r="T53"/>
    </row>
    <row r="54" spans="2:20" ht="23.1" customHeight="1" x14ac:dyDescent="0.25">
      <c r="B54" s="23" t="s">
        <v>81</v>
      </c>
      <c r="C54" s="50">
        <v>54</v>
      </c>
      <c r="D54" s="50">
        <v>16</v>
      </c>
      <c r="E54" s="50">
        <v>21</v>
      </c>
      <c r="F54" s="50">
        <v>47</v>
      </c>
      <c r="G54" s="50">
        <v>3</v>
      </c>
      <c r="H54" s="50">
        <v>2</v>
      </c>
      <c r="I54" s="50">
        <v>14</v>
      </c>
      <c r="J54" s="50">
        <v>3</v>
      </c>
      <c r="K54" s="50">
        <v>1</v>
      </c>
      <c r="L54" s="50">
        <v>7</v>
      </c>
      <c r="M54" s="50">
        <v>129</v>
      </c>
      <c r="N54" s="50">
        <v>0</v>
      </c>
      <c r="O54" s="15">
        <f t="shared" si="0"/>
        <v>168</v>
      </c>
      <c r="P54" s="15">
        <f t="shared" si="1"/>
        <v>297</v>
      </c>
      <c r="R54" s="8"/>
      <c r="T54"/>
    </row>
    <row r="55" spans="2:20" ht="23.1" customHeight="1" x14ac:dyDescent="0.25">
      <c r="B55" s="23" t="s">
        <v>82</v>
      </c>
      <c r="C55" s="50">
        <v>74</v>
      </c>
      <c r="D55" s="50">
        <v>6</v>
      </c>
      <c r="E55" s="50">
        <v>4</v>
      </c>
      <c r="F55" s="50">
        <v>79</v>
      </c>
      <c r="G55" s="50">
        <v>0</v>
      </c>
      <c r="H55" s="50">
        <v>0</v>
      </c>
      <c r="I55" s="50">
        <v>14</v>
      </c>
      <c r="J55" s="50">
        <v>2</v>
      </c>
      <c r="K55" s="50">
        <v>0</v>
      </c>
      <c r="L55" s="50">
        <v>7</v>
      </c>
      <c r="M55" s="50">
        <v>167</v>
      </c>
      <c r="N55" s="50">
        <v>0</v>
      </c>
      <c r="O55" s="15">
        <f t="shared" si="0"/>
        <v>186</v>
      </c>
      <c r="P55" s="15">
        <f t="shared" si="1"/>
        <v>353</v>
      </c>
      <c r="R55" s="8"/>
      <c r="T55"/>
    </row>
    <row r="56" spans="2:20" ht="23.1" customHeight="1" x14ac:dyDescent="0.25">
      <c r="B56" s="23" t="s">
        <v>83</v>
      </c>
      <c r="C56" s="50">
        <v>37</v>
      </c>
      <c r="D56" s="50">
        <v>7</v>
      </c>
      <c r="E56" s="50">
        <v>5</v>
      </c>
      <c r="F56" s="50">
        <v>34</v>
      </c>
      <c r="G56" s="50">
        <v>1</v>
      </c>
      <c r="H56" s="50">
        <v>0</v>
      </c>
      <c r="I56" s="50">
        <v>25</v>
      </c>
      <c r="J56" s="50">
        <v>2</v>
      </c>
      <c r="K56" s="50">
        <v>4</v>
      </c>
      <c r="L56" s="50">
        <v>5</v>
      </c>
      <c r="M56" s="50">
        <v>126</v>
      </c>
      <c r="N56" s="50">
        <v>0</v>
      </c>
      <c r="O56" s="15">
        <f t="shared" si="0"/>
        <v>120</v>
      </c>
      <c r="P56" s="15">
        <f t="shared" si="1"/>
        <v>246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6</v>
      </c>
      <c r="E57" s="50">
        <v>2</v>
      </c>
      <c r="F57" s="50">
        <v>49</v>
      </c>
      <c r="G57" s="50">
        <v>0</v>
      </c>
      <c r="H57" s="50">
        <v>1</v>
      </c>
      <c r="I57" s="50">
        <v>4</v>
      </c>
      <c r="J57" s="50">
        <v>3</v>
      </c>
      <c r="K57" s="50">
        <v>2</v>
      </c>
      <c r="L57" s="50">
        <v>3</v>
      </c>
      <c r="M57" s="50">
        <v>115</v>
      </c>
      <c r="N57" s="50">
        <v>0</v>
      </c>
      <c r="O57" s="15">
        <f t="shared" si="0"/>
        <v>145</v>
      </c>
      <c r="P57" s="15">
        <f t="shared" si="1"/>
        <v>260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2871</v>
      </c>
      <c r="D58" s="16">
        <f t="shared" si="21"/>
        <v>444</v>
      </c>
      <c r="E58" s="16">
        <f t="shared" si="21"/>
        <v>353</v>
      </c>
      <c r="F58" s="16">
        <f t="shared" si="21"/>
        <v>2755</v>
      </c>
      <c r="G58" s="16">
        <f t="shared" si="21"/>
        <v>130</v>
      </c>
      <c r="H58" s="16">
        <f t="shared" si="21"/>
        <v>55</v>
      </c>
      <c r="I58" s="16">
        <f t="shared" si="21"/>
        <v>443</v>
      </c>
      <c r="J58" s="16">
        <f t="shared" si="21"/>
        <v>169</v>
      </c>
      <c r="K58" s="16">
        <f t="shared" si="21"/>
        <v>162</v>
      </c>
      <c r="L58" s="16">
        <f t="shared" si="21"/>
        <v>402</v>
      </c>
      <c r="M58" s="16">
        <f t="shared" si="21"/>
        <v>5735</v>
      </c>
      <c r="N58" s="16">
        <f t="shared" si="21"/>
        <v>0</v>
      </c>
      <c r="O58" s="16">
        <f t="shared" si="21"/>
        <v>7784</v>
      </c>
      <c r="P58" s="16">
        <f t="shared" si="21"/>
        <v>13519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0.21236777868185516</v>
      </c>
      <c r="D59" s="43">
        <f t="shared" si="22"/>
        <v>3.2842665877653672E-2</v>
      </c>
      <c r="E59" s="43">
        <f t="shared" si="22"/>
        <v>2.6111398772098528E-2</v>
      </c>
      <c r="F59" s="43">
        <f t="shared" si="22"/>
        <v>0.20378726237147718</v>
      </c>
      <c r="G59" s="43">
        <f t="shared" si="22"/>
        <v>9.6160958650787776E-3</v>
      </c>
      <c r="H59" s="43">
        <f t="shared" si="22"/>
        <v>4.0683482506102524E-3</v>
      </c>
      <c r="I59" s="43">
        <f t="shared" si="22"/>
        <v>3.2768695909460757E-2</v>
      </c>
      <c r="J59" s="43">
        <f t="shared" si="22"/>
        <v>1.2500924624602412E-2</v>
      </c>
      <c r="K59" s="43">
        <f t="shared" si="22"/>
        <v>1.1983134847252016E-2</v>
      </c>
      <c r="L59" s="43">
        <f t="shared" si="22"/>
        <v>2.9735927213551297E-2</v>
      </c>
      <c r="M59" s="43">
        <f t="shared" si="22"/>
        <v>0.42421776758635993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0.36883350462487152</v>
      </c>
      <c r="D60" s="44">
        <f t="shared" ref="D60:N60" si="23">D58/$O$58</f>
        <v>5.7040082219938337E-2</v>
      </c>
      <c r="E60" s="44">
        <f t="shared" si="23"/>
        <v>4.5349434737923945E-2</v>
      </c>
      <c r="F60" s="44">
        <f t="shared" si="23"/>
        <v>0.35393114080164439</v>
      </c>
      <c r="G60" s="44">
        <f t="shared" si="23"/>
        <v>1.670092497430627E-2</v>
      </c>
      <c r="H60" s="44">
        <f t="shared" si="23"/>
        <v>7.0657759506680372E-3</v>
      </c>
      <c r="I60" s="44">
        <f t="shared" si="23"/>
        <v>5.6911613566289827E-2</v>
      </c>
      <c r="J60" s="44">
        <f t="shared" si="23"/>
        <v>2.1711202466598151E-2</v>
      </c>
      <c r="K60" s="44">
        <f t="shared" si="23"/>
        <v>2.0811921891058582E-2</v>
      </c>
      <c r="L60" s="44">
        <f t="shared" si="23"/>
        <v>5.1644398766700926E-2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Mbalala-Mukono'!C3:G3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'3.11 Mukono-Mbalala'!D5</f>
        <v>3.11.19</v>
      </c>
      <c r="E5" s="3"/>
      <c r="F5" s="41" t="s">
        <v>1</v>
      </c>
      <c r="G5" s="61" t="str">
        <f>'3.11 Mukono-Mbalala'!G5:H5</f>
        <v>Perfect tents</v>
      </c>
      <c r="H5" s="62"/>
      <c r="I5" s="14"/>
      <c r="J5" s="2" t="s">
        <v>5</v>
      </c>
      <c r="K5" s="61" t="s">
        <v>179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Mbalala-Mukono'!D6:E6</f>
        <v>Mbalala</v>
      </c>
      <c r="E6" s="62"/>
      <c r="F6" s="2" t="s">
        <v>2</v>
      </c>
      <c r="G6" s="61" t="str">
        <f>'29.10 Mbalala-Mukono'!G6:H6</f>
        <v>Mukono</v>
      </c>
      <c r="H6" s="62"/>
      <c r="J6" s="2" t="s">
        <v>21</v>
      </c>
      <c r="K6" s="61" t="str">
        <f>'3.11 Mukono-Mbalala'!K6:L6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27</v>
      </c>
      <c r="D10" s="50">
        <v>0</v>
      </c>
      <c r="E10" s="50">
        <v>2</v>
      </c>
      <c r="F10" s="50">
        <v>21</v>
      </c>
      <c r="G10" s="50">
        <v>1</v>
      </c>
      <c r="H10" s="50">
        <v>1</v>
      </c>
      <c r="I10" s="50">
        <v>4</v>
      </c>
      <c r="J10" s="50">
        <v>7</v>
      </c>
      <c r="K10" s="50">
        <v>0</v>
      </c>
      <c r="L10" s="50">
        <v>3</v>
      </c>
      <c r="M10" s="50">
        <v>42</v>
      </c>
      <c r="N10" s="50">
        <v>0</v>
      </c>
      <c r="O10" s="15">
        <f t="shared" ref="O10:O57" si="0">SUM(C10:L10,N10)</f>
        <v>66</v>
      </c>
      <c r="P10" s="15">
        <f t="shared" ref="P10:P57" si="1">SUM(C10:N10)</f>
        <v>108</v>
      </c>
      <c r="R10" s="1" t="s">
        <v>6</v>
      </c>
      <c r="S10" s="17">
        <f t="shared" ref="S10:AF10" si="2">SUM(C10:C13)</f>
        <v>74</v>
      </c>
      <c r="T10" s="17">
        <f t="shared" si="2"/>
        <v>13</v>
      </c>
      <c r="U10" s="17">
        <f t="shared" si="2"/>
        <v>6</v>
      </c>
      <c r="V10" s="17">
        <f t="shared" si="2"/>
        <v>117</v>
      </c>
      <c r="W10" s="17">
        <f t="shared" si="2"/>
        <v>3</v>
      </c>
      <c r="X10" s="17">
        <f t="shared" si="2"/>
        <v>2</v>
      </c>
      <c r="Y10" s="17">
        <f t="shared" si="2"/>
        <v>7</v>
      </c>
      <c r="Z10" s="17">
        <f t="shared" si="2"/>
        <v>18</v>
      </c>
      <c r="AA10" s="17">
        <f t="shared" si="2"/>
        <v>2</v>
      </c>
      <c r="AB10" s="17">
        <f t="shared" si="2"/>
        <v>39</v>
      </c>
      <c r="AC10" s="17">
        <f t="shared" si="2"/>
        <v>210</v>
      </c>
      <c r="AD10" s="17">
        <f t="shared" si="2"/>
        <v>0</v>
      </c>
      <c r="AE10" s="31">
        <f t="shared" si="2"/>
        <v>281</v>
      </c>
      <c r="AF10" s="31">
        <f t="shared" si="2"/>
        <v>491</v>
      </c>
    </row>
    <row r="11" spans="2:32" s="6" customFormat="1" ht="23.1" customHeight="1" x14ac:dyDescent="0.25">
      <c r="B11" s="23" t="s">
        <v>38</v>
      </c>
      <c r="C11" s="50">
        <v>17</v>
      </c>
      <c r="D11" s="50">
        <v>3</v>
      </c>
      <c r="E11" s="50">
        <v>0</v>
      </c>
      <c r="F11" s="50">
        <v>31</v>
      </c>
      <c r="G11" s="50">
        <v>1</v>
      </c>
      <c r="H11" s="50">
        <v>1</v>
      </c>
      <c r="I11" s="50">
        <v>2</v>
      </c>
      <c r="J11" s="50">
        <v>4</v>
      </c>
      <c r="K11" s="50">
        <v>1</v>
      </c>
      <c r="L11" s="50">
        <v>16</v>
      </c>
      <c r="M11" s="50">
        <v>46</v>
      </c>
      <c r="N11" s="50">
        <v>0</v>
      </c>
      <c r="O11" s="15">
        <f t="shared" si="0"/>
        <v>76</v>
      </c>
      <c r="P11" s="15">
        <f t="shared" si="1"/>
        <v>122</v>
      </c>
      <c r="R11" s="1" t="s">
        <v>7</v>
      </c>
      <c r="S11" s="17">
        <f t="shared" ref="S11:AF11" si="3">SUM(C14:C17)</f>
        <v>117</v>
      </c>
      <c r="T11" s="17">
        <f t="shared" si="3"/>
        <v>11</v>
      </c>
      <c r="U11" s="17">
        <f t="shared" si="3"/>
        <v>16</v>
      </c>
      <c r="V11" s="17">
        <f t="shared" si="3"/>
        <v>120</v>
      </c>
      <c r="W11" s="17">
        <f t="shared" si="3"/>
        <v>3</v>
      </c>
      <c r="X11" s="17">
        <f t="shared" si="3"/>
        <v>8</v>
      </c>
      <c r="Y11" s="17">
        <f t="shared" si="3"/>
        <v>16</v>
      </c>
      <c r="Z11" s="17">
        <f t="shared" si="3"/>
        <v>14</v>
      </c>
      <c r="AA11" s="17">
        <f t="shared" si="3"/>
        <v>6</v>
      </c>
      <c r="AB11" s="17">
        <f t="shared" si="3"/>
        <v>26</v>
      </c>
      <c r="AC11" s="17">
        <f t="shared" si="3"/>
        <v>375</v>
      </c>
      <c r="AD11" s="17">
        <f t="shared" si="3"/>
        <v>0</v>
      </c>
      <c r="AE11" s="31">
        <f t="shared" si="3"/>
        <v>337</v>
      </c>
      <c r="AF11" s="31">
        <f t="shared" si="3"/>
        <v>712</v>
      </c>
    </row>
    <row r="12" spans="2:32" ht="23.1" customHeight="1" x14ac:dyDescent="0.25">
      <c r="B12" s="23" t="s">
        <v>39</v>
      </c>
      <c r="C12" s="50">
        <v>13</v>
      </c>
      <c r="D12" s="50">
        <v>5</v>
      </c>
      <c r="E12" s="50">
        <v>1</v>
      </c>
      <c r="F12" s="50">
        <v>32</v>
      </c>
      <c r="G12" s="50">
        <v>1</v>
      </c>
      <c r="H12" s="50">
        <v>0</v>
      </c>
      <c r="I12" s="50">
        <v>0</v>
      </c>
      <c r="J12" s="50">
        <v>5</v>
      </c>
      <c r="K12" s="50">
        <v>0</v>
      </c>
      <c r="L12" s="50">
        <v>10</v>
      </c>
      <c r="M12" s="50">
        <v>55</v>
      </c>
      <c r="N12" s="50">
        <v>0</v>
      </c>
      <c r="O12" s="15">
        <f t="shared" si="0"/>
        <v>67</v>
      </c>
      <c r="P12" s="15">
        <f t="shared" si="1"/>
        <v>122</v>
      </c>
      <c r="R12" s="1" t="s">
        <v>8</v>
      </c>
      <c r="S12" s="17">
        <f t="shared" ref="S12:AF12" si="4">SUM(C18:C21)</f>
        <v>150</v>
      </c>
      <c r="T12" s="17">
        <f t="shared" si="4"/>
        <v>17</v>
      </c>
      <c r="U12" s="17">
        <f t="shared" si="4"/>
        <v>17</v>
      </c>
      <c r="V12" s="17">
        <f t="shared" si="4"/>
        <v>141</v>
      </c>
      <c r="W12" s="17">
        <f t="shared" si="4"/>
        <v>5</v>
      </c>
      <c r="X12" s="17">
        <f t="shared" si="4"/>
        <v>8</v>
      </c>
      <c r="Y12" s="17">
        <f t="shared" si="4"/>
        <v>20</v>
      </c>
      <c r="Z12" s="17">
        <f t="shared" si="4"/>
        <v>13</v>
      </c>
      <c r="AA12" s="17">
        <f t="shared" si="4"/>
        <v>4</v>
      </c>
      <c r="AB12" s="17">
        <f t="shared" si="4"/>
        <v>41</v>
      </c>
      <c r="AC12" s="17">
        <f t="shared" si="4"/>
        <v>373</v>
      </c>
      <c r="AD12" s="17">
        <f t="shared" si="4"/>
        <v>0</v>
      </c>
      <c r="AE12" s="31">
        <f t="shared" si="4"/>
        <v>416</v>
      </c>
      <c r="AF12" s="31">
        <f t="shared" si="4"/>
        <v>789</v>
      </c>
    </row>
    <row r="13" spans="2:32" ht="23.1" customHeight="1" x14ac:dyDescent="0.25">
      <c r="B13" s="23" t="s">
        <v>40</v>
      </c>
      <c r="C13" s="50">
        <v>17</v>
      </c>
      <c r="D13" s="50">
        <v>5</v>
      </c>
      <c r="E13" s="50">
        <v>3</v>
      </c>
      <c r="F13" s="50">
        <v>33</v>
      </c>
      <c r="G13" s="50">
        <v>0</v>
      </c>
      <c r="H13" s="50">
        <v>0</v>
      </c>
      <c r="I13" s="50">
        <v>1</v>
      </c>
      <c r="J13" s="50">
        <v>2</v>
      </c>
      <c r="K13" s="50">
        <v>1</v>
      </c>
      <c r="L13" s="50">
        <v>10</v>
      </c>
      <c r="M13" s="50">
        <v>67</v>
      </c>
      <c r="N13" s="50">
        <v>0</v>
      </c>
      <c r="O13" s="15">
        <f t="shared" si="0"/>
        <v>72</v>
      </c>
      <c r="P13" s="15">
        <f t="shared" si="1"/>
        <v>139</v>
      </c>
      <c r="R13" s="1" t="s">
        <v>9</v>
      </c>
      <c r="S13" s="17">
        <f t="shared" ref="S13:AF13" si="5">SUM(C22:C25)</f>
        <v>163</v>
      </c>
      <c r="T13" s="17">
        <f t="shared" si="5"/>
        <v>18</v>
      </c>
      <c r="U13" s="17">
        <f t="shared" si="5"/>
        <v>16</v>
      </c>
      <c r="V13" s="17">
        <f t="shared" si="5"/>
        <v>159</v>
      </c>
      <c r="W13" s="17">
        <f t="shared" si="5"/>
        <v>2</v>
      </c>
      <c r="X13" s="17">
        <f t="shared" si="5"/>
        <v>3</v>
      </c>
      <c r="Y13" s="17">
        <f t="shared" si="5"/>
        <v>24</v>
      </c>
      <c r="Z13" s="17">
        <f t="shared" si="5"/>
        <v>19</v>
      </c>
      <c r="AA13" s="17">
        <f t="shared" si="5"/>
        <v>12</v>
      </c>
      <c r="AB13" s="17">
        <f t="shared" si="5"/>
        <v>38</v>
      </c>
      <c r="AC13" s="17">
        <f t="shared" si="5"/>
        <v>335</v>
      </c>
      <c r="AD13" s="17">
        <f t="shared" si="5"/>
        <v>0</v>
      </c>
      <c r="AE13" s="31">
        <f t="shared" si="5"/>
        <v>454</v>
      </c>
      <c r="AF13" s="31">
        <f t="shared" si="5"/>
        <v>789</v>
      </c>
    </row>
    <row r="14" spans="2:32" ht="23.1" customHeight="1" x14ac:dyDescent="0.25">
      <c r="B14" s="23" t="s">
        <v>41</v>
      </c>
      <c r="C14" s="50">
        <v>25</v>
      </c>
      <c r="D14" s="50">
        <v>0</v>
      </c>
      <c r="E14" s="50">
        <v>5</v>
      </c>
      <c r="F14" s="50">
        <v>27</v>
      </c>
      <c r="G14" s="50">
        <v>1</v>
      </c>
      <c r="H14" s="50">
        <v>3</v>
      </c>
      <c r="I14" s="50">
        <v>1</v>
      </c>
      <c r="J14" s="50">
        <v>3</v>
      </c>
      <c r="K14" s="50">
        <v>1</v>
      </c>
      <c r="L14" s="50">
        <v>4</v>
      </c>
      <c r="M14" s="50">
        <v>74</v>
      </c>
      <c r="N14" s="50">
        <v>0</v>
      </c>
      <c r="O14" s="15">
        <f t="shared" si="0"/>
        <v>70</v>
      </c>
      <c r="P14" s="15">
        <f t="shared" si="1"/>
        <v>144</v>
      </c>
      <c r="R14" s="1" t="s">
        <v>10</v>
      </c>
      <c r="S14" s="17">
        <f t="shared" ref="S14:AF14" si="6">SUM(C26:C29)</f>
        <v>191</v>
      </c>
      <c r="T14" s="17">
        <f t="shared" si="6"/>
        <v>23</v>
      </c>
      <c r="U14" s="17">
        <f t="shared" si="6"/>
        <v>16</v>
      </c>
      <c r="V14" s="17">
        <f t="shared" si="6"/>
        <v>135</v>
      </c>
      <c r="W14" s="17">
        <f t="shared" si="6"/>
        <v>4</v>
      </c>
      <c r="X14" s="17">
        <f t="shared" si="6"/>
        <v>1</v>
      </c>
      <c r="Y14" s="17">
        <f t="shared" si="6"/>
        <v>35</v>
      </c>
      <c r="Z14" s="17">
        <f t="shared" si="6"/>
        <v>12</v>
      </c>
      <c r="AA14" s="17">
        <f t="shared" si="6"/>
        <v>8</v>
      </c>
      <c r="AB14" s="17">
        <f t="shared" si="6"/>
        <v>29</v>
      </c>
      <c r="AC14" s="17">
        <f t="shared" si="6"/>
        <v>471</v>
      </c>
      <c r="AD14" s="17">
        <f t="shared" si="6"/>
        <v>0</v>
      </c>
      <c r="AE14" s="31">
        <f t="shared" si="6"/>
        <v>454</v>
      </c>
      <c r="AF14" s="31">
        <f t="shared" si="6"/>
        <v>925</v>
      </c>
    </row>
    <row r="15" spans="2:32" ht="23.1" customHeight="1" x14ac:dyDescent="0.25">
      <c r="B15" s="23" t="s">
        <v>42</v>
      </c>
      <c r="C15" s="50">
        <v>28</v>
      </c>
      <c r="D15" s="50">
        <v>1</v>
      </c>
      <c r="E15" s="50">
        <v>4</v>
      </c>
      <c r="F15" s="50">
        <v>36</v>
      </c>
      <c r="G15" s="50">
        <v>0</v>
      </c>
      <c r="H15" s="50">
        <v>2</v>
      </c>
      <c r="I15" s="50">
        <v>3</v>
      </c>
      <c r="J15" s="50">
        <v>4</v>
      </c>
      <c r="K15" s="50">
        <v>2</v>
      </c>
      <c r="L15" s="50">
        <v>4</v>
      </c>
      <c r="M15" s="50">
        <v>92</v>
      </c>
      <c r="N15" s="50">
        <v>0</v>
      </c>
      <c r="O15" s="15">
        <f t="shared" si="0"/>
        <v>84</v>
      </c>
      <c r="P15" s="15">
        <f t="shared" si="1"/>
        <v>176</v>
      </c>
      <c r="R15" s="1" t="s">
        <v>11</v>
      </c>
      <c r="S15" s="17">
        <f t="shared" ref="S15:AF15" si="7">SUM(C30:C33)</f>
        <v>205</v>
      </c>
      <c r="T15" s="17">
        <f t="shared" si="7"/>
        <v>25</v>
      </c>
      <c r="U15" s="17">
        <f t="shared" si="7"/>
        <v>24</v>
      </c>
      <c r="V15" s="17">
        <f t="shared" si="7"/>
        <v>158</v>
      </c>
      <c r="W15" s="17">
        <f t="shared" si="7"/>
        <v>4</v>
      </c>
      <c r="X15" s="17">
        <f t="shared" si="7"/>
        <v>4</v>
      </c>
      <c r="Y15" s="17">
        <f t="shared" si="7"/>
        <v>40</v>
      </c>
      <c r="Z15" s="17">
        <f t="shared" si="7"/>
        <v>11</v>
      </c>
      <c r="AA15" s="17">
        <f t="shared" si="7"/>
        <v>15</v>
      </c>
      <c r="AB15" s="17">
        <f t="shared" si="7"/>
        <v>25</v>
      </c>
      <c r="AC15" s="17">
        <f t="shared" si="7"/>
        <v>344</v>
      </c>
      <c r="AD15" s="17">
        <f t="shared" si="7"/>
        <v>0</v>
      </c>
      <c r="AE15" s="31">
        <f t="shared" si="7"/>
        <v>511</v>
      </c>
      <c r="AF15" s="31">
        <f t="shared" si="7"/>
        <v>855</v>
      </c>
    </row>
    <row r="16" spans="2:32" ht="23.1" customHeight="1" x14ac:dyDescent="0.25">
      <c r="B16" s="23" t="s">
        <v>43</v>
      </c>
      <c r="C16" s="50">
        <v>31</v>
      </c>
      <c r="D16" s="50">
        <v>5</v>
      </c>
      <c r="E16" s="50">
        <v>4</v>
      </c>
      <c r="F16" s="50">
        <v>26</v>
      </c>
      <c r="G16" s="50">
        <v>2</v>
      </c>
      <c r="H16" s="50">
        <v>2</v>
      </c>
      <c r="I16" s="50">
        <v>7</v>
      </c>
      <c r="J16" s="50">
        <v>4</v>
      </c>
      <c r="K16" s="50">
        <v>2</v>
      </c>
      <c r="L16" s="50">
        <v>7</v>
      </c>
      <c r="M16" s="50">
        <v>95</v>
      </c>
      <c r="N16" s="50">
        <v>0</v>
      </c>
      <c r="O16" s="15">
        <f t="shared" si="0"/>
        <v>90</v>
      </c>
      <c r="P16" s="15">
        <f t="shared" si="1"/>
        <v>185</v>
      </c>
      <c r="R16" s="1" t="s">
        <v>12</v>
      </c>
      <c r="S16" s="17">
        <f t="shared" ref="S16:AF16" si="8">SUM(C34:C37)</f>
        <v>185</v>
      </c>
      <c r="T16" s="17">
        <f t="shared" si="8"/>
        <v>22</v>
      </c>
      <c r="U16" s="17">
        <f t="shared" si="8"/>
        <v>30</v>
      </c>
      <c r="V16" s="17">
        <f t="shared" si="8"/>
        <v>145</v>
      </c>
      <c r="W16" s="17">
        <f t="shared" si="8"/>
        <v>3</v>
      </c>
      <c r="X16" s="17">
        <f t="shared" si="8"/>
        <v>1</v>
      </c>
      <c r="Y16" s="17">
        <f t="shared" si="8"/>
        <v>32</v>
      </c>
      <c r="Z16" s="17">
        <f t="shared" si="8"/>
        <v>15</v>
      </c>
      <c r="AA16" s="17">
        <f t="shared" si="8"/>
        <v>9</v>
      </c>
      <c r="AB16" s="17">
        <f t="shared" si="8"/>
        <v>29</v>
      </c>
      <c r="AC16" s="17">
        <f t="shared" si="8"/>
        <v>388</v>
      </c>
      <c r="AD16" s="17">
        <f t="shared" si="8"/>
        <v>0</v>
      </c>
      <c r="AE16" s="31">
        <f t="shared" si="8"/>
        <v>471</v>
      </c>
      <c r="AF16" s="31">
        <f t="shared" si="8"/>
        <v>859</v>
      </c>
    </row>
    <row r="17" spans="2:32" ht="23.1" customHeight="1" x14ac:dyDescent="0.25">
      <c r="B17" s="23" t="s">
        <v>44</v>
      </c>
      <c r="C17" s="50">
        <v>33</v>
      </c>
      <c r="D17" s="50">
        <v>5</v>
      </c>
      <c r="E17" s="50">
        <v>3</v>
      </c>
      <c r="F17" s="50">
        <v>31</v>
      </c>
      <c r="G17" s="50">
        <v>0</v>
      </c>
      <c r="H17" s="50">
        <v>1</v>
      </c>
      <c r="I17" s="50">
        <v>5</v>
      </c>
      <c r="J17" s="50">
        <v>3</v>
      </c>
      <c r="K17" s="50">
        <v>1</v>
      </c>
      <c r="L17" s="50">
        <v>11</v>
      </c>
      <c r="M17" s="50">
        <v>114</v>
      </c>
      <c r="N17" s="50">
        <v>0</v>
      </c>
      <c r="O17" s="15">
        <f t="shared" si="0"/>
        <v>93</v>
      </c>
      <c r="P17" s="15">
        <f t="shared" si="1"/>
        <v>207</v>
      </c>
      <c r="R17" s="1" t="s">
        <v>13</v>
      </c>
      <c r="S17" s="17">
        <f t="shared" ref="S17:AF17" si="9">SUM(C38:C41)</f>
        <v>189</v>
      </c>
      <c r="T17" s="17">
        <f t="shared" si="9"/>
        <v>51</v>
      </c>
      <c r="U17" s="17">
        <f t="shared" si="9"/>
        <v>32</v>
      </c>
      <c r="V17" s="17">
        <f t="shared" si="9"/>
        <v>164</v>
      </c>
      <c r="W17" s="17">
        <f t="shared" si="9"/>
        <v>10</v>
      </c>
      <c r="X17" s="17">
        <f t="shared" si="9"/>
        <v>3</v>
      </c>
      <c r="Y17" s="17">
        <f t="shared" si="9"/>
        <v>23</v>
      </c>
      <c r="Z17" s="17">
        <f t="shared" si="9"/>
        <v>21</v>
      </c>
      <c r="AA17" s="17">
        <f t="shared" si="9"/>
        <v>8</v>
      </c>
      <c r="AB17" s="17">
        <f t="shared" si="9"/>
        <v>38</v>
      </c>
      <c r="AC17" s="17">
        <f t="shared" si="9"/>
        <v>309</v>
      </c>
      <c r="AD17" s="17">
        <f t="shared" si="9"/>
        <v>0</v>
      </c>
      <c r="AE17" s="31">
        <f t="shared" si="9"/>
        <v>539</v>
      </c>
      <c r="AF17" s="31">
        <f t="shared" si="9"/>
        <v>848</v>
      </c>
    </row>
    <row r="18" spans="2:32" ht="23.1" customHeight="1" x14ac:dyDescent="0.25">
      <c r="B18" s="23" t="s">
        <v>45</v>
      </c>
      <c r="C18" s="50">
        <v>30</v>
      </c>
      <c r="D18" s="50">
        <v>6</v>
      </c>
      <c r="E18" s="50">
        <v>8</v>
      </c>
      <c r="F18" s="50">
        <v>22</v>
      </c>
      <c r="G18" s="50">
        <v>2</v>
      </c>
      <c r="H18" s="50">
        <v>0</v>
      </c>
      <c r="I18" s="50">
        <v>8</v>
      </c>
      <c r="J18" s="50">
        <v>2</v>
      </c>
      <c r="K18" s="50">
        <v>1</v>
      </c>
      <c r="L18" s="50">
        <v>5</v>
      </c>
      <c r="M18" s="50">
        <v>94</v>
      </c>
      <c r="N18" s="50">
        <v>0</v>
      </c>
      <c r="O18" s="15">
        <f t="shared" si="0"/>
        <v>84</v>
      </c>
      <c r="P18" s="15">
        <f t="shared" si="1"/>
        <v>178</v>
      </c>
      <c r="R18" s="1" t="s">
        <v>14</v>
      </c>
      <c r="S18" s="17">
        <f t="shared" ref="S18:AF18" si="10">SUM(C42:C45)</f>
        <v>138</v>
      </c>
      <c r="T18" s="17">
        <f t="shared" si="10"/>
        <v>48</v>
      </c>
      <c r="U18" s="17">
        <f t="shared" si="10"/>
        <v>31</v>
      </c>
      <c r="V18" s="17">
        <f t="shared" si="10"/>
        <v>149</v>
      </c>
      <c r="W18" s="17">
        <f t="shared" si="10"/>
        <v>8</v>
      </c>
      <c r="X18" s="17">
        <f t="shared" si="10"/>
        <v>4</v>
      </c>
      <c r="Y18" s="17">
        <f t="shared" si="10"/>
        <v>20</v>
      </c>
      <c r="Z18" s="17">
        <f t="shared" si="10"/>
        <v>16</v>
      </c>
      <c r="AA18" s="17">
        <f t="shared" si="10"/>
        <v>3</v>
      </c>
      <c r="AB18" s="17">
        <f t="shared" si="10"/>
        <v>36</v>
      </c>
      <c r="AC18" s="17">
        <f t="shared" si="10"/>
        <v>246</v>
      </c>
      <c r="AD18" s="17">
        <f t="shared" si="10"/>
        <v>0</v>
      </c>
      <c r="AE18" s="31">
        <f t="shared" si="10"/>
        <v>453</v>
      </c>
      <c r="AF18" s="31">
        <f t="shared" si="10"/>
        <v>699</v>
      </c>
    </row>
    <row r="19" spans="2:32" ht="23.1" customHeight="1" x14ac:dyDescent="0.25">
      <c r="B19" s="23" t="s">
        <v>46</v>
      </c>
      <c r="C19" s="50">
        <v>39</v>
      </c>
      <c r="D19" s="50">
        <v>5</v>
      </c>
      <c r="E19" s="50">
        <v>4</v>
      </c>
      <c r="F19" s="50">
        <v>33</v>
      </c>
      <c r="G19" s="50">
        <v>0</v>
      </c>
      <c r="H19" s="50">
        <v>3</v>
      </c>
      <c r="I19" s="50">
        <v>5</v>
      </c>
      <c r="J19" s="50">
        <v>8</v>
      </c>
      <c r="K19" s="50">
        <v>0</v>
      </c>
      <c r="L19" s="50">
        <v>13</v>
      </c>
      <c r="M19" s="50">
        <v>140</v>
      </c>
      <c r="N19" s="50">
        <v>0</v>
      </c>
      <c r="O19" s="15">
        <f t="shared" si="0"/>
        <v>110</v>
      </c>
      <c r="P19" s="15">
        <f t="shared" si="1"/>
        <v>250</v>
      </c>
      <c r="R19" s="1" t="s">
        <v>15</v>
      </c>
      <c r="S19" s="17">
        <f t="shared" ref="S19:AF19" si="11">SUM(C46:C49)</f>
        <v>268</v>
      </c>
      <c r="T19" s="17">
        <f t="shared" si="11"/>
        <v>52</v>
      </c>
      <c r="U19" s="17">
        <f t="shared" si="11"/>
        <v>33</v>
      </c>
      <c r="V19" s="17">
        <f t="shared" si="11"/>
        <v>186</v>
      </c>
      <c r="W19" s="17">
        <f t="shared" si="11"/>
        <v>9</v>
      </c>
      <c r="X19" s="17">
        <f t="shared" si="11"/>
        <v>2</v>
      </c>
      <c r="Y19" s="17">
        <f t="shared" si="11"/>
        <v>34</v>
      </c>
      <c r="Z19" s="17">
        <f t="shared" si="11"/>
        <v>24</v>
      </c>
      <c r="AA19" s="17">
        <f t="shared" si="11"/>
        <v>10</v>
      </c>
      <c r="AB19" s="17">
        <f t="shared" si="11"/>
        <v>37</v>
      </c>
      <c r="AC19" s="17">
        <f t="shared" si="11"/>
        <v>311</v>
      </c>
      <c r="AD19" s="17">
        <f t="shared" si="11"/>
        <v>1</v>
      </c>
      <c r="AE19" s="31">
        <f t="shared" si="11"/>
        <v>656</v>
      </c>
      <c r="AF19" s="31">
        <f t="shared" si="11"/>
        <v>967</v>
      </c>
    </row>
    <row r="20" spans="2:32" ht="23.1" customHeight="1" x14ac:dyDescent="0.25">
      <c r="B20" s="23" t="s">
        <v>47</v>
      </c>
      <c r="C20" s="50">
        <v>42</v>
      </c>
      <c r="D20" s="50">
        <v>4</v>
      </c>
      <c r="E20" s="50">
        <v>2</v>
      </c>
      <c r="F20" s="50">
        <v>35</v>
      </c>
      <c r="G20" s="50">
        <v>1</v>
      </c>
      <c r="H20" s="50">
        <v>1</v>
      </c>
      <c r="I20" s="50">
        <v>4</v>
      </c>
      <c r="J20" s="50">
        <v>2</v>
      </c>
      <c r="K20" s="50">
        <v>1</v>
      </c>
      <c r="L20" s="50">
        <v>9</v>
      </c>
      <c r="M20" s="50">
        <v>74</v>
      </c>
      <c r="N20" s="50">
        <v>0</v>
      </c>
      <c r="O20" s="15">
        <f t="shared" si="0"/>
        <v>101</v>
      </c>
      <c r="P20" s="15">
        <f t="shared" si="1"/>
        <v>175</v>
      </c>
      <c r="R20" s="1" t="s">
        <v>16</v>
      </c>
      <c r="S20" s="17">
        <f t="shared" ref="S20:AF20" si="12">SUM(C50:C53)</f>
        <v>298</v>
      </c>
      <c r="T20" s="17">
        <f t="shared" si="12"/>
        <v>29</v>
      </c>
      <c r="U20" s="17">
        <f t="shared" si="12"/>
        <v>32</v>
      </c>
      <c r="V20" s="17">
        <f t="shared" si="12"/>
        <v>180</v>
      </c>
      <c r="W20" s="17">
        <f t="shared" si="12"/>
        <v>11</v>
      </c>
      <c r="X20" s="17">
        <f t="shared" si="12"/>
        <v>6</v>
      </c>
      <c r="Y20" s="17">
        <f t="shared" si="12"/>
        <v>34</v>
      </c>
      <c r="Z20" s="17">
        <f t="shared" si="12"/>
        <v>19</v>
      </c>
      <c r="AA20" s="17">
        <f t="shared" si="12"/>
        <v>5</v>
      </c>
      <c r="AB20" s="17">
        <f t="shared" si="12"/>
        <v>24</v>
      </c>
      <c r="AC20" s="17">
        <f t="shared" si="12"/>
        <v>292</v>
      </c>
      <c r="AD20" s="17">
        <f t="shared" si="12"/>
        <v>0</v>
      </c>
      <c r="AE20" s="31">
        <f t="shared" si="12"/>
        <v>638</v>
      </c>
      <c r="AF20" s="31">
        <f t="shared" si="12"/>
        <v>930</v>
      </c>
    </row>
    <row r="21" spans="2:32" ht="23.1" customHeight="1" x14ac:dyDescent="0.25">
      <c r="B21" s="23" t="s">
        <v>48</v>
      </c>
      <c r="C21" s="50">
        <v>39</v>
      </c>
      <c r="D21" s="50">
        <v>2</v>
      </c>
      <c r="E21" s="50">
        <v>3</v>
      </c>
      <c r="F21" s="50">
        <v>51</v>
      </c>
      <c r="G21" s="50">
        <v>2</v>
      </c>
      <c r="H21" s="50">
        <v>4</v>
      </c>
      <c r="I21" s="50">
        <v>3</v>
      </c>
      <c r="J21" s="50">
        <v>1</v>
      </c>
      <c r="K21" s="50">
        <v>2</v>
      </c>
      <c r="L21" s="50">
        <v>14</v>
      </c>
      <c r="M21" s="50">
        <v>65</v>
      </c>
      <c r="N21" s="50">
        <v>0</v>
      </c>
      <c r="O21" s="15">
        <f t="shared" si="0"/>
        <v>121</v>
      </c>
      <c r="P21" s="15">
        <f t="shared" si="1"/>
        <v>186</v>
      </c>
      <c r="R21" s="36" t="s">
        <v>20</v>
      </c>
      <c r="S21" s="34">
        <f t="shared" ref="S21:AF21" si="13">SUM(C54:C57)</f>
        <v>257</v>
      </c>
      <c r="T21" s="17">
        <f t="shared" si="13"/>
        <v>22</v>
      </c>
      <c r="U21" s="17">
        <f t="shared" si="13"/>
        <v>31</v>
      </c>
      <c r="V21" s="17">
        <f t="shared" si="13"/>
        <v>193</v>
      </c>
      <c r="W21" s="17">
        <f t="shared" si="13"/>
        <v>8</v>
      </c>
      <c r="X21" s="17">
        <f t="shared" si="13"/>
        <v>3</v>
      </c>
      <c r="Y21" s="17">
        <f t="shared" si="13"/>
        <v>17</v>
      </c>
      <c r="Z21" s="17">
        <f t="shared" si="13"/>
        <v>15</v>
      </c>
      <c r="AA21" s="17">
        <f t="shared" si="13"/>
        <v>11</v>
      </c>
      <c r="AB21" s="17">
        <f t="shared" si="13"/>
        <v>16</v>
      </c>
      <c r="AC21" s="17">
        <f t="shared" si="13"/>
        <v>362</v>
      </c>
      <c r="AD21" s="17">
        <f t="shared" si="13"/>
        <v>0</v>
      </c>
      <c r="AE21" s="31">
        <f t="shared" si="13"/>
        <v>573</v>
      </c>
      <c r="AF21" s="31">
        <f t="shared" si="13"/>
        <v>935</v>
      </c>
    </row>
    <row r="22" spans="2:32" ht="23.1" customHeight="1" x14ac:dyDescent="0.25">
      <c r="B22" s="23" t="s">
        <v>49</v>
      </c>
      <c r="C22" s="50">
        <v>36</v>
      </c>
      <c r="D22" s="50">
        <v>1</v>
      </c>
      <c r="E22" s="50">
        <v>1</v>
      </c>
      <c r="F22" s="50">
        <v>34</v>
      </c>
      <c r="G22" s="50">
        <v>0</v>
      </c>
      <c r="H22" s="50">
        <v>0</v>
      </c>
      <c r="I22" s="50">
        <v>4</v>
      </c>
      <c r="J22" s="50">
        <v>3</v>
      </c>
      <c r="K22" s="50">
        <v>4</v>
      </c>
      <c r="L22" s="50">
        <v>6</v>
      </c>
      <c r="M22" s="50">
        <v>82</v>
      </c>
      <c r="N22" s="50">
        <v>0</v>
      </c>
      <c r="O22" s="15">
        <f t="shared" si="0"/>
        <v>89</v>
      </c>
      <c r="P22" s="15">
        <f t="shared" si="1"/>
        <v>171</v>
      </c>
      <c r="R22" s="38" t="s">
        <v>90</v>
      </c>
      <c r="S22" s="39">
        <f>MAX(S10:S12)</f>
        <v>150</v>
      </c>
      <c r="T22" s="39">
        <f t="shared" ref="T22:AF22" si="14">MAX(T10:T12)</f>
        <v>17</v>
      </c>
      <c r="U22" s="39">
        <f t="shared" si="14"/>
        <v>17</v>
      </c>
      <c r="V22" s="39">
        <f t="shared" si="14"/>
        <v>141</v>
      </c>
      <c r="W22" s="39">
        <f t="shared" si="14"/>
        <v>5</v>
      </c>
      <c r="X22" s="39">
        <f t="shared" si="14"/>
        <v>8</v>
      </c>
      <c r="Y22" s="39">
        <f t="shared" si="14"/>
        <v>20</v>
      </c>
      <c r="Z22" s="39">
        <f t="shared" si="14"/>
        <v>18</v>
      </c>
      <c r="AA22" s="39">
        <f t="shared" si="14"/>
        <v>6</v>
      </c>
      <c r="AB22" s="39">
        <f t="shared" si="14"/>
        <v>41</v>
      </c>
      <c r="AC22" s="39">
        <f t="shared" si="14"/>
        <v>375</v>
      </c>
      <c r="AD22" s="39">
        <f t="shared" si="14"/>
        <v>0</v>
      </c>
      <c r="AE22" s="40">
        <f t="shared" si="14"/>
        <v>416</v>
      </c>
      <c r="AF22" s="40">
        <f t="shared" si="14"/>
        <v>789</v>
      </c>
    </row>
    <row r="23" spans="2:32" ht="23.1" customHeight="1" x14ac:dyDescent="0.25">
      <c r="B23" s="23" t="s">
        <v>50</v>
      </c>
      <c r="C23" s="50">
        <v>57</v>
      </c>
      <c r="D23" s="50">
        <v>7</v>
      </c>
      <c r="E23" s="50">
        <v>5</v>
      </c>
      <c r="F23" s="50">
        <v>38</v>
      </c>
      <c r="G23" s="50">
        <v>1</v>
      </c>
      <c r="H23" s="50">
        <v>1</v>
      </c>
      <c r="I23" s="50">
        <v>9</v>
      </c>
      <c r="J23" s="50">
        <v>4</v>
      </c>
      <c r="K23" s="50">
        <v>3</v>
      </c>
      <c r="L23" s="50">
        <v>9</v>
      </c>
      <c r="M23" s="50">
        <v>52</v>
      </c>
      <c r="N23" s="50">
        <v>0</v>
      </c>
      <c r="O23" s="15">
        <f t="shared" si="0"/>
        <v>134</v>
      </c>
      <c r="P23" s="15">
        <f t="shared" si="1"/>
        <v>186</v>
      </c>
      <c r="R23" s="38" t="s">
        <v>91</v>
      </c>
      <c r="S23" s="39">
        <f>MAX(S13:S18)</f>
        <v>205</v>
      </c>
      <c r="T23" s="39">
        <f t="shared" ref="T23:AF23" si="15">MAX(T13:T18)</f>
        <v>51</v>
      </c>
      <c r="U23" s="39">
        <f t="shared" si="15"/>
        <v>32</v>
      </c>
      <c r="V23" s="39">
        <f t="shared" si="15"/>
        <v>164</v>
      </c>
      <c r="W23" s="39">
        <f t="shared" si="15"/>
        <v>10</v>
      </c>
      <c r="X23" s="39">
        <f t="shared" si="15"/>
        <v>4</v>
      </c>
      <c r="Y23" s="39">
        <f t="shared" si="15"/>
        <v>40</v>
      </c>
      <c r="Z23" s="39">
        <f t="shared" si="15"/>
        <v>21</v>
      </c>
      <c r="AA23" s="39">
        <f t="shared" si="15"/>
        <v>15</v>
      </c>
      <c r="AB23" s="39">
        <f t="shared" si="15"/>
        <v>38</v>
      </c>
      <c r="AC23" s="39">
        <f t="shared" si="15"/>
        <v>471</v>
      </c>
      <c r="AD23" s="39">
        <f t="shared" si="15"/>
        <v>0</v>
      </c>
      <c r="AE23" s="40">
        <f t="shared" si="15"/>
        <v>539</v>
      </c>
      <c r="AF23" s="40">
        <f t="shared" si="15"/>
        <v>925</v>
      </c>
    </row>
    <row r="24" spans="2:32" ht="23.1" customHeight="1" x14ac:dyDescent="0.25">
      <c r="B24" s="23" t="s">
        <v>51</v>
      </c>
      <c r="C24" s="50">
        <v>42</v>
      </c>
      <c r="D24" s="50">
        <v>3</v>
      </c>
      <c r="E24" s="50">
        <v>5</v>
      </c>
      <c r="F24" s="50">
        <v>45</v>
      </c>
      <c r="G24" s="50">
        <v>1</v>
      </c>
      <c r="H24" s="50">
        <v>1</v>
      </c>
      <c r="I24" s="50">
        <v>4</v>
      </c>
      <c r="J24" s="50">
        <v>5</v>
      </c>
      <c r="K24" s="50">
        <v>2</v>
      </c>
      <c r="L24" s="50">
        <v>16</v>
      </c>
      <c r="M24" s="50">
        <v>73</v>
      </c>
      <c r="N24" s="50">
        <v>0</v>
      </c>
      <c r="O24" s="15">
        <f t="shared" si="0"/>
        <v>124</v>
      </c>
      <c r="P24" s="15">
        <f t="shared" si="1"/>
        <v>197</v>
      </c>
      <c r="R24" s="38" t="s">
        <v>92</v>
      </c>
      <c r="S24" s="39">
        <f>MAX(S19:S21)</f>
        <v>298</v>
      </c>
      <c r="T24" s="39">
        <f t="shared" ref="T24:AF24" si="16">MAX(T19:T21)</f>
        <v>52</v>
      </c>
      <c r="U24" s="39">
        <f t="shared" si="16"/>
        <v>33</v>
      </c>
      <c r="V24" s="39">
        <f t="shared" si="16"/>
        <v>193</v>
      </c>
      <c r="W24" s="39">
        <f t="shared" si="16"/>
        <v>11</v>
      </c>
      <c r="X24" s="39">
        <f t="shared" si="16"/>
        <v>6</v>
      </c>
      <c r="Y24" s="39">
        <f t="shared" si="16"/>
        <v>34</v>
      </c>
      <c r="Z24" s="39">
        <f t="shared" si="16"/>
        <v>24</v>
      </c>
      <c r="AA24" s="39">
        <f t="shared" si="16"/>
        <v>11</v>
      </c>
      <c r="AB24" s="39">
        <f t="shared" si="16"/>
        <v>37</v>
      </c>
      <c r="AC24" s="39">
        <f t="shared" si="16"/>
        <v>362</v>
      </c>
      <c r="AD24" s="39">
        <f t="shared" si="16"/>
        <v>1</v>
      </c>
      <c r="AE24" s="40">
        <f t="shared" si="16"/>
        <v>656</v>
      </c>
      <c r="AF24" s="40">
        <f t="shared" si="16"/>
        <v>967</v>
      </c>
    </row>
    <row r="25" spans="2:32" ht="23.1" customHeight="1" x14ac:dyDescent="0.25">
      <c r="B25" s="23" t="s">
        <v>52</v>
      </c>
      <c r="C25" s="50">
        <v>28</v>
      </c>
      <c r="D25" s="50">
        <v>7</v>
      </c>
      <c r="E25" s="50">
        <v>5</v>
      </c>
      <c r="F25" s="50">
        <v>42</v>
      </c>
      <c r="G25" s="50">
        <v>0</v>
      </c>
      <c r="H25" s="50">
        <v>1</v>
      </c>
      <c r="I25" s="50">
        <v>7</v>
      </c>
      <c r="J25" s="50">
        <v>7</v>
      </c>
      <c r="K25" s="50">
        <v>3</v>
      </c>
      <c r="L25" s="50">
        <v>7</v>
      </c>
      <c r="M25" s="50">
        <v>128</v>
      </c>
      <c r="N25" s="50">
        <v>0</v>
      </c>
      <c r="O25" s="15">
        <f t="shared" si="0"/>
        <v>107</v>
      </c>
      <c r="P25" s="15">
        <f t="shared" si="1"/>
        <v>235</v>
      </c>
      <c r="R25" s="37" t="s">
        <v>85</v>
      </c>
      <c r="S25" s="35">
        <f t="shared" ref="S25:AF25" si="17">SUM(S10:S12)</f>
        <v>341</v>
      </c>
      <c r="T25" s="16">
        <f t="shared" si="17"/>
        <v>41</v>
      </c>
      <c r="U25" s="16">
        <f t="shared" si="17"/>
        <v>39</v>
      </c>
      <c r="V25" s="16">
        <f t="shared" si="17"/>
        <v>378</v>
      </c>
      <c r="W25" s="16">
        <f t="shared" si="17"/>
        <v>11</v>
      </c>
      <c r="X25" s="16">
        <f t="shared" si="17"/>
        <v>18</v>
      </c>
      <c r="Y25" s="16">
        <f t="shared" si="17"/>
        <v>43</v>
      </c>
      <c r="Z25" s="16">
        <f t="shared" si="17"/>
        <v>45</v>
      </c>
      <c r="AA25" s="16">
        <f t="shared" si="17"/>
        <v>12</v>
      </c>
      <c r="AB25" s="16">
        <f t="shared" si="17"/>
        <v>106</v>
      </c>
      <c r="AC25" s="16">
        <f t="shared" si="17"/>
        <v>958</v>
      </c>
      <c r="AD25" s="16">
        <f t="shared" si="17"/>
        <v>0</v>
      </c>
      <c r="AE25" s="32">
        <f t="shared" si="17"/>
        <v>1034</v>
      </c>
      <c r="AF25" s="32">
        <f t="shared" si="17"/>
        <v>1992</v>
      </c>
    </row>
    <row r="26" spans="2:32" ht="23.1" customHeight="1" x14ac:dyDescent="0.25">
      <c r="B26" s="23" t="s">
        <v>53</v>
      </c>
      <c r="C26" s="50">
        <v>28</v>
      </c>
      <c r="D26" s="50">
        <v>2</v>
      </c>
      <c r="E26" s="50">
        <v>2</v>
      </c>
      <c r="F26" s="50">
        <v>26</v>
      </c>
      <c r="G26" s="50">
        <v>1</v>
      </c>
      <c r="H26" s="50">
        <v>0</v>
      </c>
      <c r="I26" s="50">
        <v>11</v>
      </c>
      <c r="J26" s="50">
        <v>3</v>
      </c>
      <c r="K26" s="50">
        <v>1</v>
      </c>
      <c r="L26" s="50">
        <v>6</v>
      </c>
      <c r="M26" s="50">
        <v>115</v>
      </c>
      <c r="N26" s="50">
        <v>0</v>
      </c>
      <c r="O26" s="15">
        <f t="shared" si="0"/>
        <v>80</v>
      </c>
      <c r="P26" s="15">
        <f t="shared" si="1"/>
        <v>195</v>
      </c>
      <c r="R26" s="28" t="s">
        <v>86</v>
      </c>
      <c r="S26" s="16">
        <f t="shared" ref="S26:AF26" si="18">SUM(S13:S18)</f>
        <v>1071</v>
      </c>
      <c r="T26" s="16">
        <f t="shared" si="18"/>
        <v>187</v>
      </c>
      <c r="U26" s="16">
        <f t="shared" si="18"/>
        <v>149</v>
      </c>
      <c r="V26" s="16">
        <f t="shared" si="18"/>
        <v>910</v>
      </c>
      <c r="W26" s="16">
        <f t="shared" si="18"/>
        <v>31</v>
      </c>
      <c r="X26" s="16">
        <f t="shared" si="18"/>
        <v>16</v>
      </c>
      <c r="Y26" s="16">
        <f t="shared" si="18"/>
        <v>174</v>
      </c>
      <c r="Z26" s="16">
        <f t="shared" si="18"/>
        <v>94</v>
      </c>
      <c r="AA26" s="16">
        <f t="shared" si="18"/>
        <v>55</v>
      </c>
      <c r="AB26" s="16">
        <f t="shared" si="18"/>
        <v>195</v>
      </c>
      <c r="AC26" s="16">
        <f t="shared" si="18"/>
        <v>2093</v>
      </c>
      <c r="AD26" s="16">
        <f t="shared" si="18"/>
        <v>0</v>
      </c>
      <c r="AE26" s="32">
        <f t="shared" si="18"/>
        <v>2882</v>
      </c>
      <c r="AF26" s="32">
        <f t="shared" si="18"/>
        <v>4975</v>
      </c>
    </row>
    <row r="27" spans="2:32" ht="23.1" customHeight="1" x14ac:dyDescent="0.25">
      <c r="B27" s="23" t="s">
        <v>54</v>
      </c>
      <c r="C27" s="50">
        <v>57</v>
      </c>
      <c r="D27" s="50">
        <v>5</v>
      </c>
      <c r="E27" s="50">
        <v>6</v>
      </c>
      <c r="F27" s="50">
        <v>33</v>
      </c>
      <c r="G27" s="50">
        <v>3</v>
      </c>
      <c r="H27" s="50">
        <v>1</v>
      </c>
      <c r="I27" s="50">
        <v>12</v>
      </c>
      <c r="J27" s="50">
        <v>4</v>
      </c>
      <c r="K27" s="50">
        <v>0</v>
      </c>
      <c r="L27" s="50">
        <v>11</v>
      </c>
      <c r="M27" s="50">
        <v>128</v>
      </c>
      <c r="N27" s="50">
        <v>0</v>
      </c>
      <c r="O27" s="15">
        <f t="shared" si="0"/>
        <v>132</v>
      </c>
      <c r="P27" s="15">
        <f t="shared" si="1"/>
        <v>260</v>
      </c>
      <c r="R27" s="29" t="s">
        <v>87</v>
      </c>
      <c r="S27" s="16">
        <f t="shared" ref="S27:AF27" si="19">SUM(S19:S21)</f>
        <v>823</v>
      </c>
      <c r="T27" s="16">
        <f t="shared" si="19"/>
        <v>103</v>
      </c>
      <c r="U27" s="16">
        <f t="shared" si="19"/>
        <v>96</v>
      </c>
      <c r="V27" s="16">
        <f t="shared" si="19"/>
        <v>559</v>
      </c>
      <c r="W27" s="16">
        <f t="shared" si="19"/>
        <v>28</v>
      </c>
      <c r="X27" s="16">
        <f t="shared" si="19"/>
        <v>11</v>
      </c>
      <c r="Y27" s="16">
        <f t="shared" si="19"/>
        <v>85</v>
      </c>
      <c r="Z27" s="16">
        <f t="shared" si="19"/>
        <v>58</v>
      </c>
      <c r="AA27" s="16">
        <f t="shared" si="19"/>
        <v>26</v>
      </c>
      <c r="AB27" s="16">
        <f t="shared" si="19"/>
        <v>77</v>
      </c>
      <c r="AC27" s="16">
        <f t="shared" si="19"/>
        <v>965</v>
      </c>
      <c r="AD27" s="16">
        <f t="shared" si="19"/>
        <v>1</v>
      </c>
      <c r="AE27" s="32">
        <f t="shared" si="19"/>
        <v>1867</v>
      </c>
      <c r="AF27" s="32">
        <f t="shared" si="19"/>
        <v>2832</v>
      </c>
    </row>
    <row r="28" spans="2:32" ht="23.1" customHeight="1" x14ac:dyDescent="0.25">
      <c r="B28" s="23" t="s">
        <v>55</v>
      </c>
      <c r="C28" s="50">
        <v>46</v>
      </c>
      <c r="D28" s="50">
        <v>7</v>
      </c>
      <c r="E28" s="50">
        <v>2</v>
      </c>
      <c r="F28" s="50">
        <v>31</v>
      </c>
      <c r="G28" s="50">
        <v>0</v>
      </c>
      <c r="H28" s="50">
        <v>0</v>
      </c>
      <c r="I28" s="50">
        <v>3</v>
      </c>
      <c r="J28" s="50">
        <v>2</v>
      </c>
      <c r="K28" s="50">
        <v>2</v>
      </c>
      <c r="L28" s="50">
        <v>5</v>
      </c>
      <c r="M28" s="50">
        <v>103</v>
      </c>
      <c r="N28" s="50">
        <v>0</v>
      </c>
      <c r="O28" s="15">
        <f t="shared" si="0"/>
        <v>98</v>
      </c>
      <c r="P28" s="15">
        <f t="shared" si="1"/>
        <v>201</v>
      </c>
      <c r="R28" s="5" t="s">
        <v>17</v>
      </c>
      <c r="S28" s="16">
        <f t="shared" ref="S28:AF28" si="20">SUM(S10:S21)</f>
        <v>2235</v>
      </c>
      <c r="T28" s="16">
        <f t="shared" si="20"/>
        <v>331</v>
      </c>
      <c r="U28" s="16">
        <f t="shared" si="20"/>
        <v>284</v>
      </c>
      <c r="V28" s="16">
        <f t="shared" si="20"/>
        <v>1847</v>
      </c>
      <c r="W28" s="16">
        <f t="shared" si="20"/>
        <v>70</v>
      </c>
      <c r="X28" s="16">
        <f t="shared" si="20"/>
        <v>45</v>
      </c>
      <c r="Y28" s="16">
        <f t="shared" si="20"/>
        <v>302</v>
      </c>
      <c r="Z28" s="16">
        <f t="shared" si="20"/>
        <v>197</v>
      </c>
      <c r="AA28" s="16">
        <f t="shared" si="20"/>
        <v>93</v>
      </c>
      <c r="AB28" s="16">
        <f t="shared" si="20"/>
        <v>378</v>
      </c>
      <c r="AC28" s="16">
        <f t="shared" si="20"/>
        <v>4016</v>
      </c>
      <c r="AD28" s="16">
        <f t="shared" si="20"/>
        <v>1</v>
      </c>
      <c r="AE28" s="32">
        <f t="shared" si="20"/>
        <v>5783</v>
      </c>
      <c r="AF28" s="32">
        <f t="shared" si="20"/>
        <v>9799</v>
      </c>
    </row>
    <row r="29" spans="2:32" ht="23.1" customHeight="1" x14ac:dyDescent="0.25">
      <c r="B29" s="23" t="s">
        <v>56</v>
      </c>
      <c r="C29" s="50">
        <v>60</v>
      </c>
      <c r="D29" s="50">
        <v>9</v>
      </c>
      <c r="E29" s="50">
        <v>6</v>
      </c>
      <c r="F29" s="50">
        <v>45</v>
      </c>
      <c r="G29" s="50">
        <v>0</v>
      </c>
      <c r="H29" s="50">
        <v>0</v>
      </c>
      <c r="I29" s="50">
        <v>9</v>
      </c>
      <c r="J29" s="50">
        <v>3</v>
      </c>
      <c r="K29" s="50">
        <v>5</v>
      </c>
      <c r="L29" s="50">
        <v>7</v>
      </c>
      <c r="M29" s="50">
        <v>125</v>
      </c>
      <c r="N29" s="50">
        <v>0</v>
      </c>
      <c r="O29" s="15">
        <f t="shared" si="0"/>
        <v>144</v>
      </c>
      <c r="P29" s="15">
        <f t="shared" si="1"/>
        <v>269</v>
      </c>
      <c r="R29"/>
      <c r="S29" s="20"/>
      <c r="T29" s="19"/>
    </row>
    <row r="30" spans="2:32" ht="23.1" customHeight="1" x14ac:dyDescent="0.25">
      <c r="B30" s="23" t="s">
        <v>57</v>
      </c>
      <c r="C30" s="50">
        <v>47</v>
      </c>
      <c r="D30" s="50">
        <v>10</v>
      </c>
      <c r="E30" s="50">
        <v>6</v>
      </c>
      <c r="F30" s="50">
        <v>35</v>
      </c>
      <c r="G30" s="50">
        <v>2</v>
      </c>
      <c r="H30" s="50">
        <v>0</v>
      </c>
      <c r="I30" s="50">
        <v>17</v>
      </c>
      <c r="J30" s="50">
        <v>1</v>
      </c>
      <c r="K30" s="50">
        <v>3</v>
      </c>
      <c r="L30" s="50">
        <v>2</v>
      </c>
      <c r="M30" s="50">
        <v>107</v>
      </c>
      <c r="N30" s="50">
        <v>0</v>
      </c>
      <c r="O30" s="15">
        <f t="shared" si="0"/>
        <v>123</v>
      </c>
      <c r="P30" s="15">
        <f t="shared" si="1"/>
        <v>230</v>
      </c>
    </row>
    <row r="31" spans="2:32" ht="23.1" customHeight="1" x14ac:dyDescent="0.25">
      <c r="B31" s="24" t="s">
        <v>58</v>
      </c>
      <c r="C31" s="50">
        <v>49</v>
      </c>
      <c r="D31" s="50">
        <v>3</v>
      </c>
      <c r="E31" s="50">
        <v>5</v>
      </c>
      <c r="F31" s="50">
        <v>47</v>
      </c>
      <c r="G31" s="50">
        <v>0</v>
      </c>
      <c r="H31" s="50">
        <v>1</v>
      </c>
      <c r="I31" s="50">
        <v>8</v>
      </c>
      <c r="J31" s="50">
        <v>3</v>
      </c>
      <c r="K31" s="50">
        <v>2</v>
      </c>
      <c r="L31" s="50">
        <v>6</v>
      </c>
      <c r="M31" s="50">
        <v>74</v>
      </c>
      <c r="N31" s="50">
        <v>0</v>
      </c>
      <c r="O31" s="15">
        <f t="shared" si="0"/>
        <v>124</v>
      </c>
      <c r="P31" s="15">
        <f t="shared" si="1"/>
        <v>198</v>
      </c>
    </row>
    <row r="32" spans="2:32" ht="23.1" customHeight="1" x14ac:dyDescent="0.25">
      <c r="B32" s="24" t="s">
        <v>59</v>
      </c>
      <c r="C32" s="50">
        <v>55</v>
      </c>
      <c r="D32" s="50">
        <v>7</v>
      </c>
      <c r="E32" s="50">
        <v>6</v>
      </c>
      <c r="F32" s="50">
        <v>38</v>
      </c>
      <c r="G32" s="50">
        <v>1</v>
      </c>
      <c r="H32" s="50">
        <v>1</v>
      </c>
      <c r="I32" s="50">
        <v>9</v>
      </c>
      <c r="J32" s="50">
        <v>5</v>
      </c>
      <c r="K32" s="50">
        <v>8</v>
      </c>
      <c r="L32" s="50">
        <v>12</v>
      </c>
      <c r="M32" s="50">
        <v>97</v>
      </c>
      <c r="N32" s="50">
        <v>0</v>
      </c>
      <c r="O32" s="15">
        <f t="shared" si="0"/>
        <v>142</v>
      </c>
      <c r="P32" s="15">
        <f t="shared" si="1"/>
        <v>239</v>
      </c>
    </row>
    <row r="33" spans="2:20" ht="23.1" customHeight="1" x14ac:dyDescent="0.25">
      <c r="B33" s="23" t="s">
        <v>60</v>
      </c>
      <c r="C33" s="50">
        <v>54</v>
      </c>
      <c r="D33" s="50">
        <v>5</v>
      </c>
      <c r="E33" s="50">
        <v>7</v>
      </c>
      <c r="F33" s="50">
        <v>38</v>
      </c>
      <c r="G33" s="50">
        <v>1</v>
      </c>
      <c r="H33" s="50">
        <v>2</v>
      </c>
      <c r="I33" s="50">
        <v>6</v>
      </c>
      <c r="J33" s="50">
        <v>2</v>
      </c>
      <c r="K33" s="50">
        <v>2</v>
      </c>
      <c r="L33" s="50">
        <v>5</v>
      </c>
      <c r="M33" s="50">
        <v>66</v>
      </c>
      <c r="N33" s="50">
        <v>0</v>
      </c>
      <c r="O33" s="15">
        <f t="shared" si="0"/>
        <v>122</v>
      </c>
      <c r="P33" s="15">
        <f t="shared" si="1"/>
        <v>188</v>
      </c>
    </row>
    <row r="34" spans="2:20" ht="23.1" customHeight="1" x14ac:dyDescent="0.25">
      <c r="B34" s="24" t="s">
        <v>61</v>
      </c>
      <c r="C34" s="50">
        <v>51</v>
      </c>
      <c r="D34" s="50">
        <v>5</v>
      </c>
      <c r="E34" s="50">
        <v>10</v>
      </c>
      <c r="F34" s="50">
        <v>44</v>
      </c>
      <c r="G34" s="50">
        <v>1</v>
      </c>
      <c r="H34" s="50">
        <v>0</v>
      </c>
      <c r="I34" s="50">
        <v>11</v>
      </c>
      <c r="J34" s="50">
        <v>3</v>
      </c>
      <c r="K34" s="50">
        <v>4</v>
      </c>
      <c r="L34" s="50">
        <v>7</v>
      </c>
      <c r="M34" s="50">
        <v>96</v>
      </c>
      <c r="N34" s="50">
        <v>0</v>
      </c>
      <c r="O34" s="15">
        <f t="shared" si="0"/>
        <v>136</v>
      </c>
      <c r="P34" s="15">
        <f t="shared" si="1"/>
        <v>232</v>
      </c>
    </row>
    <row r="35" spans="2:20" ht="23.1" customHeight="1" x14ac:dyDescent="0.25">
      <c r="B35" s="24" t="s">
        <v>62</v>
      </c>
      <c r="C35" s="50">
        <v>49</v>
      </c>
      <c r="D35" s="50">
        <v>7</v>
      </c>
      <c r="E35" s="50">
        <v>7</v>
      </c>
      <c r="F35" s="50">
        <v>30</v>
      </c>
      <c r="G35" s="50">
        <v>0</v>
      </c>
      <c r="H35" s="50">
        <v>1</v>
      </c>
      <c r="I35" s="50">
        <v>8</v>
      </c>
      <c r="J35" s="50">
        <v>3</v>
      </c>
      <c r="K35" s="50">
        <v>2</v>
      </c>
      <c r="L35" s="50">
        <v>5</v>
      </c>
      <c r="M35" s="50">
        <v>93</v>
      </c>
      <c r="N35" s="50">
        <v>0</v>
      </c>
      <c r="O35" s="15">
        <f t="shared" si="0"/>
        <v>112</v>
      </c>
      <c r="P35" s="15">
        <f t="shared" si="1"/>
        <v>205</v>
      </c>
    </row>
    <row r="36" spans="2:20" ht="23.1" customHeight="1" x14ac:dyDescent="0.25">
      <c r="B36" s="24" t="s">
        <v>63</v>
      </c>
      <c r="C36" s="50">
        <v>42</v>
      </c>
      <c r="D36" s="50">
        <v>3</v>
      </c>
      <c r="E36" s="50">
        <v>5</v>
      </c>
      <c r="F36" s="50">
        <v>19</v>
      </c>
      <c r="G36" s="50">
        <v>0</v>
      </c>
      <c r="H36" s="50">
        <v>0</v>
      </c>
      <c r="I36" s="50">
        <v>10</v>
      </c>
      <c r="J36" s="50">
        <v>3</v>
      </c>
      <c r="K36" s="50">
        <v>2</v>
      </c>
      <c r="L36" s="50">
        <v>6</v>
      </c>
      <c r="M36" s="50">
        <v>117</v>
      </c>
      <c r="N36" s="50">
        <v>0</v>
      </c>
      <c r="O36" s="15">
        <f t="shared" si="0"/>
        <v>90</v>
      </c>
      <c r="P36" s="15">
        <f t="shared" si="1"/>
        <v>207</v>
      </c>
    </row>
    <row r="37" spans="2:20" ht="23.1" customHeight="1" x14ac:dyDescent="0.25">
      <c r="B37" s="23" t="s">
        <v>64</v>
      </c>
      <c r="C37" s="50">
        <v>43</v>
      </c>
      <c r="D37" s="50">
        <v>7</v>
      </c>
      <c r="E37" s="50">
        <v>8</v>
      </c>
      <c r="F37" s="50">
        <v>52</v>
      </c>
      <c r="G37" s="50">
        <v>2</v>
      </c>
      <c r="H37" s="50">
        <v>0</v>
      </c>
      <c r="I37" s="50">
        <v>3</v>
      </c>
      <c r="J37" s="50">
        <v>6</v>
      </c>
      <c r="K37" s="50">
        <v>1</v>
      </c>
      <c r="L37" s="50">
        <v>11</v>
      </c>
      <c r="M37" s="50">
        <v>82</v>
      </c>
      <c r="N37" s="50">
        <v>0</v>
      </c>
      <c r="O37" s="15">
        <f t="shared" si="0"/>
        <v>133</v>
      </c>
      <c r="P37" s="15">
        <f t="shared" si="1"/>
        <v>215</v>
      </c>
    </row>
    <row r="38" spans="2:20" ht="23.1" customHeight="1" x14ac:dyDescent="0.25">
      <c r="B38" s="24" t="s">
        <v>65</v>
      </c>
      <c r="C38" s="50">
        <v>73</v>
      </c>
      <c r="D38" s="50">
        <v>18</v>
      </c>
      <c r="E38" s="50">
        <v>10</v>
      </c>
      <c r="F38" s="50">
        <v>51</v>
      </c>
      <c r="G38" s="50">
        <v>2</v>
      </c>
      <c r="H38" s="50">
        <v>1</v>
      </c>
      <c r="I38" s="50">
        <v>9</v>
      </c>
      <c r="J38" s="50">
        <v>8</v>
      </c>
      <c r="K38" s="50">
        <v>2</v>
      </c>
      <c r="L38" s="50">
        <v>14</v>
      </c>
      <c r="M38" s="50">
        <v>106</v>
      </c>
      <c r="N38" s="50">
        <v>0</v>
      </c>
      <c r="O38" s="15">
        <f t="shared" si="0"/>
        <v>188</v>
      </c>
      <c r="P38" s="15">
        <f t="shared" si="1"/>
        <v>294</v>
      </c>
    </row>
    <row r="39" spans="2:20" ht="23.1" customHeight="1" x14ac:dyDescent="0.25">
      <c r="B39" s="24" t="s">
        <v>66</v>
      </c>
      <c r="C39" s="50">
        <v>24</v>
      </c>
      <c r="D39" s="50">
        <v>7</v>
      </c>
      <c r="E39" s="50">
        <v>7</v>
      </c>
      <c r="F39" s="50">
        <v>29</v>
      </c>
      <c r="G39" s="50">
        <v>1</v>
      </c>
      <c r="H39" s="50">
        <v>0</v>
      </c>
      <c r="I39" s="50">
        <v>3</v>
      </c>
      <c r="J39" s="50">
        <v>1</v>
      </c>
      <c r="K39" s="50">
        <v>1</v>
      </c>
      <c r="L39" s="50">
        <v>3</v>
      </c>
      <c r="M39" s="50">
        <v>54</v>
      </c>
      <c r="N39" s="50">
        <v>0</v>
      </c>
      <c r="O39" s="15">
        <f t="shared" si="0"/>
        <v>76</v>
      </c>
      <c r="P39" s="15">
        <f t="shared" si="1"/>
        <v>130</v>
      </c>
    </row>
    <row r="40" spans="2:20" ht="23.1" customHeight="1" x14ac:dyDescent="0.25">
      <c r="B40" s="24" t="s">
        <v>67</v>
      </c>
      <c r="C40" s="50">
        <v>38</v>
      </c>
      <c r="D40" s="50">
        <v>8</v>
      </c>
      <c r="E40" s="50">
        <v>5</v>
      </c>
      <c r="F40" s="50">
        <v>37</v>
      </c>
      <c r="G40" s="50">
        <v>4</v>
      </c>
      <c r="H40" s="50">
        <v>1</v>
      </c>
      <c r="I40" s="50">
        <v>2</v>
      </c>
      <c r="J40" s="50">
        <v>8</v>
      </c>
      <c r="K40" s="50">
        <v>2</v>
      </c>
      <c r="L40" s="50">
        <v>10</v>
      </c>
      <c r="M40" s="50">
        <v>67</v>
      </c>
      <c r="N40" s="50">
        <v>0</v>
      </c>
      <c r="O40" s="15">
        <f t="shared" si="0"/>
        <v>115</v>
      </c>
      <c r="P40" s="15">
        <f t="shared" si="1"/>
        <v>182</v>
      </c>
    </row>
    <row r="41" spans="2:20" ht="23.1" customHeight="1" x14ac:dyDescent="0.25">
      <c r="B41" s="23" t="s">
        <v>68</v>
      </c>
      <c r="C41" s="50">
        <v>54</v>
      </c>
      <c r="D41" s="50">
        <v>18</v>
      </c>
      <c r="E41" s="50">
        <v>10</v>
      </c>
      <c r="F41" s="50">
        <v>47</v>
      </c>
      <c r="G41" s="50">
        <v>3</v>
      </c>
      <c r="H41" s="50">
        <v>1</v>
      </c>
      <c r="I41" s="50">
        <v>9</v>
      </c>
      <c r="J41" s="50">
        <v>4</v>
      </c>
      <c r="K41" s="50">
        <v>3</v>
      </c>
      <c r="L41" s="50">
        <v>11</v>
      </c>
      <c r="M41" s="50">
        <v>82</v>
      </c>
      <c r="N41" s="50">
        <v>0</v>
      </c>
      <c r="O41" s="15">
        <f t="shared" si="0"/>
        <v>160</v>
      </c>
      <c r="P41" s="15">
        <f t="shared" si="1"/>
        <v>242</v>
      </c>
    </row>
    <row r="42" spans="2:20" ht="23.1" customHeight="1" x14ac:dyDescent="0.25">
      <c r="B42" s="24" t="s">
        <v>69</v>
      </c>
      <c r="C42" s="50">
        <v>42</v>
      </c>
      <c r="D42" s="50">
        <v>6</v>
      </c>
      <c r="E42" s="50">
        <v>3</v>
      </c>
      <c r="F42" s="50">
        <v>45</v>
      </c>
      <c r="G42" s="50">
        <v>3</v>
      </c>
      <c r="H42" s="50">
        <v>1</v>
      </c>
      <c r="I42" s="50">
        <v>6</v>
      </c>
      <c r="J42" s="50">
        <v>5</v>
      </c>
      <c r="K42" s="50">
        <v>0</v>
      </c>
      <c r="L42" s="50">
        <v>4</v>
      </c>
      <c r="M42" s="50">
        <v>62</v>
      </c>
      <c r="N42" s="50">
        <v>0</v>
      </c>
      <c r="O42" s="15">
        <f t="shared" si="0"/>
        <v>115</v>
      </c>
      <c r="P42" s="15">
        <f t="shared" si="1"/>
        <v>177</v>
      </c>
    </row>
    <row r="43" spans="2:20" ht="23.1" customHeight="1" x14ac:dyDescent="0.25">
      <c r="B43" s="23" t="s">
        <v>70</v>
      </c>
      <c r="C43" s="50">
        <v>31</v>
      </c>
      <c r="D43" s="50">
        <v>11</v>
      </c>
      <c r="E43" s="50">
        <v>10</v>
      </c>
      <c r="F43" s="50">
        <v>40</v>
      </c>
      <c r="G43" s="50">
        <v>1</v>
      </c>
      <c r="H43" s="50">
        <v>0</v>
      </c>
      <c r="I43" s="50">
        <v>5</v>
      </c>
      <c r="J43" s="50">
        <v>2</v>
      </c>
      <c r="K43" s="50">
        <v>0</v>
      </c>
      <c r="L43" s="50">
        <v>9</v>
      </c>
      <c r="M43" s="50">
        <v>38</v>
      </c>
      <c r="N43" s="50">
        <v>0</v>
      </c>
      <c r="O43" s="15">
        <f t="shared" si="0"/>
        <v>109</v>
      </c>
      <c r="P43" s="15">
        <f t="shared" si="1"/>
        <v>147</v>
      </c>
    </row>
    <row r="44" spans="2:20" ht="23.1" customHeight="1" x14ac:dyDescent="0.25">
      <c r="B44" s="25" t="s">
        <v>71</v>
      </c>
      <c r="C44" s="50">
        <v>20</v>
      </c>
      <c r="D44" s="50">
        <v>8</v>
      </c>
      <c r="E44" s="50">
        <v>7</v>
      </c>
      <c r="F44" s="50">
        <v>21</v>
      </c>
      <c r="G44" s="50">
        <v>1</v>
      </c>
      <c r="H44" s="50">
        <v>1</v>
      </c>
      <c r="I44" s="50">
        <v>5</v>
      </c>
      <c r="J44" s="50">
        <v>3</v>
      </c>
      <c r="K44" s="50">
        <v>0</v>
      </c>
      <c r="L44" s="50">
        <v>15</v>
      </c>
      <c r="M44" s="50">
        <v>82</v>
      </c>
      <c r="N44" s="50">
        <v>0</v>
      </c>
      <c r="O44" s="15">
        <f t="shared" si="0"/>
        <v>81</v>
      </c>
      <c r="P44" s="15">
        <f t="shared" si="1"/>
        <v>163</v>
      </c>
    </row>
    <row r="45" spans="2:20" ht="23.1" customHeight="1" x14ac:dyDescent="0.25">
      <c r="B45" s="23" t="s">
        <v>72</v>
      </c>
      <c r="C45" s="50">
        <v>45</v>
      </c>
      <c r="D45" s="50">
        <v>23</v>
      </c>
      <c r="E45" s="50">
        <v>11</v>
      </c>
      <c r="F45" s="50">
        <v>43</v>
      </c>
      <c r="G45" s="50">
        <v>3</v>
      </c>
      <c r="H45" s="50">
        <v>2</v>
      </c>
      <c r="I45" s="50">
        <v>4</v>
      </c>
      <c r="J45" s="50">
        <v>6</v>
      </c>
      <c r="K45" s="50">
        <v>3</v>
      </c>
      <c r="L45" s="50">
        <v>8</v>
      </c>
      <c r="M45" s="50">
        <v>64</v>
      </c>
      <c r="N45" s="50">
        <v>0</v>
      </c>
      <c r="O45" s="15">
        <f t="shared" si="0"/>
        <v>148</v>
      </c>
      <c r="P45" s="15">
        <f t="shared" si="1"/>
        <v>212</v>
      </c>
    </row>
    <row r="46" spans="2:20" ht="23.1" customHeight="1" x14ac:dyDescent="0.25">
      <c r="B46" s="24" t="s">
        <v>73</v>
      </c>
      <c r="C46" s="50">
        <v>34</v>
      </c>
      <c r="D46" s="50">
        <v>25</v>
      </c>
      <c r="E46" s="50">
        <v>5</v>
      </c>
      <c r="F46" s="50">
        <v>51</v>
      </c>
      <c r="G46" s="50">
        <v>3</v>
      </c>
      <c r="H46" s="50">
        <v>0</v>
      </c>
      <c r="I46" s="50">
        <v>5</v>
      </c>
      <c r="J46" s="50">
        <v>6</v>
      </c>
      <c r="K46" s="50">
        <v>4</v>
      </c>
      <c r="L46" s="50">
        <v>11</v>
      </c>
      <c r="M46" s="50">
        <v>82</v>
      </c>
      <c r="N46" s="50">
        <v>1</v>
      </c>
      <c r="O46" s="15">
        <f t="shared" si="0"/>
        <v>145</v>
      </c>
      <c r="P46" s="15">
        <f t="shared" si="1"/>
        <v>227</v>
      </c>
      <c r="R46" s="8"/>
      <c r="T46"/>
    </row>
    <row r="47" spans="2:20" ht="23.1" customHeight="1" x14ac:dyDescent="0.25">
      <c r="B47" s="24" t="s">
        <v>74</v>
      </c>
      <c r="C47" s="50">
        <v>82</v>
      </c>
      <c r="D47" s="50">
        <v>8</v>
      </c>
      <c r="E47" s="50">
        <v>9</v>
      </c>
      <c r="F47" s="50">
        <v>45</v>
      </c>
      <c r="G47" s="50">
        <v>3</v>
      </c>
      <c r="H47" s="50">
        <v>1</v>
      </c>
      <c r="I47" s="50">
        <v>18</v>
      </c>
      <c r="J47" s="50">
        <v>9</v>
      </c>
      <c r="K47" s="50">
        <v>3</v>
      </c>
      <c r="L47" s="50">
        <v>14</v>
      </c>
      <c r="M47" s="50">
        <v>66</v>
      </c>
      <c r="N47" s="50">
        <v>0</v>
      </c>
      <c r="O47" s="15">
        <f t="shared" si="0"/>
        <v>192</v>
      </c>
      <c r="P47" s="15">
        <f t="shared" si="1"/>
        <v>258</v>
      </c>
      <c r="R47" s="8"/>
      <c r="T47"/>
    </row>
    <row r="48" spans="2:20" ht="23.1" customHeight="1" x14ac:dyDescent="0.25">
      <c r="B48" s="24" t="s">
        <v>75</v>
      </c>
      <c r="C48" s="50">
        <v>64</v>
      </c>
      <c r="D48" s="50">
        <v>12</v>
      </c>
      <c r="E48" s="50">
        <v>9</v>
      </c>
      <c r="F48" s="50">
        <v>37</v>
      </c>
      <c r="G48" s="50">
        <v>1</v>
      </c>
      <c r="H48" s="50">
        <v>0</v>
      </c>
      <c r="I48" s="50">
        <v>7</v>
      </c>
      <c r="J48" s="50">
        <v>6</v>
      </c>
      <c r="K48" s="50">
        <v>2</v>
      </c>
      <c r="L48" s="50">
        <v>9</v>
      </c>
      <c r="M48" s="50">
        <v>73</v>
      </c>
      <c r="N48" s="50">
        <v>0</v>
      </c>
      <c r="O48" s="15">
        <f t="shared" si="0"/>
        <v>147</v>
      </c>
      <c r="P48" s="15">
        <f t="shared" si="1"/>
        <v>220</v>
      </c>
      <c r="R48" s="8"/>
      <c r="T48"/>
    </row>
    <row r="49" spans="2:20" ht="23.1" customHeight="1" x14ac:dyDescent="0.25">
      <c r="B49" s="23" t="s">
        <v>76</v>
      </c>
      <c r="C49" s="50">
        <v>88</v>
      </c>
      <c r="D49" s="50">
        <v>7</v>
      </c>
      <c r="E49" s="50">
        <v>10</v>
      </c>
      <c r="F49" s="50">
        <v>53</v>
      </c>
      <c r="G49" s="50">
        <v>2</v>
      </c>
      <c r="H49" s="50">
        <v>1</v>
      </c>
      <c r="I49" s="50">
        <v>4</v>
      </c>
      <c r="J49" s="50">
        <v>3</v>
      </c>
      <c r="K49" s="50">
        <v>1</v>
      </c>
      <c r="L49" s="50">
        <v>3</v>
      </c>
      <c r="M49" s="50">
        <v>90</v>
      </c>
      <c r="N49" s="50">
        <v>0</v>
      </c>
      <c r="O49" s="15">
        <f t="shared" si="0"/>
        <v>172</v>
      </c>
      <c r="P49" s="15">
        <f t="shared" si="1"/>
        <v>262</v>
      </c>
      <c r="R49" s="8"/>
      <c r="T49"/>
    </row>
    <row r="50" spans="2:20" ht="23.1" customHeight="1" x14ac:dyDescent="0.25">
      <c r="B50" s="24" t="s">
        <v>77</v>
      </c>
      <c r="C50" s="50">
        <v>61</v>
      </c>
      <c r="D50" s="50">
        <v>6</v>
      </c>
      <c r="E50" s="50">
        <v>7</v>
      </c>
      <c r="F50" s="50">
        <v>31</v>
      </c>
      <c r="G50" s="50">
        <v>1</v>
      </c>
      <c r="H50" s="50">
        <v>2</v>
      </c>
      <c r="I50" s="50">
        <v>8</v>
      </c>
      <c r="J50" s="50">
        <v>5</v>
      </c>
      <c r="K50" s="50">
        <v>1</v>
      </c>
      <c r="L50" s="50">
        <v>5</v>
      </c>
      <c r="M50" s="50">
        <v>67</v>
      </c>
      <c r="N50" s="50">
        <v>0</v>
      </c>
      <c r="O50" s="15">
        <f t="shared" si="0"/>
        <v>127</v>
      </c>
      <c r="P50" s="15">
        <f t="shared" si="1"/>
        <v>194</v>
      </c>
      <c r="R50" s="8"/>
      <c r="T50"/>
    </row>
    <row r="51" spans="2:20" ht="23.1" customHeight="1" x14ac:dyDescent="0.25">
      <c r="B51" s="24" t="s">
        <v>78</v>
      </c>
      <c r="C51" s="50">
        <v>92</v>
      </c>
      <c r="D51" s="50">
        <v>8</v>
      </c>
      <c r="E51" s="50">
        <v>14</v>
      </c>
      <c r="F51" s="50">
        <v>58</v>
      </c>
      <c r="G51" s="50">
        <v>3</v>
      </c>
      <c r="H51" s="50">
        <v>1</v>
      </c>
      <c r="I51" s="50">
        <v>14</v>
      </c>
      <c r="J51" s="50">
        <v>10</v>
      </c>
      <c r="K51" s="50">
        <v>3</v>
      </c>
      <c r="L51" s="50">
        <v>8</v>
      </c>
      <c r="M51" s="50">
        <v>87</v>
      </c>
      <c r="N51" s="50">
        <v>0</v>
      </c>
      <c r="O51" s="15">
        <f t="shared" si="0"/>
        <v>211</v>
      </c>
      <c r="P51" s="15">
        <f t="shared" si="1"/>
        <v>298</v>
      </c>
      <c r="R51" s="8"/>
      <c r="T51"/>
    </row>
    <row r="52" spans="2:20" ht="23.1" customHeight="1" x14ac:dyDescent="0.25">
      <c r="B52" s="24" t="s">
        <v>79</v>
      </c>
      <c r="C52" s="50">
        <v>69</v>
      </c>
      <c r="D52" s="50">
        <v>7</v>
      </c>
      <c r="E52" s="50">
        <v>6</v>
      </c>
      <c r="F52" s="50">
        <v>46</v>
      </c>
      <c r="G52" s="50">
        <v>5</v>
      </c>
      <c r="H52" s="50">
        <v>2</v>
      </c>
      <c r="I52" s="50">
        <v>5</v>
      </c>
      <c r="J52" s="50">
        <v>2</v>
      </c>
      <c r="K52" s="50">
        <v>1</v>
      </c>
      <c r="L52" s="50">
        <v>5</v>
      </c>
      <c r="M52" s="50">
        <v>62</v>
      </c>
      <c r="N52" s="50">
        <v>0</v>
      </c>
      <c r="O52" s="15">
        <f t="shared" si="0"/>
        <v>148</v>
      </c>
      <c r="P52" s="15">
        <f t="shared" si="1"/>
        <v>210</v>
      </c>
      <c r="R52" s="8"/>
      <c r="T52"/>
    </row>
    <row r="53" spans="2:20" ht="23.1" customHeight="1" x14ac:dyDescent="0.25">
      <c r="B53" s="23" t="s">
        <v>80</v>
      </c>
      <c r="C53" s="50">
        <v>76</v>
      </c>
      <c r="D53" s="50">
        <v>8</v>
      </c>
      <c r="E53" s="50">
        <v>5</v>
      </c>
      <c r="F53" s="50">
        <v>45</v>
      </c>
      <c r="G53" s="50">
        <v>2</v>
      </c>
      <c r="H53" s="50">
        <v>1</v>
      </c>
      <c r="I53" s="50">
        <v>7</v>
      </c>
      <c r="J53" s="50">
        <v>2</v>
      </c>
      <c r="K53" s="50">
        <v>0</v>
      </c>
      <c r="L53" s="50">
        <v>6</v>
      </c>
      <c r="M53" s="50">
        <v>76</v>
      </c>
      <c r="N53" s="50">
        <v>0</v>
      </c>
      <c r="O53" s="15">
        <f t="shared" si="0"/>
        <v>152</v>
      </c>
      <c r="P53" s="15">
        <f t="shared" si="1"/>
        <v>228</v>
      </c>
      <c r="R53" s="8"/>
      <c r="T53"/>
    </row>
    <row r="54" spans="2:20" ht="23.1" customHeight="1" x14ac:dyDescent="0.25">
      <c r="B54" s="23" t="s">
        <v>81</v>
      </c>
      <c r="C54" s="50">
        <v>86</v>
      </c>
      <c r="D54" s="50">
        <v>6</v>
      </c>
      <c r="E54" s="50">
        <v>12</v>
      </c>
      <c r="F54" s="50">
        <v>45</v>
      </c>
      <c r="G54" s="50">
        <v>3</v>
      </c>
      <c r="H54" s="50">
        <v>2</v>
      </c>
      <c r="I54" s="50">
        <v>3</v>
      </c>
      <c r="J54" s="50">
        <v>4</v>
      </c>
      <c r="K54" s="50">
        <v>0</v>
      </c>
      <c r="L54" s="50">
        <v>7</v>
      </c>
      <c r="M54" s="50">
        <v>58</v>
      </c>
      <c r="N54" s="50">
        <v>0</v>
      </c>
      <c r="O54" s="15">
        <f t="shared" si="0"/>
        <v>168</v>
      </c>
      <c r="P54" s="15">
        <f t="shared" si="1"/>
        <v>226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11</v>
      </c>
      <c r="E55" s="50">
        <v>8</v>
      </c>
      <c r="F55" s="50">
        <v>38</v>
      </c>
      <c r="G55" s="50">
        <v>1</v>
      </c>
      <c r="H55" s="50">
        <v>0</v>
      </c>
      <c r="I55" s="50">
        <v>8</v>
      </c>
      <c r="J55" s="50">
        <v>2</v>
      </c>
      <c r="K55" s="50">
        <v>4</v>
      </c>
      <c r="L55" s="50">
        <v>3</v>
      </c>
      <c r="M55" s="50">
        <v>105</v>
      </c>
      <c r="N55" s="50">
        <v>0</v>
      </c>
      <c r="O55" s="15">
        <f t="shared" si="0"/>
        <v>135</v>
      </c>
      <c r="P55" s="15">
        <f t="shared" si="1"/>
        <v>240</v>
      </c>
      <c r="R55" s="8"/>
      <c r="T55"/>
    </row>
    <row r="56" spans="2:20" ht="23.1" customHeight="1" x14ac:dyDescent="0.25">
      <c r="B56" s="23" t="s">
        <v>83</v>
      </c>
      <c r="C56" s="50">
        <v>74</v>
      </c>
      <c r="D56" s="50">
        <v>2</v>
      </c>
      <c r="E56" s="50">
        <v>3</v>
      </c>
      <c r="F56" s="50">
        <v>52</v>
      </c>
      <c r="G56" s="50">
        <v>0</v>
      </c>
      <c r="H56" s="50">
        <v>1</v>
      </c>
      <c r="I56" s="50">
        <v>4</v>
      </c>
      <c r="J56" s="50">
        <v>7</v>
      </c>
      <c r="K56" s="50">
        <v>3</v>
      </c>
      <c r="L56" s="50">
        <v>4</v>
      </c>
      <c r="M56" s="50">
        <v>97</v>
      </c>
      <c r="N56" s="50">
        <v>0</v>
      </c>
      <c r="O56" s="15">
        <f t="shared" si="0"/>
        <v>150</v>
      </c>
      <c r="P56" s="15">
        <f t="shared" si="1"/>
        <v>247</v>
      </c>
      <c r="R56" s="8"/>
      <c r="T56"/>
    </row>
    <row r="57" spans="2:20" ht="23.1" customHeight="1" x14ac:dyDescent="0.25">
      <c r="B57" s="23" t="s">
        <v>84</v>
      </c>
      <c r="C57" s="50">
        <v>37</v>
      </c>
      <c r="D57" s="50">
        <v>3</v>
      </c>
      <c r="E57" s="50">
        <v>8</v>
      </c>
      <c r="F57" s="50">
        <v>58</v>
      </c>
      <c r="G57" s="50">
        <v>4</v>
      </c>
      <c r="H57" s="50">
        <v>0</v>
      </c>
      <c r="I57" s="50">
        <v>2</v>
      </c>
      <c r="J57" s="50">
        <v>2</v>
      </c>
      <c r="K57" s="50">
        <v>4</v>
      </c>
      <c r="L57" s="50">
        <v>2</v>
      </c>
      <c r="M57" s="50">
        <v>102</v>
      </c>
      <c r="N57" s="50">
        <v>0</v>
      </c>
      <c r="O57" s="15">
        <f t="shared" si="0"/>
        <v>120</v>
      </c>
      <c r="P57" s="15">
        <f t="shared" si="1"/>
        <v>222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2235</v>
      </c>
      <c r="D58" s="16">
        <f t="shared" si="21"/>
        <v>331</v>
      </c>
      <c r="E58" s="16">
        <f t="shared" si="21"/>
        <v>284</v>
      </c>
      <c r="F58" s="16">
        <f t="shared" si="21"/>
        <v>1847</v>
      </c>
      <c r="G58" s="16">
        <f t="shared" si="21"/>
        <v>70</v>
      </c>
      <c r="H58" s="16">
        <f t="shared" si="21"/>
        <v>45</v>
      </c>
      <c r="I58" s="16">
        <f t="shared" si="21"/>
        <v>302</v>
      </c>
      <c r="J58" s="16">
        <f t="shared" si="21"/>
        <v>197</v>
      </c>
      <c r="K58" s="16">
        <f t="shared" si="21"/>
        <v>93</v>
      </c>
      <c r="L58" s="16">
        <f t="shared" si="21"/>
        <v>378</v>
      </c>
      <c r="M58" s="16">
        <f t="shared" si="21"/>
        <v>4016</v>
      </c>
      <c r="N58" s="16">
        <f t="shared" si="21"/>
        <v>1</v>
      </c>
      <c r="O58" s="16">
        <f t="shared" si="21"/>
        <v>5783</v>
      </c>
      <c r="P58" s="16">
        <f t="shared" si="21"/>
        <v>9799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0.22808449841820594</v>
      </c>
      <c r="D59" s="43">
        <f t="shared" si="22"/>
        <v>3.3778957036432286E-2</v>
      </c>
      <c r="E59" s="43">
        <f t="shared" si="22"/>
        <v>2.8982549239718339E-2</v>
      </c>
      <c r="F59" s="43">
        <f t="shared" si="22"/>
        <v>0.18848862128788652</v>
      </c>
      <c r="G59" s="43">
        <f t="shared" si="22"/>
        <v>7.1435860802122669E-3</v>
      </c>
      <c r="H59" s="43">
        <f t="shared" si="22"/>
        <v>4.5923053372793144E-3</v>
      </c>
      <c r="I59" s="43">
        <f t="shared" si="22"/>
        <v>3.0819471374630064E-2</v>
      </c>
      <c r="J59" s="43">
        <f t="shared" si="22"/>
        <v>2.0104092254311666E-2</v>
      </c>
      <c r="K59" s="43">
        <f t="shared" si="22"/>
        <v>9.490764363710583E-3</v>
      </c>
      <c r="L59" s="43">
        <f t="shared" si="22"/>
        <v>3.857536483314624E-2</v>
      </c>
      <c r="M59" s="43">
        <f t="shared" si="22"/>
        <v>0.40983773854474947</v>
      </c>
      <c r="N59" s="43">
        <f t="shared" si="22"/>
        <v>1.020512297173181E-4</v>
      </c>
      <c r="R59" s="8"/>
      <c r="T59"/>
    </row>
    <row r="60" spans="2:20" ht="23.1" customHeight="1" x14ac:dyDescent="0.25">
      <c r="B60" s="42" t="s">
        <v>94</v>
      </c>
      <c r="C60" s="44">
        <f>C58/$O$58</f>
        <v>0.38647760677848869</v>
      </c>
      <c r="D60" s="44">
        <f t="shared" ref="D60:N60" si="23">D58/$O$58</f>
        <v>5.7236728341691162E-2</v>
      </c>
      <c r="E60" s="44">
        <f t="shared" si="23"/>
        <v>4.9109458758429883E-2</v>
      </c>
      <c r="F60" s="44">
        <f t="shared" si="23"/>
        <v>0.31938440255922529</v>
      </c>
      <c r="G60" s="44">
        <f t="shared" si="23"/>
        <v>1.2104444060176378E-2</v>
      </c>
      <c r="H60" s="44">
        <f t="shared" si="23"/>
        <v>7.7814283243991004E-3</v>
      </c>
      <c r="I60" s="44">
        <f t="shared" si="23"/>
        <v>5.2222030088189521E-2</v>
      </c>
      <c r="J60" s="44">
        <f t="shared" si="23"/>
        <v>3.4065363997924952E-2</v>
      </c>
      <c r="K60" s="44">
        <f t="shared" si="23"/>
        <v>1.6081618537091474E-2</v>
      </c>
      <c r="L60" s="44">
        <f t="shared" si="23"/>
        <v>6.5363997924952441E-2</v>
      </c>
      <c r="M60" s="44"/>
      <c r="N60" s="44">
        <f t="shared" si="23"/>
        <v>1.7292062943109114E-4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J42" sqref="J4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Mukono-Mbalala'!C3:G3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61" t="str">
        <f>'2.11 Mbalala-Mukono-24h'!G5:H5</f>
        <v>Perfect tents</v>
      </c>
      <c r="H5" s="62"/>
      <c r="I5" s="14"/>
      <c r="J5" s="2" t="s">
        <v>5</v>
      </c>
      <c r="K5" s="61" t="str">
        <f>'29.10 Mukono-Mbalala'!K5:L5</f>
        <v>Julius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Mukono-Mbalala'!D6:E6</f>
        <v>Mukono</v>
      </c>
      <c r="E6" s="62"/>
      <c r="F6" s="2" t="s">
        <v>2</v>
      </c>
      <c r="G6" s="61" t="str">
        <f>'29.10 Mukono-Mbalala'!G6:H6</f>
        <v>Mbalala</v>
      </c>
      <c r="H6" s="62"/>
      <c r="J6" s="2" t="s">
        <v>21</v>
      </c>
      <c r="K6" s="61" t="str">
        <f>'2.11 Mbalala-Mukono-24h'!K6:L6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36</v>
      </c>
      <c r="D10" s="50">
        <v>12</v>
      </c>
      <c r="E10" s="50">
        <v>9</v>
      </c>
      <c r="F10" s="50">
        <v>26</v>
      </c>
      <c r="G10" s="50">
        <v>4</v>
      </c>
      <c r="H10" s="50">
        <v>2</v>
      </c>
      <c r="I10" s="50">
        <v>4</v>
      </c>
      <c r="J10" s="50">
        <v>11</v>
      </c>
      <c r="K10" s="50">
        <v>9</v>
      </c>
      <c r="L10" s="50">
        <v>16</v>
      </c>
      <c r="M10" s="50">
        <v>84</v>
      </c>
      <c r="N10" s="50">
        <v>0</v>
      </c>
      <c r="O10" s="15">
        <f t="shared" ref="O10:O57" si="0">SUM(C10:L10,N10)</f>
        <v>129</v>
      </c>
      <c r="P10" s="15">
        <f t="shared" ref="P10:P57" si="1">SUM(C10:N10)</f>
        <v>213</v>
      </c>
      <c r="R10" s="1" t="s">
        <v>6</v>
      </c>
      <c r="S10" s="17">
        <f t="shared" ref="S10:AF10" si="2">SUM(C10:C13)</f>
        <v>162</v>
      </c>
      <c r="T10" s="17">
        <f t="shared" si="2"/>
        <v>51</v>
      </c>
      <c r="U10" s="17">
        <f t="shared" si="2"/>
        <v>48</v>
      </c>
      <c r="V10" s="17">
        <f t="shared" si="2"/>
        <v>125</v>
      </c>
      <c r="W10" s="17">
        <f t="shared" si="2"/>
        <v>15</v>
      </c>
      <c r="X10" s="17">
        <f t="shared" si="2"/>
        <v>11</v>
      </c>
      <c r="Y10" s="17">
        <f t="shared" si="2"/>
        <v>20</v>
      </c>
      <c r="Z10" s="17">
        <f t="shared" si="2"/>
        <v>36</v>
      </c>
      <c r="AA10" s="17">
        <f t="shared" si="2"/>
        <v>23</v>
      </c>
      <c r="AB10" s="17">
        <f t="shared" si="2"/>
        <v>44</v>
      </c>
      <c r="AC10" s="17">
        <f t="shared" si="2"/>
        <v>376</v>
      </c>
      <c r="AD10" s="17">
        <f t="shared" si="2"/>
        <v>0</v>
      </c>
      <c r="AE10" s="31">
        <f t="shared" si="2"/>
        <v>535</v>
      </c>
      <c r="AF10" s="31">
        <f t="shared" si="2"/>
        <v>911</v>
      </c>
    </row>
    <row r="11" spans="2:32" s="6" customFormat="1" ht="23.1" customHeight="1" x14ac:dyDescent="0.25">
      <c r="B11" s="23" t="s">
        <v>38</v>
      </c>
      <c r="C11" s="50">
        <v>41</v>
      </c>
      <c r="D11" s="50">
        <v>19</v>
      </c>
      <c r="E11" s="50">
        <v>25</v>
      </c>
      <c r="F11" s="50">
        <v>31</v>
      </c>
      <c r="G11" s="50">
        <v>7</v>
      </c>
      <c r="H11" s="50">
        <v>8</v>
      </c>
      <c r="I11" s="50">
        <v>6</v>
      </c>
      <c r="J11" s="50">
        <v>7</v>
      </c>
      <c r="K11" s="50">
        <v>6</v>
      </c>
      <c r="L11" s="50">
        <v>13</v>
      </c>
      <c r="M11" s="50">
        <v>72</v>
      </c>
      <c r="N11" s="50">
        <v>0</v>
      </c>
      <c r="O11" s="15">
        <f t="shared" si="0"/>
        <v>163</v>
      </c>
      <c r="P11" s="15">
        <f t="shared" si="1"/>
        <v>235</v>
      </c>
      <c r="R11" s="1" t="s">
        <v>7</v>
      </c>
      <c r="S11" s="17">
        <f t="shared" ref="S11:AF11" si="3">SUM(C14:C17)</f>
        <v>233</v>
      </c>
      <c r="T11" s="17">
        <f t="shared" si="3"/>
        <v>49</v>
      </c>
      <c r="U11" s="17">
        <f t="shared" si="3"/>
        <v>36</v>
      </c>
      <c r="V11" s="17">
        <f t="shared" si="3"/>
        <v>184</v>
      </c>
      <c r="W11" s="17">
        <f t="shared" si="3"/>
        <v>8</v>
      </c>
      <c r="X11" s="17">
        <f t="shared" si="3"/>
        <v>4</v>
      </c>
      <c r="Y11" s="17">
        <f t="shared" si="3"/>
        <v>52</v>
      </c>
      <c r="Z11" s="17">
        <f t="shared" si="3"/>
        <v>17</v>
      </c>
      <c r="AA11" s="17">
        <f t="shared" si="3"/>
        <v>11</v>
      </c>
      <c r="AB11" s="17">
        <f t="shared" si="3"/>
        <v>10</v>
      </c>
      <c r="AC11" s="17">
        <f t="shared" si="3"/>
        <v>460</v>
      </c>
      <c r="AD11" s="17">
        <f t="shared" si="3"/>
        <v>0</v>
      </c>
      <c r="AE11" s="31">
        <f t="shared" si="3"/>
        <v>604</v>
      </c>
      <c r="AF11" s="31">
        <f t="shared" si="3"/>
        <v>1064</v>
      </c>
    </row>
    <row r="12" spans="2:32" ht="23.1" customHeight="1" x14ac:dyDescent="0.25">
      <c r="B12" s="23" t="s">
        <v>39</v>
      </c>
      <c r="C12" s="50">
        <v>48</v>
      </c>
      <c r="D12" s="50">
        <v>9</v>
      </c>
      <c r="E12" s="50">
        <v>7</v>
      </c>
      <c r="F12" s="50">
        <v>34</v>
      </c>
      <c r="G12" s="50">
        <v>3</v>
      </c>
      <c r="H12" s="50">
        <v>1</v>
      </c>
      <c r="I12" s="50">
        <v>4</v>
      </c>
      <c r="J12" s="50">
        <v>11</v>
      </c>
      <c r="K12" s="50">
        <v>7</v>
      </c>
      <c r="L12" s="50">
        <v>11</v>
      </c>
      <c r="M12" s="50">
        <v>119</v>
      </c>
      <c r="N12" s="50">
        <v>0</v>
      </c>
      <c r="O12" s="15">
        <f t="shared" si="0"/>
        <v>135</v>
      </c>
      <c r="P12" s="15">
        <f t="shared" si="1"/>
        <v>254</v>
      </c>
      <c r="R12" s="1" t="s">
        <v>8</v>
      </c>
      <c r="S12" s="17">
        <f t="shared" ref="S12:AF12" si="4">SUM(C18:C21)</f>
        <v>175</v>
      </c>
      <c r="T12" s="17">
        <f t="shared" si="4"/>
        <v>47</v>
      </c>
      <c r="U12" s="17">
        <f t="shared" si="4"/>
        <v>34</v>
      </c>
      <c r="V12" s="17">
        <f t="shared" si="4"/>
        <v>156</v>
      </c>
      <c r="W12" s="17">
        <f t="shared" si="4"/>
        <v>3</v>
      </c>
      <c r="X12" s="17">
        <f t="shared" si="4"/>
        <v>2</v>
      </c>
      <c r="Y12" s="17">
        <f t="shared" si="4"/>
        <v>42</v>
      </c>
      <c r="Z12" s="17">
        <f t="shared" si="4"/>
        <v>17</v>
      </c>
      <c r="AA12" s="17">
        <f t="shared" si="4"/>
        <v>12</v>
      </c>
      <c r="AB12" s="17">
        <f t="shared" si="4"/>
        <v>21</v>
      </c>
      <c r="AC12" s="17">
        <f t="shared" si="4"/>
        <v>458</v>
      </c>
      <c r="AD12" s="17">
        <f t="shared" si="4"/>
        <v>0</v>
      </c>
      <c r="AE12" s="31">
        <f t="shared" si="4"/>
        <v>509</v>
      </c>
      <c r="AF12" s="31">
        <f t="shared" si="4"/>
        <v>967</v>
      </c>
    </row>
    <row r="13" spans="2:32" ht="23.1" customHeight="1" x14ac:dyDescent="0.25">
      <c r="B13" s="23" t="s">
        <v>40</v>
      </c>
      <c r="C13" s="50">
        <v>37</v>
      </c>
      <c r="D13" s="50">
        <v>11</v>
      </c>
      <c r="E13" s="50">
        <v>7</v>
      </c>
      <c r="F13" s="50">
        <v>34</v>
      </c>
      <c r="G13" s="50">
        <v>1</v>
      </c>
      <c r="H13" s="50">
        <v>0</v>
      </c>
      <c r="I13" s="50">
        <v>6</v>
      </c>
      <c r="J13" s="50">
        <v>7</v>
      </c>
      <c r="K13" s="50">
        <v>1</v>
      </c>
      <c r="L13" s="50">
        <v>4</v>
      </c>
      <c r="M13" s="50">
        <v>101</v>
      </c>
      <c r="N13" s="50">
        <v>0</v>
      </c>
      <c r="O13" s="15">
        <f t="shared" si="0"/>
        <v>108</v>
      </c>
      <c r="P13" s="15">
        <f t="shared" si="1"/>
        <v>209</v>
      </c>
      <c r="R13" s="1" t="s">
        <v>9</v>
      </c>
      <c r="S13" s="17">
        <f t="shared" ref="S13:AF13" si="5">SUM(C22:C25)</f>
        <v>320</v>
      </c>
      <c r="T13" s="17">
        <f t="shared" si="5"/>
        <v>86</v>
      </c>
      <c r="U13" s="17">
        <f t="shared" si="5"/>
        <v>30</v>
      </c>
      <c r="V13" s="17">
        <f t="shared" si="5"/>
        <v>273</v>
      </c>
      <c r="W13" s="17">
        <f t="shared" si="5"/>
        <v>7</v>
      </c>
      <c r="X13" s="17">
        <f t="shared" si="5"/>
        <v>7</v>
      </c>
      <c r="Y13" s="17">
        <f t="shared" si="5"/>
        <v>46</v>
      </c>
      <c r="Z13" s="17">
        <f t="shared" si="5"/>
        <v>18</v>
      </c>
      <c r="AA13" s="17">
        <f t="shared" si="5"/>
        <v>35</v>
      </c>
      <c r="AB13" s="17">
        <f t="shared" si="5"/>
        <v>83</v>
      </c>
      <c r="AC13" s="17">
        <f t="shared" si="5"/>
        <v>547</v>
      </c>
      <c r="AD13" s="17">
        <f t="shared" si="5"/>
        <v>0</v>
      </c>
      <c r="AE13" s="31">
        <f t="shared" si="5"/>
        <v>905</v>
      </c>
      <c r="AF13" s="31">
        <f t="shared" si="5"/>
        <v>1452</v>
      </c>
    </row>
    <row r="14" spans="2:32" ht="23.1" customHeight="1" x14ac:dyDescent="0.25">
      <c r="B14" s="23" t="s">
        <v>41</v>
      </c>
      <c r="C14" s="50">
        <v>36</v>
      </c>
      <c r="D14" s="50">
        <v>17</v>
      </c>
      <c r="E14" s="50">
        <v>9</v>
      </c>
      <c r="F14" s="50">
        <v>70</v>
      </c>
      <c r="G14" s="50">
        <v>3</v>
      </c>
      <c r="H14" s="50">
        <v>0</v>
      </c>
      <c r="I14" s="50">
        <v>17</v>
      </c>
      <c r="J14" s="50">
        <v>5</v>
      </c>
      <c r="K14" s="50">
        <v>1</v>
      </c>
      <c r="L14" s="50">
        <v>1</v>
      </c>
      <c r="M14" s="50">
        <v>86</v>
      </c>
      <c r="N14" s="50">
        <v>0</v>
      </c>
      <c r="O14" s="15">
        <f t="shared" si="0"/>
        <v>159</v>
      </c>
      <c r="P14" s="15">
        <f t="shared" si="1"/>
        <v>245</v>
      </c>
      <c r="R14" s="1" t="s">
        <v>10</v>
      </c>
      <c r="S14" s="17">
        <f t="shared" ref="S14:AF14" si="6">SUM(C26:C29)</f>
        <v>257</v>
      </c>
      <c r="T14" s="17">
        <f t="shared" si="6"/>
        <v>32</v>
      </c>
      <c r="U14" s="17">
        <f t="shared" si="6"/>
        <v>25</v>
      </c>
      <c r="V14" s="17">
        <f t="shared" si="6"/>
        <v>214</v>
      </c>
      <c r="W14" s="17">
        <f t="shared" si="6"/>
        <v>2</v>
      </c>
      <c r="X14" s="17">
        <f t="shared" si="6"/>
        <v>1</v>
      </c>
      <c r="Y14" s="17">
        <f t="shared" si="6"/>
        <v>56</v>
      </c>
      <c r="Z14" s="17">
        <f t="shared" si="6"/>
        <v>29</v>
      </c>
      <c r="AA14" s="17">
        <f t="shared" si="6"/>
        <v>13</v>
      </c>
      <c r="AB14" s="17">
        <f t="shared" si="6"/>
        <v>34</v>
      </c>
      <c r="AC14" s="17">
        <f t="shared" si="6"/>
        <v>540</v>
      </c>
      <c r="AD14" s="17">
        <f t="shared" si="6"/>
        <v>0</v>
      </c>
      <c r="AE14" s="31">
        <f t="shared" si="6"/>
        <v>663</v>
      </c>
      <c r="AF14" s="31">
        <f t="shared" si="6"/>
        <v>1203</v>
      </c>
    </row>
    <row r="15" spans="2:32" ht="23.1" customHeight="1" x14ac:dyDescent="0.25">
      <c r="B15" s="23" t="s">
        <v>42</v>
      </c>
      <c r="C15" s="50">
        <v>46</v>
      </c>
      <c r="D15" s="50">
        <v>10</v>
      </c>
      <c r="E15" s="50">
        <v>8</v>
      </c>
      <c r="F15" s="50">
        <v>42</v>
      </c>
      <c r="G15" s="50">
        <v>2</v>
      </c>
      <c r="H15" s="50">
        <v>1</v>
      </c>
      <c r="I15" s="50">
        <v>5</v>
      </c>
      <c r="J15" s="50">
        <v>6</v>
      </c>
      <c r="K15" s="50">
        <v>1</v>
      </c>
      <c r="L15" s="50">
        <v>2</v>
      </c>
      <c r="M15" s="50">
        <v>115</v>
      </c>
      <c r="N15" s="50">
        <v>0</v>
      </c>
      <c r="O15" s="15">
        <f t="shared" si="0"/>
        <v>123</v>
      </c>
      <c r="P15" s="15">
        <f t="shared" si="1"/>
        <v>238</v>
      </c>
      <c r="R15" s="1" t="s">
        <v>11</v>
      </c>
      <c r="S15" s="17">
        <f t="shared" ref="S15:AF15" si="7">SUM(C30:C33)</f>
        <v>295</v>
      </c>
      <c r="T15" s="17">
        <f t="shared" si="7"/>
        <v>64</v>
      </c>
      <c r="U15" s="17">
        <f t="shared" si="7"/>
        <v>17</v>
      </c>
      <c r="V15" s="17">
        <f t="shared" si="7"/>
        <v>165</v>
      </c>
      <c r="W15" s="17">
        <f t="shared" si="7"/>
        <v>4</v>
      </c>
      <c r="X15" s="17">
        <f t="shared" si="7"/>
        <v>2</v>
      </c>
      <c r="Y15" s="17">
        <f t="shared" si="7"/>
        <v>69</v>
      </c>
      <c r="Z15" s="17">
        <f t="shared" si="7"/>
        <v>16</v>
      </c>
      <c r="AA15" s="17">
        <f t="shared" si="7"/>
        <v>12</v>
      </c>
      <c r="AB15" s="17">
        <f t="shared" si="7"/>
        <v>61</v>
      </c>
      <c r="AC15" s="17">
        <f t="shared" si="7"/>
        <v>625</v>
      </c>
      <c r="AD15" s="17">
        <f t="shared" si="7"/>
        <v>0</v>
      </c>
      <c r="AE15" s="31">
        <f t="shared" si="7"/>
        <v>705</v>
      </c>
      <c r="AF15" s="31">
        <f t="shared" si="7"/>
        <v>1330</v>
      </c>
    </row>
    <row r="16" spans="2:32" ht="23.1" customHeight="1" x14ac:dyDescent="0.25">
      <c r="B16" s="23" t="s">
        <v>43</v>
      </c>
      <c r="C16" s="50">
        <v>52</v>
      </c>
      <c r="D16" s="50">
        <v>11</v>
      </c>
      <c r="E16" s="50">
        <v>10</v>
      </c>
      <c r="F16" s="50">
        <v>48</v>
      </c>
      <c r="G16" s="50">
        <v>0</v>
      </c>
      <c r="H16" s="50">
        <v>2</v>
      </c>
      <c r="I16" s="50">
        <v>16</v>
      </c>
      <c r="J16" s="50">
        <v>3</v>
      </c>
      <c r="K16" s="50">
        <v>3</v>
      </c>
      <c r="L16" s="50">
        <v>4</v>
      </c>
      <c r="M16" s="50">
        <v>130</v>
      </c>
      <c r="N16" s="50">
        <v>0</v>
      </c>
      <c r="O16" s="15">
        <f t="shared" si="0"/>
        <v>149</v>
      </c>
      <c r="P16" s="15">
        <f t="shared" si="1"/>
        <v>279</v>
      </c>
      <c r="R16" s="1" t="s">
        <v>12</v>
      </c>
      <c r="S16" s="17">
        <f t="shared" ref="S16:AF16" si="8">SUM(C34:C37)</f>
        <v>137</v>
      </c>
      <c r="T16" s="17">
        <f t="shared" si="8"/>
        <v>74</v>
      </c>
      <c r="U16" s="17">
        <f t="shared" si="8"/>
        <v>17</v>
      </c>
      <c r="V16" s="17">
        <f t="shared" si="8"/>
        <v>172</v>
      </c>
      <c r="W16" s="17">
        <f t="shared" si="8"/>
        <v>10</v>
      </c>
      <c r="X16" s="17">
        <f t="shared" si="8"/>
        <v>5</v>
      </c>
      <c r="Y16" s="17">
        <f t="shared" si="8"/>
        <v>50</v>
      </c>
      <c r="Z16" s="17">
        <f t="shared" si="8"/>
        <v>16</v>
      </c>
      <c r="AA16" s="17">
        <f t="shared" si="8"/>
        <v>20</v>
      </c>
      <c r="AB16" s="17">
        <f t="shared" si="8"/>
        <v>49</v>
      </c>
      <c r="AC16" s="17">
        <f t="shared" si="8"/>
        <v>519</v>
      </c>
      <c r="AD16" s="17">
        <f t="shared" si="8"/>
        <v>0</v>
      </c>
      <c r="AE16" s="31">
        <f t="shared" si="8"/>
        <v>550</v>
      </c>
      <c r="AF16" s="31">
        <f t="shared" si="8"/>
        <v>1069</v>
      </c>
    </row>
    <row r="17" spans="2:32" ht="23.1" customHeight="1" x14ac:dyDescent="0.25">
      <c r="B17" s="23" t="s">
        <v>44</v>
      </c>
      <c r="C17" s="50">
        <v>99</v>
      </c>
      <c r="D17" s="50">
        <v>11</v>
      </c>
      <c r="E17" s="50">
        <v>9</v>
      </c>
      <c r="F17" s="50">
        <v>24</v>
      </c>
      <c r="G17" s="50">
        <v>3</v>
      </c>
      <c r="H17" s="50">
        <v>1</v>
      </c>
      <c r="I17" s="50">
        <v>14</v>
      </c>
      <c r="J17" s="50">
        <v>3</v>
      </c>
      <c r="K17" s="50">
        <v>6</v>
      </c>
      <c r="L17" s="50">
        <v>3</v>
      </c>
      <c r="M17" s="50">
        <v>129</v>
      </c>
      <c r="N17" s="50">
        <v>0</v>
      </c>
      <c r="O17" s="15">
        <f t="shared" si="0"/>
        <v>173</v>
      </c>
      <c r="P17" s="15">
        <f t="shared" si="1"/>
        <v>302</v>
      </c>
      <c r="R17" s="1" t="s">
        <v>13</v>
      </c>
      <c r="S17" s="17">
        <f t="shared" ref="S17:AF17" si="9">SUM(C38:C41)</f>
        <v>252</v>
      </c>
      <c r="T17" s="17">
        <f t="shared" si="9"/>
        <v>81</v>
      </c>
      <c r="U17" s="17">
        <f t="shared" si="9"/>
        <v>36</v>
      </c>
      <c r="V17" s="17">
        <f t="shared" si="9"/>
        <v>307</v>
      </c>
      <c r="W17" s="17">
        <f t="shared" si="9"/>
        <v>9</v>
      </c>
      <c r="X17" s="17">
        <f t="shared" si="9"/>
        <v>4</v>
      </c>
      <c r="Y17" s="17">
        <f t="shared" si="9"/>
        <v>46</v>
      </c>
      <c r="Z17" s="17">
        <f t="shared" si="9"/>
        <v>49</v>
      </c>
      <c r="AA17" s="17">
        <f t="shared" si="9"/>
        <v>49</v>
      </c>
      <c r="AB17" s="17">
        <f t="shared" si="9"/>
        <v>101</v>
      </c>
      <c r="AC17" s="17">
        <f t="shared" si="9"/>
        <v>454</v>
      </c>
      <c r="AD17" s="17">
        <f t="shared" si="9"/>
        <v>0</v>
      </c>
      <c r="AE17" s="31">
        <f t="shared" si="9"/>
        <v>934</v>
      </c>
      <c r="AF17" s="31">
        <f t="shared" si="9"/>
        <v>1388</v>
      </c>
    </row>
    <row r="18" spans="2:32" ht="23.1" customHeight="1" x14ac:dyDescent="0.25">
      <c r="B18" s="23" t="s">
        <v>45</v>
      </c>
      <c r="C18" s="50">
        <v>51</v>
      </c>
      <c r="D18" s="50">
        <v>13</v>
      </c>
      <c r="E18" s="50">
        <v>9</v>
      </c>
      <c r="F18" s="50">
        <v>72</v>
      </c>
      <c r="G18" s="50">
        <v>2</v>
      </c>
      <c r="H18" s="50">
        <v>1</v>
      </c>
      <c r="I18" s="50">
        <v>16</v>
      </c>
      <c r="J18" s="50">
        <v>7</v>
      </c>
      <c r="K18" s="50">
        <v>2</v>
      </c>
      <c r="L18" s="50">
        <v>9</v>
      </c>
      <c r="M18" s="50">
        <v>91</v>
      </c>
      <c r="N18" s="50">
        <v>0</v>
      </c>
      <c r="O18" s="15">
        <f t="shared" si="0"/>
        <v>182</v>
      </c>
      <c r="P18" s="15">
        <f t="shared" si="1"/>
        <v>273</v>
      </c>
      <c r="R18" s="1" t="s">
        <v>14</v>
      </c>
      <c r="S18" s="17">
        <f t="shared" ref="S18:AF18" si="10">SUM(C42:C45)</f>
        <v>122</v>
      </c>
      <c r="T18" s="17">
        <f t="shared" si="10"/>
        <v>63</v>
      </c>
      <c r="U18" s="17">
        <f t="shared" si="10"/>
        <v>20</v>
      </c>
      <c r="V18" s="17">
        <f t="shared" si="10"/>
        <v>181</v>
      </c>
      <c r="W18" s="17">
        <f t="shared" si="10"/>
        <v>4</v>
      </c>
      <c r="X18" s="17">
        <f t="shared" si="10"/>
        <v>4</v>
      </c>
      <c r="Y18" s="17">
        <f t="shared" si="10"/>
        <v>43</v>
      </c>
      <c r="Z18" s="17">
        <f t="shared" si="10"/>
        <v>34</v>
      </c>
      <c r="AA18" s="17">
        <f t="shared" si="10"/>
        <v>14</v>
      </c>
      <c r="AB18" s="17">
        <f t="shared" si="10"/>
        <v>71</v>
      </c>
      <c r="AC18" s="17">
        <f t="shared" si="10"/>
        <v>382</v>
      </c>
      <c r="AD18" s="17">
        <f t="shared" si="10"/>
        <v>0</v>
      </c>
      <c r="AE18" s="31">
        <f t="shared" si="10"/>
        <v>556</v>
      </c>
      <c r="AF18" s="31">
        <f t="shared" si="10"/>
        <v>938</v>
      </c>
    </row>
    <row r="19" spans="2:32" ht="23.1" customHeight="1" x14ac:dyDescent="0.25">
      <c r="B19" s="23" t="s">
        <v>46</v>
      </c>
      <c r="C19" s="50">
        <v>24</v>
      </c>
      <c r="D19" s="50">
        <v>7</v>
      </c>
      <c r="E19" s="50">
        <v>5</v>
      </c>
      <c r="F19" s="50">
        <v>24</v>
      </c>
      <c r="G19" s="50">
        <v>1</v>
      </c>
      <c r="H19" s="50">
        <v>1</v>
      </c>
      <c r="I19" s="50">
        <v>8</v>
      </c>
      <c r="J19" s="50">
        <v>4</v>
      </c>
      <c r="K19" s="50">
        <v>5</v>
      </c>
      <c r="L19" s="50">
        <v>1</v>
      </c>
      <c r="M19" s="50">
        <v>136</v>
      </c>
      <c r="N19" s="50">
        <v>0</v>
      </c>
      <c r="O19" s="15">
        <f t="shared" si="0"/>
        <v>80</v>
      </c>
      <c r="P19" s="15">
        <f t="shared" si="1"/>
        <v>216</v>
      </c>
      <c r="R19" s="1" t="s">
        <v>15</v>
      </c>
      <c r="S19" s="17">
        <f t="shared" ref="S19:AF19" si="11">SUM(C46:C49)</f>
        <v>230</v>
      </c>
      <c r="T19" s="17">
        <f t="shared" si="11"/>
        <v>62</v>
      </c>
      <c r="U19" s="17">
        <f t="shared" si="11"/>
        <v>39</v>
      </c>
      <c r="V19" s="17">
        <f t="shared" si="11"/>
        <v>216</v>
      </c>
      <c r="W19" s="17">
        <f t="shared" si="11"/>
        <v>2</v>
      </c>
      <c r="X19" s="17">
        <f t="shared" si="11"/>
        <v>5</v>
      </c>
      <c r="Y19" s="17">
        <f t="shared" si="11"/>
        <v>87</v>
      </c>
      <c r="Z19" s="17">
        <f t="shared" si="11"/>
        <v>22</v>
      </c>
      <c r="AA19" s="17">
        <f t="shared" si="11"/>
        <v>20</v>
      </c>
      <c r="AB19" s="17">
        <f t="shared" si="11"/>
        <v>146</v>
      </c>
      <c r="AC19" s="17">
        <f t="shared" si="11"/>
        <v>510</v>
      </c>
      <c r="AD19" s="17">
        <f t="shared" si="11"/>
        <v>0</v>
      </c>
      <c r="AE19" s="31">
        <f t="shared" si="11"/>
        <v>829</v>
      </c>
      <c r="AF19" s="31">
        <f t="shared" si="11"/>
        <v>1339</v>
      </c>
    </row>
    <row r="20" spans="2:32" ht="23.1" customHeight="1" x14ac:dyDescent="0.25">
      <c r="B20" s="23" t="s">
        <v>47</v>
      </c>
      <c r="C20" s="50">
        <v>26</v>
      </c>
      <c r="D20" s="50">
        <v>11</v>
      </c>
      <c r="E20" s="50">
        <v>9</v>
      </c>
      <c r="F20" s="50">
        <v>42</v>
      </c>
      <c r="G20" s="50">
        <v>0</v>
      </c>
      <c r="H20" s="50">
        <v>0</v>
      </c>
      <c r="I20" s="50">
        <v>10</v>
      </c>
      <c r="J20" s="50">
        <v>5</v>
      </c>
      <c r="K20" s="50">
        <v>1</v>
      </c>
      <c r="L20" s="50">
        <v>3</v>
      </c>
      <c r="M20" s="50">
        <v>102</v>
      </c>
      <c r="N20" s="50">
        <v>0</v>
      </c>
      <c r="O20" s="15">
        <f t="shared" si="0"/>
        <v>107</v>
      </c>
      <c r="P20" s="15">
        <f t="shared" si="1"/>
        <v>209</v>
      </c>
      <c r="R20" s="1" t="s">
        <v>16</v>
      </c>
      <c r="S20" s="17">
        <f t="shared" ref="S20:AF20" si="12">SUM(C50:C53)</f>
        <v>124</v>
      </c>
      <c r="T20" s="17">
        <f t="shared" si="12"/>
        <v>28</v>
      </c>
      <c r="U20" s="17">
        <f t="shared" si="12"/>
        <v>25</v>
      </c>
      <c r="V20" s="17">
        <f t="shared" si="12"/>
        <v>161</v>
      </c>
      <c r="W20" s="17">
        <f t="shared" si="12"/>
        <v>3</v>
      </c>
      <c r="X20" s="17">
        <f t="shared" si="12"/>
        <v>1</v>
      </c>
      <c r="Y20" s="17">
        <f t="shared" si="12"/>
        <v>32</v>
      </c>
      <c r="Z20" s="17">
        <f t="shared" si="12"/>
        <v>15</v>
      </c>
      <c r="AA20" s="17">
        <f t="shared" si="12"/>
        <v>12</v>
      </c>
      <c r="AB20" s="17">
        <f t="shared" si="12"/>
        <v>51</v>
      </c>
      <c r="AC20" s="17">
        <f t="shared" si="12"/>
        <v>377</v>
      </c>
      <c r="AD20" s="17">
        <f t="shared" si="12"/>
        <v>0</v>
      </c>
      <c r="AE20" s="31">
        <f t="shared" si="12"/>
        <v>452</v>
      </c>
      <c r="AF20" s="31">
        <f t="shared" si="12"/>
        <v>829</v>
      </c>
    </row>
    <row r="21" spans="2:32" ht="23.1" customHeight="1" x14ac:dyDescent="0.25">
      <c r="B21" s="23" t="s">
        <v>48</v>
      </c>
      <c r="C21" s="50">
        <v>74</v>
      </c>
      <c r="D21" s="50">
        <v>16</v>
      </c>
      <c r="E21" s="50">
        <v>11</v>
      </c>
      <c r="F21" s="50">
        <v>18</v>
      </c>
      <c r="G21" s="50">
        <v>0</v>
      </c>
      <c r="H21" s="50">
        <v>0</v>
      </c>
      <c r="I21" s="50">
        <v>8</v>
      </c>
      <c r="J21" s="50">
        <v>1</v>
      </c>
      <c r="K21" s="50">
        <v>4</v>
      </c>
      <c r="L21" s="50">
        <v>8</v>
      </c>
      <c r="M21" s="50">
        <v>129</v>
      </c>
      <c r="N21" s="50">
        <v>0</v>
      </c>
      <c r="O21" s="15">
        <f t="shared" si="0"/>
        <v>140</v>
      </c>
      <c r="P21" s="15">
        <f t="shared" si="1"/>
        <v>269</v>
      </c>
      <c r="R21" s="36" t="s">
        <v>20</v>
      </c>
      <c r="S21" s="34">
        <f t="shared" ref="S21:AF21" si="13">SUM(C54:C57)</f>
        <v>207</v>
      </c>
      <c r="T21" s="17">
        <f t="shared" si="13"/>
        <v>32</v>
      </c>
      <c r="U21" s="17">
        <f t="shared" si="13"/>
        <v>22</v>
      </c>
      <c r="V21" s="17">
        <f t="shared" si="13"/>
        <v>164</v>
      </c>
      <c r="W21" s="17">
        <f t="shared" si="13"/>
        <v>22</v>
      </c>
      <c r="X21" s="17">
        <f t="shared" si="13"/>
        <v>3</v>
      </c>
      <c r="Y21" s="17">
        <f t="shared" si="13"/>
        <v>43</v>
      </c>
      <c r="Z21" s="17">
        <f t="shared" si="13"/>
        <v>15</v>
      </c>
      <c r="AA21" s="17">
        <f t="shared" si="13"/>
        <v>14</v>
      </c>
      <c r="AB21" s="17">
        <f t="shared" si="13"/>
        <v>64</v>
      </c>
      <c r="AC21" s="17">
        <f t="shared" si="13"/>
        <v>605</v>
      </c>
      <c r="AD21" s="17">
        <f t="shared" si="13"/>
        <v>0</v>
      </c>
      <c r="AE21" s="31">
        <f t="shared" si="13"/>
        <v>586</v>
      </c>
      <c r="AF21" s="31">
        <f t="shared" si="13"/>
        <v>1191</v>
      </c>
    </row>
    <row r="22" spans="2:32" ht="23.1" customHeight="1" x14ac:dyDescent="0.25">
      <c r="B22" s="23" t="s">
        <v>49</v>
      </c>
      <c r="C22" s="50">
        <v>99</v>
      </c>
      <c r="D22" s="50">
        <v>44</v>
      </c>
      <c r="E22" s="50">
        <v>4</v>
      </c>
      <c r="F22" s="50">
        <v>104</v>
      </c>
      <c r="G22" s="50">
        <v>2</v>
      </c>
      <c r="H22" s="50">
        <v>2</v>
      </c>
      <c r="I22" s="50">
        <v>19</v>
      </c>
      <c r="J22" s="50">
        <v>1</v>
      </c>
      <c r="K22" s="50">
        <v>19</v>
      </c>
      <c r="L22" s="50">
        <v>31</v>
      </c>
      <c r="M22" s="50">
        <v>180</v>
      </c>
      <c r="N22" s="50">
        <v>0</v>
      </c>
      <c r="O22" s="15">
        <f t="shared" si="0"/>
        <v>325</v>
      </c>
      <c r="P22" s="15">
        <f t="shared" si="1"/>
        <v>505</v>
      </c>
      <c r="R22" s="38" t="s">
        <v>90</v>
      </c>
      <c r="S22" s="39">
        <f>MAX(S10:S12)</f>
        <v>233</v>
      </c>
      <c r="T22" s="39">
        <f t="shared" ref="T22:AF22" si="14">MAX(T10:T12)</f>
        <v>51</v>
      </c>
      <c r="U22" s="39">
        <f t="shared" si="14"/>
        <v>48</v>
      </c>
      <c r="V22" s="39">
        <f t="shared" si="14"/>
        <v>184</v>
      </c>
      <c r="W22" s="39">
        <f t="shared" si="14"/>
        <v>15</v>
      </c>
      <c r="X22" s="39">
        <f t="shared" si="14"/>
        <v>11</v>
      </c>
      <c r="Y22" s="39">
        <f t="shared" si="14"/>
        <v>52</v>
      </c>
      <c r="Z22" s="39">
        <f t="shared" si="14"/>
        <v>36</v>
      </c>
      <c r="AA22" s="39">
        <f t="shared" si="14"/>
        <v>23</v>
      </c>
      <c r="AB22" s="39">
        <f t="shared" si="14"/>
        <v>44</v>
      </c>
      <c r="AC22" s="39">
        <f t="shared" si="14"/>
        <v>460</v>
      </c>
      <c r="AD22" s="39">
        <f t="shared" si="14"/>
        <v>0</v>
      </c>
      <c r="AE22" s="40">
        <f t="shared" si="14"/>
        <v>604</v>
      </c>
      <c r="AF22" s="40">
        <f t="shared" si="14"/>
        <v>1064</v>
      </c>
    </row>
    <row r="23" spans="2:32" ht="23.1" customHeight="1" x14ac:dyDescent="0.25">
      <c r="B23" s="23" t="s">
        <v>50</v>
      </c>
      <c r="C23" s="50">
        <v>94</v>
      </c>
      <c r="D23" s="50">
        <v>19</v>
      </c>
      <c r="E23" s="50">
        <v>13</v>
      </c>
      <c r="F23" s="50">
        <v>65</v>
      </c>
      <c r="G23" s="50">
        <v>4</v>
      </c>
      <c r="H23" s="50">
        <v>3</v>
      </c>
      <c r="I23" s="50">
        <v>14</v>
      </c>
      <c r="J23" s="50">
        <v>4</v>
      </c>
      <c r="K23" s="50">
        <v>13</v>
      </c>
      <c r="L23" s="50">
        <v>41</v>
      </c>
      <c r="M23" s="50">
        <v>140</v>
      </c>
      <c r="N23" s="50">
        <v>0</v>
      </c>
      <c r="O23" s="15">
        <f t="shared" si="0"/>
        <v>270</v>
      </c>
      <c r="P23" s="15">
        <f t="shared" si="1"/>
        <v>410</v>
      </c>
      <c r="R23" s="38" t="s">
        <v>91</v>
      </c>
      <c r="S23" s="39">
        <f>MAX(S13:S18)</f>
        <v>320</v>
      </c>
      <c r="T23" s="39">
        <f t="shared" ref="T23:AF23" si="15">MAX(T13:T18)</f>
        <v>86</v>
      </c>
      <c r="U23" s="39">
        <f t="shared" si="15"/>
        <v>36</v>
      </c>
      <c r="V23" s="39">
        <f t="shared" si="15"/>
        <v>307</v>
      </c>
      <c r="W23" s="39">
        <f t="shared" si="15"/>
        <v>10</v>
      </c>
      <c r="X23" s="39">
        <f t="shared" si="15"/>
        <v>7</v>
      </c>
      <c r="Y23" s="39">
        <f t="shared" si="15"/>
        <v>69</v>
      </c>
      <c r="Z23" s="39">
        <f t="shared" si="15"/>
        <v>49</v>
      </c>
      <c r="AA23" s="39">
        <f t="shared" si="15"/>
        <v>49</v>
      </c>
      <c r="AB23" s="39">
        <f t="shared" si="15"/>
        <v>101</v>
      </c>
      <c r="AC23" s="39">
        <f t="shared" si="15"/>
        <v>625</v>
      </c>
      <c r="AD23" s="39">
        <f t="shared" si="15"/>
        <v>0</v>
      </c>
      <c r="AE23" s="40">
        <f t="shared" si="15"/>
        <v>934</v>
      </c>
      <c r="AF23" s="40">
        <f t="shared" si="15"/>
        <v>1452</v>
      </c>
    </row>
    <row r="24" spans="2:32" ht="23.1" customHeight="1" x14ac:dyDescent="0.25">
      <c r="B24" s="23" t="s">
        <v>51</v>
      </c>
      <c r="C24" s="50">
        <v>78</v>
      </c>
      <c r="D24" s="50">
        <v>12</v>
      </c>
      <c r="E24" s="50">
        <v>11</v>
      </c>
      <c r="F24" s="50">
        <v>45</v>
      </c>
      <c r="G24" s="50">
        <v>0</v>
      </c>
      <c r="H24" s="50">
        <v>0</v>
      </c>
      <c r="I24" s="50">
        <v>9</v>
      </c>
      <c r="J24" s="50">
        <v>6</v>
      </c>
      <c r="K24" s="50">
        <v>2</v>
      </c>
      <c r="L24" s="50">
        <v>3</v>
      </c>
      <c r="M24" s="50">
        <v>107</v>
      </c>
      <c r="N24" s="50">
        <v>0</v>
      </c>
      <c r="O24" s="15">
        <f t="shared" si="0"/>
        <v>166</v>
      </c>
      <c r="P24" s="15">
        <f t="shared" si="1"/>
        <v>273</v>
      </c>
      <c r="R24" s="38" t="s">
        <v>92</v>
      </c>
      <c r="S24" s="39">
        <f>MAX(S19:S21)</f>
        <v>230</v>
      </c>
      <c r="T24" s="39">
        <f t="shared" ref="T24:AF24" si="16">MAX(T19:T21)</f>
        <v>62</v>
      </c>
      <c r="U24" s="39">
        <f t="shared" si="16"/>
        <v>39</v>
      </c>
      <c r="V24" s="39">
        <f t="shared" si="16"/>
        <v>216</v>
      </c>
      <c r="W24" s="39">
        <f t="shared" si="16"/>
        <v>22</v>
      </c>
      <c r="X24" s="39">
        <f t="shared" si="16"/>
        <v>5</v>
      </c>
      <c r="Y24" s="39">
        <f t="shared" si="16"/>
        <v>87</v>
      </c>
      <c r="Z24" s="39">
        <f t="shared" si="16"/>
        <v>22</v>
      </c>
      <c r="AA24" s="39">
        <f t="shared" si="16"/>
        <v>20</v>
      </c>
      <c r="AB24" s="39">
        <f t="shared" si="16"/>
        <v>146</v>
      </c>
      <c r="AC24" s="39">
        <f t="shared" si="16"/>
        <v>605</v>
      </c>
      <c r="AD24" s="39">
        <f t="shared" si="16"/>
        <v>0</v>
      </c>
      <c r="AE24" s="40">
        <f t="shared" si="16"/>
        <v>829</v>
      </c>
      <c r="AF24" s="40">
        <f t="shared" si="16"/>
        <v>1339</v>
      </c>
    </row>
    <row r="25" spans="2:32" ht="23.1" customHeight="1" x14ac:dyDescent="0.25">
      <c r="B25" s="23" t="s">
        <v>52</v>
      </c>
      <c r="C25" s="50">
        <v>49</v>
      </c>
      <c r="D25" s="50">
        <v>11</v>
      </c>
      <c r="E25" s="50">
        <v>2</v>
      </c>
      <c r="F25" s="50">
        <v>59</v>
      </c>
      <c r="G25" s="50">
        <v>1</v>
      </c>
      <c r="H25" s="50">
        <v>2</v>
      </c>
      <c r="I25" s="50">
        <v>4</v>
      </c>
      <c r="J25" s="50">
        <v>7</v>
      </c>
      <c r="K25" s="50">
        <v>1</v>
      </c>
      <c r="L25" s="50">
        <v>8</v>
      </c>
      <c r="M25" s="50">
        <v>120</v>
      </c>
      <c r="N25" s="50">
        <v>0</v>
      </c>
      <c r="O25" s="15">
        <f t="shared" si="0"/>
        <v>144</v>
      </c>
      <c r="P25" s="15">
        <f t="shared" si="1"/>
        <v>264</v>
      </c>
      <c r="R25" s="37" t="s">
        <v>85</v>
      </c>
      <c r="S25" s="35">
        <f t="shared" ref="S25:AF25" si="17">SUM(S10:S12)</f>
        <v>570</v>
      </c>
      <c r="T25" s="16">
        <f t="shared" si="17"/>
        <v>147</v>
      </c>
      <c r="U25" s="16">
        <f t="shared" si="17"/>
        <v>118</v>
      </c>
      <c r="V25" s="16">
        <f t="shared" si="17"/>
        <v>465</v>
      </c>
      <c r="W25" s="16">
        <f t="shared" si="17"/>
        <v>26</v>
      </c>
      <c r="X25" s="16">
        <f t="shared" si="17"/>
        <v>17</v>
      </c>
      <c r="Y25" s="16">
        <f t="shared" si="17"/>
        <v>114</v>
      </c>
      <c r="Z25" s="16">
        <f t="shared" si="17"/>
        <v>70</v>
      </c>
      <c r="AA25" s="16">
        <f t="shared" si="17"/>
        <v>46</v>
      </c>
      <c r="AB25" s="16">
        <f t="shared" si="17"/>
        <v>75</v>
      </c>
      <c r="AC25" s="16">
        <f t="shared" si="17"/>
        <v>1294</v>
      </c>
      <c r="AD25" s="16">
        <f t="shared" si="17"/>
        <v>0</v>
      </c>
      <c r="AE25" s="32">
        <f t="shared" si="17"/>
        <v>1648</v>
      </c>
      <c r="AF25" s="32">
        <f t="shared" si="17"/>
        <v>2942</v>
      </c>
    </row>
    <row r="26" spans="2:32" ht="23.1" customHeight="1" x14ac:dyDescent="0.25">
      <c r="B26" s="23" t="s">
        <v>53</v>
      </c>
      <c r="C26" s="50">
        <v>31</v>
      </c>
      <c r="D26" s="50">
        <v>6</v>
      </c>
      <c r="E26" s="50">
        <v>5</v>
      </c>
      <c r="F26" s="50">
        <v>37</v>
      </c>
      <c r="G26" s="50">
        <v>1</v>
      </c>
      <c r="H26" s="50">
        <v>0</v>
      </c>
      <c r="I26" s="50">
        <v>16</v>
      </c>
      <c r="J26" s="50">
        <v>1</v>
      </c>
      <c r="K26" s="50">
        <v>3</v>
      </c>
      <c r="L26" s="50">
        <v>6</v>
      </c>
      <c r="M26" s="50">
        <v>101</v>
      </c>
      <c r="N26" s="50">
        <v>0</v>
      </c>
      <c r="O26" s="15">
        <f t="shared" si="0"/>
        <v>106</v>
      </c>
      <c r="P26" s="15">
        <f t="shared" si="1"/>
        <v>207</v>
      </c>
      <c r="R26" s="28" t="s">
        <v>86</v>
      </c>
      <c r="S26" s="16">
        <f t="shared" ref="S26:AF26" si="18">SUM(S13:S18)</f>
        <v>1383</v>
      </c>
      <c r="T26" s="16">
        <f t="shared" si="18"/>
        <v>400</v>
      </c>
      <c r="U26" s="16">
        <f t="shared" si="18"/>
        <v>145</v>
      </c>
      <c r="V26" s="16">
        <f t="shared" si="18"/>
        <v>1312</v>
      </c>
      <c r="W26" s="16">
        <f t="shared" si="18"/>
        <v>36</v>
      </c>
      <c r="X26" s="16">
        <f t="shared" si="18"/>
        <v>23</v>
      </c>
      <c r="Y26" s="16">
        <f t="shared" si="18"/>
        <v>310</v>
      </c>
      <c r="Z26" s="16">
        <f t="shared" si="18"/>
        <v>162</v>
      </c>
      <c r="AA26" s="16">
        <f t="shared" si="18"/>
        <v>143</v>
      </c>
      <c r="AB26" s="16">
        <f t="shared" si="18"/>
        <v>399</v>
      </c>
      <c r="AC26" s="16">
        <f t="shared" si="18"/>
        <v>3067</v>
      </c>
      <c r="AD26" s="16">
        <f t="shared" si="18"/>
        <v>0</v>
      </c>
      <c r="AE26" s="32">
        <f t="shared" si="18"/>
        <v>4313</v>
      </c>
      <c r="AF26" s="32">
        <f t="shared" si="18"/>
        <v>7380</v>
      </c>
    </row>
    <row r="27" spans="2:32" ht="23.1" customHeight="1" x14ac:dyDescent="0.25">
      <c r="B27" s="23" t="s">
        <v>54</v>
      </c>
      <c r="C27" s="50">
        <v>64</v>
      </c>
      <c r="D27" s="50">
        <v>11</v>
      </c>
      <c r="E27" s="50">
        <v>6</v>
      </c>
      <c r="F27" s="50">
        <v>44</v>
      </c>
      <c r="G27" s="50">
        <v>0</v>
      </c>
      <c r="H27" s="50">
        <v>0</v>
      </c>
      <c r="I27" s="50">
        <v>13</v>
      </c>
      <c r="J27" s="50">
        <v>9</v>
      </c>
      <c r="K27" s="50">
        <v>2</v>
      </c>
      <c r="L27" s="50">
        <v>10</v>
      </c>
      <c r="M27" s="50">
        <v>129</v>
      </c>
      <c r="N27" s="50">
        <v>0</v>
      </c>
      <c r="O27" s="15">
        <f t="shared" si="0"/>
        <v>159</v>
      </c>
      <c r="P27" s="15">
        <f t="shared" si="1"/>
        <v>288</v>
      </c>
      <c r="R27" s="29" t="s">
        <v>87</v>
      </c>
      <c r="S27" s="16">
        <f t="shared" ref="S27:AF27" si="19">SUM(S19:S21)</f>
        <v>561</v>
      </c>
      <c r="T27" s="16">
        <f t="shared" si="19"/>
        <v>122</v>
      </c>
      <c r="U27" s="16">
        <f t="shared" si="19"/>
        <v>86</v>
      </c>
      <c r="V27" s="16">
        <f t="shared" si="19"/>
        <v>541</v>
      </c>
      <c r="W27" s="16">
        <f t="shared" si="19"/>
        <v>27</v>
      </c>
      <c r="X27" s="16">
        <f t="shared" si="19"/>
        <v>9</v>
      </c>
      <c r="Y27" s="16">
        <f t="shared" si="19"/>
        <v>162</v>
      </c>
      <c r="Z27" s="16">
        <f t="shared" si="19"/>
        <v>52</v>
      </c>
      <c r="AA27" s="16">
        <f t="shared" si="19"/>
        <v>46</v>
      </c>
      <c r="AB27" s="16">
        <f t="shared" si="19"/>
        <v>261</v>
      </c>
      <c r="AC27" s="16">
        <f t="shared" si="19"/>
        <v>1492</v>
      </c>
      <c r="AD27" s="16">
        <f t="shared" si="19"/>
        <v>0</v>
      </c>
      <c r="AE27" s="32">
        <f t="shared" si="19"/>
        <v>1867</v>
      </c>
      <c r="AF27" s="32">
        <f t="shared" si="19"/>
        <v>3359</v>
      </c>
    </row>
    <row r="28" spans="2:32" ht="23.1" customHeight="1" x14ac:dyDescent="0.25">
      <c r="B28" s="23" t="s">
        <v>55</v>
      </c>
      <c r="C28" s="50">
        <v>81</v>
      </c>
      <c r="D28" s="50">
        <v>8</v>
      </c>
      <c r="E28" s="50">
        <v>5</v>
      </c>
      <c r="F28" s="50">
        <v>64</v>
      </c>
      <c r="G28" s="50">
        <v>1</v>
      </c>
      <c r="H28" s="50">
        <v>1</v>
      </c>
      <c r="I28" s="50">
        <v>18</v>
      </c>
      <c r="J28" s="50">
        <v>10</v>
      </c>
      <c r="K28" s="50">
        <v>4</v>
      </c>
      <c r="L28" s="50">
        <v>12</v>
      </c>
      <c r="M28" s="50">
        <v>104</v>
      </c>
      <c r="N28" s="50">
        <v>0</v>
      </c>
      <c r="O28" s="15">
        <f t="shared" si="0"/>
        <v>204</v>
      </c>
      <c r="P28" s="15">
        <f t="shared" si="1"/>
        <v>308</v>
      </c>
      <c r="R28" s="5" t="s">
        <v>17</v>
      </c>
      <c r="S28" s="16">
        <f t="shared" ref="S28:AF28" si="20">SUM(S10:S21)</f>
        <v>2514</v>
      </c>
      <c r="T28" s="16">
        <f t="shared" si="20"/>
        <v>669</v>
      </c>
      <c r="U28" s="16">
        <f t="shared" si="20"/>
        <v>349</v>
      </c>
      <c r="V28" s="16">
        <f t="shared" si="20"/>
        <v>2318</v>
      </c>
      <c r="W28" s="16">
        <f t="shared" si="20"/>
        <v>89</v>
      </c>
      <c r="X28" s="16">
        <f t="shared" si="20"/>
        <v>49</v>
      </c>
      <c r="Y28" s="16">
        <f t="shared" si="20"/>
        <v>586</v>
      </c>
      <c r="Z28" s="16">
        <f t="shared" si="20"/>
        <v>284</v>
      </c>
      <c r="AA28" s="16">
        <f t="shared" si="20"/>
        <v>235</v>
      </c>
      <c r="AB28" s="16">
        <f t="shared" si="20"/>
        <v>735</v>
      </c>
      <c r="AC28" s="16">
        <f t="shared" si="20"/>
        <v>5853</v>
      </c>
      <c r="AD28" s="16">
        <f t="shared" si="20"/>
        <v>0</v>
      </c>
      <c r="AE28" s="32">
        <f t="shared" si="20"/>
        <v>7828</v>
      </c>
      <c r="AF28" s="32">
        <f t="shared" si="20"/>
        <v>13681</v>
      </c>
    </row>
    <row r="29" spans="2:32" ht="23.1" customHeight="1" x14ac:dyDescent="0.25">
      <c r="B29" s="23" t="s">
        <v>56</v>
      </c>
      <c r="C29" s="50">
        <v>81</v>
      </c>
      <c r="D29" s="50">
        <v>7</v>
      </c>
      <c r="E29" s="50">
        <v>9</v>
      </c>
      <c r="F29" s="50">
        <v>69</v>
      </c>
      <c r="G29" s="50">
        <v>0</v>
      </c>
      <c r="H29" s="50">
        <v>0</v>
      </c>
      <c r="I29" s="50">
        <v>9</v>
      </c>
      <c r="J29" s="50">
        <v>9</v>
      </c>
      <c r="K29" s="50">
        <v>4</v>
      </c>
      <c r="L29" s="50">
        <v>6</v>
      </c>
      <c r="M29" s="50">
        <v>206</v>
      </c>
      <c r="N29" s="50">
        <v>0</v>
      </c>
      <c r="O29" s="15">
        <f t="shared" si="0"/>
        <v>194</v>
      </c>
      <c r="P29" s="15">
        <f t="shared" si="1"/>
        <v>400</v>
      </c>
      <c r="R29"/>
      <c r="S29" s="20"/>
      <c r="T29" s="19"/>
    </row>
    <row r="30" spans="2:32" ht="23.1" customHeight="1" x14ac:dyDescent="0.25">
      <c r="B30" s="23" t="s">
        <v>57</v>
      </c>
      <c r="C30" s="50">
        <v>75</v>
      </c>
      <c r="D30" s="50">
        <v>16</v>
      </c>
      <c r="E30" s="50">
        <v>2</v>
      </c>
      <c r="F30" s="50">
        <v>11</v>
      </c>
      <c r="G30" s="50">
        <v>1</v>
      </c>
      <c r="H30" s="50">
        <v>1</v>
      </c>
      <c r="I30" s="50">
        <v>13</v>
      </c>
      <c r="J30" s="50">
        <v>6</v>
      </c>
      <c r="K30" s="50">
        <v>4</v>
      </c>
      <c r="L30" s="50">
        <v>7</v>
      </c>
      <c r="M30" s="50">
        <v>172</v>
      </c>
      <c r="N30" s="50">
        <v>0</v>
      </c>
      <c r="O30" s="15">
        <f t="shared" si="0"/>
        <v>136</v>
      </c>
      <c r="P30" s="15">
        <f t="shared" si="1"/>
        <v>308</v>
      </c>
    </row>
    <row r="31" spans="2:32" ht="23.1" customHeight="1" x14ac:dyDescent="0.25">
      <c r="B31" s="24" t="s">
        <v>58</v>
      </c>
      <c r="C31" s="50">
        <v>67</v>
      </c>
      <c r="D31" s="50">
        <v>15</v>
      </c>
      <c r="E31" s="50">
        <v>6</v>
      </c>
      <c r="F31" s="50">
        <v>46</v>
      </c>
      <c r="G31" s="50">
        <v>2</v>
      </c>
      <c r="H31" s="50">
        <v>1</v>
      </c>
      <c r="I31" s="50">
        <v>5</v>
      </c>
      <c r="J31" s="50">
        <v>0</v>
      </c>
      <c r="K31" s="50">
        <v>2</v>
      </c>
      <c r="L31" s="50">
        <v>23</v>
      </c>
      <c r="M31" s="50">
        <v>127</v>
      </c>
      <c r="N31" s="50">
        <v>0</v>
      </c>
      <c r="O31" s="15">
        <f t="shared" si="0"/>
        <v>167</v>
      </c>
      <c r="P31" s="15">
        <f t="shared" si="1"/>
        <v>294</v>
      </c>
    </row>
    <row r="32" spans="2:32" ht="23.1" customHeight="1" x14ac:dyDescent="0.25">
      <c r="B32" s="24" t="s">
        <v>59</v>
      </c>
      <c r="C32" s="50">
        <v>69</v>
      </c>
      <c r="D32" s="50">
        <v>19</v>
      </c>
      <c r="E32" s="50">
        <v>4</v>
      </c>
      <c r="F32" s="50">
        <v>47</v>
      </c>
      <c r="G32" s="50">
        <v>0</v>
      </c>
      <c r="H32" s="50">
        <v>0</v>
      </c>
      <c r="I32" s="50">
        <v>8</v>
      </c>
      <c r="J32" s="50">
        <v>8</v>
      </c>
      <c r="K32" s="50">
        <v>4</v>
      </c>
      <c r="L32" s="50">
        <v>9</v>
      </c>
      <c r="M32" s="50">
        <v>185</v>
      </c>
      <c r="N32" s="50">
        <v>0</v>
      </c>
      <c r="O32" s="15">
        <f t="shared" si="0"/>
        <v>168</v>
      </c>
      <c r="P32" s="15">
        <f t="shared" si="1"/>
        <v>353</v>
      </c>
    </row>
    <row r="33" spans="2:20" ht="23.1" customHeight="1" x14ac:dyDescent="0.25">
      <c r="B33" s="23" t="s">
        <v>60</v>
      </c>
      <c r="C33" s="50">
        <v>84</v>
      </c>
      <c r="D33" s="50">
        <v>14</v>
      </c>
      <c r="E33" s="50">
        <v>5</v>
      </c>
      <c r="F33" s="50">
        <v>61</v>
      </c>
      <c r="G33" s="50">
        <v>1</v>
      </c>
      <c r="H33" s="50">
        <v>0</v>
      </c>
      <c r="I33" s="50">
        <v>43</v>
      </c>
      <c r="J33" s="50">
        <v>2</v>
      </c>
      <c r="K33" s="50">
        <v>2</v>
      </c>
      <c r="L33" s="50">
        <v>22</v>
      </c>
      <c r="M33" s="50">
        <v>141</v>
      </c>
      <c r="N33" s="50">
        <v>0</v>
      </c>
      <c r="O33" s="15">
        <f t="shared" si="0"/>
        <v>234</v>
      </c>
      <c r="P33" s="15">
        <f t="shared" si="1"/>
        <v>375</v>
      </c>
    </row>
    <row r="34" spans="2:20" ht="23.1" customHeight="1" x14ac:dyDescent="0.25">
      <c r="B34" s="24" t="s">
        <v>61</v>
      </c>
      <c r="C34" s="50">
        <v>47</v>
      </c>
      <c r="D34" s="50">
        <v>6</v>
      </c>
      <c r="E34" s="50">
        <v>5</v>
      </c>
      <c r="F34" s="50">
        <v>42</v>
      </c>
      <c r="G34" s="50">
        <v>4</v>
      </c>
      <c r="H34" s="50">
        <v>0</v>
      </c>
      <c r="I34" s="50">
        <v>6</v>
      </c>
      <c r="J34" s="50">
        <v>2</v>
      </c>
      <c r="K34" s="50">
        <v>12</v>
      </c>
      <c r="L34" s="50">
        <v>1</v>
      </c>
      <c r="M34" s="50">
        <v>91</v>
      </c>
      <c r="N34" s="50">
        <v>0</v>
      </c>
      <c r="O34" s="15">
        <f t="shared" si="0"/>
        <v>125</v>
      </c>
      <c r="P34" s="15">
        <f t="shared" si="1"/>
        <v>216</v>
      </c>
    </row>
    <row r="35" spans="2:20" ht="23.1" customHeight="1" x14ac:dyDescent="0.25">
      <c r="B35" s="24" t="s">
        <v>62</v>
      </c>
      <c r="C35" s="50">
        <v>29</v>
      </c>
      <c r="D35" s="50">
        <v>8</v>
      </c>
      <c r="E35" s="50">
        <v>6</v>
      </c>
      <c r="F35" s="50">
        <v>51</v>
      </c>
      <c r="G35" s="50">
        <v>0</v>
      </c>
      <c r="H35" s="50">
        <v>0</v>
      </c>
      <c r="I35" s="50">
        <v>12</v>
      </c>
      <c r="J35" s="50">
        <v>8</v>
      </c>
      <c r="K35" s="50">
        <v>3</v>
      </c>
      <c r="L35" s="50">
        <v>27</v>
      </c>
      <c r="M35" s="50">
        <v>206</v>
      </c>
      <c r="N35" s="50">
        <v>0</v>
      </c>
      <c r="O35" s="15">
        <f t="shared" si="0"/>
        <v>144</v>
      </c>
      <c r="P35" s="15">
        <f t="shared" si="1"/>
        <v>350</v>
      </c>
    </row>
    <row r="36" spans="2:20" ht="23.1" customHeight="1" x14ac:dyDescent="0.25">
      <c r="B36" s="24" t="s">
        <v>63</v>
      </c>
      <c r="C36" s="50">
        <v>31</v>
      </c>
      <c r="D36" s="50">
        <v>25</v>
      </c>
      <c r="E36" s="50">
        <v>1</v>
      </c>
      <c r="F36" s="50">
        <v>55</v>
      </c>
      <c r="G36" s="50">
        <v>0</v>
      </c>
      <c r="H36" s="50">
        <v>3</v>
      </c>
      <c r="I36" s="50">
        <v>22</v>
      </c>
      <c r="J36" s="50">
        <v>3</v>
      </c>
      <c r="K36" s="50">
        <v>3</v>
      </c>
      <c r="L36" s="50">
        <v>7</v>
      </c>
      <c r="M36" s="50">
        <v>113</v>
      </c>
      <c r="N36" s="50">
        <v>0</v>
      </c>
      <c r="O36" s="15">
        <f t="shared" si="0"/>
        <v>150</v>
      </c>
      <c r="P36" s="15">
        <f t="shared" si="1"/>
        <v>263</v>
      </c>
    </row>
    <row r="37" spans="2:20" ht="23.1" customHeight="1" x14ac:dyDescent="0.25">
      <c r="B37" s="23" t="s">
        <v>64</v>
      </c>
      <c r="C37" s="50">
        <v>30</v>
      </c>
      <c r="D37" s="50">
        <v>35</v>
      </c>
      <c r="E37" s="50">
        <v>5</v>
      </c>
      <c r="F37" s="50">
        <v>24</v>
      </c>
      <c r="G37" s="50">
        <v>6</v>
      </c>
      <c r="H37" s="50">
        <v>2</v>
      </c>
      <c r="I37" s="50">
        <v>10</v>
      </c>
      <c r="J37" s="50">
        <v>3</v>
      </c>
      <c r="K37" s="50">
        <v>2</v>
      </c>
      <c r="L37" s="50">
        <v>14</v>
      </c>
      <c r="M37" s="50">
        <v>109</v>
      </c>
      <c r="N37" s="50">
        <v>0</v>
      </c>
      <c r="O37" s="15">
        <f t="shared" si="0"/>
        <v>131</v>
      </c>
      <c r="P37" s="15">
        <f t="shared" si="1"/>
        <v>240</v>
      </c>
    </row>
    <row r="38" spans="2:20" ht="23.1" customHeight="1" x14ac:dyDescent="0.25">
      <c r="B38" s="24" t="s">
        <v>65</v>
      </c>
      <c r="C38" s="50">
        <v>44</v>
      </c>
      <c r="D38" s="50">
        <v>43</v>
      </c>
      <c r="E38" s="50">
        <v>16</v>
      </c>
      <c r="F38" s="50">
        <v>87</v>
      </c>
      <c r="G38" s="50">
        <v>0</v>
      </c>
      <c r="H38" s="50">
        <v>2</v>
      </c>
      <c r="I38" s="50">
        <v>37</v>
      </c>
      <c r="J38" s="50">
        <v>20</v>
      </c>
      <c r="K38" s="50">
        <v>14</v>
      </c>
      <c r="L38" s="50">
        <v>29</v>
      </c>
      <c r="M38" s="50">
        <v>160</v>
      </c>
      <c r="N38" s="50">
        <v>0</v>
      </c>
      <c r="O38" s="15">
        <f t="shared" si="0"/>
        <v>292</v>
      </c>
      <c r="P38" s="15">
        <f t="shared" si="1"/>
        <v>452</v>
      </c>
    </row>
    <row r="39" spans="2:20" ht="23.1" customHeight="1" x14ac:dyDescent="0.25">
      <c r="B39" s="24" t="s">
        <v>66</v>
      </c>
      <c r="C39" s="50">
        <v>63</v>
      </c>
      <c r="D39" s="50">
        <v>18</v>
      </c>
      <c r="E39" s="50">
        <v>9</v>
      </c>
      <c r="F39" s="50">
        <v>80</v>
      </c>
      <c r="G39" s="50">
        <v>2</v>
      </c>
      <c r="H39" s="50">
        <v>0</v>
      </c>
      <c r="I39" s="50">
        <v>3</v>
      </c>
      <c r="J39" s="50">
        <v>14</v>
      </c>
      <c r="K39" s="50">
        <v>9</v>
      </c>
      <c r="L39" s="50">
        <v>30</v>
      </c>
      <c r="M39" s="50">
        <v>88</v>
      </c>
      <c r="N39" s="50">
        <v>0</v>
      </c>
      <c r="O39" s="15">
        <f t="shared" si="0"/>
        <v>228</v>
      </c>
      <c r="P39" s="15">
        <f t="shared" si="1"/>
        <v>316</v>
      </c>
    </row>
    <row r="40" spans="2:20" ht="23.1" customHeight="1" x14ac:dyDescent="0.25">
      <c r="B40" s="24" t="s">
        <v>67</v>
      </c>
      <c r="C40" s="50">
        <v>61</v>
      </c>
      <c r="D40" s="50">
        <v>11</v>
      </c>
      <c r="E40" s="50">
        <v>8</v>
      </c>
      <c r="F40" s="50">
        <v>64</v>
      </c>
      <c r="G40" s="50">
        <v>4</v>
      </c>
      <c r="H40" s="50">
        <v>2</v>
      </c>
      <c r="I40" s="50">
        <v>2</v>
      </c>
      <c r="J40" s="50">
        <v>12</v>
      </c>
      <c r="K40" s="50">
        <v>11</v>
      </c>
      <c r="L40" s="50">
        <v>26</v>
      </c>
      <c r="M40" s="50">
        <v>101</v>
      </c>
      <c r="N40" s="50">
        <v>0</v>
      </c>
      <c r="O40" s="15">
        <f t="shared" si="0"/>
        <v>201</v>
      </c>
      <c r="P40" s="15">
        <f t="shared" si="1"/>
        <v>302</v>
      </c>
    </row>
    <row r="41" spans="2:20" ht="23.1" customHeight="1" x14ac:dyDescent="0.25">
      <c r="B41" s="23" t="s">
        <v>68</v>
      </c>
      <c r="C41" s="50">
        <v>84</v>
      </c>
      <c r="D41" s="50">
        <v>9</v>
      </c>
      <c r="E41" s="50">
        <v>3</v>
      </c>
      <c r="F41" s="50">
        <v>76</v>
      </c>
      <c r="G41" s="50">
        <v>3</v>
      </c>
      <c r="H41" s="50">
        <v>0</v>
      </c>
      <c r="I41" s="50">
        <v>4</v>
      </c>
      <c r="J41" s="50">
        <v>3</v>
      </c>
      <c r="K41" s="50">
        <v>15</v>
      </c>
      <c r="L41" s="50">
        <v>16</v>
      </c>
      <c r="M41" s="50">
        <v>105</v>
      </c>
      <c r="N41" s="50">
        <v>0</v>
      </c>
      <c r="O41" s="15">
        <f t="shared" si="0"/>
        <v>213</v>
      </c>
      <c r="P41" s="15">
        <f t="shared" si="1"/>
        <v>318</v>
      </c>
    </row>
    <row r="42" spans="2:20" ht="23.1" customHeight="1" x14ac:dyDescent="0.25">
      <c r="B42" s="24" t="s">
        <v>69</v>
      </c>
      <c r="C42" s="50">
        <v>43</v>
      </c>
      <c r="D42" s="50">
        <v>16</v>
      </c>
      <c r="E42" s="50">
        <v>8</v>
      </c>
      <c r="F42" s="50">
        <v>61</v>
      </c>
      <c r="G42" s="50">
        <v>1</v>
      </c>
      <c r="H42" s="50">
        <v>2</v>
      </c>
      <c r="I42" s="50">
        <v>6</v>
      </c>
      <c r="J42" s="50">
        <v>13</v>
      </c>
      <c r="K42" s="50">
        <v>1</v>
      </c>
      <c r="L42" s="50">
        <v>36</v>
      </c>
      <c r="M42" s="50">
        <v>86</v>
      </c>
      <c r="N42" s="50">
        <v>0</v>
      </c>
      <c r="O42" s="15">
        <f t="shared" si="0"/>
        <v>187</v>
      </c>
      <c r="P42" s="15">
        <f t="shared" si="1"/>
        <v>273</v>
      </c>
    </row>
    <row r="43" spans="2:20" ht="23.1" customHeight="1" x14ac:dyDescent="0.25">
      <c r="B43" s="23" t="s">
        <v>70</v>
      </c>
      <c r="C43" s="50">
        <v>39</v>
      </c>
      <c r="D43" s="50">
        <v>15</v>
      </c>
      <c r="E43" s="50">
        <v>2</v>
      </c>
      <c r="F43" s="50">
        <v>45</v>
      </c>
      <c r="G43" s="50">
        <v>2</v>
      </c>
      <c r="H43" s="50">
        <v>1</v>
      </c>
      <c r="I43" s="50">
        <v>18</v>
      </c>
      <c r="J43" s="50">
        <v>3</v>
      </c>
      <c r="K43" s="50">
        <v>3</v>
      </c>
      <c r="L43" s="50">
        <v>9</v>
      </c>
      <c r="M43" s="50">
        <v>142</v>
      </c>
      <c r="N43" s="50">
        <v>0</v>
      </c>
      <c r="O43" s="15">
        <f t="shared" si="0"/>
        <v>137</v>
      </c>
      <c r="P43" s="15">
        <f t="shared" si="1"/>
        <v>279</v>
      </c>
    </row>
    <row r="44" spans="2:20" ht="23.1" customHeight="1" x14ac:dyDescent="0.25">
      <c r="B44" s="25" t="s">
        <v>71</v>
      </c>
      <c r="C44" s="50">
        <v>29</v>
      </c>
      <c r="D44" s="50">
        <v>16</v>
      </c>
      <c r="E44" s="50">
        <v>6</v>
      </c>
      <c r="F44" s="50">
        <v>45</v>
      </c>
      <c r="G44" s="50">
        <v>1</v>
      </c>
      <c r="H44" s="50">
        <v>1</v>
      </c>
      <c r="I44" s="50">
        <v>11</v>
      </c>
      <c r="J44" s="50">
        <v>9</v>
      </c>
      <c r="K44" s="50">
        <v>5</v>
      </c>
      <c r="L44" s="50">
        <v>21</v>
      </c>
      <c r="M44" s="50">
        <v>96</v>
      </c>
      <c r="N44" s="50">
        <v>0</v>
      </c>
      <c r="O44" s="15">
        <f t="shared" si="0"/>
        <v>144</v>
      </c>
      <c r="P44" s="15">
        <f t="shared" si="1"/>
        <v>240</v>
      </c>
    </row>
    <row r="45" spans="2:20" ht="23.1" customHeight="1" x14ac:dyDescent="0.25">
      <c r="B45" s="23" t="s">
        <v>72</v>
      </c>
      <c r="C45" s="50">
        <v>11</v>
      </c>
      <c r="D45" s="50">
        <v>16</v>
      </c>
      <c r="E45" s="50">
        <v>4</v>
      </c>
      <c r="F45" s="50">
        <v>30</v>
      </c>
      <c r="G45" s="50">
        <v>0</v>
      </c>
      <c r="H45" s="50">
        <v>0</v>
      </c>
      <c r="I45" s="50">
        <v>8</v>
      </c>
      <c r="J45" s="50">
        <v>9</v>
      </c>
      <c r="K45" s="50">
        <v>5</v>
      </c>
      <c r="L45" s="50">
        <v>5</v>
      </c>
      <c r="M45" s="50">
        <v>58</v>
      </c>
      <c r="N45" s="50">
        <v>0</v>
      </c>
      <c r="O45" s="15">
        <f t="shared" si="0"/>
        <v>88</v>
      </c>
      <c r="P45" s="15">
        <f t="shared" si="1"/>
        <v>146</v>
      </c>
    </row>
    <row r="46" spans="2:20" ht="23.1" customHeight="1" x14ac:dyDescent="0.25">
      <c r="B46" s="24" t="s">
        <v>73</v>
      </c>
      <c r="C46" s="50">
        <v>64</v>
      </c>
      <c r="D46" s="50">
        <v>31</v>
      </c>
      <c r="E46" s="50">
        <v>5</v>
      </c>
      <c r="F46" s="50">
        <v>18</v>
      </c>
      <c r="G46" s="50">
        <v>0</v>
      </c>
      <c r="H46" s="50">
        <v>1</v>
      </c>
      <c r="I46" s="50">
        <v>18</v>
      </c>
      <c r="J46" s="50">
        <v>12</v>
      </c>
      <c r="K46" s="50">
        <v>9</v>
      </c>
      <c r="L46" s="50">
        <v>8</v>
      </c>
      <c r="M46" s="50">
        <v>73</v>
      </c>
      <c r="N46" s="50">
        <v>0</v>
      </c>
      <c r="O46" s="15">
        <f t="shared" si="0"/>
        <v>166</v>
      </c>
      <c r="P46" s="15">
        <f t="shared" si="1"/>
        <v>239</v>
      </c>
      <c r="R46" s="8"/>
      <c r="T46"/>
    </row>
    <row r="47" spans="2:20" ht="23.1" customHeight="1" x14ac:dyDescent="0.25">
      <c r="B47" s="24" t="s">
        <v>74</v>
      </c>
      <c r="C47" s="50">
        <v>18</v>
      </c>
      <c r="D47" s="50">
        <v>2</v>
      </c>
      <c r="E47" s="50">
        <v>2</v>
      </c>
      <c r="F47" s="50">
        <v>13</v>
      </c>
      <c r="G47" s="50">
        <v>1</v>
      </c>
      <c r="H47" s="50">
        <v>0</v>
      </c>
      <c r="I47" s="50">
        <v>27</v>
      </c>
      <c r="J47" s="50">
        <v>2</v>
      </c>
      <c r="K47" s="50">
        <v>4</v>
      </c>
      <c r="L47" s="50">
        <v>31</v>
      </c>
      <c r="M47" s="50">
        <v>114</v>
      </c>
      <c r="N47" s="50">
        <v>0</v>
      </c>
      <c r="O47" s="15">
        <f t="shared" si="0"/>
        <v>100</v>
      </c>
      <c r="P47" s="15">
        <f t="shared" si="1"/>
        <v>214</v>
      </c>
      <c r="R47" s="8"/>
      <c r="T47"/>
    </row>
    <row r="48" spans="2:20" ht="23.1" customHeight="1" x14ac:dyDescent="0.25">
      <c r="B48" s="24" t="s">
        <v>75</v>
      </c>
      <c r="C48" s="50">
        <v>84</v>
      </c>
      <c r="D48" s="50">
        <v>16</v>
      </c>
      <c r="E48" s="50">
        <v>19</v>
      </c>
      <c r="F48" s="50">
        <v>71</v>
      </c>
      <c r="G48" s="50">
        <v>0</v>
      </c>
      <c r="H48" s="50">
        <v>1</v>
      </c>
      <c r="I48" s="50">
        <v>28</v>
      </c>
      <c r="J48" s="50">
        <v>8</v>
      </c>
      <c r="K48" s="50">
        <v>1</v>
      </c>
      <c r="L48" s="50">
        <v>26</v>
      </c>
      <c r="M48" s="50">
        <v>154</v>
      </c>
      <c r="N48" s="50">
        <v>0</v>
      </c>
      <c r="O48" s="15">
        <f t="shared" si="0"/>
        <v>254</v>
      </c>
      <c r="P48" s="15">
        <f t="shared" si="1"/>
        <v>408</v>
      </c>
      <c r="R48" s="8"/>
      <c r="T48"/>
    </row>
    <row r="49" spans="2:20" ht="23.1" customHeight="1" x14ac:dyDescent="0.25">
      <c r="B49" s="23" t="s">
        <v>76</v>
      </c>
      <c r="C49" s="50">
        <v>64</v>
      </c>
      <c r="D49" s="50">
        <v>13</v>
      </c>
      <c r="E49" s="50">
        <v>13</v>
      </c>
      <c r="F49" s="50">
        <v>114</v>
      </c>
      <c r="G49" s="50">
        <v>1</v>
      </c>
      <c r="H49" s="50">
        <v>3</v>
      </c>
      <c r="I49" s="50">
        <v>14</v>
      </c>
      <c r="J49" s="50">
        <v>0</v>
      </c>
      <c r="K49" s="50">
        <v>6</v>
      </c>
      <c r="L49" s="50">
        <v>81</v>
      </c>
      <c r="M49" s="50">
        <v>169</v>
      </c>
      <c r="N49" s="50">
        <v>0</v>
      </c>
      <c r="O49" s="15">
        <f t="shared" si="0"/>
        <v>309</v>
      </c>
      <c r="P49" s="15">
        <f t="shared" si="1"/>
        <v>478</v>
      </c>
      <c r="R49" s="8"/>
      <c r="T49"/>
    </row>
    <row r="50" spans="2:20" ht="23.1" customHeight="1" x14ac:dyDescent="0.25">
      <c r="B50" s="24" t="s">
        <v>77</v>
      </c>
      <c r="C50" s="50">
        <v>51</v>
      </c>
      <c r="D50" s="50">
        <v>9</v>
      </c>
      <c r="E50" s="50">
        <v>3</v>
      </c>
      <c r="F50" s="50">
        <v>55</v>
      </c>
      <c r="G50" s="50">
        <v>1</v>
      </c>
      <c r="H50" s="50">
        <v>0</v>
      </c>
      <c r="I50" s="50">
        <v>2</v>
      </c>
      <c r="J50" s="50">
        <v>2</v>
      </c>
      <c r="K50" s="50">
        <v>8</v>
      </c>
      <c r="L50" s="50">
        <v>8</v>
      </c>
      <c r="M50" s="50">
        <v>116</v>
      </c>
      <c r="N50" s="50">
        <v>0</v>
      </c>
      <c r="O50" s="15">
        <f t="shared" si="0"/>
        <v>139</v>
      </c>
      <c r="P50" s="15">
        <f t="shared" si="1"/>
        <v>255</v>
      </c>
      <c r="R50" s="8"/>
      <c r="T50"/>
    </row>
    <row r="51" spans="2:20" ht="23.1" customHeight="1" x14ac:dyDescent="0.25">
      <c r="B51" s="24" t="s">
        <v>78</v>
      </c>
      <c r="C51" s="50">
        <v>31</v>
      </c>
      <c r="D51" s="50">
        <v>6</v>
      </c>
      <c r="E51" s="50">
        <v>9</v>
      </c>
      <c r="F51" s="50">
        <v>61</v>
      </c>
      <c r="G51" s="50">
        <v>1</v>
      </c>
      <c r="H51" s="50">
        <v>0</v>
      </c>
      <c r="I51" s="50">
        <v>11</v>
      </c>
      <c r="J51" s="50">
        <v>7</v>
      </c>
      <c r="K51" s="50">
        <v>2</v>
      </c>
      <c r="L51" s="50">
        <v>18</v>
      </c>
      <c r="M51" s="50">
        <v>134</v>
      </c>
      <c r="N51" s="50">
        <v>0</v>
      </c>
      <c r="O51" s="15">
        <f t="shared" si="0"/>
        <v>146</v>
      </c>
      <c r="P51" s="15">
        <f t="shared" si="1"/>
        <v>280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5</v>
      </c>
      <c r="E52" s="50">
        <v>5</v>
      </c>
      <c r="F52" s="50">
        <v>15</v>
      </c>
      <c r="G52" s="50">
        <v>1</v>
      </c>
      <c r="H52" s="50">
        <v>0</v>
      </c>
      <c r="I52" s="50">
        <v>9</v>
      </c>
      <c r="J52" s="50">
        <v>3</v>
      </c>
      <c r="K52" s="50">
        <v>0</v>
      </c>
      <c r="L52" s="50">
        <v>7</v>
      </c>
      <c r="M52" s="50">
        <v>47</v>
      </c>
      <c r="N52" s="50">
        <v>0</v>
      </c>
      <c r="O52" s="15">
        <f t="shared" si="0"/>
        <v>59</v>
      </c>
      <c r="P52" s="15">
        <f t="shared" si="1"/>
        <v>106</v>
      </c>
      <c r="R52" s="8"/>
      <c r="T52"/>
    </row>
    <row r="53" spans="2:20" ht="23.1" customHeight="1" x14ac:dyDescent="0.25">
      <c r="B53" s="23" t="s">
        <v>80</v>
      </c>
      <c r="C53" s="50">
        <v>28</v>
      </c>
      <c r="D53" s="50">
        <v>8</v>
      </c>
      <c r="E53" s="50">
        <v>8</v>
      </c>
      <c r="F53" s="50">
        <v>30</v>
      </c>
      <c r="G53" s="50">
        <v>0</v>
      </c>
      <c r="H53" s="50">
        <v>1</v>
      </c>
      <c r="I53" s="50">
        <v>10</v>
      </c>
      <c r="J53" s="50">
        <v>3</v>
      </c>
      <c r="K53" s="50">
        <v>2</v>
      </c>
      <c r="L53" s="50">
        <v>18</v>
      </c>
      <c r="M53" s="50">
        <v>80</v>
      </c>
      <c r="N53" s="50">
        <v>0</v>
      </c>
      <c r="O53" s="15">
        <f t="shared" si="0"/>
        <v>108</v>
      </c>
      <c r="P53" s="15">
        <f t="shared" si="1"/>
        <v>188</v>
      </c>
      <c r="R53" s="8"/>
      <c r="T53"/>
    </row>
    <row r="54" spans="2:20" ht="23.1" customHeight="1" x14ac:dyDescent="0.25">
      <c r="B54" s="23" t="s">
        <v>81</v>
      </c>
      <c r="C54" s="50">
        <v>54</v>
      </c>
      <c r="D54" s="50">
        <v>4</v>
      </c>
      <c r="E54" s="50">
        <v>7</v>
      </c>
      <c r="F54" s="50">
        <v>64</v>
      </c>
      <c r="G54" s="50">
        <v>5</v>
      </c>
      <c r="H54" s="50">
        <v>1</v>
      </c>
      <c r="I54" s="50">
        <v>7</v>
      </c>
      <c r="J54" s="50">
        <v>5</v>
      </c>
      <c r="K54" s="50">
        <v>5</v>
      </c>
      <c r="L54" s="50">
        <v>9</v>
      </c>
      <c r="M54" s="50">
        <v>150</v>
      </c>
      <c r="N54" s="50">
        <v>0</v>
      </c>
      <c r="O54" s="15">
        <f t="shared" si="0"/>
        <v>161</v>
      </c>
      <c r="P54" s="15">
        <f t="shared" si="1"/>
        <v>311</v>
      </c>
      <c r="R54" s="8"/>
      <c r="T54"/>
    </row>
    <row r="55" spans="2:20" ht="23.1" customHeight="1" x14ac:dyDescent="0.25">
      <c r="B55" s="23" t="s">
        <v>82</v>
      </c>
      <c r="C55" s="50">
        <v>91</v>
      </c>
      <c r="D55" s="50">
        <v>10</v>
      </c>
      <c r="E55" s="50">
        <v>2</v>
      </c>
      <c r="F55" s="50">
        <v>40</v>
      </c>
      <c r="G55" s="50">
        <v>15</v>
      </c>
      <c r="H55" s="50">
        <v>1</v>
      </c>
      <c r="I55" s="50">
        <v>25</v>
      </c>
      <c r="J55" s="50">
        <v>4</v>
      </c>
      <c r="K55" s="50">
        <v>2</v>
      </c>
      <c r="L55" s="50">
        <v>15</v>
      </c>
      <c r="M55" s="50">
        <v>170</v>
      </c>
      <c r="N55" s="50">
        <v>0</v>
      </c>
      <c r="O55" s="15">
        <f t="shared" si="0"/>
        <v>205</v>
      </c>
      <c r="P55" s="15">
        <f t="shared" si="1"/>
        <v>375</v>
      </c>
      <c r="R55" s="8"/>
      <c r="T55"/>
    </row>
    <row r="56" spans="2:20" ht="23.1" customHeight="1" x14ac:dyDescent="0.25">
      <c r="B56" s="23" t="s">
        <v>83</v>
      </c>
      <c r="C56" s="50">
        <v>38</v>
      </c>
      <c r="D56" s="50">
        <v>9</v>
      </c>
      <c r="E56" s="50">
        <v>9</v>
      </c>
      <c r="F56" s="50">
        <v>31</v>
      </c>
      <c r="G56" s="50">
        <v>1</v>
      </c>
      <c r="H56" s="50">
        <v>0</v>
      </c>
      <c r="I56" s="50">
        <v>4</v>
      </c>
      <c r="J56" s="50">
        <v>4</v>
      </c>
      <c r="K56" s="50">
        <v>4</v>
      </c>
      <c r="L56" s="50">
        <v>21</v>
      </c>
      <c r="M56" s="50">
        <v>124</v>
      </c>
      <c r="N56" s="50">
        <v>0</v>
      </c>
      <c r="O56" s="15">
        <f t="shared" si="0"/>
        <v>121</v>
      </c>
      <c r="P56" s="15">
        <f t="shared" si="1"/>
        <v>245</v>
      </c>
      <c r="R56" s="8"/>
      <c r="T56"/>
    </row>
    <row r="57" spans="2:20" ht="23.1" customHeight="1" x14ac:dyDescent="0.25">
      <c r="B57" s="23" t="s">
        <v>84</v>
      </c>
      <c r="C57" s="50">
        <v>24</v>
      </c>
      <c r="D57" s="50">
        <v>9</v>
      </c>
      <c r="E57" s="50">
        <v>4</v>
      </c>
      <c r="F57" s="50">
        <v>29</v>
      </c>
      <c r="G57" s="50">
        <v>1</v>
      </c>
      <c r="H57" s="50">
        <v>1</v>
      </c>
      <c r="I57" s="50">
        <v>7</v>
      </c>
      <c r="J57" s="50">
        <v>2</v>
      </c>
      <c r="K57" s="50">
        <v>3</v>
      </c>
      <c r="L57" s="50">
        <v>19</v>
      </c>
      <c r="M57" s="50">
        <v>161</v>
      </c>
      <c r="N57" s="50">
        <v>0</v>
      </c>
      <c r="O57" s="15">
        <f t="shared" si="0"/>
        <v>99</v>
      </c>
      <c r="P57" s="15">
        <f t="shared" si="1"/>
        <v>260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2514</v>
      </c>
      <c r="D58" s="16">
        <f t="shared" si="21"/>
        <v>669</v>
      </c>
      <c r="E58" s="16">
        <f t="shared" si="21"/>
        <v>349</v>
      </c>
      <c r="F58" s="16">
        <f t="shared" si="21"/>
        <v>2318</v>
      </c>
      <c r="G58" s="16">
        <f t="shared" si="21"/>
        <v>89</v>
      </c>
      <c r="H58" s="16">
        <f t="shared" si="21"/>
        <v>49</v>
      </c>
      <c r="I58" s="16">
        <f t="shared" si="21"/>
        <v>586</v>
      </c>
      <c r="J58" s="16">
        <f t="shared" si="21"/>
        <v>284</v>
      </c>
      <c r="K58" s="16">
        <f t="shared" si="21"/>
        <v>235</v>
      </c>
      <c r="L58" s="16">
        <f t="shared" si="21"/>
        <v>735</v>
      </c>
      <c r="M58" s="16">
        <f t="shared" si="21"/>
        <v>5853</v>
      </c>
      <c r="N58" s="16">
        <f t="shared" si="21"/>
        <v>0</v>
      </c>
      <c r="O58" s="16">
        <f t="shared" si="21"/>
        <v>7828</v>
      </c>
      <c r="P58" s="16">
        <f t="shared" si="21"/>
        <v>13681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0.18375849718587822</v>
      </c>
      <c r="D59" s="43">
        <f t="shared" si="22"/>
        <v>4.8899934215335138E-2</v>
      </c>
      <c r="E59" s="43">
        <f t="shared" si="22"/>
        <v>2.5509831152693518E-2</v>
      </c>
      <c r="F59" s="43">
        <f t="shared" si="22"/>
        <v>0.16943205906001024</v>
      </c>
      <c r="G59" s="43">
        <f t="shared" si="22"/>
        <v>6.5053724142972004E-3</v>
      </c>
      <c r="H59" s="43">
        <f t="shared" si="22"/>
        <v>3.5816095314669979E-3</v>
      </c>
      <c r="I59" s="43">
        <f t="shared" si="22"/>
        <v>4.2833126233462464E-2</v>
      </c>
      <c r="J59" s="43">
        <f t="shared" si="22"/>
        <v>2.0758716468094438E-2</v>
      </c>
      <c r="K59" s="43">
        <f t="shared" si="22"/>
        <v>1.717710693662744E-2</v>
      </c>
      <c r="L59" s="43">
        <f t="shared" si="22"/>
        <v>5.3724142972004972E-2</v>
      </c>
      <c r="M59" s="43">
        <f t="shared" si="22"/>
        <v>0.4278196038301294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0.32115482881962187</v>
      </c>
      <c r="D60" s="44">
        <f t="shared" ref="D60:N60" si="23">D58/$O$58</f>
        <v>8.546244251405212E-2</v>
      </c>
      <c r="E60" s="44">
        <f t="shared" si="23"/>
        <v>4.4583546244251405E-2</v>
      </c>
      <c r="F60" s="44">
        <f t="shared" si="23"/>
        <v>0.29611650485436891</v>
      </c>
      <c r="G60" s="44">
        <f t="shared" si="23"/>
        <v>1.1369443025038324E-2</v>
      </c>
      <c r="H60" s="44">
        <f t="shared" si="23"/>
        <v>6.2595809913132345E-3</v>
      </c>
      <c r="I60" s="44">
        <f t="shared" si="23"/>
        <v>7.4859478794072565E-2</v>
      </c>
      <c r="J60" s="44">
        <f t="shared" si="23"/>
        <v>3.6280020439448134E-2</v>
      </c>
      <c r="K60" s="44">
        <f t="shared" si="23"/>
        <v>3.00204394481349E-2</v>
      </c>
      <c r="L60" s="44">
        <f t="shared" si="23"/>
        <v>9.3893714869698525E-2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E45" sqref="E4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'29.10 Mbalala-Mukono'!C3:G3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'4.11 Mukono-Mbalala '!D5</f>
        <v>4.11.19</v>
      </c>
      <c r="E5" s="3"/>
      <c r="F5" s="41" t="s">
        <v>1</v>
      </c>
      <c r="G5" s="61" t="str">
        <f>'4.11 Mukono-Mbalala '!G5:H5</f>
        <v>Perfect tents</v>
      </c>
      <c r="H5" s="62"/>
      <c r="I5" s="14"/>
      <c r="J5" s="2" t="s">
        <v>5</v>
      </c>
      <c r="K5" s="61" t="s">
        <v>179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'29.10 Mbalala-Mukono'!D6:E6</f>
        <v>Mbalala</v>
      </c>
      <c r="E6" s="62"/>
      <c r="F6" s="2" t="s">
        <v>2</v>
      </c>
      <c r="G6" s="61" t="str">
        <f>'29.10 Mbalala-Mukono'!G6:H6</f>
        <v>Mukono</v>
      </c>
      <c r="H6" s="62"/>
      <c r="J6" s="2" t="s">
        <v>21</v>
      </c>
      <c r="K6" s="61" t="str">
        <f>'4.11 Mukono-Mbalala 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42</v>
      </c>
      <c r="D10" s="50">
        <v>3</v>
      </c>
      <c r="E10" s="50">
        <v>5</v>
      </c>
      <c r="F10" s="50">
        <v>48</v>
      </c>
      <c r="G10" s="50">
        <v>1</v>
      </c>
      <c r="H10" s="50">
        <v>2</v>
      </c>
      <c r="I10" s="50">
        <v>6</v>
      </c>
      <c r="J10" s="50">
        <v>2</v>
      </c>
      <c r="K10" s="50">
        <v>1</v>
      </c>
      <c r="L10" s="50">
        <v>8</v>
      </c>
      <c r="M10" s="50">
        <v>103</v>
      </c>
      <c r="N10" s="50">
        <v>0</v>
      </c>
      <c r="O10" s="15">
        <f t="shared" ref="O10:O57" si="0">SUM(C10:L10,N10)</f>
        <v>118</v>
      </c>
      <c r="P10" s="15">
        <f t="shared" ref="P10:P57" si="1">SUM(C10:N10)</f>
        <v>221</v>
      </c>
      <c r="R10" s="1" t="s">
        <v>6</v>
      </c>
      <c r="S10" s="17">
        <f t="shared" ref="S10:AF10" si="2">SUM(C10:C13)</f>
        <v>172</v>
      </c>
      <c r="T10" s="17">
        <f t="shared" si="2"/>
        <v>23</v>
      </c>
      <c r="U10" s="17">
        <f t="shared" si="2"/>
        <v>25</v>
      </c>
      <c r="V10" s="17">
        <f t="shared" si="2"/>
        <v>198</v>
      </c>
      <c r="W10" s="17">
        <f t="shared" si="2"/>
        <v>4</v>
      </c>
      <c r="X10" s="17">
        <f t="shared" si="2"/>
        <v>3</v>
      </c>
      <c r="Y10" s="17">
        <f t="shared" si="2"/>
        <v>28</v>
      </c>
      <c r="Z10" s="17">
        <f t="shared" si="2"/>
        <v>13</v>
      </c>
      <c r="AA10" s="17">
        <f t="shared" si="2"/>
        <v>6</v>
      </c>
      <c r="AB10" s="17">
        <f t="shared" si="2"/>
        <v>44</v>
      </c>
      <c r="AC10" s="17">
        <f t="shared" si="2"/>
        <v>404</v>
      </c>
      <c r="AD10" s="17">
        <f t="shared" si="2"/>
        <v>0</v>
      </c>
      <c r="AE10" s="31">
        <f t="shared" si="2"/>
        <v>516</v>
      </c>
      <c r="AF10" s="31">
        <f t="shared" si="2"/>
        <v>920</v>
      </c>
    </row>
    <row r="11" spans="2:32" s="6" customFormat="1" ht="23.1" customHeight="1" x14ac:dyDescent="0.25">
      <c r="B11" s="23" t="s">
        <v>38</v>
      </c>
      <c r="C11" s="50">
        <v>38</v>
      </c>
      <c r="D11" s="50">
        <v>8</v>
      </c>
      <c r="E11" s="50">
        <v>2</v>
      </c>
      <c r="F11" s="50">
        <v>55</v>
      </c>
      <c r="G11" s="50">
        <v>0</v>
      </c>
      <c r="H11" s="50">
        <v>0</v>
      </c>
      <c r="I11" s="50">
        <v>3</v>
      </c>
      <c r="J11" s="50">
        <v>5</v>
      </c>
      <c r="K11" s="50">
        <v>2</v>
      </c>
      <c r="L11" s="50">
        <v>4</v>
      </c>
      <c r="M11" s="50">
        <v>98</v>
      </c>
      <c r="N11" s="50">
        <v>0</v>
      </c>
      <c r="O11" s="15">
        <f t="shared" si="0"/>
        <v>117</v>
      </c>
      <c r="P11" s="15">
        <f t="shared" si="1"/>
        <v>215</v>
      </c>
      <c r="R11" s="1" t="s">
        <v>7</v>
      </c>
      <c r="S11" s="17">
        <f t="shared" ref="S11:AF11" si="3">SUM(C14:C17)</f>
        <v>139</v>
      </c>
      <c r="T11" s="17">
        <f t="shared" si="3"/>
        <v>23</v>
      </c>
      <c r="U11" s="17">
        <f t="shared" si="3"/>
        <v>25</v>
      </c>
      <c r="V11" s="17">
        <f t="shared" si="3"/>
        <v>130</v>
      </c>
      <c r="W11" s="17">
        <f t="shared" si="3"/>
        <v>7</v>
      </c>
      <c r="X11" s="17">
        <f t="shared" si="3"/>
        <v>2</v>
      </c>
      <c r="Y11" s="17">
        <f t="shared" si="3"/>
        <v>32</v>
      </c>
      <c r="Z11" s="17">
        <f t="shared" si="3"/>
        <v>25</v>
      </c>
      <c r="AA11" s="17">
        <f t="shared" si="3"/>
        <v>13</v>
      </c>
      <c r="AB11" s="17">
        <f t="shared" si="3"/>
        <v>40</v>
      </c>
      <c r="AC11" s="17">
        <f t="shared" si="3"/>
        <v>510</v>
      </c>
      <c r="AD11" s="17">
        <f t="shared" si="3"/>
        <v>0</v>
      </c>
      <c r="AE11" s="31">
        <f t="shared" si="3"/>
        <v>436</v>
      </c>
      <c r="AF11" s="31">
        <f t="shared" si="3"/>
        <v>946</v>
      </c>
    </row>
    <row r="12" spans="2:32" ht="23.1" customHeight="1" x14ac:dyDescent="0.25">
      <c r="B12" s="23" t="s">
        <v>39</v>
      </c>
      <c r="C12" s="50">
        <v>52</v>
      </c>
      <c r="D12" s="50">
        <v>4</v>
      </c>
      <c r="E12" s="50">
        <v>9</v>
      </c>
      <c r="F12" s="50">
        <v>53</v>
      </c>
      <c r="G12" s="50">
        <v>3</v>
      </c>
      <c r="H12" s="50">
        <v>1</v>
      </c>
      <c r="I12" s="50">
        <v>7</v>
      </c>
      <c r="J12" s="50">
        <v>4</v>
      </c>
      <c r="K12" s="50">
        <v>1</v>
      </c>
      <c r="L12" s="50">
        <v>14</v>
      </c>
      <c r="M12" s="50">
        <v>110</v>
      </c>
      <c r="N12" s="50">
        <v>0</v>
      </c>
      <c r="O12" s="15">
        <f t="shared" si="0"/>
        <v>148</v>
      </c>
      <c r="P12" s="15">
        <f t="shared" si="1"/>
        <v>258</v>
      </c>
      <c r="R12" s="1" t="s">
        <v>8</v>
      </c>
      <c r="S12" s="17">
        <f t="shared" ref="S12:AF12" si="4">SUM(C18:C21)</f>
        <v>179</v>
      </c>
      <c r="T12" s="17">
        <f t="shared" si="4"/>
        <v>29</v>
      </c>
      <c r="U12" s="17">
        <f t="shared" si="4"/>
        <v>17</v>
      </c>
      <c r="V12" s="17">
        <f t="shared" si="4"/>
        <v>156</v>
      </c>
      <c r="W12" s="17">
        <f t="shared" si="4"/>
        <v>7</v>
      </c>
      <c r="X12" s="17">
        <f t="shared" si="4"/>
        <v>6</v>
      </c>
      <c r="Y12" s="17">
        <f t="shared" si="4"/>
        <v>27</v>
      </c>
      <c r="Z12" s="17">
        <f t="shared" si="4"/>
        <v>27</v>
      </c>
      <c r="AA12" s="17">
        <f t="shared" si="4"/>
        <v>21</v>
      </c>
      <c r="AB12" s="17">
        <f t="shared" si="4"/>
        <v>57</v>
      </c>
      <c r="AC12" s="17">
        <f t="shared" si="4"/>
        <v>406</v>
      </c>
      <c r="AD12" s="17">
        <f t="shared" si="4"/>
        <v>0</v>
      </c>
      <c r="AE12" s="31">
        <f t="shared" si="4"/>
        <v>526</v>
      </c>
      <c r="AF12" s="31">
        <f t="shared" si="4"/>
        <v>932</v>
      </c>
    </row>
    <row r="13" spans="2:32" ht="23.1" customHeight="1" x14ac:dyDescent="0.25">
      <c r="B13" s="23" t="s">
        <v>40</v>
      </c>
      <c r="C13" s="50">
        <v>40</v>
      </c>
      <c r="D13" s="50">
        <v>8</v>
      </c>
      <c r="E13" s="50">
        <v>9</v>
      </c>
      <c r="F13" s="50">
        <v>42</v>
      </c>
      <c r="G13" s="50">
        <v>0</v>
      </c>
      <c r="H13" s="50">
        <v>0</v>
      </c>
      <c r="I13" s="50">
        <v>12</v>
      </c>
      <c r="J13" s="50">
        <v>2</v>
      </c>
      <c r="K13" s="50">
        <v>2</v>
      </c>
      <c r="L13" s="50">
        <v>18</v>
      </c>
      <c r="M13" s="50">
        <v>93</v>
      </c>
      <c r="N13" s="50">
        <v>0</v>
      </c>
      <c r="O13" s="15">
        <f t="shared" si="0"/>
        <v>133</v>
      </c>
      <c r="P13" s="15">
        <f t="shared" si="1"/>
        <v>226</v>
      </c>
      <c r="R13" s="1" t="s">
        <v>9</v>
      </c>
      <c r="S13" s="17">
        <f t="shared" ref="S13:AF13" si="5">SUM(C22:C25)</f>
        <v>123</v>
      </c>
      <c r="T13" s="17">
        <f t="shared" si="5"/>
        <v>17</v>
      </c>
      <c r="U13" s="17">
        <f t="shared" si="5"/>
        <v>20</v>
      </c>
      <c r="V13" s="17">
        <f t="shared" si="5"/>
        <v>139</v>
      </c>
      <c r="W13" s="17">
        <f t="shared" si="5"/>
        <v>6</v>
      </c>
      <c r="X13" s="17">
        <f t="shared" si="5"/>
        <v>4</v>
      </c>
      <c r="Y13" s="17">
        <f t="shared" si="5"/>
        <v>40</v>
      </c>
      <c r="Z13" s="17">
        <f t="shared" si="5"/>
        <v>17</v>
      </c>
      <c r="AA13" s="17">
        <f t="shared" si="5"/>
        <v>11</v>
      </c>
      <c r="AB13" s="17">
        <f t="shared" si="5"/>
        <v>83</v>
      </c>
      <c r="AC13" s="17">
        <f t="shared" si="5"/>
        <v>334</v>
      </c>
      <c r="AD13" s="17">
        <f t="shared" si="5"/>
        <v>0</v>
      </c>
      <c r="AE13" s="31">
        <f t="shared" si="5"/>
        <v>460</v>
      </c>
      <c r="AF13" s="31">
        <f t="shared" si="5"/>
        <v>794</v>
      </c>
    </row>
    <row r="14" spans="2:32" ht="23.1" customHeight="1" x14ac:dyDescent="0.25">
      <c r="B14" s="23" t="s">
        <v>41</v>
      </c>
      <c r="C14" s="50">
        <v>33</v>
      </c>
      <c r="D14" s="50">
        <v>8</v>
      </c>
      <c r="E14" s="50">
        <v>6</v>
      </c>
      <c r="F14" s="50">
        <v>31</v>
      </c>
      <c r="G14" s="50">
        <v>1</v>
      </c>
      <c r="H14" s="50">
        <v>0</v>
      </c>
      <c r="I14" s="50">
        <v>15</v>
      </c>
      <c r="J14" s="50">
        <v>7</v>
      </c>
      <c r="K14" s="50">
        <v>4</v>
      </c>
      <c r="L14" s="50">
        <v>9</v>
      </c>
      <c r="M14" s="50">
        <v>101</v>
      </c>
      <c r="N14" s="50">
        <v>0</v>
      </c>
      <c r="O14" s="15">
        <f t="shared" si="0"/>
        <v>114</v>
      </c>
      <c r="P14" s="15">
        <f t="shared" si="1"/>
        <v>215</v>
      </c>
      <c r="R14" s="1" t="s">
        <v>10</v>
      </c>
      <c r="S14" s="17">
        <f t="shared" ref="S14:AF14" si="6">SUM(C26:C29)</f>
        <v>125</v>
      </c>
      <c r="T14" s="17">
        <f t="shared" si="6"/>
        <v>11</v>
      </c>
      <c r="U14" s="17">
        <f t="shared" si="6"/>
        <v>16</v>
      </c>
      <c r="V14" s="17">
        <f t="shared" si="6"/>
        <v>133</v>
      </c>
      <c r="W14" s="17">
        <f t="shared" si="6"/>
        <v>6</v>
      </c>
      <c r="X14" s="17">
        <f t="shared" si="6"/>
        <v>3</v>
      </c>
      <c r="Y14" s="17">
        <f t="shared" si="6"/>
        <v>34</v>
      </c>
      <c r="Z14" s="17">
        <f t="shared" si="6"/>
        <v>27</v>
      </c>
      <c r="AA14" s="17">
        <f t="shared" si="6"/>
        <v>13</v>
      </c>
      <c r="AB14" s="17">
        <f t="shared" si="6"/>
        <v>42</v>
      </c>
      <c r="AC14" s="17">
        <f t="shared" si="6"/>
        <v>383</v>
      </c>
      <c r="AD14" s="17">
        <f t="shared" si="6"/>
        <v>0</v>
      </c>
      <c r="AE14" s="31">
        <f t="shared" si="6"/>
        <v>410</v>
      </c>
      <c r="AF14" s="31">
        <f t="shared" si="6"/>
        <v>793</v>
      </c>
    </row>
    <row r="15" spans="2:32" ht="23.1" customHeight="1" x14ac:dyDescent="0.25">
      <c r="B15" s="23" t="s">
        <v>42</v>
      </c>
      <c r="C15" s="50">
        <v>39</v>
      </c>
      <c r="D15" s="50">
        <v>2</v>
      </c>
      <c r="E15" s="50">
        <v>7</v>
      </c>
      <c r="F15" s="50">
        <v>34</v>
      </c>
      <c r="G15" s="50">
        <v>0</v>
      </c>
      <c r="H15" s="50">
        <v>1</v>
      </c>
      <c r="I15" s="50">
        <v>7</v>
      </c>
      <c r="J15" s="50">
        <v>5</v>
      </c>
      <c r="K15" s="50">
        <v>1</v>
      </c>
      <c r="L15" s="50">
        <v>8</v>
      </c>
      <c r="M15" s="50">
        <v>167</v>
      </c>
      <c r="N15" s="50">
        <v>0</v>
      </c>
      <c r="O15" s="15">
        <f t="shared" si="0"/>
        <v>104</v>
      </c>
      <c r="P15" s="15">
        <f t="shared" si="1"/>
        <v>271</v>
      </c>
      <c r="R15" s="1" t="s">
        <v>11</v>
      </c>
      <c r="S15" s="17">
        <f t="shared" ref="S15:AF15" si="7">SUM(C30:C33)</f>
        <v>98</v>
      </c>
      <c r="T15" s="17">
        <f t="shared" si="7"/>
        <v>32</v>
      </c>
      <c r="U15" s="17">
        <f t="shared" si="7"/>
        <v>15</v>
      </c>
      <c r="V15" s="17">
        <f t="shared" si="7"/>
        <v>141</v>
      </c>
      <c r="W15" s="17">
        <f t="shared" si="7"/>
        <v>6</v>
      </c>
      <c r="X15" s="17">
        <f t="shared" si="7"/>
        <v>2</v>
      </c>
      <c r="Y15" s="17">
        <f t="shared" si="7"/>
        <v>50</v>
      </c>
      <c r="Z15" s="17">
        <f t="shared" si="7"/>
        <v>31</v>
      </c>
      <c r="AA15" s="17">
        <f t="shared" si="7"/>
        <v>20</v>
      </c>
      <c r="AB15" s="17">
        <f t="shared" si="7"/>
        <v>52</v>
      </c>
      <c r="AC15" s="17">
        <f t="shared" si="7"/>
        <v>350</v>
      </c>
      <c r="AD15" s="17">
        <f t="shared" si="7"/>
        <v>0</v>
      </c>
      <c r="AE15" s="31">
        <f t="shared" si="7"/>
        <v>447</v>
      </c>
      <c r="AF15" s="31">
        <f t="shared" si="7"/>
        <v>797</v>
      </c>
    </row>
    <row r="16" spans="2:32" ht="23.1" customHeight="1" x14ac:dyDescent="0.25">
      <c r="B16" s="23" t="s">
        <v>43</v>
      </c>
      <c r="C16" s="50">
        <v>33</v>
      </c>
      <c r="D16" s="50">
        <v>7</v>
      </c>
      <c r="E16" s="50">
        <v>5</v>
      </c>
      <c r="F16" s="50">
        <v>26</v>
      </c>
      <c r="G16" s="50">
        <v>2</v>
      </c>
      <c r="H16" s="50">
        <v>1</v>
      </c>
      <c r="I16" s="50">
        <v>6</v>
      </c>
      <c r="J16" s="50">
        <v>8</v>
      </c>
      <c r="K16" s="50">
        <v>3</v>
      </c>
      <c r="L16" s="50">
        <v>9</v>
      </c>
      <c r="M16" s="50">
        <v>134</v>
      </c>
      <c r="N16" s="50">
        <v>0</v>
      </c>
      <c r="O16" s="15">
        <f t="shared" si="0"/>
        <v>100</v>
      </c>
      <c r="P16" s="15">
        <f t="shared" si="1"/>
        <v>234</v>
      </c>
      <c r="R16" s="1" t="s">
        <v>12</v>
      </c>
      <c r="S16" s="17">
        <f t="shared" ref="S16:AF16" si="8">SUM(C34:C37)</f>
        <v>117</v>
      </c>
      <c r="T16" s="17">
        <f t="shared" si="8"/>
        <v>19</v>
      </c>
      <c r="U16" s="17">
        <f t="shared" si="8"/>
        <v>25</v>
      </c>
      <c r="V16" s="17">
        <f t="shared" si="8"/>
        <v>144</v>
      </c>
      <c r="W16" s="17">
        <f t="shared" si="8"/>
        <v>2</v>
      </c>
      <c r="X16" s="17">
        <f t="shared" si="8"/>
        <v>3</v>
      </c>
      <c r="Y16" s="17">
        <f t="shared" si="8"/>
        <v>46</v>
      </c>
      <c r="Z16" s="17">
        <f t="shared" si="8"/>
        <v>22</v>
      </c>
      <c r="AA16" s="17">
        <f t="shared" si="8"/>
        <v>16</v>
      </c>
      <c r="AB16" s="17">
        <f t="shared" si="8"/>
        <v>38</v>
      </c>
      <c r="AC16" s="17">
        <f t="shared" si="8"/>
        <v>379</v>
      </c>
      <c r="AD16" s="17">
        <f t="shared" si="8"/>
        <v>0</v>
      </c>
      <c r="AE16" s="31">
        <f t="shared" si="8"/>
        <v>432</v>
      </c>
      <c r="AF16" s="31">
        <f t="shared" si="8"/>
        <v>811</v>
      </c>
    </row>
    <row r="17" spans="2:32" ht="23.1" customHeight="1" x14ac:dyDescent="0.25">
      <c r="B17" s="23" t="s">
        <v>44</v>
      </c>
      <c r="C17" s="50">
        <v>34</v>
      </c>
      <c r="D17" s="50">
        <v>6</v>
      </c>
      <c r="E17" s="50">
        <v>7</v>
      </c>
      <c r="F17" s="50">
        <v>39</v>
      </c>
      <c r="G17" s="50">
        <v>4</v>
      </c>
      <c r="H17" s="50">
        <v>0</v>
      </c>
      <c r="I17" s="50">
        <v>4</v>
      </c>
      <c r="J17" s="50">
        <v>5</v>
      </c>
      <c r="K17" s="50">
        <v>5</v>
      </c>
      <c r="L17" s="50">
        <v>14</v>
      </c>
      <c r="M17" s="50">
        <v>108</v>
      </c>
      <c r="N17" s="50">
        <v>0</v>
      </c>
      <c r="O17" s="15">
        <f t="shared" si="0"/>
        <v>118</v>
      </c>
      <c r="P17" s="15">
        <f t="shared" si="1"/>
        <v>226</v>
      </c>
      <c r="R17" s="1" t="s">
        <v>13</v>
      </c>
      <c r="S17" s="17">
        <f t="shared" ref="S17:AF17" si="9">SUM(C38:C41)</f>
        <v>119</v>
      </c>
      <c r="T17" s="17">
        <f t="shared" si="9"/>
        <v>20</v>
      </c>
      <c r="U17" s="17">
        <f t="shared" si="9"/>
        <v>20</v>
      </c>
      <c r="V17" s="17">
        <f t="shared" si="9"/>
        <v>121</v>
      </c>
      <c r="W17" s="17">
        <f t="shared" si="9"/>
        <v>4</v>
      </c>
      <c r="X17" s="17">
        <f t="shared" si="9"/>
        <v>4</v>
      </c>
      <c r="Y17" s="17">
        <f t="shared" si="9"/>
        <v>30</v>
      </c>
      <c r="Z17" s="17">
        <f t="shared" si="9"/>
        <v>26</v>
      </c>
      <c r="AA17" s="17">
        <f t="shared" si="9"/>
        <v>13</v>
      </c>
      <c r="AB17" s="17">
        <f t="shared" si="9"/>
        <v>32</v>
      </c>
      <c r="AC17" s="17">
        <f t="shared" si="9"/>
        <v>381</v>
      </c>
      <c r="AD17" s="17">
        <f t="shared" si="9"/>
        <v>0</v>
      </c>
      <c r="AE17" s="31">
        <f t="shared" si="9"/>
        <v>389</v>
      </c>
      <c r="AF17" s="31">
        <f t="shared" si="9"/>
        <v>770</v>
      </c>
    </row>
    <row r="18" spans="2:32" ht="23.1" customHeight="1" x14ac:dyDescent="0.25">
      <c r="B18" s="23" t="s">
        <v>45</v>
      </c>
      <c r="C18" s="50">
        <v>67</v>
      </c>
      <c r="D18" s="50">
        <v>6</v>
      </c>
      <c r="E18" s="50">
        <v>5</v>
      </c>
      <c r="F18" s="50">
        <v>43</v>
      </c>
      <c r="G18" s="50">
        <v>2</v>
      </c>
      <c r="H18" s="50">
        <v>0</v>
      </c>
      <c r="I18" s="50">
        <v>8</v>
      </c>
      <c r="J18" s="50">
        <v>8</v>
      </c>
      <c r="K18" s="50">
        <v>6</v>
      </c>
      <c r="L18" s="50">
        <v>9</v>
      </c>
      <c r="M18" s="50">
        <v>103</v>
      </c>
      <c r="N18" s="50">
        <v>0</v>
      </c>
      <c r="O18" s="15">
        <f t="shared" si="0"/>
        <v>154</v>
      </c>
      <c r="P18" s="15">
        <f t="shared" si="1"/>
        <v>257</v>
      </c>
      <c r="R18" s="1" t="s">
        <v>14</v>
      </c>
      <c r="S18" s="17">
        <f t="shared" ref="S18:AF18" si="10">SUM(C42:C45)</f>
        <v>156</v>
      </c>
      <c r="T18" s="17">
        <f t="shared" si="10"/>
        <v>23</v>
      </c>
      <c r="U18" s="17">
        <f t="shared" si="10"/>
        <v>21</v>
      </c>
      <c r="V18" s="17">
        <f t="shared" si="10"/>
        <v>129</v>
      </c>
      <c r="W18" s="17">
        <f t="shared" si="10"/>
        <v>3</v>
      </c>
      <c r="X18" s="17">
        <f t="shared" si="10"/>
        <v>3</v>
      </c>
      <c r="Y18" s="17">
        <f t="shared" si="10"/>
        <v>38</v>
      </c>
      <c r="Z18" s="17">
        <f t="shared" si="10"/>
        <v>27</v>
      </c>
      <c r="AA18" s="17">
        <f t="shared" si="10"/>
        <v>29</v>
      </c>
      <c r="AB18" s="17">
        <f t="shared" si="10"/>
        <v>40</v>
      </c>
      <c r="AC18" s="17">
        <f t="shared" si="10"/>
        <v>401</v>
      </c>
      <c r="AD18" s="17">
        <f t="shared" si="10"/>
        <v>0</v>
      </c>
      <c r="AE18" s="31">
        <f t="shared" si="10"/>
        <v>469</v>
      </c>
      <c r="AF18" s="31">
        <f t="shared" si="10"/>
        <v>870</v>
      </c>
    </row>
    <row r="19" spans="2:32" ht="23.1" customHeight="1" x14ac:dyDescent="0.25">
      <c r="B19" s="23" t="s">
        <v>46</v>
      </c>
      <c r="C19" s="50">
        <v>33</v>
      </c>
      <c r="D19" s="50">
        <v>7</v>
      </c>
      <c r="E19" s="50">
        <v>4</v>
      </c>
      <c r="F19" s="50">
        <v>45</v>
      </c>
      <c r="G19" s="50">
        <v>2</v>
      </c>
      <c r="H19" s="50">
        <v>2</v>
      </c>
      <c r="I19" s="50">
        <v>6</v>
      </c>
      <c r="J19" s="50">
        <v>5</v>
      </c>
      <c r="K19" s="50">
        <v>6</v>
      </c>
      <c r="L19" s="50">
        <v>19</v>
      </c>
      <c r="M19" s="50">
        <v>88</v>
      </c>
      <c r="N19" s="50">
        <v>0</v>
      </c>
      <c r="O19" s="15">
        <f t="shared" si="0"/>
        <v>129</v>
      </c>
      <c r="P19" s="15">
        <f t="shared" si="1"/>
        <v>217</v>
      </c>
      <c r="R19" s="1" t="s">
        <v>15</v>
      </c>
      <c r="S19" s="17">
        <f t="shared" ref="S19:AF19" si="11">SUM(C46:C49)</f>
        <v>153</v>
      </c>
      <c r="T19" s="17">
        <f t="shared" si="11"/>
        <v>20</v>
      </c>
      <c r="U19" s="17">
        <f t="shared" si="11"/>
        <v>29</v>
      </c>
      <c r="V19" s="17">
        <f t="shared" si="11"/>
        <v>123</v>
      </c>
      <c r="W19" s="17">
        <f t="shared" si="11"/>
        <v>2</v>
      </c>
      <c r="X19" s="17">
        <f t="shared" si="11"/>
        <v>3</v>
      </c>
      <c r="Y19" s="17">
        <f t="shared" si="11"/>
        <v>35</v>
      </c>
      <c r="Z19" s="17">
        <f t="shared" si="11"/>
        <v>23</v>
      </c>
      <c r="AA19" s="17">
        <f t="shared" si="11"/>
        <v>12</v>
      </c>
      <c r="AB19" s="17">
        <f t="shared" si="11"/>
        <v>34</v>
      </c>
      <c r="AC19" s="17">
        <f t="shared" si="11"/>
        <v>391</v>
      </c>
      <c r="AD19" s="17">
        <f t="shared" si="11"/>
        <v>0</v>
      </c>
      <c r="AE19" s="31">
        <f t="shared" si="11"/>
        <v>434</v>
      </c>
      <c r="AF19" s="31">
        <f t="shared" si="11"/>
        <v>825</v>
      </c>
    </row>
    <row r="20" spans="2:32" ht="23.1" customHeight="1" x14ac:dyDescent="0.25">
      <c r="B20" s="23" t="s">
        <v>47</v>
      </c>
      <c r="C20" s="50">
        <v>48</v>
      </c>
      <c r="D20" s="50">
        <v>7</v>
      </c>
      <c r="E20" s="50">
        <v>1</v>
      </c>
      <c r="F20" s="50">
        <v>29</v>
      </c>
      <c r="G20" s="50">
        <v>1</v>
      </c>
      <c r="H20" s="50">
        <v>2</v>
      </c>
      <c r="I20" s="50">
        <v>5</v>
      </c>
      <c r="J20" s="50">
        <v>7</v>
      </c>
      <c r="K20" s="50">
        <v>6</v>
      </c>
      <c r="L20" s="50">
        <v>9</v>
      </c>
      <c r="M20" s="50">
        <v>118</v>
      </c>
      <c r="N20" s="50">
        <v>0</v>
      </c>
      <c r="O20" s="15">
        <f t="shared" si="0"/>
        <v>115</v>
      </c>
      <c r="P20" s="15">
        <f t="shared" si="1"/>
        <v>233</v>
      </c>
      <c r="R20" s="1" t="s">
        <v>16</v>
      </c>
      <c r="S20" s="17">
        <f t="shared" ref="S20:AF20" si="12">SUM(C50:C53)</f>
        <v>137</v>
      </c>
      <c r="T20" s="17">
        <f t="shared" si="12"/>
        <v>16</v>
      </c>
      <c r="U20" s="17">
        <f t="shared" si="12"/>
        <v>23</v>
      </c>
      <c r="V20" s="17">
        <f t="shared" si="12"/>
        <v>126</v>
      </c>
      <c r="W20" s="17">
        <f t="shared" si="12"/>
        <v>7</v>
      </c>
      <c r="X20" s="17">
        <f t="shared" si="12"/>
        <v>2</v>
      </c>
      <c r="Y20" s="17">
        <f t="shared" si="12"/>
        <v>54</v>
      </c>
      <c r="Z20" s="17">
        <f t="shared" si="12"/>
        <v>31</v>
      </c>
      <c r="AA20" s="17">
        <f t="shared" si="12"/>
        <v>15</v>
      </c>
      <c r="AB20" s="17">
        <f t="shared" si="12"/>
        <v>34</v>
      </c>
      <c r="AC20" s="17">
        <f t="shared" si="12"/>
        <v>377</v>
      </c>
      <c r="AD20" s="17">
        <f t="shared" si="12"/>
        <v>0</v>
      </c>
      <c r="AE20" s="31">
        <f t="shared" si="12"/>
        <v>445</v>
      </c>
      <c r="AF20" s="31">
        <f t="shared" si="12"/>
        <v>822</v>
      </c>
    </row>
    <row r="21" spans="2:32" ht="23.1" customHeight="1" x14ac:dyDescent="0.25">
      <c r="B21" s="23" t="s">
        <v>48</v>
      </c>
      <c r="C21" s="50">
        <v>31</v>
      </c>
      <c r="D21" s="50">
        <v>9</v>
      </c>
      <c r="E21" s="50">
        <v>7</v>
      </c>
      <c r="F21" s="50">
        <v>39</v>
      </c>
      <c r="G21" s="50">
        <v>2</v>
      </c>
      <c r="H21" s="50">
        <v>2</v>
      </c>
      <c r="I21" s="50">
        <v>8</v>
      </c>
      <c r="J21" s="50">
        <v>7</v>
      </c>
      <c r="K21" s="50">
        <v>3</v>
      </c>
      <c r="L21" s="50">
        <v>20</v>
      </c>
      <c r="M21" s="50">
        <v>97</v>
      </c>
      <c r="N21" s="50">
        <v>0</v>
      </c>
      <c r="O21" s="15">
        <f t="shared" si="0"/>
        <v>128</v>
      </c>
      <c r="P21" s="15">
        <f t="shared" si="1"/>
        <v>225</v>
      </c>
      <c r="R21" s="36" t="s">
        <v>20</v>
      </c>
      <c r="S21" s="34">
        <f t="shared" ref="S21:AF21" si="13">SUM(C54:C57)</f>
        <v>204</v>
      </c>
      <c r="T21" s="17">
        <f t="shared" si="13"/>
        <v>35</v>
      </c>
      <c r="U21" s="17">
        <f t="shared" si="13"/>
        <v>36</v>
      </c>
      <c r="V21" s="17">
        <f t="shared" si="13"/>
        <v>190</v>
      </c>
      <c r="W21" s="17">
        <f t="shared" si="13"/>
        <v>3</v>
      </c>
      <c r="X21" s="17">
        <f t="shared" si="13"/>
        <v>5</v>
      </c>
      <c r="Y21" s="17">
        <f t="shared" si="13"/>
        <v>44</v>
      </c>
      <c r="Z21" s="17">
        <f t="shared" si="13"/>
        <v>31</v>
      </c>
      <c r="AA21" s="17">
        <f t="shared" si="13"/>
        <v>21</v>
      </c>
      <c r="AB21" s="17">
        <f t="shared" si="13"/>
        <v>30</v>
      </c>
      <c r="AC21" s="17">
        <f t="shared" si="13"/>
        <v>386</v>
      </c>
      <c r="AD21" s="17">
        <f t="shared" si="13"/>
        <v>0</v>
      </c>
      <c r="AE21" s="31">
        <f t="shared" si="13"/>
        <v>599</v>
      </c>
      <c r="AF21" s="31">
        <f t="shared" si="13"/>
        <v>985</v>
      </c>
    </row>
    <row r="22" spans="2:32" ht="23.1" customHeight="1" x14ac:dyDescent="0.25">
      <c r="B22" s="23" t="s">
        <v>49</v>
      </c>
      <c r="C22" s="50">
        <v>39</v>
      </c>
      <c r="D22" s="50">
        <v>6</v>
      </c>
      <c r="E22" s="50">
        <v>2</v>
      </c>
      <c r="F22" s="50">
        <v>38</v>
      </c>
      <c r="G22" s="50">
        <v>1</v>
      </c>
      <c r="H22" s="50">
        <v>1</v>
      </c>
      <c r="I22" s="50">
        <v>6</v>
      </c>
      <c r="J22" s="50">
        <v>8</v>
      </c>
      <c r="K22" s="50">
        <v>6</v>
      </c>
      <c r="L22" s="50">
        <v>20</v>
      </c>
      <c r="M22" s="50">
        <v>93</v>
      </c>
      <c r="N22" s="50">
        <v>0</v>
      </c>
      <c r="O22" s="15">
        <f t="shared" si="0"/>
        <v>127</v>
      </c>
      <c r="P22" s="15">
        <f t="shared" si="1"/>
        <v>220</v>
      </c>
      <c r="R22" s="38" t="s">
        <v>90</v>
      </c>
      <c r="S22" s="39">
        <f>MAX(S10:S12)</f>
        <v>179</v>
      </c>
      <c r="T22" s="39">
        <f t="shared" ref="T22:AF22" si="14">MAX(T10:T12)</f>
        <v>29</v>
      </c>
      <c r="U22" s="39">
        <f t="shared" si="14"/>
        <v>25</v>
      </c>
      <c r="V22" s="39">
        <f t="shared" si="14"/>
        <v>198</v>
      </c>
      <c r="W22" s="39">
        <f t="shared" si="14"/>
        <v>7</v>
      </c>
      <c r="X22" s="39">
        <f t="shared" si="14"/>
        <v>6</v>
      </c>
      <c r="Y22" s="39">
        <f t="shared" si="14"/>
        <v>32</v>
      </c>
      <c r="Z22" s="39">
        <f t="shared" si="14"/>
        <v>27</v>
      </c>
      <c r="AA22" s="39">
        <f t="shared" si="14"/>
        <v>21</v>
      </c>
      <c r="AB22" s="39">
        <f t="shared" si="14"/>
        <v>57</v>
      </c>
      <c r="AC22" s="39">
        <f t="shared" si="14"/>
        <v>510</v>
      </c>
      <c r="AD22" s="39">
        <f t="shared" si="14"/>
        <v>0</v>
      </c>
      <c r="AE22" s="40">
        <f t="shared" si="14"/>
        <v>526</v>
      </c>
      <c r="AF22" s="40">
        <f t="shared" si="14"/>
        <v>946</v>
      </c>
    </row>
    <row r="23" spans="2:32" ht="23.1" customHeight="1" x14ac:dyDescent="0.25">
      <c r="B23" s="23" t="s">
        <v>50</v>
      </c>
      <c r="C23" s="50">
        <v>27</v>
      </c>
      <c r="D23" s="50">
        <v>2</v>
      </c>
      <c r="E23" s="50">
        <v>6</v>
      </c>
      <c r="F23" s="50">
        <v>32</v>
      </c>
      <c r="G23" s="50">
        <v>3</v>
      </c>
      <c r="H23" s="50">
        <v>2</v>
      </c>
      <c r="I23" s="50">
        <v>10</v>
      </c>
      <c r="J23" s="50">
        <v>3</v>
      </c>
      <c r="K23" s="50">
        <v>2</v>
      </c>
      <c r="L23" s="50">
        <v>27</v>
      </c>
      <c r="M23" s="50">
        <v>84</v>
      </c>
      <c r="N23" s="50">
        <v>0</v>
      </c>
      <c r="O23" s="15">
        <f t="shared" si="0"/>
        <v>114</v>
      </c>
      <c r="P23" s="15">
        <f t="shared" si="1"/>
        <v>198</v>
      </c>
      <c r="R23" s="38" t="s">
        <v>91</v>
      </c>
      <c r="S23" s="39">
        <f>MAX(S13:S18)</f>
        <v>156</v>
      </c>
      <c r="T23" s="39">
        <f t="shared" ref="T23:AF23" si="15">MAX(T13:T18)</f>
        <v>32</v>
      </c>
      <c r="U23" s="39">
        <f t="shared" si="15"/>
        <v>25</v>
      </c>
      <c r="V23" s="39">
        <f t="shared" si="15"/>
        <v>144</v>
      </c>
      <c r="W23" s="39">
        <f t="shared" si="15"/>
        <v>6</v>
      </c>
      <c r="X23" s="39">
        <f t="shared" si="15"/>
        <v>4</v>
      </c>
      <c r="Y23" s="39">
        <f t="shared" si="15"/>
        <v>50</v>
      </c>
      <c r="Z23" s="39">
        <f t="shared" si="15"/>
        <v>31</v>
      </c>
      <c r="AA23" s="39">
        <f t="shared" si="15"/>
        <v>29</v>
      </c>
      <c r="AB23" s="39">
        <f t="shared" si="15"/>
        <v>83</v>
      </c>
      <c r="AC23" s="39">
        <f t="shared" si="15"/>
        <v>401</v>
      </c>
      <c r="AD23" s="39">
        <f t="shared" si="15"/>
        <v>0</v>
      </c>
      <c r="AE23" s="40">
        <f t="shared" si="15"/>
        <v>469</v>
      </c>
      <c r="AF23" s="40">
        <f t="shared" si="15"/>
        <v>870</v>
      </c>
    </row>
    <row r="24" spans="2:32" ht="23.1" customHeight="1" x14ac:dyDescent="0.25">
      <c r="B24" s="23" t="s">
        <v>51</v>
      </c>
      <c r="C24" s="50">
        <v>29</v>
      </c>
      <c r="D24" s="50">
        <v>5</v>
      </c>
      <c r="E24" s="50">
        <v>6</v>
      </c>
      <c r="F24" s="50">
        <v>36</v>
      </c>
      <c r="G24" s="50">
        <v>2</v>
      </c>
      <c r="H24" s="50">
        <v>1</v>
      </c>
      <c r="I24" s="50">
        <v>10</v>
      </c>
      <c r="J24" s="50">
        <v>5</v>
      </c>
      <c r="K24" s="50">
        <v>2</v>
      </c>
      <c r="L24" s="50">
        <v>18</v>
      </c>
      <c r="M24" s="50">
        <v>74</v>
      </c>
      <c r="N24" s="50">
        <v>0</v>
      </c>
      <c r="O24" s="15">
        <f t="shared" si="0"/>
        <v>114</v>
      </c>
      <c r="P24" s="15">
        <f t="shared" si="1"/>
        <v>188</v>
      </c>
      <c r="R24" s="38" t="s">
        <v>92</v>
      </c>
      <c r="S24" s="39">
        <f>MAX(S19:S21)</f>
        <v>204</v>
      </c>
      <c r="T24" s="39">
        <f t="shared" ref="T24:AF24" si="16">MAX(T19:T21)</f>
        <v>35</v>
      </c>
      <c r="U24" s="39">
        <f t="shared" si="16"/>
        <v>36</v>
      </c>
      <c r="V24" s="39">
        <f t="shared" si="16"/>
        <v>190</v>
      </c>
      <c r="W24" s="39">
        <f t="shared" si="16"/>
        <v>7</v>
      </c>
      <c r="X24" s="39">
        <f t="shared" si="16"/>
        <v>5</v>
      </c>
      <c r="Y24" s="39">
        <f t="shared" si="16"/>
        <v>54</v>
      </c>
      <c r="Z24" s="39">
        <f t="shared" si="16"/>
        <v>31</v>
      </c>
      <c r="AA24" s="39">
        <f t="shared" si="16"/>
        <v>21</v>
      </c>
      <c r="AB24" s="39">
        <f t="shared" si="16"/>
        <v>34</v>
      </c>
      <c r="AC24" s="39">
        <f t="shared" si="16"/>
        <v>391</v>
      </c>
      <c r="AD24" s="39">
        <f t="shared" si="16"/>
        <v>0</v>
      </c>
      <c r="AE24" s="40">
        <f t="shared" si="16"/>
        <v>599</v>
      </c>
      <c r="AF24" s="40">
        <f t="shared" si="16"/>
        <v>985</v>
      </c>
    </row>
    <row r="25" spans="2:32" ht="23.1" customHeight="1" x14ac:dyDescent="0.25">
      <c r="B25" s="23" t="s">
        <v>52</v>
      </c>
      <c r="C25" s="50">
        <v>28</v>
      </c>
      <c r="D25" s="50">
        <v>4</v>
      </c>
      <c r="E25" s="50">
        <v>6</v>
      </c>
      <c r="F25" s="50">
        <v>33</v>
      </c>
      <c r="G25" s="50">
        <v>0</v>
      </c>
      <c r="H25" s="50">
        <v>0</v>
      </c>
      <c r="I25" s="50">
        <v>14</v>
      </c>
      <c r="J25" s="50">
        <v>1</v>
      </c>
      <c r="K25" s="50">
        <v>1</v>
      </c>
      <c r="L25" s="50">
        <v>18</v>
      </c>
      <c r="M25" s="50">
        <v>83</v>
      </c>
      <c r="N25" s="50">
        <v>0</v>
      </c>
      <c r="O25" s="15">
        <f t="shared" si="0"/>
        <v>105</v>
      </c>
      <c r="P25" s="15">
        <f t="shared" si="1"/>
        <v>188</v>
      </c>
      <c r="R25" s="37" t="s">
        <v>85</v>
      </c>
      <c r="S25" s="35">
        <f t="shared" ref="S25:AF25" si="17">SUM(S10:S12)</f>
        <v>490</v>
      </c>
      <c r="T25" s="16">
        <f t="shared" si="17"/>
        <v>75</v>
      </c>
      <c r="U25" s="16">
        <f t="shared" si="17"/>
        <v>67</v>
      </c>
      <c r="V25" s="16">
        <f t="shared" si="17"/>
        <v>484</v>
      </c>
      <c r="W25" s="16">
        <f t="shared" si="17"/>
        <v>18</v>
      </c>
      <c r="X25" s="16">
        <f t="shared" si="17"/>
        <v>11</v>
      </c>
      <c r="Y25" s="16">
        <f t="shared" si="17"/>
        <v>87</v>
      </c>
      <c r="Z25" s="16">
        <f t="shared" si="17"/>
        <v>65</v>
      </c>
      <c r="AA25" s="16">
        <f t="shared" si="17"/>
        <v>40</v>
      </c>
      <c r="AB25" s="16">
        <f t="shared" si="17"/>
        <v>141</v>
      </c>
      <c r="AC25" s="16">
        <f t="shared" si="17"/>
        <v>1320</v>
      </c>
      <c r="AD25" s="16">
        <f t="shared" si="17"/>
        <v>0</v>
      </c>
      <c r="AE25" s="32">
        <f t="shared" si="17"/>
        <v>1478</v>
      </c>
      <c r="AF25" s="32">
        <f t="shared" si="17"/>
        <v>2798</v>
      </c>
    </row>
    <row r="26" spans="2:32" ht="23.1" customHeight="1" x14ac:dyDescent="0.25">
      <c r="B26" s="23" t="s">
        <v>53</v>
      </c>
      <c r="C26" s="50">
        <v>22</v>
      </c>
      <c r="D26" s="50">
        <v>4</v>
      </c>
      <c r="E26" s="50">
        <v>7</v>
      </c>
      <c r="F26" s="50">
        <v>38</v>
      </c>
      <c r="G26" s="50">
        <v>1</v>
      </c>
      <c r="H26" s="50">
        <v>2</v>
      </c>
      <c r="I26" s="50">
        <v>5</v>
      </c>
      <c r="J26" s="50">
        <v>10</v>
      </c>
      <c r="K26" s="50">
        <v>3</v>
      </c>
      <c r="L26" s="50">
        <v>10</v>
      </c>
      <c r="M26" s="50">
        <v>101</v>
      </c>
      <c r="N26" s="50">
        <v>0</v>
      </c>
      <c r="O26" s="15">
        <f t="shared" si="0"/>
        <v>102</v>
      </c>
      <c r="P26" s="15">
        <f t="shared" si="1"/>
        <v>203</v>
      </c>
      <c r="R26" s="28" t="s">
        <v>86</v>
      </c>
      <c r="S26" s="16">
        <f t="shared" ref="S26:AF26" si="18">SUM(S13:S18)</f>
        <v>738</v>
      </c>
      <c r="T26" s="16">
        <f t="shared" si="18"/>
        <v>122</v>
      </c>
      <c r="U26" s="16">
        <f t="shared" si="18"/>
        <v>117</v>
      </c>
      <c r="V26" s="16">
        <f t="shared" si="18"/>
        <v>807</v>
      </c>
      <c r="W26" s="16">
        <f t="shared" si="18"/>
        <v>27</v>
      </c>
      <c r="X26" s="16">
        <f t="shared" si="18"/>
        <v>19</v>
      </c>
      <c r="Y26" s="16">
        <f t="shared" si="18"/>
        <v>238</v>
      </c>
      <c r="Z26" s="16">
        <f t="shared" si="18"/>
        <v>150</v>
      </c>
      <c r="AA26" s="16">
        <f t="shared" si="18"/>
        <v>102</v>
      </c>
      <c r="AB26" s="16">
        <f t="shared" si="18"/>
        <v>287</v>
      </c>
      <c r="AC26" s="16">
        <f t="shared" si="18"/>
        <v>2228</v>
      </c>
      <c r="AD26" s="16">
        <f t="shared" si="18"/>
        <v>0</v>
      </c>
      <c r="AE26" s="32">
        <f t="shared" si="18"/>
        <v>2607</v>
      </c>
      <c r="AF26" s="32">
        <f t="shared" si="18"/>
        <v>4835</v>
      </c>
    </row>
    <row r="27" spans="2:32" ht="23.1" customHeight="1" x14ac:dyDescent="0.25">
      <c r="B27" s="23" t="s">
        <v>54</v>
      </c>
      <c r="C27" s="50">
        <v>28</v>
      </c>
      <c r="D27" s="50">
        <v>2</v>
      </c>
      <c r="E27" s="50">
        <v>5</v>
      </c>
      <c r="F27" s="50">
        <v>30</v>
      </c>
      <c r="G27" s="50">
        <v>2</v>
      </c>
      <c r="H27" s="50">
        <v>0</v>
      </c>
      <c r="I27" s="50">
        <v>7</v>
      </c>
      <c r="J27" s="50">
        <v>7</v>
      </c>
      <c r="K27" s="50">
        <v>1</v>
      </c>
      <c r="L27" s="50">
        <v>8</v>
      </c>
      <c r="M27" s="50">
        <v>99</v>
      </c>
      <c r="N27" s="50">
        <v>0</v>
      </c>
      <c r="O27" s="15">
        <f t="shared" si="0"/>
        <v>90</v>
      </c>
      <c r="P27" s="15">
        <f t="shared" si="1"/>
        <v>189</v>
      </c>
      <c r="R27" s="29" t="s">
        <v>87</v>
      </c>
      <c r="S27" s="16">
        <f t="shared" ref="S27:AF27" si="19">SUM(S19:S21)</f>
        <v>494</v>
      </c>
      <c r="T27" s="16">
        <f t="shared" si="19"/>
        <v>71</v>
      </c>
      <c r="U27" s="16">
        <f t="shared" si="19"/>
        <v>88</v>
      </c>
      <c r="V27" s="16">
        <f t="shared" si="19"/>
        <v>439</v>
      </c>
      <c r="W27" s="16">
        <f t="shared" si="19"/>
        <v>12</v>
      </c>
      <c r="X27" s="16">
        <f t="shared" si="19"/>
        <v>10</v>
      </c>
      <c r="Y27" s="16">
        <f t="shared" si="19"/>
        <v>133</v>
      </c>
      <c r="Z27" s="16">
        <f t="shared" si="19"/>
        <v>85</v>
      </c>
      <c r="AA27" s="16">
        <f t="shared" si="19"/>
        <v>48</v>
      </c>
      <c r="AB27" s="16">
        <f t="shared" si="19"/>
        <v>98</v>
      </c>
      <c r="AC27" s="16">
        <f t="shared" si="19"/>
        <v>1154</v>
      </c>
      <c r="AD27" s="16">
        <f t="shared" si="19"/>
        <v>0</v>
      </c>
      <c r="AE27" s="32">
        <f t="shared" si="19"/>
        <v>1478</v>
      </c>
      <c r="AF27" s="32">
        <f t="shared" si="19"/>
        <v>2632</v>
      </c>
    </row>
    <row r="28" spans="2:32" ht="23.1" customHeight="1" x14ac:dyDescent="0.25">
      <c r="B28" s="23" t="s">
        <v>55</v>
      </c>
      <c r="C28" s="50">
        <v>46</v>
      </c>
      <c r="D28" s="50">
        <v>1</v>
      </c>
      <c r="E28" s="50">
        <v>1</v>
      </c>
      <c r="F28" s="50">
        <v>42</v>
      </c>
      <c r="G28" s="50">
        <v>1</v>
      </c>
      <c r="H28" s="50">
        <v>1</v>
      </c>
      <c r="I28" s="50">
        <v>12</v>
      </c>
      <c r="J28" s="50">
        <v>4</v>
      </c>
      <c r="K28" s="50">
        <v>6</v>
      </c>
      <c r="L28" s="50">
        <v>16</v>
      </c>
      <c r="M28" s="50">
        <v>87</v>
      </c>
      <c r="N28" s="50">
        <v>0</v>
      </c>
      <c r="O28" s="15">
        <f t="shared" si="0"/>
        <v>130</v>
      </c>
      <c r="P28" s="15">
        <f t="shared" si="1"/>
        <v>217</v>
      </c>
      <c r="R28" s="5" t="s">
        <v>17</v>
      </c>
      <c r="S28" s="16">
        <f t="shared" ref="S28:AF28" si="20">SUM(S10:S21)</f>
        <v>1722</v>
      </c>
      <c r="T28" s="16">
        <f t="shared" si="20"/>
        <v>268</v>
      </c>
      <c r="U28" s="16">
        <f t="shared" si="20"/>
        <v>272</v>
      </c>
      <c r="V28" s="16">
        <f t="shared" si="20"/>
        <v>1730</v>
      </c>
      <c r="W28" s="16">
        <f t="shared" si="20"/>
        <v>57</v>
      </c>
      <c r="X28" s="16">
        <f t="shared" si="20"/>
        <v>40</v>
      </c>
      <c r="Y28" s="16">
        <f t="shared" si="20"/>
        <v>458</v>
      </c>
      <c r="Z28" s="16">
        <f t="shared" si="20"/>
        <v>300</v>
      </c>
      <c r="AA28" s="16">
        <f t="shared" si="20"/>
        <v>190</v>
      </c>
      <c r="AB28" s="16">
        <f t="shared" si="20"/>
        <v>526</v>
      </c>
      <c r="AC28" s="16">
        <f t="shared" si="20"/>
        <v>4702</v>
      </c>
      <c r="AD28" s="16">
        <f t="shared" si="20"/>
        <v>0</v>
      </c>
      <c r="AE28" s="32">
        <f t="shared" si="20"/>
        <v>5563</v>
      </c>
      <c r="AF28" s="32">
        <f t="shared" si="20"/>
        <v>10265</v>
      </c>
    </row>
    <row r="29" spans="2:32" ht="23.1" customHeight="1" x14ac:dyDescent="0.25">
      <c r="B29" s="23" t="s">
        <v>56</v>
      </c>
      <c r="C29" s="50">
        <v>29</v>
      </c>
      <c r="D29" s="50">
        <v>4</v>
      </c>
      <c r="E29" s="50">
        <v>3</v>
      </c>
      <c r="F29" s="50">
        <v>23</v>
      </c>
      <c r="G29" s="50">
        <v>2</v>
      </c>
      <c r="H29" s="50">
        <v>0</v>
      </c>
      <c r="I29" s="50">
        <v>10</v>
      </c>
      <c r="J29" s="50">
        <v>6</v>
      </c>
      <c r="K29" s="50">
        <v>3</v>
      </c>
      <c r="L29" s="50">
        <v>8</v>
      </c>
      <c r="M29" s="50">
        <v>96</v>
      </c>
      <c r="N29" s="50">
        <v>0</v>
      </c>
      <c r="O29" s="15">
        <f t="shared" si="0"/>
        <v>88</v>
      </c>
      <c r="P29" s="15">
        <f t="shared" si="1"/>
        <v>184</v>
      </c>
      <c r="R29"/>
      <c r="S29" s="20"/>
      <c r="T29" s="19"/>
    </row>
    <row r="30" spans="2:32" ht="23.1" customHeight="1" x14ac:dyDescent="0.25">
      <c r="B30" s="23" t="s">
        <v>57</v>
      </c>
      <c r="C30" s="50">
        <v>29</v>
      </c>
      <c r="D30" s="50">
        <v>5</v>
      </c>
      <c r="E30" s="50">
        <v>5</v>
      </c>
      <c r="F30" s="50">
        <v>32</v>
      </c>
      <c r="G30" s="50">
        <v>1</v>
      </c>
      <c r="H30" s="50">
        <v>1</v>
      </c>
      <c r="I30" s="50">
        <v>11</v>
      </c>
      <c r="J30" s="50">
        <v>7</v>
      </c>
      <c r="K30" s="50">
        <v>1</v>
      </c>
      <c r="L30" s="50">
        <v>17</v>
      </c>
      <c r="M30" s="50">
        <v>86</v>
      </c>
      <c r="N30" s="50">
        <v>0</v>
      </c>
      <c r="O30" s="15">
        <f t="shared" si="0"/>
        <v>109</v>
      </c>
      <c r="P30" s="15">
        <f t="shared" si="1"/>
        <v>195</v>
      </c>
    </row>
    <row r="31" spans="2:32" ht="23.1" customHeight="1" x14ac:dyDescent="0.25">
      <c r="B31" s="24" t="s">
        <v>58</v>
      </c>
      <c r="C31" s="50">
        <v>26</v>
      </c>
      <c r="D31" s="50">
        <v>4</v>
      </c>
      <c r="E31" s="50">
        <v>3</v>
      </c>
      <c r="F31" s="50">
        <v>37</v>
      </c>
      <c r="G31" s="50">
        <v>1</v>
      </c>
      <c r="H31" s="50">
        <v>0</v>
      </c>
      <c r="I31" s="50">
        <v>14</v>
      </c>
      <c r="J31" s="50">
        <v>6</v>
      </c>
      <c r="K31" s="50">
        <v>5</v>
      </c>
      <c r="L31" s="50">
        <v>8</v>
      </c>
      <c r="M31" s="50">
        <v>85</v>
      </c>
      <c r="N31" s="50">
        <v>0</v>
      </c>
      <c r="O31" s="15">
        <f t="shared" si="0"/>
        <v>104</v>
      </c>
      <c r="P31" s="15">
        <f t="shared" si="1"/>
        <v>189</v>
      </c>
    </row>
    <row r="32" spans="2:32" ht="23.1" customHeight="1" x14ac:dyDescent="0.25">
      <c r="B32" s="24" t="s">
        <v>59</v>
      </c>
      <c r="C32" s="50">
        <v>21</v>
      </c>
      <c r="D32" s="50">
        <v>11</v>
      </c>
      <c r="E32" s="50">
        <v>5</v>
      </c>
      <c r="F32" s="50">
        <v>39</v>
      </c>
      <c r="G32" s="50">
        <v>3</v>
      </c>
      <c r="H32" s="50">
        <v>0</v>
      </c>
      <c r="I32" s="50">
        <v>13</v>
      </c>
      <c r="J32" s="50">
        <v>10</v>
      </c>
      <c r="K32" s="50">
        <v>5</v>
      </c>
      <c r="L32" s="50">
        <v>15</v>
      </c>
      <c r="M32" s="50">
        <v>93</v>
      </c>
      <c r="N32" s="50">
        <v>0</v>
      </c>
      <c r="O32" s="15">
        <f t="shared" si="0"/>
        <v>122</v>
      </c>
      <c r="P32" s="15">
        <f t="shared" si="1"/>
        <v>215</v>
      </c>
    </row>
    <row r="33" spans="2:20" ht="23.1" customHeight="1" x14ac:dyDescent="0.25">
      <c r="B33" s="23" t="s">
        <v>60</v>
      </c>
      <c r="C33" s="50">
        <v>22</v>
      </c>
      <c r="D33" s="50">
        <v>12</v>
      </c>
      <c r="E33" s="50">
        <v>2</v>
      </c>
      <c r="F33" s="50">
        <v>33</v>
      </c>
      <c r="G33" s="50">
        <v>1</v>
      </c>
      <c r="H33" s="50">
        <v>1</v>
      </c>
      <c r="I33" s="50">
        <v>12</v>
      </c>
      <c r="J33" s="50">
        <v>8</v>
      </c>
      <c r="K33" s="50">
        <v>9</v>
      </c>
      <c r="L33" s="50">
        <v>12</v>
      </c>
      <c r="M33" s="50">
        <v>86</v>
      </c>
      <c r="N33" s="50">
        <v>0</v>
      </c>
      <c r="O33" s="15">
        <f t="shared" si="0"/>
        <v>112</v>
      </c>
      <c r="P33" s="15">
        <f t="shared" si="1"/>
        <v>198</v>
      </c>
    </row>
    <row r="34" spans="2:20" ht="23.1" customHeight="1" x14ac:dyDescent="0.25">
      <c r="B34" s="24" t="s">
        <v>61</v>
      </c>
      <c r="C34" s="50">
        <v>29</v>
      </c>
      <c r="D34" s="50">
        <v>8</v>
      </c>
      <c r="E34" s="50">
        <v>4</v>
      </c>
      <c r="F34" s="50">
        <v>37</v>
      </c>
      <c r="G34" s="50">
        <v>1</v>
      </c>
      <c r="H34" s="50">
        <v>1</v>
      </c>
      <c r="I34" s="50">
        <v>7</v>
      </c>
      <c r="J34" s="50">
        <v>2</v>
      </c>
      <c r="K34" s="50">
        <v>5</v>
      </c>
      <c r="L34" s="50">
        <v>11</v>
      </c>
      <c r="M34" s="50">
        <v>83</v>
      </c>
      <c r="N34" s="50">
        <v>0</v>
      </c>
      <c r="O34" s="15">
        <f t="shared" si="0"/>
        <v>105</v>
      </c>
      <c r="P34" s="15">
        <f t="shared" si="1"/>
        <v>188</v>
      </c>
    </row>
    <row r="35" spans="2:20" ht="23.1" customHeight="1" x14ac:dyDescent="0.25">
      <c r="B35" s="24" t="s">
        <v>62</v>
      </c>
      <c r="C35" s="50">
        <v>19</v>
      </c>
      <c r="D35" s="50">
        <v>3</v>
      </c>
      <c r="E35" s="50">
        <v>5</v>
      </c>
      <c r="F35" s="50">
        <v>34</v>
      </c>
      <c r="G35" s="50">
        <v>1</v>
      </c>
      <c r="H35" s="50">
        <v>0</v>
      </c>
      <c r="I35" s="50">
        <v>10</v>
      </c>
      <c r="J35" s="50">
        <v>4</v>
      </c>
      <c r="K35" s="50">
        <v>7</v>
      </c>
      <c r="L35" s="50">
        <v>8</v>
      </c>
      <c r="M35" s="50">
        <v>119</v>
      </c>
      <c r="N35" s="50">
        <v>0</v>
      </c>
      <c r="O35" s="15">
        <f t="shared" si="0"/>
        <v>91</v>
      </c>
      <c r="P35" s="15">
        <f t="shared" si="1"/>
        <v>210</v>
      </c>
    </row>
    <row r="36" spans="2:20" ht="23.1" customHeight="1" x14ac:dyDescent="0.25">
      <c r="B36" s="24" t="s">
        <v>63</v>
      </c>
      <c r="C36" s="50">
        <v>31</v>
      </c>
      <c r="D36" s="50">
        <v>6</v>
      </c>
      <c r="E36" s="50">
        <v>9</v>
      </c>
      <c r="F36" s="50">
        <v>36</v>
      </c>
      <c r="G36" s="50">
        <v>0</v>
      </c>
      <c r="H36" s="50">
        <v>2</v>
      </c>
      <c r="I36" s="50">
        <v>13</v>
      </c>
      <c r="J36" s="50">
        <v>10</v>
      </c>
      <c r="K36" s="50">
        <v>4</v>
      </c>
      <c r="L36" s="50">
        <v>11</v>
      </c>
      <c r="M36" s="50">
        <v>84</v>
      </c>
      <c r="N36" s="50">
        <v>0</v>
      </c>
      <c r="O36" s="15">
        <f t="shared" si="0"/>
        <v>122</v>
      </c>
      <c r="P36" s="15">
        <f t="shared" si="1"/>
        <v>206</v>
      </c>
    </row>
    <row r="37" spans="2:20" ht="23.1" customHeight="1" x14ac:dyDescent="0.25">
      <c r="B37" s="23" t="s">
        <v>64</v>
      </c>
      <c r="C37" s="50">
        <v>38</v>
      </c>
      <c r="D37" s="50">
        <v>2</v>
      </c>
      <c r="E37" s="50">
        <v>7</v>
      </c>
      <c r="F37" s="50">
        <v>37</v>
      </c>
      <c r="G37" s="50">
        <v>0</v>
      </c>
      <c r="H37" s="50">
        <v>0</v>
      </c>
      <c r="I37" s="50">
        <v>16</v>
      </c>
      <c r="J37" s="50">
        <v>6</v>
      </c>
      <c r="K37" s="50">
        <v>0</v>
      </c>
      <c r="L37" s="50">
        <v>8</v>
      </c>
      <c r="M37" s="50">
        <v>93</v>
      </c>
      <c r="N37" s="50">
        <v>0</v>
      </c>
      <c r="O37" s="15">
        <f t="shared" si="0"/>
        <v>114</v>
      </c>
      <c r="P37" s="15">
        <f t="shared" si="1"/>
        <v>207</v>
      </c>
    </row>
    <row r="38" spans="2:20" ht="23.1" customHeight="1" x14ac:dyDescent="0.25">
      <c r="B38" s="24" t="s">
        <v>65</v>
      </c>
      <c r="C38" s="50">
        <v>29</v>
      </c>
      <c r="D38" s="50">
        <v>5</v>
      </c>
      <c r="E38" s="50">
        <v>4</v>
      </c>
      <c r="F38" s="50">
        <v>33</v>
      </c>
      <c r="G38" s="50">
        <v>1</v>
      </c>
      <c r="H38" s="50">
        <v>1</v>
      </c>
      <c r="I38" s="50">
        <v>12</v>
      </c>
      <c r="J38" s="50">
        <v>9</v>
      </c>
      <c r="K38" s="50">
        <v>5</v>
      </c>
      <c r="L38" s="50">
        <v>12</v>
      </c>
      <c r="M38" s="50">
        <v>79</v>
      </c>
      <c r="N38" s="50">
        <v>0</v>
      </c>
      <c r="O38" s="15">
        <f t="shared" si="0"/>
        <v>111</v>
      </c>
      <c r="P38" s="15">
        <f t="shared" si="1"/>
        <v>190</v>
      </c>
    </row>
    <row r="39" spans="2:20" ht="23.1" customHeight="1" x14ac:dyDescent="0.25">
      <c r="B39" s="24" t="s">
        <v>66</v>
      </c>
      <c r="C39" s="50">
        <v>30</v>
      </c>
      <c r="D39" s="50">
        <v>7</v>
      </c>
      <c r="E39" s="50">
        <v>4</v>
      </c>
      <c r="F39" s="50">
        <v>32</v>
      </c>
      <c r="G39" s="50">
        <v>0</v>
      </c>
      <c r="H39" s="50">
        <v>0</v>
      </c>
      <c r="I39" s="50">
        <v>8</v>
      </c>
      <c r="J39" s="50">
        <v>5</v>
      </c>
      <c r="K39" s="50">
        <v>3</v>
      </c>
      <c r="L39" s="50">
        <v>8</v>
      </c>
      <c r="M39" s="50">
        <v>128</v>
      </c>
      <c r="N39" s="50">
        <v>0</v>
      </c>
      <c r="O39" s="15">
        <f t="shared" si="0"/>
        <v>97</v>
      </c>
      <c r="P39" s="15">
        <f t="shared" si="1"/>
        <v>225</v>
      </c>
    </row>
    <row r="40" spans="2:20" ht="23.1" customHeight="1" x14ac:dyDescent="0.25">
      <c r="B40" s="24" t="s">
        <v>67</v>
      </c>
      <c r="C40" s="50">
        <v>22</v>
      </c>
      <c r="D40" s="50">
        <v>3</v>
      </c>
      <c r="E40" s="50">
        <v>5</v>
      </c>
      <c r="F40" s="50">
        <v>27</v>
      </c>
      <c r="G40" s="50">
        <v>2</v>
      </c>
      <c r="H40" s="50">
        <v>2</v>
      </c>
      <c r="I40" s="50">
        <v>6</v>
      </c>
      <c r="J40" s="50">
        <v>5</v>
      </c>
      <c r="K40" s="50">
        <v>2</v>
      </c>
      <c r="L40" s="50">
        <v>7</v>
      </c>
      <c r="M40" s="50">
        <v>97</v>
      </c>
      <c r="N40" s="50">
        <v>0</v>
      </c>
      <c r="O40" s="15">
        <f t="shared" si="0"/>
        <v>81</v>
      </c>
      <c r="P40" s="15">
        <f t="shared" si="1"/>
        <v>178</v>
      </c>
    </row>
    <row r="41" spans="2:20" ht="23.1" customHeight="1" x14ac:dyDescent="0.25">
      <c r="B41" s="23" t="s">
        <v>68</v>
      </c>
      <c r="C41" s="50">
        <v>38</v>
      </c>
      <c r="D41" s="50">
        <v>5</v>
      </c>
      <c r="E41" s="50">
        <v>7</v>
      </c>
      <c r="F41" s="50">
        <v>29</v>
      </c>
      <c r="G41" s="50">
        <v>1</v>
      </c>
      <c r="H41" s="50">
        <v>1</v>
      </c>
      <c r="I41" s="50">
        <v>4</v>
      </c>
      <c r="J41" s="50">
        <v>7</v>
      </c>
      <c r="K41" s="50">
        <v>3</v>
      </c>
      <c r="L41" s="50">
        <v>5</v>
      </c>
      <c r="M41" s="50">
        <v>77</v>
      </c>
      <c r="N41" s="50">
        <v>0</v>
      </c>
      <c r="O41" s="15">
        <f t="shared" si="0"/>
        <v>100</v>
      </c>
      <c r="P41" s="15">
        <f t="shared" si="1"/>
        <v>177</v>
      </c>
    </row>
    <row r="42" spans="2:20" ht="23.1" customHeight="1" x14ac:dyDescent="0.25">
      <c r="B42" s="24" t="s">
        <v>69</v>
      </c>
      <c r="C42" s="50">
        <v>47</v>
      </c>
      <c r="D42" s="50">
        <v>4</v>
      </c>
      <c r="E42" s="50">
        <v>8</v>
      </c>
      <c r="F42" s="50">
        <v>39</v>
      </c>
      <c r="G42" s="50">
        <v>2</v>
      </c>
      <c r="H42" s="50">
        <v>0</v>
      </c>
      <c r="I42" s="50">
        <v>10</v>
      </c>
      <c r="J42" s="50">
        <v>6</v>
      </c>
      <c r="K42" s="50">
        <v>11</v>
      </c>
      <c r="L42" s="50">
        <v>16</v>
      </c>
      <c r="M42" s="50">
        <v>93</v>
      </c>
      <c r="N42" s="50">
        <v>0</v>
      </c>
      <c r="O42" s="15">
        <f t="shared" si="0"/>
        <v>143</v>
      </c>
      <c r="P42" s="15">
        <f t="shared" si="1"/>
        <v>236</v>
      </c>
    </row>
    <row r="43" spans="2:20" ht="23.1" customHeight="1" x14ac:dyDescent="0.25">
      <c r="B43" s="23" t="s">
        <v>70</v>
      </c>
      <c r="C43" s="50">
        <v>31</v>
      </c>
      <c r="D43" s="50">
        <v>6</v>
      </c>
      <c r="E43" s="50">
        <v>6</v>
      </c>
      <c r="F43" s="50">
        <v>20</v>
      </c>
      <c r="G43" s="50">
        <v>0</v>
      </c>
      <c r="H43" s="50">
        <v>1</v>
      </c>
      <c r="I43" s="50">
        <v>9</v>
      </c>
      <c r="J43" s="50">
        <v>10</v>
      </c>
      <c r="K43" s="50">
        <v>8</v>
      </c>
      <c r="L43" s="50">
        <v>8</v>
      </c>
      <c r="M43" s="50">
        <v>91</v>
      </c>
      <c r="N43" s="50">
        <v>0</v>
      </c>
      <c r="O43" s="15">
        <f t="shared" si="0"/>
        <v>99</v>
      </c>
      <c r="P43" s="15">
        <f t="shared" si="1"/>
        <v>190</v>
      </c>
    </row>
    <row r="44" spans="2:20" ht="23.1" customHeight="1" x14ac:dyDescent="0.25">
      <c r="B44" s="25" t="s">
        <v>71</v>
      </c>
      <c r="C44" s="50">
        <v>40</v>
      </c>
      <c r="D44" s="50">
        <v>5</v>
      </c>
      <c r="E44" s="50">
        <v>4</v>
      </c>
      <c r="F44" s="50">
        <v>36</v>
      </c>
      <c r="G44" s="50">
        <v>0</v>
      </c>
      <c r="H44" s="50">
        <v>2</v>
      </c>
      <c r="I44" s="50">
        <v>13</v>
      </c>
      <c r="J44" s="50">
        <v>8</v>
      </c>
      <c r="K44" s="50">
        <v>6</v>
      </c>
      <c r="L44" s="50">
        <v>9</v>
      </c>
      <c r="M44" s="50">
        <v>112</v>
      </c>
      <c r="N44" s="50">
        <v>0</v>
      </c>
      <c r="O44" s="15">
        <f t="shared" si="0"/>
        <v>123</v>
      </c>
      <c r="P44" s="15">
        <f t="shared" si="1"/>
        <v>235</v>
      </c>
    </row>
    <row r="45" spans="2:20" ht="23.1" customHeight="1" x14ac:dyDescent="0.25">
      <c r="B45" s="23" t="s">
        <v>72</v>
      </c>
      <c r="C45" s="50">
        <v>38</v>
      </c>
      <c r="D45" s="50">
        <v>8</v>
      </c>
      <c r="E45" s="50">
        <v>3</v>
      </c>
      <c r="F45" s="50">
        <v>34</v>
      </c>
      <c r="G45" s="50">
        <v>1</v>
      </c>
      <c r="H45" s="50">
        <v>0</v>
      </c>
      <c r="I45" s="50">
        <v>6</v>
      </c>
      <c r="J45" s="50">
        <v>3</v>
      </c>
      <c r="K45" s="50">
        <v>4</v>
      </c>
      <c r="L45" s="50">
        <v>7</v>
      </c>
      <c r="M45" s="50">
        <v>105</v>
      </c>
      <c r="N45" s="50">
        <v>0</v>
      </c>
      <c r="O45" s="15">
        <f t="shared" si="0"/>
        <v>104</v>
      </c>
      <c r="P45" s="15">
        <f t="shared" si="1"/>
        <v>209</v>
      </c>
    </row>
    <row r="46" spans="2:20" ht="23.1" customHeight="1" x14ac:dyDescent="0.25">
      <c r="B46" s="24" t="s">
        <v>73</v>
      </c>
      <c r="C46" s="50">
        <v>48</v>
      </c>
      <c r="D46" s="50">
        <v>6</v>
      </c>
      <c r="E46" s="50">
        <v>8</v>
      </c>
      <c r="F46" s="50">
        <v>35</v>
      </c>
      <c r="G46" s="50">
        <v>0</v>
      </c>
      <c r="H46" s="50">
        <v>1</v>
      </c>
      <c r="I46" s="50">
        <v>7</v>
      </c>
      <c r="J46" s="50">
        <v>4</v>
      </c>
      <c r="K46" s="50">
        <v>3</v>
      </c>
      <c r="L46" s="50">
        <v>4</v>
      </c>
      <c r="M46" s="50">
        <v>74</v>
      </c>
      <c r="N46" s="50">
        <v>0</v>
      </c>
      <c r="O46" s="15">
        <f t="shared" si="0"/>
        <v>116</v>
      </c>
      <c r="P46" s="15">
        <f t="shared" si="1"/>
        <v>190</v>
      </c>
      <c r="R46" s="8"/>
      <c r="T46"/>
    </row>
    <row r="47" spans="2:20" ht="23.1" customHeight="1" x14ac:dyDescent="0.25">
      <c r="B47" s="24" t="s">
        <v>74</v>
      </c>
      <c r="C47" s="50">
        <v>32</v>
      </c>
      <c r="D47" s="50">
        <v>6</v>
      </c>
      <c r="E47" s="50">
        <v>6</v>
      </c>
      <c r="F47" s="50">
        <v>37</v>
      </c>
      <c r="G47" s="50">
        <v>1</v>
      </c>
      <c r="H47" s="50">
        <v>0</v>
      </c>
      <c r="I47" s="50">
        <v>6</v>
      </c>
      <c r="J47" s="50">
        <v>4</v>
      </c>
      <c r="K47" s="50">
        <v>2</v>
      </c>
      <c r="L47" s="50">
        <v>10</v>
      </c>
      <c r="M47" s="50">
        <v>89</v>
      </c>
      <c r="N47" s="50">
        <v>0</v>
      </c>
      <c r="O47" s="15">
        <f t="shared" si="0"/>
        <v>104</v>
      </c>
      <c r="P47" s="15">
        <f t="shared" si="1"/>
        <v>193</v>
      </c>
      <c r="R47" s="8"/>
      <c r="T47"/>
    </row>
    <row r="48" spans="2:20" ht="23.1" customHeight="1" x14ac:dyDescent="0.25">
      <c r="B48" s="24" t="s">
        <v>75</v>
      </c>
      <c r="C48" s="50">
        <v>52</v>
      </c>
      <c r="D48" s="50">
        <v>6</v>
      </c>
      <c r="E48" s="50">
        <v>10</v>
      </c>
      <c r="F48" s="50">
        <v>29</v>
      </c>
      <c r="G48" s="50">
        <v>0</v>
      </c>
      <c r="H48" s="50">
        <v>1</v>
      </c>
      <c r="I48" s="50">
        <v>11</v>
      </c>
      <c r="J48" s="50">
        <v>9</v>
      </c>
      <c r="K48" s="50">
        <v>4</v>
      </c>
      <c r="L48" s="50">
        <v>14</v>
      </c>
      <c r="M48" s="50">
        <v>123</v>
      </c>
      <c r="N48" s="50">
        <v>0</v>
      </c>
      <c r="O48" s="15">
        <f t="shared" si="0"/>
        <v>136</v>
      </c>
      <c r="P48" s="15">
        <f t="shared" si="1"/>
        <v>259</v>
      </c>
      <c r="R48" s="8"/>
      <c r="T48"/>
    </row>
    <row r="49" spans="2:20" ht="23.1" customHeight="1" x14ac:dyDescent="0.25">
      <c r="B49" s="23" t="s">
        <v>76</v>
      </c>
      <c r="C49" s="50">
        <v>21</v>
      </c>
      <c r="D49" s="50">
        <v>2</v>
      </c>
      <c r="E49" s="50">
        <v>5</v>
      </c>
      <c r="F49" s="50">
        <v>22</v>
      </c>
      <c r="G49" s="50">
        <v>1</v>
      </c>
      <c r="H49" s="50">
        <v>1</v>
      </c>
      <c r="I49" s="50">
        <v>11</v>
      </c>
      <c r="J49" s="50">
        <v>6</v>
      </c>
      <c r="K49" s="50">
        <v>3</v>
      </c>
      <c r="L49" s="50">
        <v>6</v>
      </c>
      <c r="M49" s="50">
        <v>105</v>
      </c>
      <c r="N49" s="50">
        <v>0</v>
      </c>
      <c r="O49" s="15">
        <f t="shared" si="0"/>
        <v>78</v>
      </c>
      <c r="P49" s="15">
        <f t="shared" si="1"/>
        <v>183</v>
      </c>
      <c r="R49" s="8"/>
      <c r="T49"/>
    </row>
    <row r="50" spans="2:20" ht="23.1" customHeight="1" x14ac:dyDescent="0.25">
      <c r="B50" s="24" t="s">
        <v>77</v>
      </c>
      <c r="C50" s="50">
        <v>37</v>
      </c>
      <c r="D50" s="50">
        <v>5</v>
      </c>
      <c r="E50" s="50">
        <v>5</v>
      </c>
      <c r="F50" s="50">
        <v>41</v>
      </c>
      <c r="G50" s="50">
        <v>1</v>
      </c>
      <c r="H50" s="50">
        <v>0</v>
      </c>
      <c r="I50" s="50">
        <v>13</v>
      </c>
      <c r="J50" s="50">
        <v>8</v>
      </c>
      <c r="K50" s="50">
        <v>4</v>
      </c>
      <c r="L50" s="50">
        <v>9</v>
      </c>
      <c r="M50" s="50">
        <v>113</v>
      </c>
      <c r="N50" s="50">
        <v>0</v>
      </c>
      <c r="O50" s="15">
        <f t="shared" si="0"/>
        <v>123</v>
      </c>
      <c r="P50" s="15">
        <f t="shared" si="1"/>
        <v>236</v>
      </c>
      <c r="R50" s="8"/>
      <c r="T50"/>
    </row>
    <row r="51" spans="2:20" ht="23.1" customHeight="1" x14ac:dyDescent="0.25">
      <c r="B51" s="24" t="s">
        <v>78</v>
      </c>
      <c r="C51" s="50">
        <v>30</v>
      </c>
      <c r="D51" s="50">
        <v>5</v>
      </c>
      <c r="E51" s="50">
        <v>7</v>
      </c>
      <c r="F51" s="50">
        <v>26</v>
      </c>
      <c r="G51" s="50">
        <v>4</v>
      </c>
      <c r="H51" s="50">
        <v>1</v>
      </c>
      <c r="I51" s="50">
        <v>15</v>
      </c>
      <c r="J51" s="50">
        <v>9</v>
      </c>
      <c r="K51" s="50">
        <v>5</v>
      </c>
      <c r="L51" s="50">
        <v>6</v>
      </c>
      <c r="M51" s="50">
        <v>92</v>
      </c>
      <c r="N51" s="50">
        <v>0</v>
      </c>
      <c r="O51" s="15">
        <f t="shared" si="0"/>
        <v>108</v>
      </c>
      <c r="P51" s="15">
        <f t="shared" si="1"/>
        <v>200</v>
      </c>
      <c r="R51" s="8"/>
      <c r="T51"/>
    </row>
    <row r="52" spans="2:20" ht="23.1" customHeight="1" x14ac:dyDescent="0.25">
      <c r="B52" s="24" t="s">
        <v>79</v>
      </c>
      <c r="C52" s="50">
        <v>34</v>
      </c>
      <c r="D52" s="50">
        <v>3</v>
      </c>
      <c r="E52" s="50">
        <v>8</v>
      </c>
      <c r="F52" s="50">
        <v>36</v>
      </c>
      <c r="G52" s="50">
        <v>0</v>
      </c>
      <c r="H52" s="50">
        <v>0</v>
      </c>
      <c r="I52" s="50">
        <v>13</v>
      </c>
      <c r="J52" s="50">
        <v>8</v>
      </c>
      <c r="K52" s="50">
        <v>3</v>
      </c>
      <c r="L52" s="50">
        <v>9</v>
      </c>
      <c r="M52" s="50">
        <v>78</v>
      </c>
      <c r="N52" s="50">
        <v>0</v>
      </c>
      <c r="O52" s="15">
        <f t="shared" si="0"/>
        <v>114</v>
      </c>
      <c r="P52" s="15">
        <f t="shared" si="1"/>
        <v>192</v>
      </c>
      <c r="R52" s="8"/>
      <c r="T52"/>
    </row>
    <row r="53" spans="2:20" ht="23.1" customHeight="1" x14ac:dyDescent="0.25">
      <c r="B53" s="23" t="s">
        <v>80</v>
      </c>
      <c r="C53" s="50">
        <v>36</v>
      </c>
      <c r="D53" s="50">
        <v>3</v>
      </c>
      <c r="E53" s="50">
        <v>3</v>
      </c>
      <c r="F53" s="50">
        <v>23</v>
      </c>
      <c r="G53" s="50">
        <v>2</v>
      </c>
      <c r="H53" s="50">
        <v>1</v>
      </c>
      <c r="I53" s="50">
        <v>13</v>
      </c>
      <c r="J53" s="50">
        <v>6</v>
      </c>
      <c r="K53" s="50">
        <v>3</v>
      </c>
      <c r="L53" s="50">
        <v>10</v>
      </c>
      <c r="M53" s="50">
        <v>94</v>
      </c>
      <c r="N53" s="50">
        <v>0</v>
      </c>
      <c r="O53" s="15">
        <f t="shared" si="0"/>
        <v>100</v>
      </c>
      <c r="P53" s="15">
        <f t="shared" si="1"/>
        <v>194</v>
      </c>
      <c r="R53" s="8"/>
      <c r="T53"/>
    </row>
    <row r="54" spans="2:20" ht="23.1" customHeight="1" x14ac:dyDescent="0.25">
      <c r="B54" s="23" t="s">
        <v>81</v>
      </c>
      <c r="C54" s="50">
        <v>48</v>
      </c>
      <c r="D54" s="50">
        <v>9</v>
      </c>
      <c r="E54" s="50">
        <v>8</v>
      </c>
      <c r="F54" s="50">
        <v>32</v>
      </c>
      <c r="G54" s="50">
        <v>1</v>
      </c>
      <c r="H54" s="50">
        <v>2</v>
      </c>
      <c r="I54" s="50">
        <v>17</v>
      </c>
      <c r="J54" s="50">
        <v>12</v>
      </c>
      <c r="K54" s="50">
        <v>4</v>
      </c>
      <c r="L54" s="50">
        <v>5</v>
      </c>
      <c r="M54" s="50">
        <v>108</v>
      </c>
      <c r="N54" s="50">
        <v>0</v>
      </c>
      <c r="O54" s="15">
        <f t="shared" si="0"/>
        <v>138</v>
      </c>
      <c r="P54" s="15">
        <f t="shared" si="1"/>
        <v>246</v>
      </c>
      <c r="R54" s="8"/>
      <c r="T54"/>
    </row>
    <row r="55" spans="2:20" ht="23.1" customHeight="1" x14ac:dyDescent="0.25">
      <c r="B55" s="23" t="s">
        <v>82</v>
      </c>
      <c r="C55" s="50">
        <v>54</v>
      </c>
      <c r="D55" s="50">
        <v>8</v>
      </c>
      <c r="E55" s="50">
        <v>13</v>
      </c>
      <c r="F55" s="50">
        <v>47</v>
      </c>
      <c r="G55" s="50">
        <v>0</v>
      </c>
      <c r="H55" s="50">
        <v>1</v>
      </c>
      <c r="I55" s="50">
        <v>7</v>
      </c>
      <c r="J55" s="50">
        <v>9</v>
      </c>
      <c r="K55" s="50">
        <v>3</v>
      </c>
      <c r="L55" s="50">
        <v>9</v>
      </c>
      <c r="M55" s="50">
        <v>94</v>
      </c>
      <c r="N55" s="50">
        <v>0</v>
      </c>
      <c r="O55" s="15">
        <f t="shared" si="0"/>
        <v>151</v>
      </c>
      <c r="P55" s="15">
        <f t="shared" si="1"/>
        <v>245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2</v>
      </c>
      <c r="E56" s="50">
        <v>1</v>
      </c>
      <c r="F56" s="50">
        <v>58</v>
      </c>
      <c r="G56" s="50">
        <v>1</v>
      </c>
      <c r="H56" s="50">
        <v>0</v>
      </c>
      <c r="I56" s="50">
        <v>7</v>
      </c>
      <c r="J56" s="50">
        <v>2</v>
      </c>
      <c r="K56" s="50">
        <v>6</v>
      </c>
      <c r="L56" s="50">
        <v>6</v>
      </c>
      <c r="M56" s="50">
        <v>95</v>
      </c>
      <c r="N56" s="50">
        <v>0</v>
      </c>
      <c r="O56" s="15">
        <f t="shared" si="0"/>
        <v>133</v>
      </c>
      <c r="P56" s="15">
        <f t="shared" si="1"/>
        <v>228</v>
      </c>
      <c r="R56" s="8"/>
      <c r="T56"/>
    </row>
    <row r="57" spans="2:20" ht="23.1" customHeight="1" x14ac:dyDescent="0.25">
      <c r="B57" s="23" t="s">
        <v>84</v>
      </c>
      <c r="C57" s="50">
        <v>52</v>
      </c>
      <c r="D57" s="50">
        <v>16</v>
      </c>
      <c r="E57" s="50">
        <v>14</v>
      </c>
      <c r="F57" s="50">
        <v>53</v>
      </c>
      <c r="G57" s="50">
        <v>1</v>
      </c>
      <c r="H57" s="50">
        <v>2</v>
      </c>
      <c r="I57" s="50">
        <v>13</v>
      </c>
      <c r="J57" s="50">
        <v>8</v>
      </c>
      <c r="K57" s="50">
        <v>8</v>
      </c>
      <c r="L57" s="50">
        <v>10</v>
      </c>
      <c r="M57" s="50">
        <v>89</v>
      </c>
      <c r="N57" s="50">
        <v>0</v>
      </c>
      <c r="O57" s="15">
        <f t="shared" si="0"/>
        <v>177</v>
      </c>
      <c r="P57" s="15">
        <f t="shared" si="1"/>
        <v>266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1722</v>
      </c>
      <c r="D58" s="16">
        <f t="shared" si="21"/>
        <v>268</v>
      </c>
      <c r="E58" s="16">
        <f t="shared" si="21"/>
        <v>272</v>
      </c>
      <c r="F58" s="16">
        <f t="shared" si="21"/>
        <v>1730</v>
      </c>
      <c r="G58" s="16">
        <f t="shared" si="21"/>
        <v>57</v>
      </c>
      <c r="H58" s="16">
        <f t="shared" si="21"/>
        <v>40</v>
      </c>
      <c r="I58" s="16">
        <f t="shared" si="21"/>
        <v>458</v>
      </c>
      <c r="J58" s="16">
        <f t="shared" si="21"/>
        <v>300</v>
      </c>
      <c r="K58" s="16">
        <f t="shared" si="21"/>
        <v>190</v>
      </c>
      <c r="L58" s="16">
        <f t="shared" si="21"/>
        <v>526</v>
      </c>
      <c r="M58" s="16">
        <f t="shared" si="21"/>
        <v>4702</v>
      </c>
      <c r="N58" s="16">
        <f t="shared" si="21"/>
        <v>0</v>
      </c>
      <c r="O58" s="16">
        <f t="shared" si="21"/>
        <v>5563</v>
      </c>
      <c r="P58" s="16">
        <f t="shared" si="21"/>
        <v>10265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0.16775450560155869</v>
      </c>
      <c r="D59" s="43">
        <f t="shared" si="22"/>
        <v>2.610813443740867E-2</v>
      </c>
      <c r="E59" s="43">
        <f t="shared" si="22"/>
        <v>2.6497808085728203E-2</v>
      </c>
      <c r="F59" s="43">
        <f t="shared" si="22"/>
        <v>0.16853385289819775</v>
      </c>
      <c r="G59" s="43">
        <f t="shared" si="22"/>
        <v>5.552849488553337E-3</v>
      </c>
      <c r="H59" s="43">
        <f t="shared" si="22"/>
        <v>3.8967364831953241E-3</v>
      </c>
      <c r="I59" s="43">
        <f t="shared" si="22"/>
        <v>4.4617632732586461E-2</v>
      </c>
      <c r="J59" s="43">
        <f t="shared" si="22"/>
        <v>2.9225523623964928E-2</v>
      </c>
      <c r="K59" s="43">
        <f t="shared" si="22"/>
        <v>1.8509498295177788E-2</v>
      </c>
      <c r="L59" s="43">
        <f t="shared" si="22"/>
        <v>5.1242084754018508E-2</v>
      </c>
      <c r="M59" s="43">
        <f t="shared" si="22"/>
        <v>0.4580613735996103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0.30954520941937802</v>
      </c>
      <c r="D60" s="44">
        <f t="shared" ref="D60:N60" si="23">D58/$O$58</f>
        <v>4.8175444903828871E-2</v>
      </c>
      <c r="E60" s="44">
        <f t="shared" si="23"/>
        <v>4.8894481394930793E-2</v>
      </c>
      <c r="F60" s="44">
        <f t="shared" si="23"/>
        <v>0.31098328240158191</v>
      </c>
      <c r="G60" s="44">
        <f t="shared" si="23"/>
        <v>1.0246269998202408E-2</v>
      </c>
      <c r="H60" s="44">
        <f t="shared" si="23"/>
        <v>7.1903649110192343E-3</v>
      </c>
      <c r="I60" s="44">
        <f t="shared" si="23"/>
        <v>8.2329678231170225E-2</v>
      </c>
      <c r="J60" s="44">
        <f t="shared" si="23"/>
        <v>5.3927736832644256E-2</v>
      </c>
      <c r="K60" s="44">
        <f t="shared" si="23"/>
        <v>3.4154233327341361E-2</v>
      </c>
      <c r="L60" s="44">
        <f t="shared" si="23"/>
        <v>9.4553298579902925E-2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L91" zoomScale="60" workbookViewId="0">
      <selection activeCell="U89" sqref="U8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'4.11 Mbalala-Mukono'!C3:G3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'4.11 Mukono-Mbalala '!G5:H5</f>
        <v>Perfect tents</v>
      </c>
      <c r="H5" s="62"/>
      <c r="I5" s="14"/>
      <c r="J5" s="2" t="s">
        <v>5</v>
      </c>
      <c r="K5" s="61" t="str">
        <f>'4.11 Mukono-Mbalala '!K5:L5</f>
        <v>Julius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'4.11 Mukono-Mbalala '!D6:E6</f>
        <v>Mukono</v>
      </c>
      <c r="E6" s="62"/>
      <c r="F6" s="2" t="s">
        <v>2</v>
      </c>
      <c r="G6" s="61" t="str">
        <f>'4.11 Mukono-Mbalala '!G6:H6</f>
        <v>Mbalala</v>
      </c>
      <c r="H6" s="62"/>
      <c r="J6" s="2" t="s">
        <v>21</v>
      </c>
      <c r="K6" s="61" t="str">
        <f>'4.11 Mukono-Mbalala 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AVERAGE('29.10 Mukono-Mbalala'!C10,'30.10.Mukono-Mbalala'!C10,'31.10 Mukono-Mbalala'!C10,'3.11 Mukono-Mbalala'!C10,'1.11 Mukono-Mbalala-24h'!C10,'2.11 Mukono-Mbalala-24h'!C10,'4.11 Mukono-Mbalala '!C10)</f>
        <v>39.714285714285715</v>
      </c>
      <c r="D10" s="49">
        <f>AVERAGE('29.10 Mukono-Mbalala'!D10,'30.10.Mukono-Mbalala'!D10,'31.10 Mukono-Mbalala'!D10,'3.11 Mukono-Mbalala'!D10,'1.11 Mukono-Mbalala-24h'!D10,'2.11 Mukono-Mbalala-24h'!D10,'4.11 Mukono-Mbalala '!D10)</f>
        <v>16.857142857142858</v>
      </c>
      <c r="E10" s="49">
        <f>AVERAGE('29.10 Mukono-Mbalala'!E10,'30.10.Mukono-Mbalala'!E10,'31.10 Mukono-Mbalala'!E10,'3.11 Mukono-Mbalala'!E10,'1.11 Mukono-Mbalala-24h'!E10,'2.11 Mukono-Mbalala-24h'!E10,'4.11 Mukono-Mbalala '!E10)</f>
        <v>6.7142857142857144</v>
      </c>
      <c r="F10" s="49">
        <f>AVERAGE('29.10 Mukono-Mbalala'!F10,'30.10.Mukono-Mbalala'!F10,'31.10 Mukono-Mbalala'!F10,'3.11 Mukono-Mbalala'!F10,'1.11 Mukono-Mbalala-24h'!F10,'2.11 Mukono-Mbalala-24h'!F10,'4.11 Mukono-Mbalala '!F10)</f>
        <v>32.428571428571431</v>
      </c>
      <c r="G10" s="49">
        <f>AVERAGE('29.10 Mukono-Mbalala'!G10,'30.10.Mukono-Mbalala'!G10,'31.10 Mukono-Mbalala'!G10,'3.11 Mukono-Mbalala'!G10,'1.11 Mukono-Mbalala-24h'!G10,'2.11 Mukono-Mbalala-24h'!G10,'4.11 Mukono-Mbalala '!G10)</f>
        <v>2.5714285714285716</v>
      </c>
      <c r="H10" s="49">
        <f>AVERAGE('29.10 Mukono-Mbalala'!H10,'30.10.Mukono-Mbalala'!H10,'31.10 Mukono-Mbalala'!H10,'3.11 Mukono-Mbalala'!H10,'1.11 Mukono-Mbalala-24h'!H10,'2.11 Mukono-Mbalala-24h'!H10,'4.11 Mukono-Mbalala '!H10)</f>
        <v>1.1428571428571428</v>
      </c>
      <c r="I10" s="49">
        <f>AVERAGE('29.10 Mukono-Mbalala'!I10,'30.10.Mukono-Mbalala'!I10,'31.10 Mukono-Mbalala'!I10,'3.11 Mukono-Mbalala'!I10,'1.11 Mukono-Mbalala-24h'!I10,'2.11 Mukono-Mbalala-24h'!I10,'4.11 Mukono-Mbalala '!I10)</f>
        <v>11</v>
      </c>
      <c r="J10" s="49">
        <f>AVERAGE('29.10 Mukono-Mbalala'!J10,'30.10.Mukono-Mbalala'!J10,'31.10 Mukono-Mbalala'!J10,'3.11 Mukono-Mbalala'!J10,'1.11 Mukono-Mbalala-24h'!J10,'2.11 Mukono-Mbalala-24h'!J10,'4.11 Mukono-Mbalala '!J10)</f>
        <v>7.8571428571428568</v>
      </c>
      <c r="K10" s="49">
        <f>AVERAGE('29.10 Mukono-Mbalala'!K10,'30.10.Mukono-Mbalala'!K10,'31.10 Mukono-Mbalala'!K10,'3.11 Mukono-Mbalala'!K10,'1.11 Mukono-Mbalala-24h'!K10,'2.11 Mukono-Mbalala-24h'!K10,'4.11 Mukono-Mbalala '!K10)</f>
        <v>4.5714285714285712</v>
      </c>
      <c r="L10" s="49">
        <f>AVERAGE('29.10 Mukono-Mbalala'!L10,'30.10.Mukono-Mbalala'!L10,'31.10 Mukono-Mbalala'!L10,'3.11 Mukono-Mbalala'!L10,'1.11 Mukono-Mbalala-24h'!L10,'2.11 Mukono-Mbalala-24h'!L10,'4.11 Mukono-Mbalala '!L10)</f>
        <v>10.285714285714286</v>
      </c>
      <c r="M10" s="49">
        <f>AVERAGE('29.10 Mukono-Mbalala'!M10,'30.10.Mukono-Mbalala'!M10,'31.10 Mukono-Mbalala'!M10,'3.11 Mukono-Mbalala'!M10,'1.11 Mukono-Mbalala-24h'!M10,'2.11 Mukono-Mbalala-24h'!M10,'4.11 Mukono-Mbalala '!M10)</f>
        <v>69.428571428571431</v>
      </c>
      <c r="N10" s="49">
        <f>AVERAGE('29.10 Mukono-Mbalala'!N10,'30.10.Mukono-Mbalala'!N10,'31.10 Mukono-Mbalala'!N10,'3.11 Mukono-Mbalala'!N10,'1.11 Mukono-Mbalala-24h'!N10,'2.11 Mukono-Mbalala-24h'!N10,'4.11 Mukono-Mbalala '!N10)</f>
        <v>0</v>
      </c>
      <c r="O10" s="15">
        <f t="shared" ref="O10:O73" si="0">SUM(C10:L10,N10)</f>
        <v>133.14285714285714</v>
      </c>
      <c r="P10" s="15">
        <f t="shared" ref="P10:P73" si="1">SUM(C10:N10)</f>
        <v>202.57142857142856</v>
      </c>
      <c r="R10" s="1" t="s">
        <v>6</v>
      </c>
      <c r="S10" s="17">
        <f t="shared" ref="S10:AF10" si="2">SUM(C10:C13)</f>
        <v>162.14285714285717</v>
      </c>
      <c r="T10" s="17">
        <f t="shared" si="2"/>
        <v>45</v>
      </c>
      <c r="U10" s="17">
        <f t="shared" si="2"/>
        <v>30.571428571428569</v>
      </c>
      <c r="V10" s="17">
        <f t="shared" si="2"/>
        <v>128.71428571428569</v>
      </c>
      <c r="W10" s="17">
        <f t="shared" si="2"/>
        <v>10.285714285714285</v>
      </c>
      <c r="X10" s="17">
        <f t="shared" si="2"/>
        <v>6</v>
      </c>
      <c r="Y10" s="17">
        <f t="shared" si="2"/>
        <v>35.142857142857146</v>
      </c>
      <c r="Z10" s="17">
        <f t="shared" si="2"/>
        <v>20.571428571428569</v>
      </c>
      <c r="AA10" s="17">
        <f t="shared" si="2"/>
        <v>15.142857142857144</v>
      </c>
      <c r="AB10" s="17">
        <f t="shared" si="2"/>
        <v>43.857142857142861</v>
      </c>
      <c r="AC10" s="17">
        <f t="shared" si="2"/>
        <v>316.71428571428567</v>
      </c>
      <c r="AD10" s="17">
        <f t="shared" si="2"/>
        <v>0</v>
      </c>
      <c r="AE10" s="31">
        <f t="shared" si="2"/>
        <v>497.42857142857139</v>
      </c>
      <c r="AF10" s="31">
        <f t="shared" si="2"/>
        <v>814.14285714285711</v>
      </c>
    </row>
    <row r="11" spans="2:32" s="6" customFormat="1" ht="23.1" customHeight="1" x14ac:dyDescent="0.25">
      <c r="B11" s="23" t="s">
        <v>38</v>
      </c>
      <c r="C11" s="49">
        <f>AVERAGE('29.10 Mukono-Mbalala'!C11,'30.10.Mukono-Mbalala'!C11,'31.10 Mukono-Mbalala'!C11,'3.11 Mukono-Mbalala'!C11,'1.11 Mukono-Mbalala-24h'!C11,'2.11 Mukono-Mbalala-24h'!C11,'4.11 Mukono-Mbalala '!C11)</f>
        <v>35.714285714285715</v>
      </c>
      <c r="D11" s="49">
        <f>AVERAGE('29.10 Mukono-Mbalala'!D11,'30.10.Mukono-Mbalala'!D11,'31.10 Mukono-Mbalala'!D11,'3.11 Mukono-Mbalala'!D11,'1.11 Mukono-Mbalala-24h'!D11,'2.11 Mukono-Mbalala-24h'!D11,'4.11 Mukono-Mbalala '!D11)</f>
        <v>10.428571428571429</v>
      </c>
      <c r="E11" s="49">
        <f>AVERAGE('29.10 Mukono-Mbalala'!E11,'30.10.Mukono-Mbalala'!E11,'31.10 Mukono-Mbalala'!E11,'3.11 Mukono-Mbalala'!E11,'1.11 Mukono-Mbalala-24h'!E11,'2.11 Mukono-Mbalala-24h'!E11,'4.11 Mukono-Mbalala '!E11)</f>
        <v>9.2857142857142865</v>
      </c>
      <c r="F11" s="49">
        <f>AVERAGE('29.10 Mukono-Mbalala'!F11,'30.10.Mukono-Mbalala'!F11,'31.10 Mukono-Mbalala'!F11,'3.11 Mukono-Mbalala'!F11,'1.11 Mukono-Mbalala-24h'!F11,'2.11 Mukono-Mbalala-24h'!F11,'4.11 Mukono-Mbalala '!F11)</f>
        <v>31.142857142857142</v>
      </c>
      <c r="G11" s="49">
        <f>AVERAGE('29.10 Mukono-Mbalala'!G11,'30.10.Mukono-Mbalala'!G11,'31.10 Mukono-Mbalala'!G11,'3.11 Mukono-Mbalala'!G11,'1.11 Mukono-Mbalala-24h'!G11,'2.11 Mukono-Mbalala-24h'!G11,'4.11 Mukono-Mbalala '!G11)</f>
        <v>3.1428571428571428</v>
      </c>
      <c r="H11" s="49">
        <f>AVERAGE('29.10 Mukono-Mbalala'!H11,'30.10.Mukono-Mbalala'!H11,'31.10 Mukono-Mbalala'!H11,'3.11 Mukono-Mbalala'!H11,'1.11 Mukono-Mbalala-24h'!H11,'2.11 Mukono-Mbalala-24h'!H11,'4.11 Mukono-Mbalala '!H11)</f>
        <v>2</v>
      </c>
      <c r="I11" s="49">
        <f>AVERAGE('29.10 Mukono-Mbalala'!I11,'30.10.Mukono-Mbalala'!I11,'31.10 Mukono-Mbalala'!I11,'3.11 Mukono-Mbalala'!I11,'1.11 Mukono-Mbalala-24h'!I11,'2.11 Mukono-Mbalala-24h'!I11,'4.11 Mukono-Mbalala '!I11)</f>
        <v>9.8571428571428577</v>
      </c>
      <c r="J11" s="49">
        <f>AVERAGE('29.10 Mukono-Mbalala'!J11,'30.10.Mukono-Mbalala'!J11,'31.10 Mukono-Mbalala'!J11,'3.11 Mukono-Mbalala'!J11,'1.11 Mukono-Mbalala-24h'!J11,'2.11 Mukono-Mbalala-24h'!J11,'4.11 Mukono-Mbalala '!J11)</f>
        <v>4.8571428571428568</v>
      </c>
      <c r="K11" s="49">
        <f>AVERAGE('29.10 Mukono-Mbalala'!K11,'30.10.Mukono-Mbalala'!K11,'31.10 Mukono-Mbalala'!K11,'3.11 Mukono-Mbalala'!K11,'1.11 Mukono-Mbalala-24h'!K11,'2.11 Mukono-Mbalala-24h'!K11,'4.11 Mukono-Mbalala '!K11)</f>
        <v>6.1428571428571432</v>
      </c>
      <c r="L11" s="49">
        <f>AVERAGE('29.10 Mukono-Mbalala'!L11,'30.10.Mukono-Mbalala'!L11,'31.10 Mukono-Mbalala'!L11,'3.11 Mukono-Mbalala'!L11,'1.11 Mukono-Mbalala-24h'!L11,'2.11 Mukono-Mbalala-24h'!L11,'4.11 Mukono-Mbalala '!L11)</f>
        <v>9.2857142857142865</v>
      </c>
      <c r="M11" s="49">
        <f>AVERAGE('29.10 Mukono-Mbalala'!M11,'30.10.Mukono-Mbalala'!M11,'31.10 Mukono-Mbalala'!M11,'3.11 Mukono-Mbalala'!M11,'1.11 Mukono-Mbalala-24h'!M11,'2.11 Mukono-Mbalala-24h'!M11,'4.11 Mukono-Mbalala '!M11)</f>
        <v>69.142857142857139</v>
      </c>
      <c r="N11" s="49">
        <f>AVERAGE('29.10 Mukono-Mbalala'!N11,'30.10.Mukono-Mbalala'!N11,'31.10 Mukono-Mbalala'!N11,'3.11 Mukono-Mbalala'!N11,'1.11 Mukono-Mbalala-24h'!N11,'2.11 Mukono-Mbalala-24h'!N11,'4.11 Mukono-Mbalala '!N11)</f>
        <v>0</v>
      </c>
      <c r="O11" s="15">
        <f t="shared" si="0"/>
        <v>121.85714285714286</v>
      </c>
      <c r="P11" s="15">
        <f t="shared" si="1"/>
        <v>191</v>
      </c>
      <c r="R11" s="1" t="s">
        <v>7</v>
      </c>
      <c r="S11" s="17">
        <f t="shared" ref="S11:AF11" si="3">SUM(C14:C17)</f>
        <v>171.71428571428572</v>
      </c>
      <c r="T11" s="17">
        <f t="shared" si="3"/>
        <v>41.285714285714292</v>
      </c>
      <c r="U11" s="17">
        <f t="shared" si="3"/>
        <v>32.714285714285715</v>
      </c>
      <c r="V11" s="17">
        <f t="shared" si="3"/>
        <v>147</v>
      </c>
      <c r="W11" s="17">
        <f t="shared" si="3"/>
        <v>5.9999999999999991</v>
      </c>
      <c r="X11" s="17">
        <f t="shared" si="3"/>
        <v>5.5714285714285721</v>
      </c>
      <c r="Y11" s="17">
        <f t="shared" si="3"/>
        <v>32.285714285714285</v>
      </c>
      <c r="Z11" s="17">
        <f t="shared" si="3"/>
        <v>18.285714285714285</v>
      </c>
      <c r="AA11" s="17">
        <f t="shared" si="3"/>
        <v>12.571428571428571</v>
      </c>
      <c r="AB11" s="17">
        <f t="shared" si="3"/>
        <v>30</v>
      </c>
      <c r="AC11" s="17">
        <f t="shared" si="3"/>
        <v>396.71428571428567</v>
      </c>
      <c r="AD11" s="17">
        <f t="shared" si="3"/>
        <v>0.14285714285714285</v>
      </c>
      <c r="AE11" s="31">
        <f t="shared" si="3"/>
        <v>497.57142857142856</v>
      </c>
      <c r="AF11" s="31">
        <f t="shared" si="3"/>
        <v>894.28571428571422</v>
      </c>
    </row>
    <row r="12" spans="2:32" ht="23.1" customHeight="1" x14ac:dyDescent="0.25">
      <c r="B12" s="23" t="s">
        <v>39</v>
      </c>
      <c r="C12" s="49">
        <f>AVERAGE('29.10 Mukono-Mbalala'!C12,'30.10.Mukono-Mbalala'!C12,'31.10 Mukono-Mbalala'!C12,'3.11 Mukono-Mbalala'!C12,'1.11 Mukono-Mbalala-24h'!C12,'2.11 Mukono-Mbalala-24h'!C12,'4.11 Mukono-Mbalala '!C12)</f>
        <v>42.285714285714285</v>
      </c>
      <c r="D12" s="49">
        <f>AVERAGE('29.10 Mukono-Mbalala'!D12,'30.10.Mukono-Mbalala'!D12,'31.10 Mukono-Mbalala'!D12,'3.11 Mukono-Mbalala'!D12,'1.11 Mukono-Mbalala-24h'!D12,'2.11 Mukono-Mbalala-24h'!D12,'4.11 Mukono-Mbalala '!D12)</f>
        <v>7.8571428571428568</v>
      </c>
      <c r="E12" s="49">
        <f>AVERAGE('29.10 Mukono-Mbalala'!E12,'30.10.Mukono-Mbalala'!E12,'31.10 Mukono-Mbalala'!E12,'3.11 Mukono-Mbalala'!E12,'1.11 Mukono-Mbalala-24h'!E12,'2.11 Mukono-Mbalala-24h'!E12,'4.11 Mukono-Mbalala '!E12)</f>
        <v>8</v>
      </c>
      <c r="F12" s="49">
        <f>AVERAGE('29.10 Mukono-Mbalala'!F12,'30.10.Mukono-Mbalala'!F12,'31.10 Mukono-Mbalala'!F12,'3.11 Mukono-Mbalala'!F12,'1.11 Mukono-Mbalala-24h'!F12,'2.11 Mukono-Mbalala-24h'!F12,'4.11 Mukono-Mbalala '!F12)</f>
        <v>35.857142857142854</v>
      </c>
      <c r="G12" s="49">
        <f>AVERAGE('29.10 Mukono-Mbalala'!G12,'30.10.Mukono-Mbalala'!G12,'31.10 Mukono-Mbalala'!G12,'3.11 Mukono-Mbalala'!G12,'1.11 Mukono-Mbalala-24h'!G12,'2.11 Mukono-Mbalala-24h'!G12,'4.11 Mukono-Mbalala '!G12)</f>
        <v>1.8571428571428572</v>
      </c>
      <c r="H12" s="49">
        <f>AVERAGE('29.10 Mukono-Mbalala'!H12,'30.10.Mukono-Mbalala'!H12,'31.10 Mukono-Mbalala'!H12,'3.11 Mukono-Mbalala'!H12,'1.11 Mukono-Mbalala-24h'!H12,'2.11 Mukono-Mbalala-24h'!H12,'4.11 Mukono-Mbalala '!H12)</f>
        <v>1.2857142857142858</v>
      </c>
      <c r="I12" s="49">
        <f>AVERAGE('29.10 Mukono-Mbalala'!I12,'30.10.Mukono-Mbalala'!I12,'31.10 Mukono-Mbalala'!I12,'3.11 Mukono-Mbalala'!I12,'1.11 Mukono-Mbalala-24h'!I12,'2.11 Mukono-Mbalala-24h'!I12,'4.11 Mukono-Mbalala '!I12)</f>
        <v>7.5714285714285712</v>
      </c>
      <c r="J12" s="49">
        <f>AVERAGE('29.10 Mukono-Mbalala'!J12,'30.10.Mukono-Mbalala'!J12,'31.10 Mukono-Mbalala'!J12,'3.11 Mukono-Mbalala'!J12,'1.11 Mukono-Mbalala-24h'!J12,'2.11 Mukono-Mbalala-24h'!J12,'4.11 Mukono-Mbalala '!J12)</f>
        <v>4.4285714285714288</v>
      </c>
      <c r="K12" s="49">
        <f>AVERAGE('29.10 Mukono-Mbalala'!K12,'30.10.Mukono-Mbalala'!K12,'31.10 Mukono-Mbalala'!K12,'3.11 Mukono-Mbalala'!K12,'1.11 Mukono-Mbalala-24h'!K12,'2.11 Mukono-Mbalala-24h'!K12,'4.11 Mukono-Mbalala '!K12)</f>
        <v>3.7142857142857144</v>
      </c>
      <c r="L12" s="49">
        <f>AVERAGE('29.10 Mukono-Mbalala'!L12,'30.10.Mukono-Mbalala'!L12,'31.10 Mukono-Mbalala'!L12,'3.11 Mukono-Mbalala'!L12,'1.11 Mukono-Mbalala-24h'!L12,'2.11 Mukono-Mbalala-24h'!L12,'4.11 Mukono-Mbalala '!L12)</f>
        <v>15.285714285714286</v>
      </c>
      <c r="M12" s="49">
        <f>AVERAGE('29.10 Mukono-Mbalala'!M12,'30.10.Mukono-Mbalala'!M12,'31.10 Mukono-Mbalala'!M12,'3.11 Mukono-Mbalala'!M12,'1.11 Mukono-Mbalala-24h'!M12,'2.11 Mukono-Mbalala-24h'!M12,'4.11 Mukono-Mbalala '!M12)</f>
        <v>88.285714285714292</v>
      </c>
      <c r="N12" s="49">
        <f>AVERAGE('29.10 Mukono-Mbalala'!N12,'30.10.Mukono-Mbalala'!N12,'31.10 Mukono-Mbalala'!N12,'3.11 Mukono-Mbalala'!N12,'1.11 Mukono-Mbalala-24h'!N12,'2.11 Mukono-Mbalala-24h'!N12,'4.11 Mukono-Mbalala '!N12)</f>
        <v>0</v>
      </c>
      <c r="O12" s="15">
        <f t="shared" si="0"/>
        <v>128.14285714285714</v>
      </c>
      <c r="P12" s="15">
        <f t="shared" si="1"/>
        <v>216.42857142857144</v>
      </c>
      <c r="R12" s="1" t="s">
        <v>8</v>
      </c>
      <c r="S12" s="17">
        <f t="shared" ref="S12:AF12" si="4">SUM(C18:C21)</f>
        <v>152.57142857142856</v>
      </c>
      <c r="T12" s="17">
        <f t="shared" si="4"/>
        <v>32.714285714285715</v>
      </c>
      <c r="U12" s="17">
        <f t="shared" si="4"/>
        <v>32.142857142857146</v>
      </c>
      <c r="V12" s="17">
        <f t="shared" si="4"/>
        <v>164.14285714285714</v>
      </c>
      <c r="W12" s="17">
        <f t="shared" si="4"/>
        <v>5.8571428571428568</v>
      </c>
      <c r="X12" s="17">
        <f t="shared" si="4"/>
        <v>1.2857142857142856</v>
      </c>
      <c r="Y12" s="17">
        <f t="shared" si="4"/>
        <v>39.285714285714285</v>
      </c>
      <c r="Z12" s="17">
        <f t="shared" si="4"/>
        <v>16</v>
      </c>
      <c r="AA12" s="17">
        <f t="shared" si="4"/>
        <v>11.714285714285715</v>
      </c>
      <c r="AB12" s="17">
        <f t="shared" si="4"/>
        <v>27.285714285714288</v>
      </c>
      <c r="AC12" s="17">
        <f t="shared" si="4"/>
        <v>392.14285714285717</v>
      </c>
      <c r="AD12" s="17">
        <f t="shared" si="4"/>
        <v>0</v>
      </c>
      <c r="AE12" s="31">
        <f t="shared" si="4"/>
        <v>483</v>
      </c>
      <c r="AF12" s="31">
        <f t="shared" si="4"/>
        <v>875.14285714285711</v>
      </c>
    </row>
    <row r="13" spans="2:32" ht="23.1" customHeight="1" x14ac:dyDescent="0.25">
      <c r="B13" s="23" t="s">
        <v>40</v>
      </c>
      <c r="C13" s="49">
        <f>AVERAGE('29.10 Mukono-Mbalala'!C13,'30.10.Mukono-Mbalala'!C13,'31.10 Mukono-Mbalala'!C13,'3.11 Mukono-Mbalala'!C13,'1.11 Mukono-Mbalala-24h'!C13,'2.11 Mukono-Mbalala-24h'!C13,'4.11 Mukono-Mbalala '!C13)</f>
        <v>44.428571428571431</v>
      </c>
      <c r="D13" s="49">
        <f>AVERAGE('29.10 Mukono-Mbalala'!D13,'30.10.Mukono-Mbalala'!D13,'31.10 Mukono-Mbalala'!D13,'3.11 Mukono-Mbalala'!D13,'1.11 Mukono-Mbalala-24h'!D13,'2.11 Mukono-Mbalala-24h'!D13,'4.11 Mukono-Mbalala '!D13)</f>
        <v>9.8571428571428577</v>
      </c>
      <c r="E13" s="49">
        <f>AVERAGE('29.10 Mukono-Mbalala'!E13,'30.10.Mukono-Mbalala'!E13,'31.10 Mukono-Mbalala'!E13,'3.11 Mukono-Mbalala'!E13,'1.11 Mukono-Mbalala-24h'!E13,'2.11 Mukono-Mbalala-24h'!E13,'4.11 Mukono-Mbalala '!E13)</f>
        <v>6.5714285714285712</v>
      </c>
      <c r="F13" s="49">
        <f>AVERAGE('29.10 Mukono-Mbalala'!F13,'30.10.Mukono-Mbalala'!F13,'31.10 Mukono-Mbalala'!F13,'3.11 Mukono-Mbalala'!F13,'1.11 Mukono-Mbalala-24h'!F13,'2.11 Mukono-Mbalala-24h'!F13,'4.11 Mukono-Mbalala '!F13)</f>
        <v>29.285714285714285</v>
      </c>
      <c r="G13" s="49">
        <f>AVERAGE('29.10 Mukono-Mbalala'!G13,'30.10.Mukono-Mbalala'!G13,'31.10 Mukono-Mbalala'!G13,'3.11 Mukono-Mbalala'!G13,'1.11 Mukono-Mbalala-24h'!G13,'2.11 Mukono-Mbalala-24h'!G13,'4.11 Mukono-Mbalala '!G13)</f>
        <v>2.7142857142857144</v>
      </c>
      <c r="H13" s="49">
        <f>AVERAGE('29.10 Mukono-Mbalala'!H13,'30.10.Mukono-Mbalala'!H13,'31.10 Mukono-Mbalala'!H13,'3.11 Mukono-Mbalala'!H13,'1.11 Mukono-Mbalala-24h'!H13,'2.11 Mukono-Mbalala-24h'!H13,'4.11 Mukono-Mbalala '!H13)</f>
        <v>1.5714285714285714</v>
      </c>
      <c r="I13" s="49">
        <f>AVERAGE('29.10 Mukono-Mbalala'!I13,'30.10.Mukono-Mbalala'!I13,'31.10 Mukono-Mbalala'!I13,'3.11 Mukono-Mbalala'!I13,'1.11 Mukono-Mbalala-24h'!I13,'2.11 Mukono-Mbalala-24h'!I13,'4.11 Mukono-Mbalala '!I13)</f>
        <v>6.7142857142857144</v>
      </c>
      <c r="J13" s="49">
        <f>AVERAGE('29.10 Mukono-Mbalala'!J13,'30.10.Mukono-Mbalala'!J13,'31.10 Mukono-Mbalala'!J13,'3.11 Mukono-Mbalala'!J13,'1.11 Mukono-Mbalala-24h'!J13,'2.11 Mukono-Mbalala-24h'!J13,'4.11 Mukono-Mbalala '!J13)</f>
        <v>3.4285714285714284</v>
      </c>
      <c r="K13" s="49">
        <f>AVERAGE('29.10 Mukono-Mbalala'!K13,'30.10.Mukono-Mbalala'!K13,'31.10 Mukono-Mbalala'!K13,'3.11 Mukono-Mbalala'!K13,'1.11 Mukono-Mbalala-24h'!K13,'2.11 Mukono-Mbalala-24h'!K13,'4.11 Mukono-Mbalala '!K13)</f>
        <v>0.7142857142857143</v>
      </c>
      <c r="L13" s="49">
        <f>AVERAGE('29.10 Mukono-Mbalala'!L13,'30.10.Mukono-Mbalala'!L13,'31.10 Mukono-Mbalala'!L13,'3.11 Mukono-Mbalala'!L13,'1.11 Mukono-Mbalala-24h'!L13,'2.11 Mukono-Mbalala-24h'!L13,'4.11 Mukono-Mbalala '!L13)</f>
        <v>9</v>
      </c>
      <c r="M13" s="49">
        <f>AVERAGE('29.10 Mukono-Mbalala'!M13,'30.10.Mukono-Mbalala'!M13,'31.10 Mukono-Mbalala'!M13,'3.11 Mukono-Mbalala'!M13,'1.11 Mukono-Mbalala-24h'!M13,'2.11 Mukono-Mbalala-24h'!M13,'4.11 Mukono-Mbalala '!M13)</f>
        <v>89.857142857142861</v>
      </c>
      <c r="N13" s="49">
        <f>AVERAGE('29.10 Mukono-Mbalala'!N13,'30.10.Mukono-Mbalala'!N13,'31.10 Mukono-Mbalala'!N13,'3.11 Mukono-Mbalala'!N13,'1.11 Mukono-Mbalala-24h'!N13,'2.11 Mukono-Mbalala-24h'!N13,'4.11 Mukono-Mbalala '!N13)</f>
        <v>0</v>
      </c>
      <c r="O13" s="15">
        <f t="shared" si="0"/>
        <v>114.28571428571426</v>
      </c>
      <c r="P13" s="15">
        <f t="shared" si="1"/>
        <v>204.14285714285711</v>
      </c>
      <c r="R13" s="1" t="s">
        <v>9</v>
      </c>
      <c r="S13" s="17">
        <f t="shared" ref="S13:AF13" si="5">SUM(C22:C25)</f>
        <v>206.14285714285717</v>
      </c>
      <c r="T13" s="17">
        <f t="shared" si="5"/>
        <v>50</v>
      </c>
      <c r="U13" s="17">
        <f t="shared" si="5"/>
        <v>35</v>
      </c>
      <c r="V13" s="17">
        <f t="shared" si="5"/>
        <v>181.85714285714283</v>
      </c>
      <c r="W13" s="17">
        <f t="shared" si="5"/>
        <v>20</v>
      </c>
      <c r="X13" s="17">
        <f t="shared" si="5"/>
        <v>4.8571428571428568</v>
      </c>
      <c r="Y13" s="17">
        <f t="shared" si="5"/>
        <v>38</v>
      </c>
      <c r="Z13" s="17">
        <f t="shared" si="5"/>
        <v>24.571428571428569</v>
      </c>
      <c r="AA13" s="17">
        <f t="shared" si="5"/>
        <v>17.714285714285715</v>
      </c>
      <c r="AB13" s="17">
        <f t="shared" si="5"/>
        <v>43.428571428571431</v>
      </c>
      <c r="AC13" s="17">
        <f t="shared" si="5"/>
        <v>449.14285714285717</v>
      </c>
      <c r="AD13" s="17">
        <f t="shared" si="5"/>
        <v>0</v>
      </c>
      <c r="AE13" s="31">
        <f t="shared" si="5"/>
        <v>621.57142857142856</v>
      </c>
      <c r="AF13" s="31">
        <f t="shared" si="5"/>
        <v>1070.7142857142858</v>
      </c>
    </row>
    <row r="14" spans="2:32" ht="23.1" customHeight="1" x14ac:dyDescent="0.25">
      <c r="B14" s="23" t="s">
        <v>41</v>
      </c>
      <c r="C14" s="49">
        <f>AVERAGE('29.10 Mukono-Mbalala'!C14,'30.10.Mukono-Mbalala'!C14,'31.10 Mukono-Mbalala'!C14,'3.11 Mukono-Mbalala'!C14,'1.11 Mukono-Mbalala-24h'!C14,'2.11 Mukono-Mbalala-24h'!C14,'4.11 Mukono-Mbalala '!C14)</f>
        <v>44.857142857142854</v>
      </c>
      <c r="D14" s="49">
        <f>AVERAGE('29.10 Mukono-Mbalala'!D14,'30.10.Mukono-Mbalala'!D14,'31.10 Mukono-Mbalala'!D14,'3.11 Mukono-Mbalala'!D14,'1.11 Mukono-Mbalala-24h'!D14,'2.11 Mukono-Mbalala-24h'!D14,'4.11 Mukono-Mbalala '!D14)</f>
        <v>13.857142857142858</v>
      </c>
      <c r="E14" s="49">
        <f>AVERAGE('29.10 Mukono-Mbalala'!E14,'30.10.Mukono-Mbalala'!E14,'31.10 Mukono-Mbalala'!E14,'3.11 Mukono-Mbalala'!E14,'1.11 Mukono-Mbalala-24h'!E14,'2.11 Mukono-Mbalala-24h'!E14,'4.11 Mukono-Mbalala '!E14)</f>
        <v>9</v>
      </c>
      <c r="F14" s="49">
        <f>AVERAGE('29.10 Mukono-Mbalala'!F14,'30.10.Mukono-Mbalala'!F14,'31.10 Mukono-Mbalala'!F14,'3.11 Mukono-Mbalala'!F14,'1.11 Mukono-Mbalala-24h'!F14,'2.11 Mukono-Mbalala-24h'!F14,'4.11 Mukono-Mbalala '!F14)</f>
        <v>41.857142857142854</v>
      </c>
      <c r="G14" s="49">
        <f>AVERAGE('29.10 Mukono-Mbalala'!G14,'30.10.Mukono-Mbalala'!G14,'31.10 Mukono-Mbalala'!G14,'3.11 Mukono-Mbalala'!G14,'1.11 Mukono-Mbalala-24h'!G14,'2.11 Mukono-Mbalala-24h'!G14,'4.11 Mukono-Mbalala '!G14)</f>
        <v>2.7142857142857144</v>
      </c>
      <c r="H14" s="49">
        <f>AVERAGE('29.10 Mukono-Mbalala'!H14,'30.10.Mukono-Mbalala'!H14,'31.10 Mukono-Mbalala'!H14,'3.11 Mukono-Mbalala'!H14,'1.11 Mukono-Mbalala-24h'!H14,'2.11 Mukono-Mbalala-24h'!H14,'4.11 Mukono-Mbalala '!H14)</f>
        <v>1.2857142857142858</v>
      </c>
      <c r="I14" s="49">
        <f>AVERAGE('29.10 Mukono-Mbalala'!I14,'30.10.Mukono-Mbalala'!I14,'31.10 Mukono-Mbalala'!I14,'3.11 Mukono-Mbalala'!I14,'1.11 Mukono-Mbalala-24h'!I14,'2.11 Mukono-Mbalala-24h'!I14,'4.11 Mukono-Mbalala '!I14)</f>
        <v>11.142857142857142</v>
      </c>
      <c r="J14" s="49">
        <f>AVERAGE('29.10 Mukono-Mbalala'!J14,'30.10.Mukono-Mbalala'!J14,'31.10 Mukono-Mbalala'!J14,'3.11 Mukono-Mbalala'!J14,'1.11 Mukono-Mbalala-24h'!J14,'2.11 Mukono-Mbalala-24h'!J14,'4.11 Mukono-Mbalala '!J14)</f>
        <v>7</v>
      </c>
      <c r="K14" s="49">
        <f>AVERAGE('29.10 Mukono-Mbalala'!K14,'30.10.Mukono-Mbalala'!K14,'31.10 Mukono-Mbalala'!K14,'3.11 Mukono-Mbalala'!K14,'1.11 Mukono-Mbalala-24h'!K14,'2.11 Mukono-Mbalala-24h'!K14,'4.11 Mukono-Mbalala '!K14)</f>
        <v>3.2857142857142856</v>
      </c>
      <c r="L14" s="49">
        <f>AVERAGE('29.10 Mukono-Mbalala'!L14,'30.10.Mukono-Mbalala'!L14,'31.10 Mukono-Mbalala'!L14,'3.11 Mukono-Mbalala'!L14,'1.11 Mukono-Mbalala-24h'!L14,'2.11 Mukono-Mbalala-24h'!L14,'4.11 Mukono-Mbalala '!L14)</f>
        <v>9.5714285714285712</v>
      </c>
      <c r="M14" s="49">
        <f>AVERAGE('29.10 Mukono-Mbalala'!M14,'30.10.Mukono-Mbalala'!M14,'31.10 Mukono-Mbalala'!M14,'3.11 Mukono-Mbalala'!M14,'1.11 Mukono-Mbalala-24h'!M14,'2.11 Mukono-Mbalala-24h'!M14,'4.11 Mukono-Mbalala '!M14)</f>
        <v>96.142857142857139</v>
      </c>
      <c r="N14" s="49">
        <f>AVERAGE('29.10 Mukono-Mbalala'!N14,'30.10.Mukono-Mbalala'!N14,'31.10 Mukono-Mbalala'!N14,'3.11 Mukono-Mbalala'!N14,'1.11 Mukono-Mbalala-24h'!N14,'2.11 Mukono-Mbalala-24h'!N14,'4.11 Mukono-Mbalala '!N14)</f>
        <v>0</v>
      </c>
      <c r="O14" s="15">
        <f t="shared" si="0"/>
        <v>144.57142857142856</v>
      </c>
      <c r="P14" s="15">
        <f t="shared" si="1"/>
        <v>240.71428571428569</v>
      </c>
      <c r="R14" s="1" t="s">
        <v>10</v>
      </c>
      <c r="S14" s="17">
        <f t="shared" ref="S14:AF14" si="6">SUM(C26:C29)</f>
        <v>185.71428571428572</v>
      </c>
      <c r="T14" s="17">
        <f t="shared" si="6"/>
        <v>31</v>
      </c>
      <c r="U14" s="17">
        <f t="shared" si="6"/>
        <v>33.285714285714285</v>
      </c>
      <c r="V14" s="17">
        <f t="shared" si="6"/>
        <v>143.71428571428572</v>
      </c>
      <c r="W14" s="17">
        <f t="shared" si="6"/>
        <v>7.1428571428571423</v>
      </c>
      <c r="X14" s="17">
        <f t="shared" si="6"/>
        <v>4.2857142857142856</v>
      </c>
      <c r="Y14" s="17">
        <f t="shared" si="6"/>
        <v>42.428571428571431</v>
      </c>
      <c r="Z14" s="17">
        <f t="shared" si="6"/>
        <v>23</v>
      </c>
      <c r="AA14" s="17">
        <f t="shared" si="6"/>
        <v>13.571428571428571</v>
      </c>
      <c r="AB14" s="17">
        <f t="shared" si="6"/>
        <v>54.714285714285715</v>
      </c>
      <c r="AC14" s="17">
        <f t="shared" si="6"/>
        <v>374.57142857142856</v>
      </c>
      <c r="AD14" s="17">
        <f t="shared" si="6"/>
        <v>0</v>
      </c>
      <c r="AE14" s="31">
        <f t="shared" si="6"/>
        <v>538.85714285714289</v>
      </c>
      <c r="AF14" s="31">
        <f t="shared" si="6"/>
        <v>913.42857142857144</v>
      </c>
    </row>
    <row r="15" spans="2:32" ht="23.1" customHeight="1" x14ac:dyDescent="0.25">
      <c r="B15" s="23" t="s">
        <v>42</v>
      </c>
      <c r="C15" s="49">
        <f>AVERAGE('29.10 Mukono-Mbalala'!C15,'30.10.Mukono-Mbalala'!C15,'31.10 Mukono-Mbalala'!C15,'3.11 Mukono-Mbalala'!C15,'1.11 Mukono-Mbalala-24h'!C15,'2.11 Mukono-Mbalala-24h'!C15,'4.11 Mukono-Mbalala '!C15)</f>
        <v>36.285714285714285</v>
      </c>
      <c r="D15" s="49">
        <f>AVERAGE('29.10 Mukono-Mbalala'!D15,'30.10.Mukono-Mbalala'!D15,'31.10 Mukono-Mbalala'!D15,'3.11 Mukono-Mbalala'!D15,'1.11 Mukono-Mbalala-24h'!D15,'2.11 Mukono-Mbalala-24h'!D15,'4.11 Mukono-Mbalala '!D15)</f>
        <v>9.1428571428571423</v>
      </c>
      <c r="E15" s="49">
        <f>AVERAGE('29.10 Mukono-Mbalala'!E15,'30.10.Mukono-Mbalala'!E15,'31.10 Mukono-Mbalala'!E15,'3.11 Mukono-Mbalala'!E15,'1.11 Mukono-Mbalala-24h'!E15,'2.11 Mukono-Mbalala-24h'!E15,'4.11 Mukono-Mbalala '!E15)</f>
        <v>6.2857142857142856</v>
      </c>
      <c r="F15" s="49">
        <f>AVERAGE('29.10 Mukono-Mbalala'!F15,'30.10.Mukono-Mbalala'!F15,'31.10 Mukono-Mbalala'!F15,'3.11 Mukono-Mbalala'!F15,'1.11 Mukono-Mbalala-24h'!F15,'2.11 Mukono-Mbalala-24h'!F15,'4.11 Mukono-Mbalala '!F15)</f>
        <v>37.714285714285715</v>
      </c>
      <c r="G15" s="49">
        <f>AVERAGE('29.10 Mukono-Mbalala'!G15,'30.10.Mukono-Mbalala'!G15,'31.10 Mukono-Mbalala'!G15,'3.11 Mukono-Mbalala'!G15,'1.11 Mukono-Mbalala-24h'!G15,'2.11 Mukono-Mbalala-24h'!G15,'4.11 Mukono-Mbalala '!G15)</f>
        <v>1.2857142857142858</v>
      </c>
      <c r="H15" s="49">
        <f>AVERAGE('29.10 Mukono-Mbalala'!H15,'30.10.Mukono-Mbalala'!H15,'31.10 Mukono-Mbalala'!H15,'3.11 Mukono-Mbalala'!H15,'1.11 Mukono-Mbalala-24h'!H15,'2.11 Mukono-Mbalala-24h'!H15,'4.11 Mukono-Mbalala '!H15)</f>
        <v>1.4285714285714286</v>
      </c>
      <c r="I15" s="49">
        <f>AVERAGE('29.10 Mukono-Mbalala'!I15,'30.10.Mukono-Mbalala'!I15,'31.10 Mukono-Mbalala'!I15,'3.11 Mukono-Mbalala'!I15,'1.11 Mukono-Mbalala-24h'!I15,'2.11 Mukono-Mbalala-24h'!I15,'4.11 Mukono-Mbalala '!I15)</f>
        <v>6.5714285714285712</v>
      </c>
      <c r="J15" s="49">
        <f>AVERAGE('29.10 Mukono-Mbalala'!J15,'30.10.Mukono-Mbalala'!J15,'31.10 Mukono-Mbalala'!J15,'3.11 Mukono-Mbalala'!J15,'1.11 Mukono-Mbalala-24h'!J15,'2.11 Mukono-Mbalala-24h'!J15,'4.11 Mukono-Mbalala '!J15)</f>
        <v>4.5714285714285712</v>
      </c>
      <c r="K15" s="49">
        <f>AVERAGE('29.10 Mukono-Mbalala'!K15,'30.10.Mukono-Mbalala'!K15,'31.10 Mukono-Mbalala'!K15,'3.11 Mukono-Mbalala'!K15,'1.11 Mukono-Mbalala-24h'!K15,'2.11 Mukono-Mbalala-24h'!K15,'4.11 Mukono-Mbalala '!K15)</f>
        <v>1.7142857142857142</v>
      </c>
      <c r="L15" s="49">
        <f>AVERAGE('29.10 Mukono-Mbalala'!L15,'30.10.Mukono-Mbalala'!L15,'31.10 Mukono-Mbalala'!L15,'3.11 Mukono-Mbalala'!L15,'1.11 Mukono-Mbalala-24h'!L15,'2.11 Mukono-Mbalala-24h'!L15,'4.11 Mukono-Mbalala '!L15)</f>
        <v>7.8571428571428568</v>
      </c>
      <c r="M15" s="49">
        <f>AVERAGE('29.10 Mukono-Mbalala'!M15,'30.10.Mukono-Mbalala'!M15,'31.10 Mukono-Mbalala'!M15,'3.11 Mukono-Mbalala'!M15,'1.11 Mukono-Mbalala-24h'!M15,'2.11 Mukono-Mbalala-24h'!M15,'4.11 Mukono-Mbalala '!M15)</f>
        <v>89.857142857142861</v>
      </c>
      <c r="N15" s="49">
        <f>AVERAGE('29.10 Mukono-Mbalala'!N15,'30.10.Mukono-Mbalala'!N15,'31.10 Mukono-Mbalala'!N15,'3.11 Mukono-Mbalala'!N15,'1.11 Mukono-Mbalala-24h'!N15,'2.11 Mukono-Mbalala-24h'!N15,'4.11 Mukono-Mbalala '!N15)</f>
        <v>0.14285714285714285</v>
      </c>
      <c r="O15" s="15">
        <f t="shared" si="0"/>
        <v>113</v>
      </c>
      <c r="P15" s="15">
        <f t="shared" si="1"/>
        <v>202.85714285714286</v>
      </c>
      <c r="R15" s="1" t="s">
        <v>11</v>
      </c>
      <c r="S15" s="17">
        <f t="shared" ref="S15:AF15" si="7">SUM(C30:C33)</f>
        <v>211.57142857142858</v>
      </c>
      <c r="T15" s="17">
        <f t="shared" si="7"/>
        <v>40.428571428571431</v>
      </c>
      <c r="U15" s="17">
        <f t="shared" si="7"/>
        <v>26.714285714285715</v>
      </c>
      <c r="V15" s="17">
        <f t="shared" si="7"/>
        <v>196.85714285714286</v>
      </c>
      <c r="W15" s="17">
        <f t="shared" si="7"/>
        <v>6</v>
      </c>
      <c r="X15" s="17">
        <f t="shared" si="7"/>
        <v>3.4285714285714284</v>
      </c>
      <c r="Y15" s="17">
        <f t="shared" si="7"/>
        <v>47.142857142857139</v>
      </c>
      <c r="Z15" s="17">
        <f t="shared" si="7"/>
        <v>31</v>
      </c>
      <c r="AA15" s="17">
        <f t="shared" si="7"/>
        <v>21</v>
      </c>
      <c r="AB15" s="17">
        <f t="shared" si="7"/>
        <v>67</v>
      </c>
      <c r="AC15" s="17">
        <f t="shared" si="7"/>
        <v>429.28571428571433</v>
      </c>
      <c r="AD15" s="17">
        <f t="shared" si="7"/>
        <v>0</v>
      </c>
      <c r="AE15" s="31">
        <f t="shared" si="7"/>
        <v>651.14285714285711</v>
      </c>
      <c r="AF15" s="31">
        <f t="shared" si="7"/>
        <v>1080.4285714285716</v>
      </c>
    </row>
    <row r="16" spans="2:32" ht="23.1" customHeight="1" x14ac:dyDescent="0.25">
      <c r="B16" s="23" t="s">
        <v>43</v>
      </c>
      <c r="C16" s="49">
        <f>AVERAGE('29.10 Mukono-Mbalala'!C16,'30.10.Mukono-Mbalala'!C16,'31.10 Mukono-Mbalala'!C16,'3.11 Mukono-Mbalala'!C16,'1.11 Mukono-Mbalala-24h'!C16,'2.11 Mukono-Mbalala-24h'!C16,'4.11 Mukono-Mbalala '!C16)</f>
        <v>46</v>
      </c>
      <c r="D16" s="49">
        <f>AVERAGE('29.10 Mukono-Mbalala'!D16,'30.10.Mukono-Mbalala'!D16,'31.10 Mukono-Mbalala'!D16,'3.11 Mukono-Mbalala'!D16,'1.11 Mukono-Mbalala-24h'!D16,'2.11 Mukono-Mbalala-24h'!D16,'4.11 Mukono-Mbalala '!D16)</f>
        <v>9.4285714285714288</v>
      </c>
      <c r="E16" s="49">
        <f>AVERAGE('29.10 Mukono-Mbalala'!E16,'30.10.Mukono-Mbalala'!E16,'31.10 Mukono-Mbalala'!E16,'3.11 Mukono-Mbalala'!E16,'1.11 Mukono-Mbalala-24h'!E16,'2.11 Mukono-Mbalala-24h'!E16,'4.11 Mukono-Mbalala '!E16)</f>
        <v>8.4285714285714288</v>
      </c>
      <c r="F16" s="49">
        <f>AVERAGE('29.10 Mukono-Mbalala'!F16,'30.10.Mukono-Mbalala'!F16,'31.10 Mukono-Mbalala'!F16,'3.11 Mukono-Mbalala'!F16,'1.11 Mukono-Mbalala-24h'!F16,'2.11 Mukono-Mbalala-24h'!F16,'4.11 Mukono-Mbalala '!F16)</f>
        <v>33</v>
      </c>
      <c r="G16" s="49">
        <f>AVERAGE('29.10 Mukono-Mbalala'!G16,'30.10.Mukono-Mbalala'!G16,'31.10 Mukono-Mbalala'!G16,'3.11 Mukono-Mbalala'!G16,'1.11 Mukono-Mbalala-24h'!G16,'2.11 Mukono-Mbalala-24h'!G16,'4.11 Mukono-Mbalala '!G16)</f>
        <v>1.1428571428571428</v>
      </c>
      <c r="H16" s="49">
        <f>AVERAGE('29.10 Mukono-Mbalala'!H16,'30.10.Mukono-Mbalala'!H16,'31.10 Mukono-Mbalala'!H16,'3.11 Mukono-Mbalala'!H16,'1.11 Mukono-Mbalala-24h'!H16,'2.11 Mukono-Mbalala-24h'!H16,'4.11 Mukono-Mbalala '!H16)</f>
        <v>2.1428571428571428</v>
      </c>
      <c r="I16" s="49">
        <f>AVERAGE('29.10 Mukono-Mbalala'!I16,'30.10.Mukono-Mbalala'!I16,'31.10 Mukono-Mbalala'!I16,'3.11 Mukono-Mbalala'!I16,'1.11 Mukono-Mbalala-24h'!I16,'2.11 Mukono-Mbalala-24h'!I16,'4.11 Mukono-Mbalala '!I16)</f>
        <v>8.7142857142857135</v>
      </c>
      <c r="J16" s="49">
        <f>AVERAGE('29.10 Mukono-Mbalala'!J16,'30.10.Mukono-Mbalala'!J16,'31.10 Mukono-Mbalala'!J16,'3.11 Mukono-Mbalala'!J16,'1.11 Mukono-Mbalala-24h'!J16,'2.11 Mukono-Mbalala-24h'!J16,'4.11 Mukono-Mbalala '!J16)</f>
        <v>2.5714285714285716</v>
      </c>
      <c r="K16" s="49">
        <f>AVERAGE('29.10 Mukono-Mbalala'!K16,'30.10.Mukono-Mbalala'!K16,'31.10 Mukono-Mbalala'!K16,'3.11 Mukono-Mbalala'!K16,'1.11 Mukono-Mbalala-24h'!K16,'2.11 Mukono-Mbalala-24h'!K16,'4.11 Mukono-Mbalala '!K16)</f>
        <v>3.1428571428571428</v>
      </c>
      <c r="L16" s="49">
        <f>AVERAGE('29.10 Mukono-Mbalala'!L16,'30.10.Mukono-Mbalala'!L16,'31.10 Mukono-Mbalala'!L16,'3.11 Mukono-Mbalala'!L16,'1.11 Mukono-Mbalala-24h'!L16,'2.11 Mukono-Mbalala-24h'!L16,'4.11 Mukono-Mbalala '!L16)</f>
        <v>7.7142857142857144</v>
      </c>
      <c r="M16" s="49">
        <f>AVERAGE('29.10 Mukono-Mbalala'!M16,'30.10.Mukono-Mbalala'!M16,'31.10 Mukono-Mbalala'!M16,'3.11 Mukono-Mbalala'!M16,'1.11 Mukono-Mbalala-24h'!M16,'2.11 Mukono-Mbalala-24h'!M16,'4.11 Mukono-Mbalala '!M16)</f>
        <v>125.14285714285714</v>
      </c>
      <c r="N16" s="49">
        <f>AVERAGE('29.10 Mukono-Mbalala'!N16,'30.10.Mukono-Mbalala'!N16,'31.10 Mukono-Mbalala'!N16,'3.11 Mukono-Mbalala'!N16,'1.11 Mukono-Mbalala-24h'!N16,'2.11 Mukono-Mbalala-24h'!N16,'4.11 Mukono-Mbalala '!N16)</f>
        <v>0</v>
      </c>
      <c r="O16" s="15">
        <f t="shared" si="0"/>
        <v>122.28571428571426</v>
      </c>
      <c r="P16" s="15">
        <f t="shared" si="1"/>
        <v>247.42857142857139</v>
      </c>
      <c r="R16" s="1" t="s">
        <v>12</v>
      </c>
      <c r="S16" s="17">
        <f t="shared" ref="S16:AF16" si="8">SUM(C34:C37)</f>
        <v>164</v>
      </c>
      <c r="T16" s="17">
        <f t="shared" si="8"/>
        <v>46.428571428571431</v>
      </c>
      <c r="U16" s="17">
        <f t="shared" si="8"/>
        <v>21.857142857142854</v>
      </c>
      <c r="V16" s="17">
        <f t="shared" si="8"/>
        <v>156.28571428571428</v>
      </c>
      <c r="W16" s="17">
        <f t="shared" si="8"/>
        <v>9.2857142857142865</v>
      </c>
      <c r="X16" s="17">
        <f t="shared" si="8"/>
        <v>5.1428571428571423</v>
      </c>
      <c r="Y16" s="17">
        <f t="shared" si="8"/>
        <v>46.571428571428569</v>
      </c>
      <c r="Z16" s="17">
        <f t="shared" si="8"/>
        <v>32.857142857142861</v>
      </c>
      <c r="AA16" s="17">
        <f t="shared" si="8"/>
        <v>17.428571428571427</v>
      </c>
      <c r="AB16" s="17">
        <f t="shared" si="8"/>
        <v>60.571428571428569</v>
      </c>
      <c r="AC16" s="17">
        <f t="shared" si="8"/>
        <v>434.28571428571428</v>
      </c>
      <c r="AD16" s="17">
        <f t="shared" si="8"/>
        <v>0</v>
      </c>
      <c r="AE16" s="31">
        <f t="shared" si="8"/>
        <v>560.42857142857144</v>
      </c>
      <c r="AF16" s="31">
        <f t="shared" si="8"/>
        <v>994.71428571428578</v>
      </c>
    </row>
    <row r="17" spans="2:32" ht="23.1" customHeight="1" x14ac:dyDescent="0.25">
      <c r="B17" s="23" t="s">
        <v>44</v>
      </c>
      <c r="C17" s="49">
        <f>AVERAGE('29.10 Mukono-Mbalala'!C17,'30.10.Mukono-Mbalala'!C17,'31.10 Mukono-Mbalala'!C17,'3.11 Mukono-Mbalala'!C17,'1.11 Mukono-Mbalala-24h'!C17,'2.11 Mukono-Mbalala-24h'!C17,'4.11 Mukono-Mbalala '!C17)</f>
        <v>44.571428571428569</v>
      </c>
      <c r="D17" s="49">
        <f>AVERAGE('29.10 Mukono-Mbalala'!D17,'30.10.Mukono-Mbalala'!D17,'31.10 Mukono-Mbalala'!D17,'3.11 Mukono-Mbalala'!D17,'1.11 Mukono-Mbalala-24h'!D17,'2.11 Mukono-Mbalala-24h'!D17,'4.11 Mukono-Mbalala '!D17)</f>
        <v>8.8571428571428577</v>
      </c>
      <c r="E17" s="49">
        <f>AVERAGE('29.10 Mukono-Mbalala'!E17,'30.10.Mukono-Mbalala'!E17,'31.10 Mukono-Mbalala'!E17,'3.11 Mukono-Mbalala'!E17,'1.11 Mukono-Mbalala-24h'!E17,'2.11 Mukono-Mbalala-24h'!E17,'4.11 Mukono-Mbalala '!E17)</f>
        <v>9</v>
      </c>
      <c r="F17" s="49">
        <f>AVERAGE('29.10 Mukono-Mbalala'!F17,'30.10.Mukono-Mbalala'!F17,'31.10 Mukono-Mbalala'!F17,'3.11 Mukono-Mbalala'!F17,'1.11 Mukono-Mbalala-24h'!F17,'2.11 Mukono-Mbalala-24h'!F17,'4.11 Mukono-Mbalala '!F17)</f>
        <v>34.428571428571431</v>
      </c>
      <c r="G17" s="49">
        <f>AVERAGE('29.10 Mukono-Mbalala'!G17,'30.10.Mukono-Mbalala'!G17,'31.10 Mukono-Mbalala'!G17,'3.11 Mukono-Mbalala'!G17,'1.11 Mukono-Mbalala-24h'!G17,'2.11 Mukono-Mbalala-24h'!G17,'4.11 Mukono-Mbalala '!G17)</f>
        <v>0.8571428571428571</v>
      </c>
      <c r="H17" s="49">
        <f>AVERAGE('29.10 Mukono-Mbalala'!H17,'30.10.Mukono-Mbalala'!H17,'31.10 Mukono-Mbalala'!H17,'3.11 Mukono-Mbalala'!H17,'1.11 Mukono-Mbalala-24h'!H17,'2.11 Mukono-Mbalala-24h'!H17,'4.11 Mukono-Mbalala '!H17)</f>
        <v>0.7142857142857143</v>
      </c>
      <c r="I17" s="49">
        <f>AVERAGE('29.10 Mukono-Mbalala'!I17,'30.10.Mukono-Mbalala'!I17,'31.10 Mukono-Mbalala'!I17,'3.11 Mukono-Mbalala'!I17,'1.11 Mukono-Mbalala-24h'!I17,'2.11 Mukono-Mbalala-24h'!I17,'4.11 Mukono-Mbalala '!I17)</f>
        <v>5.8571428571428568</v>
      </c>
      <c r="J17" s="49">
        <f>AVERAGE('29.10 Mukono-Mbalala'!J17,'30.10.Mukono-Mbalala'!J17,'31.10 Mukono-Mbalala'!J17,'3.11 Mukono-Mbalala'!J17,'1.11 Mukono-Mbalala-24h'!J17,'2.11 Mukono-Mbalala-24h'!J17,'4.11 Mukono-Mbalala '!J17)</f>
        <v>4.1428571428571432</v>
      </c>
      <c r="K17" s="49">
        <f>AVERAGE('29.10 Mukono-Mbalala'!K17,'30.10.Mukono-Mbalala'!K17,'31.10 Mukono-Mbalala'!K17,'3.11 Mukono-Mbalala'!K17,'1.11 Mukono-Mbalala-24h'!K17,'2.11 Mukono-Mbalala-24h'!K17,'4.11 Mukono-Mbalala '!K17)</f>
        <v>4.4285714285714288</v>
      </c>
      <c r="L17" s="49">
        <f>AVERAGE('29.10 Mukono-Mbalala'!L17,'30.10.Mukono-Mbalala'!L17,'31.10 Mukono-Mbalala'!L17,'3.11 Mukono-Mbalala'!L17,'1.11 Mukono-Mbalala-24h'!L17,'2.11 Mukono-Mbalala-24h'!L17,'4.11 Mukono-Mbalala '!L17)</f>
        <v>4.8571428571428568</v>
      </c>
      <c r="M17" s="49">
        <f>AVERAGE('29.10 Mukono-Mbalala'!M17,'30.10.Mukono-Mbalala'!M17,'31.10 Mukono-Mbalala'!M17,'3.11 Mukono-Mbalala'!M17,'1.11 Mukono-Mbalala-24h'!M17,'2.11 Mukono-Mbalala-24h'!M17,'4.11 Mukono-Mbalala '!M17)</f>
        <v>85.571428571428569</v>
      </c>
      <c r="N17" s="49">
        <f>AVERAGE('29.10 Mukono-Mbalala'!N17,'30.10.Mukono-Mbalala'!N17,'31.10 Mukono-Mbalala'!N17,'3.11 Mukono-Mbalala'!N17,'1.11 Mukono-Mbalala-24h'!N17,'2.11 Mukono-Mbalala-24h'!N17,'4.11 Mukono-Mbalala '!N17)</f>
        <v>0</v>
      </c>
      <c r="O17" s="15">
        <f t="shared" si="0"/>
        <v>117.71428571428572</v>
      </c>
      <c r="P17" s="15">
        <f t="shared" si="1"/>
        <v>203.28571428571428</v>
      </c>
      <c r="R17" s="1" t="s">
        <v>13</v>
      </c>
      <c r="S17" s="17">
        <f t="shared" ref="S17:AF17" si="9">SUM(C38:C41)</f>
        <v>159.85714285714286</v>
      </c>
      <c r="T17" s="17">
        <f t="shared" si="9"/>
        <v>36.285714285714285</v>
      </c>
      <c r="U17" s="17">
        <f t="shared" si="9"/>
        <v>25.714285714285712</v>
      </c>
      <c r="V17" s="17">
        <f t="shared" si="9"/>
        <v>188.28571428571428</v>
      </c>
      <c r="W17" s="17">
        <f t="shared" si="9"/>
        <v>9.5714285714285712</v>
      </c>
      <c r="X17" s="17">
        <f t="shared" si="9"/>
        <v>5</v>
      </c>
      <c r="Y17" s="17">
        <f t="shared" si="9"/>
        <v>33.714285714285715</v>
      </c>
      <c r="Z17" s="17">
        <f t="shared" si="9"/>
        <v>33.285714285714285</v>
      </c>
      <c r="AA17" s="17">
        <f t="shared" si="9"/>
        <v>19.571428571428569</v>
      </c>
      <c r="AB17" s="17">
        <f t="shared" si="9"/>
        <v>71.714285714285708</v>
      </c>
      <c r="AC17" s="17">
        <f t="shared" si="9"/>
        <v>318.14285714285711</v>
      </c>
      <c r="AD17" s="17">
        <f t="shared" si="9"/>
        <v>0</v>
      </c>
      <c r="AE17" s="31">
        <f t="shared" si="9"/>
        <v>582.99999999999989</v>
      </c>
      <c r="AF17" s="31">
        <f t="shared" si="9"/>
        <v>901.14285714285711</v>
      </c>
    </row>
    <row r="18" spans="2:32" ht="23.1" customHeight="1" x14ac:dyDescent="0.25">
      <c r="B18" s="23" t="s">
        <v>45</v>
      </c>
      <c r="C18" s="49">
        <f>AVERAGE('29.10 Mukono-Mbalala'!C18,'30.10.Mukono-Mbalala'!C18,'31.10 Mukono-Mbalala'!C18,'3.11 Mukono-Mbalala'!C18,'1.11 Mukono-Mbalala-24h'!C18,'2.11 Mukono-Mbalala-24h'!C18,'4.11 Mukono-Mbalala '!C18)</f>
        <v>40.714285714285715</v>
      </c>
      <c r="D18" s="49">
        <f>AVERAGE('29.10 Mukono-Mbalala'!D18,'30.10.Mukono-Mbalala'!D18,'31.10 Mukono-Mbalala'!D18,'3.11 Mukono-Mbalala'!D18,'1.11 Mukono-Mbalala-24h'!D18,'2.11 Mukono-Mbalala-24h'!D18,'4.11 Mukono-Mbalala '!D18)</f>
        <v>10.571428571428571</v>
      </c>
      <c r="E18" s="49">
        <f>AVERAGE('29.10 Mukono-Mbalala'!E18,'30.10.Mukono-Mbalala'!E18,'31.10 Mukono-Mbalala'!E18,'3.11 Mukono-Mbalala'!E18,'1.11 Mukono-Mbalala-24h'!E18,'2.11 Mukono-Mbalala-24h'!E18,'4.11 Mukono-Mbalala '!E18)</f>
        <v>8.5714285714285712</v>
      </c>
      <c r="F18" s="49">
        <f>AVERAGE('29.10 Mukono-Mbalala'!F18,'30.10.Mukono-Mbalala'!F18,'31.10 Mukono-Mbalala'!F18,'3.11 Mukono-Mbalala'!F18,'1.11 Mukono-Mbalala-24h'!F18,'2.11 Mukono-Mbalala-24h'!F18,'4.11 Mukono-Mbalala '!F18)</f>
        <v>48</v>
      </c>
      <c r="G18" s="49">
        <f>AVERAGE('29.10 Mukono-Mbalala'!G18,'30.10.Mukono-Mbalala'!G18,'31.10 Mukono-Mbalala'!G18,'3.11 Mukono-Mbalala'!G18,'1.11 Mukono-Mbalala-24h'!G18,'2.11 Mukono-Mbalala-24h'!G18,'4.11 Mukono-Mbalala '!G18)</f>
        <v>1.7142857142857142</v>
      </c>
      <c r="H18" s="49">
        <f>AVERAGE('29.10 Mukono-Mbalala'!H18,'30.10.Mukono-Mbalala'!H18,'31.10 Mukono-Mbalala'!H18,'3.11 Mukono-Mbalala'!H18,'1.11 Mukono-Mbalala-24h'!H18,'2.11 Mukono-Mbalala-24h'!H18,'4.11 Mukono-Mbalala '!H18)</f>
        <v>0.2857142857142857</v>
      </c>
      <c r="I18" s="49">
        <f>AVERAGE('29.10 Mukono-Mbalala'!I18,'30.10.Mukono-Mbalala'!I18,'31.10 Mukono-Mbalala'!I18,'3.11 Mukono-Mbalala'!I18,'1.11 Mukono-Mbalala-24h'!I18,'2.11 Mukono-Mbalala-24h'!I18,'4.11 Mukono-Mbalala '!I18)</f>
        <v>11.142857142857142</v>
      </c>
      <c r="J18" s="49">
        <f>AVERAGE('29.10 Mukono-Mbalala'!J18,'30.10.Mukono-Mbalala'!J18,'31.10 Mukono-Mbalala'!J18,'3.11 Mukono-Mbalala'!J18,'1.11 Mukono-Mbalala-24h'!J18,'2.11 Mukono-Mbalala-24h'!J18,'4.11 Mukono-Mbalala '!J18)</f>
        <v>4.8571428571428568</v>
      </c>
      <c r="K18" s="49">
        <f>AVERAGE('29.10 Mukono-Mbalala'!K18,'30.10.Mukono-Mbalala'!K18,'31.10 Mukono-Mbalala'!K18,'3.11 Mukono-Mbalala'!K18,'1.11 Mukono-Mbalala-24h'!K18,'2.11 Mukono-Mbalala-24h'!K18,'4.11 Mukono-Mbalala '!K18)</f>
        <v>3.7142857142857144</v>
      </c>
      <c r="L18" s="49">
        <f>AVERAGE('29.10 Mukono-Mbalala'!L18,'30.10.Mukono-Mbalala'!L18,'31.10 Mukono-Mbalala'!L18,'3.11 Mukono-Mbalala'!L18,'1.11 Mukono-Mbalala-24h'!L18,'2.11 Mukono-Mbalala-24h'!L18,'4.11 Mukono-Mbalala '!L18)</f>
        <v>9.2857142857142865</v>
      </c>
      <c r="M18" s="49">
        <f>AVERAGE('29.10 Mukono-Mbalala'!M18,'30.10.Mukono-Mbalala'!M18,'31.10 Mukono-Mbalala'!M18,'3.11 Mukono-Mbalala'!M18,'1.11 Mukono-Mbalala-24h'!M18,'2.11 Mukono-Mbalala-24h'!M18,'4.11 Mukono-Mbalala '!M18)</f>
        <v>106</v>
      </c>
      <c r="N18" s="49">
        <f>AVERAGE('29.10 Mukono-Mbalala'!N18,'30.10.Mukono-Mbalala'!N18,'31.10 Mukono-Mbalala'!N18,'3.11 Mukono-Mbalala'!N18,'1.11 Mukono-Mbalala-24h'!N18,'2.11 Mukono-Mbalala-24h'!N18,'4.11 Mukono-Mbalala '!N18)</f>
        <v>0</v>
      </c>
      <c r="O18" s="15">
        <f t="shared" si="0"/>
        <v>138.85714285714286</v>
      </c>
      <c r="P18" s="15">
        <f t="shared" si="1"/>
        <v>244.85714285714286</v>
      </c>
      <c r="R18" s="1" t="s">
        <v>14</v>
      </c>
      <c r="S18" s="17">
        <f t="shared" ref="S18:AF18" si="10">SUM(C42:C45)</f>
        <v>141.42857142857144</v>
      </c>
      <c r="T18" s="17">
        <f t="shared" si="10"/>
        <v>28.857142857142858</v>
      </c>
      <c r="U18" s="17">
        <f t="shared" si="10"/>
        <v>21.285714285714285</v>
      </c>
      <c r="V18" s="17">
        <f t="shared" si="10"/>
        <v>131.14285714285714</v>
      </c>
      <c r="W18" s="17">
        <f t="shared" si="10"/>
        <v>5.7142857142857144</v>
      </c>
      <c r="X18" s="17">
        <f t="shared" si="10"/>
        <v>5.2857142857142856</v>
      </c>
      <c r="Y18" s="17">
        <f t="shared" si="10"/>
        <v>31.714285714285708</v>
      </c>
      <c r="Z18" s="17">
        <f t="shared" si="10"/>
        <v>20.857142857142858</v>
      </c>
      <c r="AA18" s="17">
        <f t="shared" si="10"/>
        <v>13.857142857142858</v>
      </c>
      <c r="AB18" s="17">
        <f t="shared" si="10"/>
        <v>67.714285714285722</v>
      </c>
      <c r="AC18" s="17">
        <f t="shared" si="10"/>
        <v>307.42857142857144</v>
      </c>
      <c r="AD18" s="17">
        <f t="shared" si="10"/>
        <v>0</v>
      </c>
      <c r="AE18" s="31">
        <f t="shared" si="10"/>
        <v>467.85714285714283</v>
      </c>
      <c r="AF18" s="31">
        <f t="shared" si="10"/>
        <v>775.28571428571422</v>
      </c>
    </row>
    <row r="19" spans="2:32" ht="23.1" customHeight="1" x14ac:dyDescent="0.25">
      <c r="B19" s="23" t="s">
        <v>46</v>
      </c>
      <c r="C19" s="49">
        <f>AVERAGE('29.10 Mukono-Mbalala'!C19,'30.10.Mukono-Mbalala'!C19,'31.10 Mukono-Mbalala'!C19,'3.11 Mukono-Mbalala'!C19,'1.11 Mukono-Mbalala-24h'!C19,'2.11 Mukono-Mbalala-24h'!C19,'4.11 Mukono-Mbalala '!C19)</f>
        <v>32.571428571428569</v>
      </c>
      <c r="D19" s="49">
        <f>AVERAGE('29.10 Mukono-Mbalala'!D19,'30.10.Mukono-Mbalala'!D19,'31.10 Mukono-Mbalala'!D19,'3.11 Mukono-Mbalala'!D19,'1.11 Mukono-Mbalala-24h'!D19,'2.11 Mukono-Mbalala-24h'!D19,'4.11 Mukono-Mbalala '!D19)</f>
        <v>7.2857142857142856</v>
      </c>
      <c r="E19" s="49">
        <f>AVERAGE('29.10 Mukono-Mbalala'!E19,'30.10.Mukono-Mbalala'!E19,'31.10 Mukono-Mbalala'!E19,'3.11 Mukono-Mbalala'!E19,'1.11 Mukono-Mbalala-24h'!E19,'2.11 Mukono-Mbalala-24h'!E19,'4.11 Mukono-Mbalala '!E19)</f>
        <v>8.2857142857142865</v>
      </c>
      <c r="F19" s="49">
        <f>AVERAGE('29.10 Mukono-Mbalala'!F19,'30.10.Mukono-Mbalala'!F19,'31.10 Mukono-Mbalala'!F19,'3.11 Mukono-Mbalala'!F19,'1.11 Mukono-Mbalala-24h'!F19,'2.11 Mukono-Mbalala-24h'!F19,'4.11 Mukono-Mbalala '!F19)</f>
        <v>35.285714285714285</v>
      </c>
      <c r="G19" s="49">
        <f>AVERAGE('29.10 Mukono-Mbalala'!G19,'30.10.Mukono-Mbalala'!G19,'31.10 Mukono-Mbalala'!G19,'3.11 Mukono-Mbalala'!G19,'1.11 Mukono-Mbalala-24h'!G19,'2.11 Mukono-Mbalala-24h'!G19,'4.11 Mukono-Mbalala '!G19)</f>
        <v>1.2857142857142858</v>
      </c>
      <c r="H19" s="49">
        <f>AVERAGE('29.10 Mukono-Mbalala'!H19,'30.10.Mukono-Mbalala'!H19,'31.10 Mukono-Mbalala'!H19,'3.11 Mukono-Mbalala'!H19,'1.11 Mukono-Mbalala-24h'!H19,'2.11 Mukono-Mbalala-24h'!H19,'4.11 Mukono-Mbalala '!H19)</f>
        <v>0.42857142857142855</v>
      </c>
      <c r="I19" s="49">
        <f>AVERAGE('29.10 Mukono-Mbalala'!I19,'30.10.Mukono-Mbalala'!I19,'31.10 Mukono-Mbalala'!I19,'3.11 Mukono-Mbalala'!I19,'1.11 Mukono-Mbalala-24h'!I19,'2.11 Mukono-Mbalala-24h'!I19,'4.11 Mukono-Mbalala '!I19)</f>
        <v>9.1428571428571423</v>
      </c>
      <c r="J19" s="49">
        <f>AVERAGE('29.10 Mukono-Mbalala'!J19,'30.10.Mukono-Mbalala'!J19,'31.10 Mukono-Mbalala'!J19,'3.11 Mukono-Mbalala'!J19,'1.11 Mukono-Mbalala-24h'!J19,'2.11 Mukono-Mbalala-24h'!J19,'4.11 Mukono-Mbalala '!J19)</f>
        <v>3.1428571428571428</v>
      </c>
      <c r="K19" s="49">
        <f>AVERAGE('29.10 Mukono-Mbalala'!K19,'30.10.Mukono-Mbalala'!K19,'31.10 Mukono-Mbalala'!K19,'3.11 Mukono-Mbalala'!K19,'1.11 Mukono-Mbalala-24h'!K19,'2.11 Mukono-Mbalala-24h'!K19,'4.11 Mukono-Mbalala '!K19)</f>
        <v>3.2857142857142856</v>
      </c>
      <c r="L19" s="49">
        <f>AVERAGE('29.10 Mukono-Mbalala'!L19,'30.10.Mukono-Mbalala'!L19,'31.10 Mukono-Mbalala'!L19,'3.11 Mukono-Mbalala'!L19,'1.11 Mukono-Mbalala-24h'!L19,'2.11 Mukono-Mbalala-24h'!L19,'4.11 Mukono-Mbalala '!L19)</f>
        <v>6</v>
      </c>
      <c r="M19" s="49">
        <f>AVERAGE('29.10 Mukono-Mbalala'!M19,'30.10.Mukono-Mbalala'!M19,'31.10 Mukono-Mbalala'!M19,'3.11 Mukono-Mbalala'!M19,'1.11 Mukono-Mbalala-24h'!M19,'2.11 Mukono-Mbalala-24h'!M19,'4.11 Mukono-Mbalala '!M19)</f>
        <v>90.142857142857139</v>
      </c>
      <c r="N19" s="49">
        <f>AVERAGE('29.10 Mukono-Mbalala'!N19,'30.10.Mukono-Mbalala'!N19,'31.10 Mukono-Mbalala'!N19,'3.11 Mukono-Mbalala'!N19,'1.11 Mukono-Mbalala-24h'!N19,'2.11 Mukono-Mbalala-24h'!N19,'4.11 Mukono-Mbalala '!N19)</f>
        <v>0</v>
      </c>
      <c r="O19" s="15">
        <f t="shared" si="0"/>
        <v>106.71428571428571</v>
      </c>
      <c r="P19" s="15">
        <f t="shared" si="1"/>
        <v>196.85714285714283</v>
      </c>
      <c r="R19" s="1" t="s">
        <v>15</v>
      </c>
      <c r="S19" s="17">
        <f t="shared" ref="S19:AF19" si="11">SUM(C46:C49)</f>
        <v>159.28571428571428</v>
      </c>
      <c r="T19" s="17">
        <f t="shared" si="11"/>
        <v>32.714285714285715</v>
      </c>
      <c r="U19" s="17">
        <f t="shared" si="11"/>
        <v>24.571428571428569</v>
      </c>
      <c r="V19" s="17">
        <f t="shared" si="11"/>
        <v>155.42857142857142</v>
      </c>
      <c r="W19" s="17">
        <f t="shared" si="11"/>
        <v>6</v>
      </c>
      <c r="X19" s="17">
        <f t="shared" si="11"/>
        <v>3.4285714285714284</v>
      </c>
      <c r="Y19" s="17">
        <f t="shared" si="11"/>
        <v>44.428571428571423</v>
      </c>
      <c r="Z19" s="17">
        <f t="shared" si="11"/>
        <v>22.142857142857142</v>
      </c>
      <c r="AA19" s="17">
        <f t="shared" si="11"/>
        <v>18</v>
      </c>
      <c r="AB19" s="17">
        <f t="shared" si="11"/>
        <v>99.285714285714278</v>
      </c>
      <c r="AC19" s="17">
        <f t="shared" si="11"/>
        <v>364.42857142857144</v>
      </c>
      <c r="AD19" s="17">
        <f t="shared" si="11"/>
        <v>0</v>
      </c>
      <c r="AE19" s="31">
        <f t="shared" si="11"/>
        <v>565.28571428571422</v>
      </c>
      <c r="AF19" s="31">
        <f t="shared" si="11"/>
        <v>929.71428571428578</v>
      </c>
    </row>
    <row r="20" spans="2:32" ht="23.1" customHeight="1" x14ac:dyDescent="0.25">
      <c r="B20" s="23" t="s">
        <v>47</v>
      </c>
      <c r="C20" s="49">
        <f>AVERAGE('29.10 Mukono-Mbalala'!C20,'30.10.Mukono-Mbalala'!C20,'31.10 Mukono-Mbalala'!C20,'3.11 Mukono-Mbalala'!C20,'1.11 Mukono-Mbalala-24h'!C20,'2.11 Mukono-Mbalala-24h'!C20,'4.11 Mukono-Mbalala '!C20)</f>
        <v>31.714285714285715</v>
      </c>
      <c r="D20" s="49">
        <f>AVERAGE('29.10 Mukono-Mbalala'!D20,'30.10.Mukono-Mbalala'!D20,'31.10 Mukono-Mbalala'!D20,'3.11 Mukono-Mbalala'!D20,'1.11 Mukono-Mbalala-24h'!D20,'2.11 Mukono-Mbalala-24h'!D20,'4.11 Mukono-Mbalala '!D20)</f>
        <v>7.1428571428571432</v>
      </c>
      <c r="E20" s="49">
        <f>AVERAGE('29.10 Mukono-Mbalala'!E20,'30.10.Mukono-Mbalala'!E20,'31.10 Mukono-Mbalala'!E20,'3.11 Mukono-Mbalala'!E20,'1.11 Mukono-Mbalala-24h'!E20,'2.11 Mukono-Mbalala-24h'!E20,'4.11 Mukono-Mbalala '!E20)</f>
        <v>7.5714285714285712</v>
      </c>
      <c r="F20" s="49">
        <f>AVERAGE('29.10 Mukono-Mbalala'!F20,'30.10.Mukono-Mbalala'!F20,'31.10 Mukono-Mbalala'!F20,'3.11 Mukono-Mbalala'!F20,'1.11 Mukono-Mbalala-24h'!F20,'2.11 Mukono-Mbalala-24h'!F20,'4.11 Mukono-Mbalala '!F20)</f>
        <v>38.571428571428569</v>
      </c>
      <c r="G20" s="49">
        <f>AVERAGE('29.10 Mukono-Mbalala'!G20,'30.10.Mukono-Mbalala'!G20,'31.10 Mukono-Mbalala'!G20,'3.11 Mukono-Mbalala'!G20,'1.11 Mukono-Mbalala-24h'!G20,'2.11 Mukono-Mbalala-24h'!G20,'4.11 Mukono-Mbalala '!G20)</f>
        <v>1.1428571428571428</v>
      </c>
      <c r="H20" s="49">
        <f>AVERAGE('29.10 Mukono-Mbalala'!H20,'30.10.Mukono-Mbalala'!H20,'31.10 Mukono-Mbalala'!H20,'3.11 Mukono-Mbalala'!H20,'1.11 Mukono-Mbalala-24h'!H20,'2.11 Mukono-Mbalala-24h'!H20,'4.11 Mukono-Mbalala '!H20)</f>
        <v>0.2857142857142857</v>
      </c>
      <c r="I20" s="49">
        <f>AVERAGE('29.10 Mukono-Mbalala'!I20,'30.10.Mukono-Mbalala'!I20,'31.10 Mukono-Mbalala'!I20,'3.11 Mukono-Mbalala'!I20,'1.11 Mukono-Mbalala-24h'!I20,'2.11 Mukono-Mbalala-24h'!I20,'4.11 Mukono-Mbalala '!I20)</f>
        <v>11.142857142857142</v>
      </c>
      <c r="J20" s="49">
        <f>AVERAGE('29.10 Mukono-Mbalala'!J20,'30.10.Mukono-Mbalala'!J20,'31.10 Mukono-Mbalala'!J20,'3.11 Mukono-Mbalala'!J20,'1.11 Mukono-Mbalala-24h'!J20,'2.11 Mukono-Mbalala-24h'!J20,'4.11 Mukono-Mbalala '!J20)</f>
        <v>4</v>
      </c>
      <c r="K20" s="49">
        <f>AVERAGE('29.10 Mukono-Mbalala'!K20,'30.10.Mukono-Mbalala'!K20,'31.10 Mukono-Mbalala'!K20,'3.11 Mukono-Mbalala'!K20,'1.11 Mukono-Mbalala-24h'!K20,'2.11 Mukono-Mbalala-24h'!K20,'4.11 Mukono-Mbalala '!K20)</f>
        <v>2.4285714285714284</v>
      </c>
      <c r="L20" s="49">
        <f>AVERAGE('29.10 Mukono-Mbalala'!L20,'30.10.Mukono-Mbalala'!L20,'31.10 Mukono-Mbalala'!L20,'3.11 Mukono-Mbalala'!L20,'1.11 Mukono-Mbalala-24h'!L20,'2.11 Mukono-Mbalala-24h'!L20,'4.11 Mukono-Mbalala '!L20)</f>
        <v>6.2857142857142856</v>
      </c>
      <c r="M20" s="49">
        <f>AVERAGE('29.10 Mukono-Mbalala'!M20,'30.10.Mukono-Mbalala'!M20,'31.10 Mukono-Mbalala'!M20,'3.11 Mukono-Mbalala'!M20,'1.11 Mukono-Mbalala-24h'!M20,'2.11 Mukono-Mbalala-24h'!M20,'4.11 Mukono-Mbalala '!M20)</f>
        <v>85.571428571428569</v>
      </c>
      <c r="N20" s="49">
        <f>AVERAGE('29.10 Mukono-Mbalala'!N20,'30.10.Mukono-Mbalala'!N20,'31.10 Mukono-Mbalala'!N20,'3.11 Mukono-Mbalala'!N20,'1.11 Mukono-Mbalala-24h'!N20,'2.11 Mukono-Mbalala-24h'!N20,'4.11 Mukono-Mbalala '!N20)</f>
        <v>0</v>
      </c>
      <c r="O20" s="15">
        <f t="shared" si="0"/>
        <v>110.28571428571429</v>
      </c>
      <c r="P20" s="15">
        <f t="shared" si="1"/>
        <v>195.85714285714286</v>
      </c>
      <c r="R20" s="1" t="s">
        <v>16</v>
      </c>
      <c r="S20" s="17">
        <f t="shared" ref="S20:AF20" si="12">SUM(C50:C53)</f>
        <v>142.71428571428572</v>
      </c>
      <c r="T20" s="17">
        <f t="shared" si="12"/>
        <v>29.714285714285715</v>
      </c>
      <c r="U20" s="17">
        <f t="shared" si="12"/>
        <v>25.000000000000004</v>
      </c>
      <c r="V20" s="17">
        <f t="shared" si="12"/>
        <v>128</v>
      </c>
      <c r="W20" s="17">
        <f t="shared" si="12"/>
        <v>5</v>
      </c>
      <c r="X20" s="17">
        <f t="shared" si="12"/>
        <v>4.5714285714285712</v>
      </c>
      <c r="Y20" s="17">
        <f t="shared" si="12"/>
        <v>29.857142857142854</v>
      </c>
      <c r="Z20" s="17">
        <f t="shared" si="12"/>
        <v>21.571428571428573</v>
      </c>
      <c r="AA20" s="17">
        <f t="shared" si="12"/>
        <v>17.428571428571427</v>
      </c>
      <c r="AB20" s="17">
        <f t="shared" si="12"/>
        <v>63.571428571428569</v>
      </c>
      <c r="AC20" s="17">
        <f t="shared" si="12"/>
        <v>383.42857142857144</v>
      </c>
      <c r="AD20" s="17">
        <f t="shared" si="12"/>
        <v>0</v>
      </c>
      <c r="AE20" s="31">
        <f t="shared" si="12"/>
        <v>467.42857142857144</v>
      </c>
      <c r="AF20" s="31">
        <f t="shared" si="12"/>
        <v>850.85714285714289</v>
      </c>
    </row>
    <row r="21" spans="2:32" ht="23.1" customHeight="1" x14ac:dyDescent="0.25">
      <c r="B21" s="23" t="s">
        <v>48</v>
      </c>
      <c r="C21" s="49">
        <f>AVERAGE('29.10 Mukono-Mbalala'!C21,'30.10.Mukono-Mbalala'!C21,'31.10 Mukono-Mbalala'!C21,'3.11 Mukono-Mbalala'!C21,'1.11 Mukono-Mbalala-24h'!C21,'2.11 Mukono-Mbalala-24h'!C21,'4.11 Mukono-Mbalala '!C21)</f>
        <v>47.571428571428569</v>
      </c>
      <c r="D21" s="49">
        <f>AVERAGE('29.10 Mukono-Mbalala'!D21,'30.10.Mukono-Mbalala'!D21,'31.10 Mukono-Mbalala'!D21,'3.11 Mukono-Mbalala'!D21,'1.11 Mukono-Mbalala-24h'!D21,'2.11 Mukono-Mbalala-24h'!D21,'4.11 Mukono-Mbalala '!D21)</f>
        <v>7.7142857142857144</v>
      </c>
      <c r="E21" s="49">
        <f>AVERAGE('29.10 Mukono-Mbalala'!E21,'30.10.Mukono-Mbalala'!E21,'31.10 Mukono-Mbalala'!E21,'3.11 Mukono-Mbalala'!E21,'1.11 Mukono-Mbalala-24h'!E21,'2.11 Mukono-Mbalala-24h'!E21,'4.11 Mukono-Mbalala '!E21)</f>
        <v>7.7142857142857144</v>
      </c>
      <c r="F21" s="49">
        <f>AVERAGE('29.10 Mukono-Mbalala'!F21,'30.10.Mukono-Mbalala'!F21,'31.10 Mukono-Mbalala'!F21,'3.11 Mukono-Mbalala'!F21,'1.11 Mukono-Mbalala-24h'!F21,'2.11 Mukono-Mbalala-24h'!F21,'4.11 Mukono-Mbalala '!F21)</f>
        <v>42.285714285714285</v>
      </c>
      <c r="G21" s="49">
        <f>AVERAGE('29.10 Mukono-Mbalala'!G21,'30.10.Mukono-Mbalala'!G21,'31.10 Mukono-Mbalala'!G21,'3.11 Mukono-Mbalala'!G21,'1.11 Mukono-Mbalala-24h'!G21,'2.11 Mukono-Mbalala-24h'!G21,'4.11 Mukono-Mbalala '!G21)</f>
        <v>1.7142857142857142</v>
      </c>
      <c r="H21" s="49">
        <f>AVERAGE('29.10 Mukono-Mbalala'!H21,'30.10.Mukono-Mbalala'!H21,'31.10 Mukono-Mbalala'!H21,'3.11 Mukono-Mbalala'!H21,'1.11 Mukono-Mbalala-24h'!H21,'2.11 Mukono-Mbalala-24h'!H21,'4.11 Mukono-Mbalala '!H21)</f>
        <v>0.2857142857142857</v>
      </c>
      <c r="I21" s="49">
        <f>AVERAGE('29.10 Mukono-Mbalala'!I21,'30.10.Mukono-Mbalala'!I21,'31.10 Mukono-Mbalala'!I21,'3.11 Mukono-Mbalala'!I21,'1.11 Mukono-Mbalala-24h'!I21,'2.11 Mukono-Mbalala-24h'!I21,'4.11 Mukono-Mbalala '!I21)</f>
        <v>7.8571428571428568</v>
      </c>
      <c r="J21" s="49">
        <f>AVERAGE('29.10 Mukono-Mbalala'!J21,'30.10.Mukono-Mbalala'!J21,'31.10 Mukono-Mbalala'!J21,'3.11 Mukono-Mbalala'!J21,'1.11 Mukono-Mbalala-24h'!J21,'2.11 Mukono-Mbalala-24h'!J21,'4.11 Mukono-Mbalala '!J21)</f>
        <v>4</v>
      </c>
      <c r="K21" s="49">
        <f>AVERAGE('29.10 Mukono-Mbalala'!K21,'30.10.Mukono-Mbalala'!K21,'31.10 Mukono-Mbalala'!K21,'3.11 Mukono-Mbalala'!K21,'1.11 Mukono-Mbalala-24h'!K21,'2.11 Mukono-Mbalala-24h'!K21,'4.11 Mukono-Mbalala '!K21)</f>
        <v>2.2857142857142856</v>
      </c>
      <c r="L21" s="49">
        <f>AVERAGE('29.10 Mukono-Mbalala'!L21,'30.10.Mukono-Mbalala'!L21,'31.10 Mukono-Mbalala'!L21,'3.11 Mukono-Mbalala'!L21,'1.11 Mukono-Mbalala-24h'!L21,'2.11 Mukono-Mbalala-24h'!L21,'4.11 Mukono-Mbalala '!L21)</f>
        <v>5.7142857142857144</v>
      </c>
      <c r="M21" s="49">
        <f>AVERAGE('29.10 Mukono-Mbalala'!M21,'30.10.Mukono-Mbalala'!M21,'31.10 Mukono-Mbalala'!M21,'3.11 Mukono-Mbalala'!M21,'1.11 Mukono-Mbalala-24h'!M21,'2.11 Mukono-Mbalala-24h'!M21,'4.11 Mukono-Mbalala '!M21)</f>
        <v>110.42857142857143</v>
      </c>
      <c r="N21" s="49">
        <f>AVERAGE('29.10 Mukono-Mbalala'!N21,'30.10.Mukono-Mbalala'!N21,'31.10 Mukono-Mbalala'!N21,'3.11 Mukono-Mbalala'!N21,'1.11 Mukono-Mbalala-24h'!N21,'2.11 Mukono-Mbalala-24h'!N21,'4.11 Mukono-Mbalala '!N21)</f>
        <v>0</v>
      </c>
      <c r="O21" s="15">
        <f t="shared" si="0"/>
        <v>127.14285714285714</v>
      </c>
      <c r="P21" s="15">
        <f t="shared" si="1"/>
        <v>237.57142857142856</v>
      </c>
      <c r="R21" s="1" t="s">
        <v>20</v>
      </c>
      <c r="S21" s="34">
        <f t="shared" ref="S21:AF21" si="13">SUM(C54:C57)</f>
        <v>159.28571428571428</v>
      </c>
      <c r="T21" s="17">
        <f t="shared" si="13"/>
        <v>29.142857142857146</v>
      </c>
      <c r="U21" s="17">
        <f t="shared" si="13"/>
        <v>25.285714285714285</v>
      </c>
      <c r="V21" s="17">
        <f t="shared" si="13"/>
        <v>143.28571428571428</v>
      </c>
      <c r="W21" s="17">
        <f t="shared" si="13"/>
        <v>10.285714285714285</v>
      </c>
      <c r="X21" s="17">
        <f t="shared" si="13"/>
        <v>4.8571428571428568</v>
      </c>
      <c r="Y21" s="17">
        <f t="shared" si="13"/>
        <v>34.571428571428569</v>
      </c>
      <c r="Z21" s="17">
        <f t="shared" si="13"/>
        <v>24</v>
      </c>
      <c r="AA21" s="17">
        <f t="shared" si="13"/>
        <v>16.428571428571427</v>
      </c>
      <c r="AB21" s="17">
        <f t="shared" si="13"/>
        <v>75.857142857142861</v>
      </c>
      <c r="AC21" s="17">
        <f t="shared" si="13"/>
        <v>512.42857142857144</v>
      </c>
      <c r="AD21" s="17">
        <f t="shared" si="13"/>
        <v>0</v>
      </c>
      <c r="AE21" s="31">
        <f t="shared" si="13"/>
        <v>523</v>
      </c>
      <c r="AF21" s="31">
        <f t="shared" si="13"/>
        <v>1035.4285714285716</v>
      </c>
    </row>
    <row r="22" spans="2:32" ht="23.1" customHeight="1" x14ac:dyDescent="0.25">
      <c r="B22" s="23" t="s">
        <v>49</v>
      </c>
      <c r="C22" s="49">
        <f>AVERAGE('29.10 Mukono-Mbalala'!C22,'30.10.Mukono-Mbalala'!C22,'31.10 Mukono-Mbalala'!C22,'3.11 Mukono-Mbalala'!C22,'1.11 Mukono-Mbalala-24h'!C22,'2.11 Mukono-Mbalala-24h'!C22,'4.11 Mukono-Mbalala '!C22)</f>
        <v>52.428571428571431</v>
      </c>
      <c r="D22" s="49">
        <f>AVERAGE('29.10 Mukono-Mbalala'!D22,'30.10.Mukono-Mbalala'!D22,'31.10 Mukono-Mbalala'!D22,'3.11 Mukono-Mbalala'!D22,'1.11 Mukono-Mbalala-24h'!D22,'2.11 Mukono-Mbalala-24h'!D22,'4.11 Mukono-Mbalala '!D22)</f>
        <v>13</v>
      </c>
      <c r="E22" s="49">
        <f>AVERAGE('29.10 Mukono-Mbalala'!E22,'30.10.Mukono-Mbalala'!E22,'31.10 Mukono-Mbalala'!E22,'3.11 Mukono-Mbalala'!E22,'1.11 Mukono-Mbalala-24h'!E22,'2.11 Mukono-Mbalala-24h'!E22,'4.11 Mukono-Mbalala '!E22)</f>
        <v>6.7142857142857144</v>
      </c>
      <c r="F22" s="49">
        <f>AVERAGE('29.10 Mukono-Mbalala'!F22,'30.10.Mukono-Mbalala'!F22,'31.10 Mukono-Mbalala'!F22,'3.11 Mukono-Mbalala'!F22,'1.11 Mukono-Mbalala-24h'!F22,'2.11 Mukono-Mbalala-24h'!F22,'4.11 Mukono-Mbalala '!F22)</f>
        <v>52</v>
      </c>
      <c r="G22" s="49">
        <f>AVERAGE('29.10 Mukono-Mbalala'!G22,'30.10.Mukono-Mbalala'!G22,'31.10 Mukono-Mbalala'!G22,'3.11 Mukono-Mbalala'!G22,'1.11 Mukono-Mbalala-24h'!G22,'2.11 Mukono-Mbalala-24h'!G22,'4.11 Mukono-Mbalala '!G22)</f>
        <v>1.8571428571428572</v>
      </c>
      <c r="H22" s="49">
        <f>AVERAGE('29.10 Mukono-Mbalala'!H22,'30.10.Mukono-Mbalala'!H22,'31.10 Mukono-Mbalala'!H22,'3.11 Mukono-Mbalala'!H22,'1.11 Mukono-Mbalala-24h'!H22,'2.11 Mukono-Mbalala-24h'!H22,'4.11 Mukono-Mbalala '!H22)</f>
        <v>0.5714285714285714</v>
      </c>
      <c r="I22" s="49">
        <f>AVERAGE('29.10 Mukono-Mbalala'!I22,'30.10.Mukono-Mbalala'!I22,'31.10 Mukono-Mbalala'!I22,'3.11 Mukono-Mbalala'!I22,'1.11 Mukono-Mbalala-24h'!I22,'2.11 Mukono-Mbalala-24h'!I22,'4.11 Mukono-Mbalala '!I22)</f>
        <v>11.428571428571429</v>
      </c>
      <c r="J22" s="49">
        <f>AVERAGE('29.10 Mukono-Mbalala'!J22,'30.10.Mukono-Mbalala'!J22,'31.10 Mukono-Mbalala'!J22,'3.11 Mukono-Mbalala'!J22,'1.11 Mukono-Mbalala-24h'!J22,'2.11 Mukono-Mbalala-24h'!J22,'4.11 Mukono-Mbalala '!J22)</f>
        <v>4.8571428571428568</v>
      </c>
      <c r="K22" s="49">
        <f>AVERAGE('29.10 Mukono-Mbalala'!K22,'30.10.Mukono-Mbalala'!K22,'31.10 Mukono-Mbalala'!K22,'3.11 Mukono-Mbalala'!K22,'1.11 Mukono-Mbalala-24h'!K22,'2.11 Mukono-Mbalala-24h'!K22,'4.11 Mukono-Mbalala '!K22)</f>
        <v>5.2857142857142856</v>
      </c>
      <c r="L22" s="49">
        <f>AVERAGE('29.10 Mukono-Mbalala'!L22,'30.10.Mukono-Mbalala'!L22,'31.10 Mukono-Mbalala'!L22,'3.11 Mukono-Mbalala'!L22,'1.11 Mukono-Mbalala-24h'!L22,'2.11 Mukono-Mbalala-24h'!L22,'4.11 Mukono-Mbalala '!L22)</f>
        <v>8.8571428571428577</v>
      </c>
      <c r="M22" s="49">
        <f>AVERAGE('29.10 Mukono-Mbalala'!M22,'30.10.Mukono-Mbalala'!M22,'31.10 Mukono-Mbalala'!M22,'3.11 Mukono-Mbalala'!M22,'1.11 Mukono-Mbalala-24h'!M22,'2.11 Mukono-Mbalala-24h'!M22,'4.11 Mukono-Mbalala '!M22)</f>
        <v>114</v>
      </c>
      <c r="N22" s="49">
        <f>AVERAGE('29.10 Mukono-Mbalala'!N22,'30.10.Mukono-Mbalala'!N22,'31.10 Mukono-Mbalala'!N22,'3.11 Mukono-Mbalala'!N22,'1.11 Mukono-Mbalala-24h'!N22,'2.11 Mukono-Mbalala-24h'!N22,'4.11 Mukono-Mbalala '!N22)</f>
        <v>0</v>
      </c>
      <c r="O22" s="15">
        <f t="shared" si="0"/>
        <v>157</v>
      </c>
      <c r="P22" s="15">
        <f t="shared" si="1"/>
        <v>271</v>
      </c>
      <c r="R22" s="1" t="s">
        <v>146</v>
      </c>
      <c r="S22" s="34">
        <f>SUM(C58:C61)</f>
        <v>167</v>
      </c>
      <c r="T22" s="34">
        <f t="shared" ref="T22:AF22" si="14">SUM(D58:D61)</f>
        <v>30.5</v>
      </c>
      <c r="U22" s="34">
        <f t="shared" si="14"/>
        <v>24.5</v>
      </c>
      <c r="V22" s="34">
        <f t="shared" si="14"/>
        <v>142.5</v>
      </c>
      <c r="W22" s="34">
        <f t="shared" si="14"/>
        <v>12.5</v>
      </c>
      <c r="X22" s="34">
        <f t="shared" si="14"/>
        <v>17.5</v>
      </c>
      <c r="Y22" s="34">
        <f t="shared" si="14"/>
        <v>33.5</v>
      </c>
      <c r="Z22" s="34">
        <f t="shared" si="14"/>
        <v>29.5</v>
      </c>
      <c r="AA22" s="34">
        <f t="shared" si="14"/>
        <v>19</v>
      </c>
      <c r="AB22" s="34">
        <f t="shared" si="14"/>
        <v>68.5</v>
      </c>
      <c r="AC22" s="34">
        <f t="shared" si="14"/>
        <v>203.5</v>
      </c>
      <c r="AD22" s="34">
        <f t="shared" si="14"/>
        <v>0</v>
      </c>
      <c r="AE22" s="31">
        <f t="shared" si="14"/>
        <v>545</v>
      </c>
      <c r="AF22" s="31">
        <f t="shared" si="14"/>
        <v>748.5</v>
      </c>
    </row>
    <row r="23" spans="2:32" ht="23.1" customHeight="1" x14ac:dyDescent="0.25">
      <c r="B23" s="23" t="s">
        <v>50</v>
      </c>
      <c r="C23" s="49">
        <f>AVERAGE('29.10 Mukono-Mbalala'!C23,'30.10.Mukono-Mbalala'!C23,'31.10 Mukono-Mbalala'!C23,'3.11 Mukono-Mbalala'!C23,'1.11 Mukono-Mbalala-24h'!C23,'2.11 Mukono-Mbalala-24h'!C23,'4.11 Mukono-Mbalala '!C23)</f>
        <v>47.714285714285715</v>
      </c>
      <c r="D23" s="49">
        <f>AVERAGE('29.10 Mukono-Mbalala'!D23,'30.10.Mukono-Mbalala'!D23,'31.10 Mukono-Mbalala'!D23,'3.11 Mukono-Mbalala'!D23,'1.11 Mukono-Mbalala-24h'!D23,'2.11 Mukono-Mbalala-24h'!D23,'4.11 Mukono-Mbalala '!D23)</f>
        <v>13</v>
      </c>
      <c r="E23" s="49">
        <f>AVERAGE('29.10 Mukono-Mbalala'!E23,'30.10.Mukono-Mbalala'!E23,'31.10 Mukono-Mbalala'!E23,'3.11 Mukono-Mbalala'!E23,'1.11 Mukono-Mbalala-24h'!E23,'2.11 Mukono-Mbalala-24h'!E23,'4.11 Mukono-Mbalala '!E23)</f>
        <v>10</v>
      </c>
      <c r="F23" s="49">
        <f>AVERAGE('29.10 Mukono-Mbalala'!F23,'30.10.Mukono-Mbalala'!F23,'31.10 Mukono-Mbalala'!F23,'3.11 Mukono-Mbalala'!F23,'1.11 Mukono-Mbalala-24h'!F23,'2.11 Mukono-Mbalala-24h'!F23,'4.11 Mukono-Mbalala '!F23)</f>
        <v>45</v>
      </c>
      <c r="G23" s="49">
        <f>AVERAGE('29.10 Mukono-Mbalala'!G23,'30.10.Mukono-Mbalala'!G23,'31.10 Mukono-Mbalala'!G23,'3.11 Mukono-Mbalala'!G23,'1.11 Mukono-Mbalala-24h'!G23,'2.11 Mukono-Mbalala-24h'!G23,'4.11 Mukono-Mbalala '!G23)</f>
        <v>11.571428571428571</v>
      </c>
      <c r="H23" s="49">
        <f>AVERAGE('29.10 Mukono-Mbalala'!H23,'30.10.Mukono-Mbalala'!H23,'31.10 Mukono-Mbalala'!H23,'3.11 Mukono-Mbalala'!H23,'1.11 Mukono-Mbalala-24h'!H23,'2.11 Mukono-Mbalala-24h'!H23,'4.11 Mukono-Mbalala '!H23)</f>
        <v>1.4285714285714286</v>
      </c>
      <c r="I23" s="49">
        <f>AVERAGE('29.10 Mukono-Mbalala'!I23,'30.10.Mukono-Mbalala'!I23,'31.10 Mukono-Mbalala'!I23,'3.11 Mukono-Mbalala'!I23,'1.11 Mukono-Mbalala-24h'!I23,'2.11 Mukono-Mbalala-24h'!I23,'4.11 Mukono-Mbalala '!I23)</f>
        <v>6.8571428571428568</v>
      </c>
      <c r="J23" s="49">
        <f>AVERAGE('29.10 Mukono-Mbalala'!J23,'30.10.Mukono-Mbalala'!J23,'31.10 Mukono-Mbalala'!J23,'3.11 Mukono-Mbalala'!J23,'1.11 Mukono-Mbalala-24h'!J23,'2.11 Mukono-Mbalala-24h'!J23,'4.11 Mukono-Mbalala '!J23)</f>
        <v>5.5714285714285712</v>
      </c>
      <c r="K23" s="49">
        <f>AVERAGE('29.10 Mukono-Mbalala'!K23,'30.10.Mukono-Mbalala'!K23,'31.10 Mukono-Mbalala'!K23,'3.11 Mukono-Mbalala'!K23,'1.11 Mukono-Mbalala-24h'!K23,'2.11 Mukono-Mbalala-24h'!K23,'4.11 Mukono-Mbalala '!K23)</f>
        <v>3.5714285714285716</v>
      </c>
      <c r="L23" s="49">
        <f>AVERAGE('29.10 Mukono-Mbalala'!L23,'30.10.Mukono-Mbalala'!L23,'31.10 Mukono-Mbalala'!L23,'3.11 Mukono-Mbalala'!L23,'1.11 Mukono-Mbalala-24h'!L23,'2.11 Mukono-Mbalala-24h'!L23,'4.11 Mukono-Mbalala '!L23)</f>
        <v>11.142857142857142</v>
      </c>
      <c r="M23" s="49">
        <f>AVERAGE('29.10 Mukono-Mbalala'!M23,'30.10.Mukono-Mbalala'!M23,'31.10 Mukono-Mbalala'!M23,'3.11 Mukono-Mbalala'!M23,'1.11 Mukono-Mbalala-24h'!M23,'2.11 Mukono-Mbalala-24h'!M23,'4.11 Mukono-Mbalala '!M23)</f>
        <v>111.57142857142857</v>
      </c>
      <c r="N23" s="49">
        <f>AVERAGE('29.10 Mukono-Mbalala'!N23,'30.10.Mukono-Mbalala'!N23,'31.10 Mukono-Mbalala'!N23,'3.11 Mukono-Mbalala'!N23,'1.11 Mukono-Mbalala-24h'!N23,'2.11 Mukono-Mbalala-24h'!N23,'4.11 Mukono-Mbalala '!N23)</f>
        <v>0</v>
      </c>
      <c r="O23" s="15">
        <f t="shared" si="0"/>
        <v>155.85714285714289</v>
      </c>
      <c r="P23" s="15">
        <f t="shared" si="1"/>
        <v>267.42857142857144</v>
      </c>
      <c r="R23" s="1" t="s">
        <v>147</v>
      </c>
      <c r="S23" s="34">
        <f>SUM(C62:C65)</f>
        <v>186</v>
      </c>
      <c r="T23" s="34">
        <f t="shared" ref="T23:AF23" si="15">SUM(D62:D65)</f>
        <v>57.5</v>
      </c>
      <c r="U23" s="34">
        <f t="shared" si="15"/>
        <v>47.5</v>
      </c>
      <c r="V23" s="34">
        <f t="shared" si="15"/>
        <v>205</v>
      </c>
      <c r="W23" s="34">
        <f t="shared" si="15"/>
        <v>10</v>
      </c>
      <c r="X23" s="34">
        <f t="shared" si="15"/>
        <v>2.5</v>
      </c>
      <c r="Y23" s="34">
        <f t="shared" si="15"/>
        <v>29</v>
      </c>
      <c r="Z23" s="34">
        <f t="shared" si="15"/>
        <v>34.5</v>
      </c>
      <c r="AA23" s="34">
        <f t="shared" si="15"/>
        <v>31.5</v>
      </c>
      <c r="AB23" s="34">
        <f t="shared" si="15"/>
        <v>83.5</v>
      </c>
      <c r="AC23" s="34">
        <f t="shared" si="15"/>
        <v>243</v>
      </c>
      <c r="AD23" s="34">
        <f t="shared" si="15"/>
        <v>0</v>
      </c>
      <c r="AE23" s="31">
        <f t="shared" si="15"/>
        <v>687</v>
      </c>
      <c r="AF23" s="31">
        <f t="shared" si="15"/>
        <v>930</v>
      </c>
    </row>
    <row r="24" spans="2:32" ht="23.1" customHeight="1" x14ac:dyDescent="0.25">
      <c r="B24" s="23" t="s">
        <v>51</v>
      </c>
      <c r="C24" s="49">
        <f>AVERAGE('29.10 Mukono-Mbalala'!C24,'30.10.Mukono-Mbalala'!C24,'31.10 Mukono-Mbalala'!C24,'3.11 Mukono-Mbalala'!C24,'1.11 Mukono-Mbalala-24h'!C24,'2.11 Mukono-Mbalala-24h'!C24,'4.11 Mukono-Mbalala '!C24)</f>
        <v>54.571428571428569</v>
      </c>
      <c r="D24" s="49">
        <f>AVERAGE('29.10 Mukono-Mbalala'!D24,'30.10.Mukono-Mbalala'!D24,'31.10 Mukono-Mbalala'!D24,'3.11 Mukono-Mbalala'!D24,'1.11 Mukono-Mbalala-24h'!D24,'2.11 Mukono-Mbalala-24h'!D24,'4.11 Mukono-Mbalala '!D24)</f>
        <v>12.857142857142858</v>
      </c>
      <c r="E24" s="49">
        <f>AVERAGE('29.10 Mukono-Mbalala'!E24,'30.10.Mukono-Mbalala'!E24,'31.10 Mukono-Mbalala'!E24,'3.11 Mukono-Mbalala'!E24,'1.11 Mukono-Mbalala-24h'!E24,'2.11 Mukono-Mbalala-24h'!E24,'4.11 Mukono-Mbalala '!E24)</f>
        <v>10.285714285714286</v>
      </c>
      <c r="F24" s="49">
        <f>AVERAGE('29.10 Mukono-Mbalala'!F24,'30.10.Mukono-Mbalala'!F24,'31.10 Mukono-Mbalala'!F24,'3.11 Mukono-Mbalala'!F24,'1.11 Mukono-Mbalala-24h'!F24,'2.11 Mukono-Mbalala-24h'!F24,'4.11 Mukono-Mbalala '!F24)</f>
        <v>44.285714285714285</v>
      </c>
      <c r="G24" s="49">
        <f>AVERAGE('29.10 Mukono-Mbalala'!G24,'30.10.Mukono-Mbalala'!G24,'31.10 Mukono-Mbalala'!G24,'3.11 Mukono-Mbalala'!G24,'1.11 Mukono-Mbalala-24h'!G24,'2.11 Mukono-Mbalala-24h'!G24,'4.11 Mukono-Mbalala '!G24)</f>
        <v>4.5714285714285712</v>
      </c>
      <c r="H24" s="49">
        <f>AVERAGE('29.10 Mukono-Mbalala'!H24,'30.10.Mukono-Mbalala'!H24,'31.10 Mukono-Mbalala'!H24,'3.11 Mukono-Mbalala'!H24,'1.11 Mukono-Mbalala-24h'!H24,'2.11 Mukono-Mbalala-24h'!H24,'4.11 Mukono-Mbalala '!H24)</f>
        <v>1.1428571428571428</v>
      </c>
      <c r="I24" s="49">
        <f>AVERAGE('29.10 Mukono-Mbalala'!I24,'30.10.Mukono-Mbalala'!I24,'31.10 Mukono-Mbalala'!I24,'3.11 Mukono-Mbalala'!I24,'1.11 Mukono-Mbalala-24h'!I24,'2.11 Mukono-Mbalala-24h'!I24,'4.11 Mukono-Mbalala '!I24)</f>
        <v>12.142857142857142</v>
      </c>
      <c r="J24" s="49">
        <f>AVERAGE('29.10 Mukono-Mbalala'!J24,'30.10.Mukono-Mbalala'!J24,'31.10 Mukono-Mbalala'!J24,'3.11 Mukono-Mbalala'!J24,'1.11 Mukono-Mbalala-24h'!J24,'2.11 Mukono-Mbalala-24h'!J24,'4.11 Mukono-Mbalala '!J24)</f>
        <v>6.7142857142857144</v>
      </c>
      <c r="K24" s="49">
        <f>AVERAGE('29.10 Mukono-Mbalala'!K24,'30.10.Mukono-Mbalala'!K24,'31.10 Mukono-Mbalala'!K24,'3.11 Mukono-Mbalala'!K24,'1.11 Mukono-Mbalala-24h'!K24,'2.11 Mukono-Mbalala-24h'!K24,'4.11 Mukono-Mbalala '!K24)</f>
        <v>3.2857142857142856</v>
      </c>
      <c r="L24" s="49">
        <f>AVERAGE('29.10 Mukono-Mbalala'!L24,'30.10.Mukono-Mbalala'!L24,'31.10 Mukono-Mbalala'!L24,'3.11 Mukono-Mbalala'!L24,'1.11 Mukono-Mbalala-24h'!L24,'2.11 Mukono-Mbalala-24h'!L24,'4.11 Mukono-Mbalala '!L24)</f>
        <v>11.142857142857142</v>
      </c>
      <c r="M24" s="49">
        <f>AVERAGE('29.10 Mukono-Mbalala'!M24,'30.10.Mukono-Mbalala'!M24,'31.10 Mukono-Mbalala'!M24,'3.11 Mukono-Mbalala'!M24,'1.11 Mukono-Mbalala-24h'!M24,'2.11 Mukono-Mbalala-24h'!M24,'4.11 Mukono-Mbalala '!M24)</f>
        <v>113.85714285714286</v>
      </c>
      <c r="N24" s="49">
        <f>AVERAGE('29.10 Mukono-Mbalala'!N24,'30.10.Mukono-Mbalala'!N24,'31.10 Mukono-Mbalala'!N24,'3.11 Mukono-Mbalala'!N24,'1.11 Mukono-Mbalala-24h'!N24,'2.11 Mukono-Mbalala-24h'!N24,'4.11 Mukono-Mbalala '!N24)</f>
        <v>0</v>
      </c>
      <c r="O24" s="15">
        <f t="shared" si="0"/>
        <v>161</v>
      </c>
      <c r="P24" s="15">
        <f t="shared" si="1"/>
        <v>274.85714285714289</v>
      </c>
      <c r="R24" s="1" t="s">
        <v>148</v>
      </c>
      <c r="S24" s="34">
        <f>SUM(C66:C69)</f>
        <v>118.5</v>
      </c>
      <c r="T24" s="34">
        <f t="shared" ref="T24:AF24" si="16">SUM(D66:D69)</f>
        <v>29.5</v>
      </c>
      <c r="U24" s="34">
        <f t="shared" si="16"/>
        <v>19.5</v>
      </c>
      <c r="V24" s="34">
        <f t="shared" si="16"/>
        <v>196</v>
      </c>
      <c r="W24" s="34">
        <f t="shared" si="16"/>
        <v>11.5</v>
      </c>
      <c r="X24" s="34">
        <f t="shared" si="16"/>
        <v>36.5</v>
      </c>
      <c r="Y24" s="34">
        <f t="shared" si="16"/>
        <v>33.5</v>
      </c>
      <c r="Z24" s="34">
        <f t="shared" si="16"/>
        <v>28.5</v>
      </c>
      <c r="AA24" s="34">
        <f t="shared" si="16"/>
        <v>25</v>
      </c>
      <c r="AB24" s="34">
        <f t="shared" si="16"/>
        <v>65.5</v>
      </c>
      <c r="AC24" s="34">
        <f t="shared" si="16"/>
        <v>189</v>
      </c>
      <c r="AD24" s="34">
        <f t="shared" si="16"/>
        <v>0</v>
      </c>
      <c r="AE24" s="31">
        <f t="shared" si="16"/>
        <v>564</v>
      </c>
      <c r="AF24" s="31">
        <f t="shared" si="16"/>
        <v>753</v>
      </c>
    </row>
    <row r="25" spans="2:32" ht="23.1" customHeight="1" x14ac:dyDescent="0.25">
      <c r="B25" s="23" t="s">
        <v>52</v>
      </c>
      <c r="C25" s="49">
        <f>AVERAGE('29.10 Mukono-Mbalala'!C25,'30.10.Mukono-Mbalala'!C25,'31.10 Mukono-Mbalala'!C25,'3.11 Mukono-Mbalala'!C25,'1.11 Mukono-Mbalala-24h'!C25,'2.11 Mukono-Mbalala-24h'!C25,'4.11 Mukono-Mbalala '!C25)</f>
        <v>51.428571428571431</v>
      </c>
      <c r="D25" s="49">
        <f>AVERAGE('29.10 Mukono-Mbalala'!D25,'30.10.Mukono-Mbalala'!D25,'31.10 Mukono-Mbalala'!D25,'3.11 Mukono-Mbalala'!D25,'1.11 Mukono-Mbalala-24h'!D25,'2.11 Mukono-Mbalala-24h'!D25,'4.11 Mukono-Mbalala '!D25)</f>
        <v>11.142857142857142</v>
      </c>
      <c r="E25" s="49">
        <f>AVERAGE('29.10 Mukono-Mbalala'!E25,'30.10.Mukono-Mbalala'!E25,'31.10 Mukono-Mbalala'!E25,'3.11 Mukono-Mbalala'!E25,'1.11 Mukono-Mbalala-24h'!E25,'2.11 Mukono-Mbalala-24h'!E25,'4.11 Mukono-Mbalala '!E25)</f>
        <v>8</v>
      </c>
      <c r="F25" s="49">
        <f>AVERAGE('29.10 Mukono-Mbalala'!F25,'30.10.Mukono-Mbalala'!F25,'31.10 Mukono-Mbalala'!F25,'3.11 Mukono-Mbalala'!F25,'1.11 Mukono-Mbalala-24h'!F25,'2.11 Mukono-Mbalala-24h'!F25,'4.11 Mukono-Mbalala '!F25)</f>
        <v>40.571428571428569</v>
      </c>
      <c r="G25" s="49">
        <f>AVERAGE('29.10 Mukono-Mbalala'!G25,'30.10.Mukono-Mbalala'!G25,'31.10 Mukono-Mbalala'!G25,'3.11 Mukono-Mbalala'!G25,'1.11 Mukono-Mbalala-24h'!G25,'2.11 Mukono-Mbalala-24h'!G25,'4.11 Mukono-Mbalala '!G25)</f>
        <v>2</v>
      </c>
      <c r="H25" s="49">
        <f>AVERAGE('29.10 Mukono-Mbalala'!H25,'30.10.Mukono-Mbalala'!H25,'31.10 Mukono-Mbalala'!H25,'3.11 Mukono-Mbalala'!H25,'1.11 Mukono-Mbalala-24h'!H25,'2.11 Mukono-Mbalala-24h'!H25,'4.11 Mukono-Mbalala '!H25)</f>
        <v>1.7142857142857142</v>
      </c>
      <c r="I25" s="49">
        <f>AVERAGE('29.10 Mukono-Mbalala'!I25,'30.10.Mukono-Mbalala'!I25,'31.10 Mukono-Mbalala'!I25,'3.11 Mukono-Mbalala'!I25,'1.11 Mukono-Mbalala-24h'!I25,'2.11 Mukono-Mbalala-24h'!I25,'4.11 Mukono-Mbalala '!I25)</f>
        <v>7.5714285714285712</v>
      </c>
      <c r="J25" s="49">
        <f>AVERAGE('29.10 Mukono-Mbalala'!J25,'30.10.Mukono-Mbalala'!J25,'31.10 Mukono-Mbalala'!J25,'3.11 Mukono-Mbalala'!J25,'1.11 Mukono-Mbalala-24h'!J25,'2.11 Mukono-Mbalala-24h'!J25,'4.11 Mukono-Mbalala '!J25)</f>
        <v>7.4285714285714288</v>
      </c>
      <c r="K25" s="49">
        <f>AVERAGE('29.10 Mukono-Mbalala'!K25,'30.10.Mukono-Mbalala'!K25,'31.10 Mukono-Mbalala'!K25,'3.11 Mukono-Mbalala'!K25,'1.11 Mukono-Mbalala-24h'!K25,'2.11 Mukono-Mbalala-24h'!K25,'4.11 Mukono-Mbalala '!K25)</f>
        <v>5.5714285714285712</v>
      </c>
      <c r="L25" s="49">
        <f>AVERAGE('29.10 Mukono-Mbalala'!L25,'30.10.Mukono-Mbalala'!L25,'31.10 Mukono-Mbalala'!L25,'3.11 Mukono-Mbalala'!L25,'1.11 Mukono-Mbalala-24h'!L25,'2.11 Mukono-Mbalala-24h'!L25,'4.11 Mukono-Mbalala '!L25)</f>
        <v>12.285714285714286</v>
      </c>
      <c r="M25" s="49">
        <f>AVERAGE('29.10 Mukono-Mbalala'!M25,'30.10.Mukono-Mbalala'!M25,'31.10 Mukono-Mbalala'!M25,'3.11 Mukono-Mbalala'!M25,'1.11 Mukono-Mbalala-24h'!M25,'2.11 Mukono-Mbalala-24h'!M25,'4.11 Mukono-Mbalala '!M25)</f>
        <v>109.71428571428571</v>
      </c>
      <c r="N25" s="49">
        <f>AVERAGE('29.10 Mukono-Mbalala'!N25,'30.10.Mukono-Mbalala'!N25,'31.10 Mukono-Mbalala'!N25,'3.11 Mukono-Mbalala'!N25,'1.11 Mukono-Mbalala-24h'!N25,'2.11 Mukono-Mbalala-24h'!N25,'4.11 Mukono-Mbalala '!N25)</f>
        <v>0</v>
      </c>
      <c r="O25" s="15">
        <f t="shared" si="0"/>
        <v>147.71428571428569</v>
      </c>
      <c r="P25" s="15">
        <f t="shared" si="1"/>
        <v>257.42857142857139</v>
      </c>
      <c r="R25" s="1" t="s">
        <v>149</v>
      </c>
      <c r="S25" s="34">
        <f>SUM(C70:C73)</f>
        <v>46</v>
      </c>
      <c r="T25" s="34">
        <f t="shared" ref="T25:AF25" si="17">SUM(D70:D73)</f>
        <v>11.5</v>
      </c>
      <c r="U25" s="34">
        <f t="shared" si="17"/>
        <v>7</v>
      </c>
      <c r="V25" s="34">
        <f t="shared" si="17"/>
        <v>39</v>
      </c>
      <c r="W25" s="34">
        <f t="shared" si="17"/>
        <v>8.5</v>
      </c>
      <c r="X25" s="34">
        <f t="shared" si="17"/>
        <v>3.5</v>
      </c>
      <c r="Y25" s="34">
        <f t="shared" si="17"/>
        <v>10.5</v>
      </c>
      <c r="Z25" s="34">
        <f t="shared" si="17"/>
        <v>14</v>
      </c>
      <c r="AA25" s="34">
        <f t="shared" si="17"/>
        <v>12.5</v>
      </c>
      <c r="AB25" s="34">
        <f t="shared" si="17"/>
        <v>39.5</v>
      </c>
      <c r="AC25" s="34">
        <f t="shared" si="17"/>
        <v>52</v>
      </c>
      <c r="AD25" s="34">
        <f t="shared" si="17"/>
        <v>0</v>
      </c>
      <c r="AE25" s="31">
        <f t="shared" si="17"/>
        <v>192</v>
      </c>
      <c r="AF25" s="31">
        <f t="shared" si="17"/>
        <v>244</v>
      </c>
    </row>
    <row r="26" spans="2:32" ht="23.1" customHeight="1" x14ac:dyDescent="0.25">
      <c r="B26" s="23" t="s">
        <v>53</v>
      </c>
      <c r="C26" s="49">
        <f>AVERAGE('29.10 Mukono-Mbalala'!C26,'30.10.Mukono-Mbalala'!C26,'31.10 Mukono-Mbalala'!C26,'3.11 Mukono-Mbalala'!C26,'1.11 Mukono-Mbalala-24h'!C26,'2.11 Mukono-Mbalala-24h'!C26,'4.11 Mukono-Mbalala '!C26)</f>
        <v>38.142857142857146</v>
      </c>
      <c r="D26" s="49">
        <f>AVERAGE('29.10 Mukono-Mbalala'!D26,'30.10.Mukono-Mbalala'!D26,'31.10 Mukono-Mbalala'!D26,'3.11 Mukono-Mbalala'!D26,'1.11 Mukono-Mbalala-24h'!D26,'2.11 Mukono-Mbalala-24h'!D26,'4.11 Mukono-Mbalala '!D26)</f>
        <v>7</v>
      </c>
      <c r="E26" s="49">
        <f>AVERAGE('29.10 Mukono-Mbalala'!E26,'30.10.Mukono-Mbalala'!E26,'31.10 Mukono-Mbalala'!E26,'3.11 Mukono-Mbalala'!E26,'1.11 Mukono-Mbalala-24h'!E26,'2.11 Mukono-Mbalala-24h'!E26,'4.11 Mukono-Mbalala '!E26)</f>
        <v>7</v>
      </c>
      <c r="F26" s="49">
        <f>AVERAGE('29.10 Mukono-Mbalala'!F26,'30.10.Mukono-Mbalala'!F26,'31.10 Mukono-Mbalala'!F26,'3.11 Mukono-Mbalala'!F26,'1.11 Mukono-Mbalala-24h'!F26,'2.11 Mukono-Mbalala-24h'!F26,'4.11 Mukono-Mbalala '!F26)</f>
        <v>37.428571428571431</v>
      </c>
      <c r="G26" s="49">
        <f>AVERAGE('29.10 Mukono-Mbalala'!G26,'30.10.Mukono-Mbalala'!G26,'31.10 Mukono-Mbalala'!G26,'3.11 Mukono-Mbalala'!G26,'1.11 Mukono-Mbalala-24h'!G26,'2.11 Mukono-Mbalala-24h'!G26,'4.11 Mukono-Mbalala '!G26)</f>
        <v>1.4285714285714286</v>
      </c>
      <c r="H26" s="49">
        <f>AVERAGE('29.10 Mukono-Mbalala'!H26,'30.10.Mukono-Mbalala'!H26,'31.10 Mukono-Mbalala'!H26,'3.11 Mukono-Mbalala'!H26,'1.11 Mukono-Mbalala-24h'!H26,'2.11 Mukono-Mbalala-24h'!H26,'4.11 Mukono-Mbalala '!H26)</f>
        <v>1</v>
      </c>
      <c r="I26" s="49">
        <f>AVERAGE('29.10 Mukono-Mbalala'!I26,'30.10.Mukono-Mbalala'!I26,'31.10 Mukono-Mbalala'!I26,'3.11 Mukono-Mbalala'!I26,'1.11 Mukono-Mbalala-24h'!I26,'2.11 Mukono-Mbalala-24h'!I26,'4.11 Mukono-Mbalala '!I26)</f>
        <v>10</v>
      </c>
      <c r="J26" s="49">
        <f>AVERAGE('29.10 Mukono-Mbalala'!J26,'30.10.Mukono-Mbalala'!J26,'31.10 Mukono-Mbalala'!J26,'3.11 Mukono-Mbalala'!J26,'1.11 Mukono-Mbalala-24h'!J26,'2.11 Mukono-Mbalala-24h'!J26,'4.11 Mukono-Mbalala '!J26)</f>
        <v>4.5714285714285712</v>
      </c>
      <c r="K26" s="49">
        <f>AVERAGE('29.10 Mukono-Mbalala'!K26,'30.10.Mukono-Mbalala'!K26,'31.10 Mukono-Mbalala'!K26,'3.11 Mukono-Mbalala'!K26,'1.11 Mukono-Mbalala-24h'!K26,'2.11 Mukono-Mbalala-24h'!K26,'4.11 Mukono-Mbalala '!K26)</f>
        <v>3.7142857142857144</v>
      </c>
      <c r="L26" s="49">
        <f>AVERAGE('29.10 Mukono-Mbalala'!L26,'30.10.Mukono-Mbalala'!L26,'31.10 Mukono-Mbalala'!L26,'3.11 Mukono-Mbalala'!L26,'1.11 Mukono-Mbalala-24h'!L26,'2.11 Mukono-Mbalala-24h'!L26,'4.11 Mukono-Mbalala '!L26)</f>
        <v>7</v>
      </c>
      <c r="M26" s="49">
        <f>AVERAGE('29.10 Mukono-Mbalala'!M26,'30.10.Mukono-Mbalala'!M26,'31.10 Mukono-Mbalala'!M26,'3.11 Mukono-Mbalala'!M26,'1.11 Mukono-Mbalala-24h'!M26,'2.11 Mukono-Mbalala-24h'!M26,'4.11 Mukono-Mbalala '!M26)</f>
        <v>94.714285714285708</v>
      </c>
      <c r="N26" s="49">
        <f>AVERAGE('29.10 Mukono-Mbalala'!N26,'30.10.Mukono-Mbalala'!N26,'31.10 Mukono-Mbalala'!N26,'3.11 Mukono-Mbalala'!N26,'1.11 Mukono-Mbalala-24h'!N26,'2.11 Mukono-Mbalala-24h'!N26,'4.11 Mukono-Mbalala '!N26)</f>
        <v>0</v>
      </c>
      <c r="O26" s="15">
        <f t="shared" si="0"/>
        <v>117.28571428571429</v>
      </c>
      <c r="P26" s="15">
        <f t="shared" si="1"/>
        <v>212</v>
      </c>
      <c r="R26" s="1" t="s">
        <v>150</v>
      </c>
      <c r="S26" s="34">
        <f>SUM(C74:C77)</f>
        <v>42</v>
      </c>
      <c r="T26" s="34">
        <f t="shared" ref="T26:AF26" si="18">SUM(D74:D77)</f>
        <v>15</v>
      </c>
      <c r="U26" s="34">
        <f t="shared" si="18"/>
        <v>5</v>
      </c>
      <c r="V26" s="34">
        <f t="shared" si="18"/>
        <v>33</v>
      </c>
      <c r="W26" s="34">
        <f t="shared" si="18"/>
        <v>6.5</v>
      </c>
      <c r="X26" s="34">
        <f t="shared" si="18"/>
        <v>2.5</v>
      </c>
      <c r="Y26" s="34">
        <f t="shared" si="18"/>
        <v>6</v>
      </c>
      <c r="Z26" s="34">
        <f t="shared" si="18"/>
        <v>13</v>
      </c>
      <c r="AA26" s="34">
        <f t="shared" si="18"/>
        <v>17</v>
      </c>
      <c r="AB26" s="34">
        <f t="shared" si="18"/>
        <v>54.5</v>
      </c>
      <c r="AC26" s="34">
        <f t="shared" si="18"/>
        <v>42.5</v>
      </c>
      <c r="AD26" s="34">
        <f t="shared" si="18"/>
        <v>0</v>
      </c>
      <c r="AE26" s="31">
        <f t="shared" si="18"/>
        <v>194.5</v>
      </c>
      <c r="AF26" s="31">
        <f t="shared" si="18"/>
        <v>237</v>
      </c>
    </row>
    <row r="27" spans="2:32" ht="23.1" customHeight="1" x14ac:dyDescent="0.25">
      <c r="B27" s="23" t="s">
        <v>54</v>
      </c>
      <c r="C27" s="49">
        <f>AVERAGE('29.10 Mukono-Mbalala'!C27,'30.10.Mukono-Mbalala'!C27,'31.10 Mukono-Mbalala'!C27,'3.11 Mukono-Mbalala'!C27,'1.11 Mukono-Mbalala-24h'!C27,'2.11 Mukono-Mbalala-24h'!C27,'4.11 Mukono-Mbalala '!C27)</f>
        <v>48</v>
      </c>
      <c r="D27" s="49">
        <f>AVERAGE('29.10 Mukono-Mbalala'!D27,'30.10.Mukono-Mbalala'!D27,'31.10 Mukono-Mbalala'!D27,'3.11 Mukono-Mbalala'!D27,'1.11 Mukono-Mbalala-24h'!D27,'2.11 Mukono-Mbalala-24h'!D27,'4.11 Mukono-Mbalala '!D27)</f>
        <v>8.5714285714285712</v>
      </c>
      <c r="E27" s="49">
        <f>AVERAGE('29.10 Mukono-Mbalala'!E27,'30.10.Mukono-Mbalala'!E27,'31.10 Mukono-Mbalala'!E27,'3.11 Mukono-Mbalala'!E27,'1.11 Mukono-Mbalala-24h'!E27,'2.11 Mukono-Mbalala-24h'!E27,'4.11 Mukono-Mbalala '!E27)</f>
        <v>8.1428571428571423</v>
      </c>
      <c r="F27" s="49">
        <f>AVERAGE('29.10 Mukono-Mbalala'!F27,'30.10.Mukono-Mbalala'!F27,'31.10 Mukono-Mbalala'!F27,'3.11 Mukono-Mbalala'!F27,'1.11 Mukono-Mbalala-24h'!F27,'2.11 Mukono-Mbalala-24h'!F27,'4.11 Mukono-Mbalala '!F27)</f>
        <v>38.285714285714285</v>
      </c>
      <c r="G27" s="49">
        <f>AVERAGE('29.10 Mukono-Mbalala'!G27,'30.10.Mukono-Mbalala'!G27,'31.10 Mukono-Mbalala'!G27,'3.11 Mukono-Mbalala'!G27,'1.11 Mukono-Mbalala-24h'!G27,'2.11 Mukono-Mbalala-24h'!G27,'4.11 Mukono-Mbalala '!G27)</f>
        <v>1.8571428571428572</v>
      </c>
      <c r="H27" s="49">
        <f>AVERAGE('29.10 Mukono-Mbalala'!H27,'30.10.Mukono-Mbalala'!H27,'31.10 Mukono-Mbalala'!H27,'3.11 Mukono-Mbalala'!H27,'1.11 Mukono-Mbalala-24h'!H27,'2.11 Mukono-Mbalala-24h'!H27,'4.11 Mukono-Mbalala '!H27)</f>
        <v>1</v>
      </c>
      <c r="I27" s="49">
        <f>AVERAGE('29.10 Mukono-Mbalala'!I27,'30.10.Mukono-Mbalala'!I27,'31.10 Mukono-Mbalala'!I27,'3.11 Mukono-Mbalala'!I27,'1.11 Mukono-Mbalala-24h'!I27,'2.11 Mukono-Mbalala-24h'!I27,'4.11 Mukono-Mbalala '!I27)</f>
        <v>12.142857142857142</v>
      </c>
      <c r="J27" s="49">
        <f>AVERAGE('29.10 Mukono-Mbalala'!J27,'30.10.Mukono-Mbalala'!J27,'31.10 Mukono-Mbalala'!J27,'3.11 Mukono-Mbalala'!J27,'1.11 Mukono-Mbalala-24h'!J27,'2.11 Mukono-Mbalala-24h'!J27,'4.11 Mukono-Mbalala '!J27)</f>
        <v>5.1428571428571432</v>
      </c>
      <c r="K27" s="49">
        <f>AVERAGE('29.10 Mukono-Mbalala'!K27,'30.10.Mukono-Mbalala'!K27,'31.10 Mukono-Mbalala'!K27,'3.11 Mukono-Mbalala'!K27,'1.11 Mukono-Mbalala-24h'!K27,'2.11 Mukono-Mbalala-24h'!K27,'4.11 Mukono-Mbalala '!K27)</f>
        <v>2.1428571428571428</v>
      </c>
      <c r="L27" s="49">
        <f>AVERAGE('29.10 Mukono-Mbalala'!L27,'30.10.Mukono-Mbalala'!L27,'31.10 Mukono-Mbalala'!L27,'3.11 Mukono-Mbalala'!L27,'1.11 Mukono-Mbalala-24h'!L27,'2.11 Mukono-Mbalala-24h'!L27,'4.11 Mukono-Mbalala '!L27)</f>
        <v>9.4285714285714288</v>
      </c>
      <c r="M27" s="49">
        <f>AVERAGE('29.10 Mukono-Mbalala'!M27,'30.10.Mukono-Mbalala'!M27,'31.10 Mukono-Mbalala'!M27,'3.11 Mukono-Mbalala'!M27,'1.11 Mukono-Mbalala-24h'!M27,'2.11 Mukono-Mbalala-24h'!M27,'4.11 Mukono-Mbalala '!M27)</f>
        <v>96.857142857142861</v>
      </c>
      <c r="N27" s="49">
        <f>AVERAGE('29.10 Mukono-Mbalala'!N27,'30.10.Mukono-Mbalala'!N27,'31.10 Mukono-Mbalala'!N27,'3.11 Mukono-Mbalala'!N27,'1.11 Mukono-Mbalala-24h'!N27,'2.11 Mukono-Mbalala-24h'!N27,'4.11 Mukono-Mbalala '!N27)</f>
        <v>0</v>
      </c>
      <c r="O27" s="15">
        <f t="shared" si="0"/>
        <v>134.71428571428569</v>
      </c>
      <c r="P27" s="15">
        <f t="shared" si="1"/>
        <v>231.57142857142856</v>
      </c>
      <c r="R27" s="1" t="s">
        <v>151</v>
      </c>
      <c r="S27" s="34">
        <f>SUM(C78:C81)</f>
        <v>26.5</v>
      </c>
      <c r="T27" s="34">
        <f t="shared" ref="T27:AF27" si="19">SUM(D78:D81)</f>
        <v>8</v>
      </c>
      <c r="U27" s="34">
        <f t="shared" si="19"/>
        <v>10</v>
      </c>
      <c r="V27" s="34">
        <f t="shared" si="19"/>
        <v>10</v>
      </c>
      <c r="W27" s="34">
        <f t="shared" si="19"/>
        <v>5</v>
      </c>
      <c r="X27" s="34">
        <f t="shared" si="19"/>
        <v>5.5</v>
      </c>
      <c r="Y27" s="34">
        <f t="shared" si="19"/>
        <v>11</v>
      </c>
      <c r="Z27" s="34">
        <f t="shared" si="19"/>
        <v>15</v>
      </c>
      <c r="AA27" s="34">
        <f t="shared" si="19"/>
        <v>17</v>
      </c>
      <c r="AB27" s="34">
        <f t="shared" si="19"/>
        <v>36.5</v>
      </c>
      <c r="AC27" s="34">
        <f t="shared" si="19"/>
        <v>14</v>
      </c>
      <c r="AD27" s="34">
        <f t="shared" si="19"/>
        <v>0</v>
      </c>
      <c r="AE27" s="31">
        <f t="shared" si="19"/>
        <v>144.5</v>
      </c>
      <c r="AF27" s="31">
        <f t="shared" si="19"/>
        <v>158.5</v>
      </c>
    </row>
    <row r="28" spans="2:32" ht="23.1" customHeight="1" x14ac:dyDescent="0.25">
      <c r="B28" s="23" t="s">
        <v>55</v>
      </c>
      <c r="C28" s="49">
        <f>AVERAGE('29.10 Mukono-Mbalala'!C28,'30.10.Mukono-Mbalala'!C28,'31.10 Mukono-Mbalala'!C28,'3.11 Mukono-Mbalala'!C28,'1.11 Mukono-Mbalala-24h'!C28,'2.11 Mukono-Mbalala-24h'!C28,'4.11 Mukono-Mbalala '!C28)</f>
        <v>48.857142857142854</v>
      </c>
      <c r="D28" s="49">
        <f>AVERAGE('29.10 Mukono-Mbalala'!D28,'30.10.Mukono-Mbalala'!D28,'31.10 Mukono-Mbalala'!D28,'3.11 Mukono-Mbalala'!D28,'1.11 Mukono-Mbalala-24h'!D28,'2.11 Mukono-Mbalala-24h'!D28,'4.11 Mukono-Mbalala '!D28)</f>
        <v>7.8571428571428568</v>
      </c>
      <c r="E28" s="49">
        <f>AVERAGE('29.10 Mukono-Mbalala'!E28,'30.10.Mukono-Mbalala'!E28,'31.10 Mukono-Mbalala'!E28,'3.11 Mukono-Mbalala'!E28,'1.11 Mukono-Mbalala-24h'!E28,'2.11 Mukono-Mbalala-24h'!E28,'4.11 Mukono-Mbalala '!E28)</f>
        <v>6.5714285714285712</v>
      </c>
      <c r="F28" s="49">
        <f>AVERAGE('29.10 Mukono-Mbalala'!F28,'30.10.Mukono-Mbalala'!F28,'31.10 Mukono-Mbalala'!F28,'3.11 Mukono-Mbalala'!F28,'1.11 Mukono-Mbalala-24h'!F28,'2.11 Mukono-Mbalala-24h'!F28,'4.11 Mukono-Mbalala '!F28)</f>
        <v>43</v>
      </c>
      <c r="G28" s="49">
        <f>AVERAGE('29.10 Mukono-Mbalala'!G28,'30.10.Mukono-Mbalala'!G28,'31.10 Mukono-Mbalala'!G28,'3.11 Mukono-Mbalala'!G28,'1.11 Mukono-Mbalala-24h'!G28,'2.11 Mukono-Mbalala-24h'!G28,'4.11 Mukono-Mbalala '!G28)</f>
        <v>2</v>
      </c>
      <c r="H28" s="49">
        <f>AVERAGE('29.10 Mukono-Mbalala'!H28,'30.10.Mukono-Mbalala'!H28,'31.10 Mukono-Mbalala'!H28,'3.11 Mukono-Mbalala'!H28,'1.11 Mukono-Mbalala-24h'!H28,'2.11 Mukono-Mbalala-24h'!H28,'4.11 Mukono-Mbalala '!H28)</f>
        <v>0.42857142857142855</v>
      </c>
      <c r="I28" s="49">
        <f>AVERAGE('29.10 Mukono-Mbalala'!I28,'30.10.Mukono-Mbalala'!I28,'31.10 Mukono-Mbalala'!I28,'3.11 Mukono-Mbalala'!I28,'1.11 Mukono-Mbalala-24h'!I28,'2.11 Mukono-Mbalala-24h'!I28,'4.11 Mukono-Mbalala '!I28)</f>
        <v>11.285714285714286</v>
      </c>
      <c r="J28" s="49">
        <f>AVERAGE('29.10 Mukono-Mbalala'!J28,'30.10.Mukono-Mbalala'!J28,'31.10 Mukono-Mbalala'!J28,'3.11 Mukono-Mbalala'!J28,'1.11 Mukono-Mbalala-24h'!J28,'2.11 Mukono-Mbalala-24h'!J28,'4.11 Mukono-Mbalala '!J28)</f>
        <v>6.1428571428571432</v>
      </c>
      <c r="K28" s="49">
        <f>AVERAGE('29.10 Mukono-Mbalala'!K28,'30.10.Mukono-Mbalala'!K28,'31.10 Mukono-Mbalala'!K28,'3.11 Mukono-Mbalala'!K28,'1.11 Mukono-Mbalala-24h'!K28,'2.11 Mukono-Mbalala-24h'!K28,'4.11 Mukono-Mbalala '!K28)</f>
        <v>2.1428571428571428</v>
      </c>
      <c r="L28" s="49">
        <f>AVERAGE('29.10 Mukono-Mbalala'!L28,'30.10.Mukono-Mbalala'!L28,'31.10 Mukono-Mbalala'!L28,'3.11 Mukono-Mbalala'!L28,'1.11 Mukono-Mbalala-24h'!L28,'2.11 Mukono-Mbalala-24h'!L28,'4.11 Mukono-Mbalala '!L28)</f>
        <v>10</v>
      </c>
      <c r="M28" s="49">
        <f>AVERAGE('29.10 Mukono-Mbalala'!M28,'30.10.Mukono-Mbalala'!M28,'31.10 Mukono-Mbalala'!M28,'3.11 Mukono-Mbalala'!M28,'1.11 Mukono-Mbalala-24h'!M28,'2.11 Mukono-Mbalala-24h'!M28,'4.11 Mukono-Mbalala '!M28)</f>
        <v>90.714285714285708</v>
      </c>
      <c r="N28" s="49">
        <f>AVERAGE('29.10 Mukono-Mbalala'!N28,'30.10.Mukono-Mbalala'!N28,'31.10 Mukono-Mbalala'!N28,'3.11 Mukono-Mbalala'!N28,'1.11 Mukono-Mbalala-24h'!N28,'2.11 Mukono-Mbalala-24h'!N28,'4.11 Mukono-Mbalala '!N28)</f>
        <v>0</v>
      </c>
      <c r="O28" s="15">
        <f t="shared" si="0"/>
        <v>138.28571428571428</v>
      </c>
      <c r="P28" s="15">
        <f t="shared" si="1"/>
        <v>229</v>
      </c>
      <c r="R28" s="1" t="s">
        <v>152</v>
      </c>
      <c r="S28" s="34">
        <f>SUM(C82:C85)</f>
        <v>12.5</v>
      </c>
      <c r="T28" s="34">
        <f t="shared" ref="T28:AF28" si="20">SUM(D82:D85)</f>
        <v>5</v>
      </c>
      <c r="U28" s="34">
        <f t="shared" si="20"/>
        <v>5.5</v>
      </c>
      <c r="V28" s="34">
        <f t="shared" si="20"/>
        <v>13.5</v>
      </c>
      <c r="W28" s="34">
        <f t="shared" si="20"/>
        <v>2.5</v>
      </c>
      <c r="X28" s="34">
        <f t="shared" si="20"/>
        <v>5.5</v>
      </c>
      <c r="Y28" s="34">
        <f t="shared" si="20"/>
        <v>7</v>
      </c>
      <c r="Z28" s="34">
        <f t="shared" si="20"/>
        <v>16.5</v>
      </c>
      <c r="AA28" s="34">
        <f t="shared" si="20"/>
        <v>8</v>
      </c>
      <c r="AB28" s="34">
        <f t="shared" si="20"/>
        <v>30.5</v>
      </c>
      <c r="AC28" s="34">
        <f t="shared" si="20"/>
        <v>11.5</v>
      </c>
      <c r="AD28" s="34">
        <f t="shared" si="20"/>
        <v>0</v>
      </c>
      <c r="AE28" s="31">
        <f t="shared" si="20"/>
        <v>106.5</v>
      </c>
      <c r="AF28" s="31">
        <f t="shared" si="20"/>
        <v>118</v>
      </c>
    </row>
    <row r="29" spans="2:32" ht="23.1" customHeight="1" x14ac:dyDescent="0.25">
      <c r="B29" s="23" t="s">
        <v>56</v>
      </c>
      <c r="C29" s="49">
        <f>AVERAGE('29.10 Mukono-Mbalala'!C29,'30.10.Mukono-Mbalala'!C29,'31.10 Mukono-Mbalala'!C29,'3.11 Mukono-Mbalala'!C29,'1.11 Mukono-Mbalala-24h'!C29,'2.11 Mukono-Mbalala-24h'!C29,'4.11 Mukono-Mbalala '!C29)</f>
        <v>50.714285714285715</v>
      </c>
      <c r="D29" s="49">
        <f>AVERAGE('29.10 Mukono-Mbalala'!D29,'30.10.Mukono-Mbalala'!D29,'31.10 Mukono-Mbalala'!D29,'3.11 Mukono-Mbalala'!D29,'1.11 Mukono-Mbalala-24h'!D29,'2.11 Mukono-Mbalala-24h'!D29,'4.11 Mukono-Mbalala '!D29)</f>
        <v>7.5714285714285712</v>
      </c>
      <c r="E29" s="49">
        <f>AVERAGE('29.10 Mukono-Mbalala'!E29,'30.10.Mukono-Mbalala'!E29,'31.10 Mukono-Mbalala'!E29,'3.11 Mukono-Mbalala'!E29,'1.11 Mukono-Mbalala-24h'!E29,'2.11 Mukono-Mbalala-24h'!E29,'4.11 Mukono-Mbalala '!E29)</f>
        <v>11.571428571428571</v>
      </c>
      <c r="F29" s="49">
        <f>AVERAGE('29.10 Mukono-Mbalala'!F29,'30.10.Mukono-Mbalala'!F29,'31.10 Mukono-Mbalala'!F29,'3.11 Mukono-Mbalala'!F29,'1.11 Mukono-Mbalala-24h'!F29,'2.11 Mukono-Mbalala-24h'!F29,'4.11 Mukono-Mbalala '!F29)</f>
        <v>25</v>
      </c>
      <c r="G29" s="49">
        <f>AVERAGE('29.10 Mukono-Mbalala'!G29,'30.10.Mukono-Mbalala'!G29,'31.10 Mukono-Mbalala'!G29,'3.11 Mukono-Mbalala'!G29,'1.11 Mukono-Mbalala-24h'!G29,'2.11 Mukono-Mbalala-24h'!G29,'4.11 Mukono-Mbalala '!G29)</f>
        <v>1.8571428571428572</v>
      </c>
      <c r="H29" s="49">
        <f>AVERAGE('29.10 Mukono-Mbalala'!H29,'30.10.Mukono-Mbalala'!H29,'31.10 Mukono-Mbalala'!H29,'3.11 Mukono-Mbalala'!H29,'1.11 Mukono-Mbalala-24h'!H29,'2.11 Mukono-Mbalala-24h'!H29,'4.11 Mukono-Mbalala '!H29)</f>
        <v>1.8571428571428572</v>
      </c>
      <c r="I29" s="49">
        <f>AVERAGE('29.10 Mukono-Mbalala'!I29,'30.10.Mukono-Mbalala'!I29,'31.10 Mukono-Mbalala'!I29,'3.11 Mukono-Mbalala'!I29,'1.11 Mukono-Mbalala-24h'!I29,'2.11 Mukono-Mbalala-24h'!I29,'4.11 Mukono-Mbalala '!I29)</f>
        <v>9</v>
      </c>
      <c r="J29" s="49">
        <f>AVERAGE('29.10 Mukono-Mbalala'!J29,'30.10.Mukono-Mbalala'!J29,'31.10 Mukono-Mbalala'!J29,'3.11 Mukono-Mbalala'!J29,'1.11 Mukono-Mbalala-24h'!J29,'2.11 Mukono-Mbalala-24h'!J29,'4.11 Mukono-Mbalala '!J29)</f>
        <v>7.1428571428571432</v>
      </c>
      <c r="K29" s="49">
        <f>AVERAGE('29.10 Mukono-Mbalala'!K29,'30.10.Mukono-Mbalala'!K29,'31.10 Mukono-Mbalala'!K29,'3.11 Mukono-Mbalala'!K29,'1.11 Mukono-Mbalala-24h'!K29,'2.11 Mukono-Mbalala-24h'!K29,'4.11 Mukono-Mbalala '!K29)</f>
        <v>5.5714285714285712</v>
      </c>
      <c r="L29" s="49">
        <f>AVERAGE('29.10 Mukono-Mbalala'!L29,'30.10.Mukono-Mbalala'!L29,'31.10 Mukono-Mbalala'!L29,'3.11 Mukono-Mbalala'!L29,'1.11 Mukono-Mbalala-24h'!L29,'2.11 Mukono-Mbalala-24h'!L29,'4.11 Mukono-Mbalala '!L29)</f>
        <v>28.285714285714285</v>
      </c>
      <c r="M29" s="49">
        <f>AVERAGE('29.10 Mukono-Mbalala'!M29,'30.10.Mukono-Mbalala'!M29,'31.10 Mukono-Mbalala'!M29,'3.11 Mukono-Mbalala'!M29,'1.11 Mukono-Mbalala-24h'!M29,'2.11 Mukono-Mbalala-24h'!M29,'4.11 Mukono-Mbalala '!M29)</f>
        <v>92.285714285714292</v>
      </c>
      <c r="N29" s="49">
        <f>AVERAGE('29.10 Mukono-Mbalala'!N29,'30.10.Mukono-Mbalala'!N29,'31.10 Mukono-Mbalala'!N29,'3.11 Mukono-Mbalala'!N29,'1.11 Mukono-Mbalala-24h'!N29,'2.11 Mukono-Mbalala-24h'!N29,'4.11 Mukono-Mbalala '!N29)</f>
        <v>0</v>
      </c>
      <c r="O29" s="15">
        <f t="shared" si="0"/>
        <v>148.57142857142858</v>
      </c>
      <c r="P29" s="15">
        <f t="shared" si="1"/>
        <v>240.85714285714289</v>
      </c>
      <c r="R29" s="1" t="s">
        <v>153</v>
      </c>
      <c r="S29" s="34">
        <f>SUM(C86:C89)</f>
        <v>19.5</v>
      </c>
      <c r="T29" s="34">
        <f t="shared" ref="T29:AF29" si="21">SUM(D86:D89)</f>
        <v>12.5</v>
      </c>
      <c r="U29" s="34">
        <f t="shared" si="21"/>
        <v>10.5</v>
      </c>
      <c r="V29" s="34">
        <f t="shared" si="21"/>
        <v>11.5</v>
      </c>
      <c r="W29" s="34">
        <f t="shared" si="21"/>
        <v>0.5</v>
      </c>
      <c r="X29" s="34">
        <f t="shared" si="21"/>
        <v>2.5</v>
      </c>
      <c r="Y29" s="34">
        <f t="shared" si="21"/>
        <v>7.5</v>
      </c>
      <c r="Z29" s="34">
        <f t="shared" si="21"/>
        <v>9.5</v>
      </c>
      <c r="AA29" s="34">
        <f t="shared" si="21"/>
        <v>14.5</v>
      </c>
      <c r="AB29" s="34">
        <f t="shared" si="21"/>
        <v>30</v>
      </c>
      <c r="AC29" s="34">
        <f t="shared" si="21"/>
        <v>10</v>
      </c>
      <c r="AD29" s="34">
        <f t="shared" si="21"/>
        <v>0</v>
      </c>
      <c r="AE29" s="31">
        <f t="shared" si="21"/>
        <v>118.5</v>
      </c>
      <c r="AF29" s="31">
        <f t="shared" si="21"/>
        <v>128.5</v>
      </c>
    </row>
    <row r="30" spans="2:32" ht="23.1" customHeight="1" x14ac:dyDescent="0.25">
      <c r="B30" s="23" t="s">
        <v>57</v>
      </c>
      <c r="C30" s="49">
        <f>AVERAGE('29.10 Mukono-Mbalala'!C30,'30.10.Mukono-Mbalala'!C30,'31.10 Mukono-Mbalala'!C30,'3.11 Mukono-Mbalala'!C30,'1.11 Mukono-Mbalala-24h'!C30,'2.11 Mukono-Mbalala-24h'!C30,'4.11 Mukono-Mbalala '!C30)</f>
        <v>48</v>
      </c>
      <c r="D30" s="49">
        <f>AVERAGE('29.10 Mukono-Mbalala'!D30,'30.10.Mukono-Mbalala'!D30,'31.10 Mukono-Mbalala'!D30,'3.11 Mukono-Mbalala'!D30,'1.11 Mukono-Mbalala-24h'!D30,'2.11 Mukono-Mbalala-24h'!D30,'4.11 Mukono-Mbalala '!D30)</f>
        <v>10.285714285714286</v>
      </c>
      <c r="E30" s="49">
        <f>AVERAGE('29.10 Mukono-Mbalala'!E30,'30.10.Mukono-Mbalala'!E30,'31.10 Mukono-Mbalala'!E30,'3.11 Mukono-Mbalala'!E30,'1.11 Mukono-Mbalala-24h'!E30,'2.11 Mukono-Mbalala-24h'!E30,'4.11 Mukono-Mbalala '!E30)</f>
        <v>7</v>
      </c>
      <c r="F30" s="49">
        <f>AVERAGE('29.10 Mukono-Mbalala'!F30,'30.10.Mukono-Mbalala'!F30,'31.10 Mukono-Mbalala'!F30,'3.11 Mukono-Mbalala'!F30,'1.11 Mukono-Mbalala-24h'!F30,'2.11 Mukono-Mbalala-24h'!F30,'4.11 Mukono-Mbalala '!F30)</f>
        <v>41.714285714285715</v>
      </c>
      <c r="G30" s="49">
        <f>AVERAGE('29.10 Mukono-Mbalala'!G30,'30.10.Mukono-Mbalala'!G30,'31.10 Mukono-Mbalala'!G30,'3.11 Mukono-Mbalala'!G30,'1.11 Mukono-Mbalala-24h'!G30,'2.11 Mukono-Mbalala-24h'!G30,'4.11 Mukono-Mbalala '!G30)</f>
        <v>2</v>
      </c>
      <c r="H30" s="49">
        <f>AVERAGE('29.10 Mukono-Mbalala'!H30,'30.10.Mukono-Mbalala'!H30,'31.10 Mukono-Mbalala'!H30,'3.11 Mukono-Mbalala'!H30,'1.11 Mukono-Mbalala-24h'!H30,'2.11 Mukono-Mbalala-24h'!H30,'4.11 Mukono-Mbalala '!H30)</f>
        <v>1</v>
      </c>
      <c r="I30" s="49">
        <f>AVERAGE('29.10 Mukono-Mbalala'!I30,'30.10.Mukono-Mbalala'!I30,'31.10 Mukono-Mbalala'!I30,'3.11 Mukono-Mbalala'!I30,'1.11 Mukono-Mbalala-24h'!I30,'2.11 Mukono-Mbalala-24h'!I30,'4.11 Mukono-Mbalala '!I30)</f>
        <v>11.571428571428571</v>
      </c>
      <c r="J30" s="49">
        <f>AVERAGE('29.10 Mukono-Mbalala'!J30,'30.10.Mukono-Mbalala'!J30,'31.10 Mukono-Mbalala'!J30,'3.11 Mukono-Mbalala'!J30,'1.11 Mukono-Mbalala-24h'!J30,'2.11 Mukono-Mbalala-24h'!J30,'4.11 Mukono-Mbalala '!J30)</f>
        <v>9.4285714285714288</v>
      </c>
      <c r="K30" s="49">
        <f>AVERAGE('29.10 Mukono-Mbalala'!K30,'30.10.Mukono-Mbalala'!K30,'31.10 Mukono-Mbalala'!K30,'3.11 Mukono-Mbalala'!K30,'1.11 Mukono-Mbalala-24h'!K30,'2.11 Mukono-Mbalala-24h'!K30,'4.11 Mukono-Mbalala '!K30)</f>
        <v>5.1428571428571432</v>
      </c>
      <c r="L30" s="49">
        <f>AVERAGE('29.10 Mukono-Mbalala'!L30,'30.10.Mukono-Mbalala'!L30,'31.10 Mukono-Mbalala'!L30,'3.11 Mukono-Mbalala'!L30,'1.11 Mukono-Mbalala-24h'!L30,'2.11 Mukono-Mbalala-24h'!L30,'4.11 Mukono-Mbalala '!L30)</f>
        <v>11.857142857142858</v>
      </c>
      <c r="M30" s="49">
        <f>AVERAGE('29.10 Mukono-Mbalala'!M30,'30.10.Mukono-Mbalala'!M30,'31.10 Mukono-Mbalala'!M30,'3.11 Mukono-Mbalala'!M30,'1.11 Mukono-Mbalala-24h'!M30,'2.11 Mukono-Mbalala-24h'!M30,'4.11 Mukono-Mbalala '!M30)</f>
        <v>117.14285714285714</v>
      </c>
      <c r="N30" s="49">
        <f>AVERAGE('29.10 Mukono-Mbalala'!N30,'30.10.Mukono-Mbalala'!N30,'31.10 Mukono-Mbalala'!N30,'3.11 Mukono-Mbalala'!N30,'1.11 Mukono-Mbalala-24h'!N30,'2.11 Mukono-Mbalala-24h'!N30,'4.11 Mukono-Mbalala '!N30)</f>
        <v>0</v>
      </c>
      <c r="O30" s="15">
        <f t="shared" si="0"/>
        <v>148</v>
      </c>
      <c r="P30" s="15">
        <f t="shared" si="1"/>
        <v>265.14285714285711</v>
      </c>
      <c r="R30" s="1" t="s">
        <v>154</v>
      </c>
      <c r="S30" s="34">
        <f>SUM(C90:C93)</f>
        <v>23</v>
      </c>
      <c r="T30" s="34">
        <f t="shared" ref="T30:AF30" si="22">SUM(D90:D93)</f>
        <v>14</v>
      </c>
      <c r="U30" s="34">
        <f t="shared" si="22"/>
        <v>8.5</v>
      </c>
      <c r="V30" s="34">
        <f t="shared" si="22"/>
        <v>24</v>
      </c>
      <c r="W30" s="34">
        <f t="shared" si="22"/>
        <v>1.5</v>
      </c>
      <c r="X30" s="34">
        <f t="shared" si="22"/>
        <v>4</v>
      </c>
      <c r="Y30" s="34">
        <f t="shared" si="22"/>
        <v>13</v>
      </c>
      <c r="Z30" s="34">
        <f t="shared" si="22"/>
        <v>24</v>
      </c>
      <c r="AA30" s="34">
        <f t="shared" si="22"/>
        <v>11</v>
      </c>
      <c r="AB30" s="34">
        <f t="shared" si="22"/>
        <v>41</v>
      </c>
      <c r="AC30" s="34">
        <f t="shared" si="22"/>
        <v>18.5</v>
      </c>
      <c r="AD30" s="34">
        <f t="shared" si="22"/>
        <v>0</v>
      </c>
      <c r="AE30" s="31">
        <f t="shared" si="22"/>
        <v>164</v>
      </c>
      <c r="AF30" s="31">
        <f t="shared" si="22"/>
        <v>182.5</v>
      </c>
    </row>
    <row r="31" spans="2:32" ht="23.1" customHeight="1" x14ac:dyDescent="0.25">
      <c r="B31" s="24" t="s">
        <v>58</v>
      </c>
      <c r="C31" s="49">
        <f>AVERAGE('29.10 Mukono-Mbalala'!C31,'30.10.Mukono-Mbalala'!C31,'31.10 Mukono-Mbalala'!C31,'3.11 Mukono-Mbalala'!C31,'1.11 Mukono-Mbalala-24h'!C31,'2.11 Mukono-Mbalala-24h'!C31,'4.11 Mukono-Mbalala '!C31)</f>
        <v>55</v>
      </c>
      <c r="D31" s="49">
        <f>AVERAGE('29.10 Mukono-Mbalala'!D31,'30.10.Mukono-Mbalala'!D31,'31.10 Mukono-Mbalala'!D31,'3.11 Mukono-Mbalala'!D31,'1.11 Mukono-Mbalala-24h'!D31,'2.11 Mukono-Mbalala-24h'!D31,'4.11 Mukono-Mbalala '!D31)</f>
        <v>11.142857142857142</v>
      </c>
      <c r="E31" s="49">
        <f>AVERAGE('29.10 Mukono-Mbalala'!E31,'30.10.Mukono-Mbalala'!E31,'31.10 Mukono-Mbalala'!E31,'3.11 Mukono-Mbalala'!E31,'1.11 Mukono-Mbalala-24h'!E31,'2.11 Mukono-Mbalala-24h'!E31,'4.11 Mukono-Mbalala '!E31)</f>
        <v>8.8571428571428577</v>
      </c>
      <c r="F31" s="49">
        <f>AVERAGE('29.10 Mukono-Mbalala'!F31,'30.10.Mukono-Mbalala'!F31,'31.10 Mukono-Mbalala'!F31,'3.11 Mukono-Mbalala'!F31,'1.11 Mukono-Mbalala-24h'!F31,'2.11 Mukono-Mbalala-24h'!F31,'4.11 Mukono-Mbalala '!F31)</f>
        <v>45.714285714285715</v>
      </c>
      <c r="G31" s="49">
        <f>AVERAGE('29.10 Mukono-Mbalala'!G31,'30.10.Mukono-Mbalala'!G31,'31.10 Mukono-Mbalala'!G31,'3.11 Mukono-Mbalala'!G31,'1.11 Mukono-Mbalala-24h'!G31,'2.11 Mukono-Mbalala-24h'!G31,'4.11 Mukono-Mbalala '!G31)</f>
        <v>0.8571428571428571</v>
      </c>
      <c r="H31" s="49">
        <f>AVERAGE('29.10 Mukono-Mbalala'!H31,'30.10.Mukono-Mbalala'!H31,'31.10 Mukono-Mbalala'!H31,'3.11 Mukono-Mbalala'!H31,'1.11 Mukono-Mbalala-24h'!H31,'2.11 Mukono-Mbalala-24h'!H31,'4.11 Mukono-Mbalala '!H31)</f>
        <v>0.8571428571428571</v>
      </c>
      <c r="I31" s="49">
        <f>AVERAGE('29.10 Mukono-Mbalala'!I31,'30.10.Mukono-Mbalala'!I31,'31.10 Mukono-Mbalala'!I31,'3.11 Mukono-Mbalala'!I31,'1.11 Mukono-Mbalala-24h'!I31,'2.11 Mukono-Mbalala-24h'!I31,'4.11 Mukono-Mbalala '!I31)</f>
        <v>11.571428571428571</v>
      </c>
      <c r="J31" s="49">
        <f>AVERAGE('29.10 Mukono-Mbalala'!J31,'30.10.Mukono-Mbalala'!J31,'31.10 Mukono-Mbalala'!J31,'3.11 Mukono-Mbalala'!J31,'1.11 Mukono-Mbalala-24h'!J31,'2.11 Mukono-Mbalala-24h'!J31,'4.11 Mukono-Mbalala '!J31)</f>
        <v>6</v>
      </c>
      <c r="K31" s="49">
        <f>AVERAGE('29.10 Mukono-Mbalala'!K31,'30.10.Mukono-Mbalala'!K31,'31.10 Mukono-Mbalala'!K31,'3.11 Mukono-Mbalala'!K31,'1.11 Mukono-Mbalala-24h'!K31,'2.11 Mukono-Mbalala-24h'!K31,'4.11 Mukono-Mbalala '!K31)</f>
        <v>5.8571428571428568</v>
      </c>
      <c r="L31" s="49">
        <f>AVERAGE('29.10 Mukono-Mbalala'!L31,'30.10.Mukono-Mbalala'!L31,'31.10 Mukono-Mbalala'!L31,'3.11 Mukono-Mbalala'!L31,'1.11 Mukono-Mbalala-24h'!L31,'2.11 Mukono-Mbalala-24h'!L31,'4.11 Mukono-Mbalala '!L31)</f>
        <v>22.142857142857142</v>
      </c>
      <c r="M31" s="49">
        <f>AVERAGE('29.10 Mukono-Mbalala'!M31,'30.10.Mukono-Mbalala'!M31,'31.10 Mukono-Mbalala'!M31,'3.11 Mukono-Mbalala'!M31,'1.11 Mukono-Mbalala-24h'!M31,'2.11 Mukono-Mbalala-24h'!M31,'4.11 Mukono-Mbalala '!M31)</f>
        <v>102.28571428571429</v>
      </c>
      <c r="N31" s="49">
        <f>AVERAGE('29.10 Mukono-Mbalala'!N31,'30.10.Mukono-Mbalala'!N31,'31.10 Mukono-Mbalala'!N31,'3.11 Mukono-Mbalala'!N31,'1.11 Mukono-Mbalala-24h'!N31,'2.11 Mukono-Mbalala-24h'!N31,'4.11 Mukono-Mbalala '!N31)</f>
        <v>0</v>
      </c>
      <c r="O31" s="15">
        <f t="shared" si="0"/>
        <v>168.00000000000003</v>
      </c>
      <c r="P31" s="15">
        <f t="shared" si="1"/>
        <v>270.28571428571433</v>
      </c>
      <c r="R31" s="1" t="s">
        <v>155</v>
      </c>
      <c r="S31" s="34">
        <f>SUM(C94:C97)</f>
        <v>41</v>
      </c>
      <c r="T31" s="34">
        <f t="shared" ref="T31:AF31" si="23">SUM(D94:D97)</f>
        <v>12</v>
      </c>
      <c r="U31" s="34">
        <f t="shared" si="23"/>
        <v>10.5</v>
      </c>
      <c r="V31" s="34">
        <f t="shared" si="23"/>
        <v>29</v>
      </c>
      <c r="W31" s="34">
        <f t="shared" si="23"/>
        <v>6</v>
      </c>
      <c r="X31" s="34">
        <f t="shared" si="23"/>
        <v>6.5</v>
      </c>
      <c r="Y31" s="34">
        <f t="shared" si="23"/>
        <v>26</v>
      </c>
      <c r="Z31" s="34">
        <f t="shared" si="23"/>
        <v>23</v>
      </c>
      <c r="AA31" s="34">
        <f t="shared" si="23"/>
        <v>10.5</v>
      </c>
      <c r="AB31" s="34">
        <f t="shared" si="23"/>
        <v>49.5</v>
      </c>
      <c r="AC31" s="34">
        <f t="shared" si="23"/>
        <v>33</v>
      </c>
      <c r="AD31" s="34">
        <f t="shared" si="23"/>
        <v>0</v>
      </c>
      <c r="AE31" s="31">
        <f t="shared" si="23"/>
        <v>214</v>
      </c>
      <c r="AF31" s="31">
        <f t="shared" si="23"/>
        <v>247</v>
      </c>
    </row>
    <row r="32" spans="2:32" ht="23.1" customHeight="1" x14ac:dyDescent="0.25">
      <c r="B32" s="24" t="s">
        <v>59</v>
      </c>
      <c r="C32" s="49">
        <f>AVERAGE('29.10 Mukono-Mbalala'!C32,'30.10.Mukono-Mbalala'!C32,'31.10 Mukono-Mbalala'!C32,'3.11 Mukono-Mbalala'!C32,'1.11 Mukono-Mbalala-24h'!C32,'2.11 Mukono-Mbalala-24h'!C32,'4.11 Mukono-Mbalala '!C32)</f>
        <v>54.714285714285715</v>
      </c>
      <c r="D32" s="49">
        <f>AVERAGE('29.10 Mukono-Mbalala'!D32,'30.10.Mukono-Mbalala'!D32,'31.10 Mukono-Mbalala'!D32,'3.11 Mukono-Mbalala'!D32,'1.11 Mukono-Mbalala-24h'!D32,'2.11 Mukono-Mbalala-24h'!D32,'4.11 Mukono-Mbalala '!D32)</f>
        <v>9.8571428571428577</v>
      </c>
      <c r="E32" s="49">
        <f>AVERAGE('29.10 Mukono-Mbalala'!E32,'30.10.Mukono-Mbalala'!E32,'31.10 Mukono-Mbalala'!E32,'3.11 Mukono-Mbalala'!E32,'1.11 Mukono-Mbalala-24h'!E32,'2.11 Mukono-Mbalala-24h'!E32,'4.11 Mukono-Mbalala '!E32)</f>
        <v>6.5714285714285712</v>
      </c>
      <c r="F32" s="49">
        <f>AVERAGE('29.10 Mukono-Mbalala'!F32,'30.10.Mukono-Mbalala'!F32,'31.10 Mukono-Mbalala'!F32,'3.11 Mukono-Mbalala'!F32,'1.11 Mukono-Mbalala-24h'!F32,'2.11 Mukono-Mbalala-24h'!F32,'4.11 Mukono-Mbalala '!F32)</f>
        <v>54.142857142857146</v>
      </c>
      <c r="G32" s="49">
        <f>AVERAGE('29.10 Mukono-Mbalala'!G32,'30.10.Mukono-Mbalala'!G32,'31.10 Mukono-Mbalala'!G32,'3.11 Mukono-Mbalala'!G32,'1.11 Mukono-Mbalala-24h'!G32,'2.11 Mukono-Mbalala-24h'!G32,'4.11 Mukono-Mbalala '!G32)</f>
        <v>1.1428571428571428</v>
      </c>
      <c r="H32" s="49">
        <f>AVERAGE('29.10 Mukono-Mbalala'!H32,'30.10.Mukono-Mbalala'!H32,'31.10 Mukono-Mbalala'!H32,'3.11 Mukono-Mbalala'!H32,'1.11 Mukono-Mbalala-24h'!H32,'2.11 Mukono-Mbalala-24h'!H32,'4.11 Mukono-Mbalala '!H32)</f>
        <v>0.42857142857142855</v>
      </c>
      <c r="I32" s="49">
        <f>AVERAGE('29.10 Mukono-Mbalala'!I32,'30.10.Mukono-Mbalala'!I32,'31.10 Mukono-Mbalala'!I32,'3.11 Mukono-Mbalala'!I32,'1.11 Mukono-Mbalala-24h'!I32,'2.11 Mukono-Mbalala-24h'!I32,'4.11 Mukono-Mbalala '!I32)</f>
        <v>6.2857142857142856</v>
      </c>
      <c r="J32" s="49">
        <f>AVERAGE('29.10 Mukono-Mbalala'!J32,'30.10.Mukono-Mbalala'!J32,'31.10 Mukono-Mbalala'!J32,'3.11 Mukono-Mbalala'!J32,'1.11 Mukono-Mbalala-24h'!J32,'2.11 Mukono-Mbalala-24h'!J32,'4.11 Mukono-Mbalala '!J32)</f>
        <v>8.7142857142857135</v>
      </c>
      <c r="K32" s="49">
        <f>AVERAGE('29.10 Mukono-Mbalala'!K32,'30.10.Mukono-Mbalala'!K32,'31.10 Mukono-Mbalala'!K32,'3.11 Mukono-Mbalala'!K32,'1.11 Mukono-Mbalala-24h'!K32,'2.11 Mukono-Mbalala-24h'!K32,'4.11 Mukono-Mbalala '!K32)</f>
        <v>4.7142857142857144</v>
      </c>
      <c r="L32" s="49">
        <f>AVERAGE('29.10 Mukono-Mbalala'!L32,'30.10.Mukono-Mbalala'!L32,'31.10 Mukono-Mbalala'!L32,'3.11 Mukono-Mbalala'!L32,'1.11 Mukono-Mbalala-24h'!L32,'2.11 Mukono-Mbalala-24h'!L32,'4.11 Mukono-Mbalala '!L32)</f>
        <v>15.571428571428571</v>
      </c>
      <c r="M32" s="49">
        <f>AVERAGE('29.10 Mukono-Mbalala'!M32,'30.10.Mukono-Mbalala'!M32,'31.10 Mukono-Mbalala'!M32,'3.11 Mukono-Mbalala'!M32,'1.11 Mukono-Mbalala-24h'!M32,'2.11 Mukono-Mbalala-24h'!M32,'4.11 Mukono-Mbalala '!M32)</f>
        <v>108.71428571428571</v>
      </c>
      <c r="N32" s="49">
        <f>AVERAGE('29.10 Mukono-Mbalala'!N32,'30.10.Mukono-Mbalala'!N32,'31.10 Mukono-Mbalala'!N32,'3.11 Mukono-Mbalala'!N32,'1.11 Mukono-Mbalala-24h'!N32,'2.11 Mukono-Mbalala-24h'!N32,'4.11 Mukono-Mbalala '!N32)</f>
        <v>0</v>
      </c>
      <c r="O32" s="15">
        <f t="shared" si="0"/>
        <v>162.14285714285717</v>
      </c>
      <c r="P32" s="15">
        <f t="shared" si="1"/>
        <v>270.85714285714289</v>
      </c>
      <c r="R32" s="1" t="s">
        <v>156</v>
      </c>
      <c r="S32" s="34">
        <f>SUM(C98:C101)</f>
        <v>45</v>
      </c>
      <c r="T32" s="34">
        <f t="shared" ref="T32:AF32" si="24">SUM(D98:D101)</f>
        <v>10.5</v>
      </c>
      <c r="U32" s="34">
        <f t="shared" si="24"/>
        <v>12.5</v>
      </c>
      <c r="V32" s="34">
        <f t="shared" si="24"/>
        <v>50</v>
      </c>
      <c r="W32" s="34">
        <f t="shared" si="24"/>
        <v>6.5</v>
      </c>
      <c r="X32" s="34">
        <f t="shared" si="24"/>
        <v>9.5</v>
      </c>
      <c r="Y32" s="34">
        <f t="shared" si="24"/>
        <v>13.5</v>
      </c>
      <c r="Z32" s="34">
        <f t="shared" si="24"/>
        <v>17</v>
      </c>
      <c r="AA32" s="34">
        <f t="shared" si="24"/>
        <v>14</v>
      </c>
      <c r="AB32" s="34">
        <f t="shared" si="24"/>
        <v>49</v>
      </c>
      <c r="AC32" s="34">
        <f t="shared" si="24"/>
        <v>37.5</v>
      </c>
      <c r="AD32" s="34">
        <f t="shared" si="24"/>
        <v>0</v>
      </c>
      <c r="AE32" s="31">
        <f t="shared" si="24"/>
        <v>227.5</v>
      </c>
      <c r="AF32" s="31">
        <f t="shared" si="24"/>
        <v>265</v>
      </c>
    </row>
    <row r="33" spans="2:32" ht="23.1" customHeight="1" x14ac:dyDescent="0.25">
      <c r="B33" s="23" t="s">
        <v>60</v>
      </c>
      <c r="C33" s="49">
        <f>AVERAGE('29.10 Mukono-Mbalala'!C33,'30.10.Mukono-Mbalala'!C33,'31.10 Mukono-Mbalala'!C33,'3.11 Mukono-Mbalala'!C33,'1.11 Mukono-Mbalala-24h'!C33,'2.11 Mukono-Mbalala-24h'!C33,'4.11 Mukono-Mbalala '!C33)</f>
        <v>53.857142857142854</v>
      </c>
      <c r="D33" s="49">
        <f>AVERAGE('29.10 Mukono-Mbalala'!D33,'30.10.Mukono-Mbalala'!D33,'31.10 Mukono-Mbalala'!D33,'3.11 Mukono-Mbalala'!D33,'1.11 Mukono-Mbalala-24h'!D33,'2.11 Mukono-Mbalala-24h'!D33,'4.11 Mukono-Mbalala '!D33)</f>
        <v>9.1428571428571423</v>
      </c>
      <c r="E33" s="49">
        <f>AVERAGE('29.10 Mukono-Mbalala'!E33,'30.10.Mukono-Mbalala'!E33,'31.10 Mukono-Mbalala'!E33,'3.11 Mukono-Mbalala'!E33,'1.11 Mukono-Mbalala-24h'!E33,'2.11 Mukono-Mbalala-24h'!E33,'4.11 Mukono-Mbalala '!E33)</f>
        <v>4.2857142857142856</v>
      </c>
      <c r="F33" s="49">
        <f>AVERAGE('29.10 Mukono-Mbalala'!F33,'30.10.Mukono-Mbalala'!F33,'31.10 Mukono-Mbalala'!F33,'3.11 Mukono-Mbalala'!F33,'1.11 Mukono-Mbalala-24h'!F33,'2.11 Mukono-Mbalala-24h'!F33,'4.11 Mukono-Mbalala '!F33)</f>
        <v>55.285714285714285</v>
      </c>
      <c r="G33" s="49">
        <f>AVERAGE('29.10 Mukono-Mbalala'!G33,'30.10.Mukono-Mbalala'!G33,'31.10 Mukono-Mbalala'!G33,'3.11 Mukono-Mbalala'!G33,'1.11 Mukono-Mbalala-24h'!G33,'2.11 Mukono-Mbalala-24h'!G33,'4.11 Mukono-Mbalala '!G33)</f>
        <v>2</v>
      </c>
      <c r="H33" s="49">
        <f>AVERAGE('29.10 Mukono-Mbalala'!H33,'30.10.Mukono-Mbalala'!H33,'31.10 Mukono-Mbalala'!H33,'3.11 Mukono-Mbalala'!H33,'1.11 Mukono-Mbalala-24h'!H33,'2.11 Mukono-Mbalala-24h'!H33,'4.11 Mukono-Mbalala '!H33)</f>
        <v>1.1428571428571428</v>
      </c>
      <c r="I33" s="49">
        <f>AVERAGE('29.10 Mukono-Mbalala'!I33,'30.10.Mukono-Mbalala'!I33,'31.10 Mukono-Mbalala'!I33,'3.11 Mukono-Mbalala'!I33,'1.11 Mukono-Mbalala-24h'!I33,'2.11 Mukono-Mbalala-24h'!I33,'4.11 Mukono-Mbalala '!I33)</f>
        <v>17.714285714285715</v>
      </c>
      <c r="J33" s="49">
        <f>AVERAGE('29.10 Mukono-Mbalala'!J33,'30.10.Mukono-Mbalala'!J33,'31.10 Mukono-Mbalala'!J33,'3.11 Mukono-Mbalala'!J33,'1.11 Mukono-Mbalala-24h'!J33,'2.11 Mukono-Mbalala-24h'!J33,'4.11 Mukono-Mbalala '!J33)</f>
        <v>6.8571428571428568</v>
      </c>
      <c r="K33" s="49">
        <f>AVERAGE('29.10 Mukono-Mbalala'!K33,'30.10.Mukono-Mbalala'!K33,'31.10 Mukono-Mbalala'!K33,'3.11 Mukono-Mbalala'!K33,'1.11 Mukono-Mbalala-24h'!K33,'2.11 Mukono-Mbalala-24h'!K33,'4.11 Mukono-Mbalala '!K33)</f>
        <v>5.2857142857142856</v>
      </c>
      <c r="L33" s="49">
        <f>AVERAGE('29.10 Mukono-Mbalala'!L33,'30.10.Mukono-Mbalala'!L33,'31.10 Mukono-Mbalala'!L33,'3.11 Mukono-Mbalala'!L33,'1.11 Mukono-Mbalala-24h'!L33,'2.11 Mukono-Mbalala-24h'!L33,'4.11 Mukono-Mbalala '!L33)</f>
        <v>17.428571428571427</v>
      </c>
      <c r="M33" s="49">
        <f>AVERAGE('29.10 Mukono-Mbalala'!M33,'30.10.Mukono-Mbalala'!M33,'31.10 Mukono-Mbalala'!M33,'3.11 Mukono-Mbalala'!M33,'1.11 Mukono-Mbalala-24h'!M33,'2.11 Mukono-Mbalala-24h'!M33,'4.11 Mukono-Mbalala '!M33)</f>
        <v>101.14285714285714</v>
      </c>
      <c r="N33" s="49">
        <f>AVERAGE('29.10 Mukono-Mbalala'!N33,'30.10.Mukono-Mbalala'!N33,'31.10 Mukono-Mbalala'!N33,'3.11 Mukono-Mbalala'!N33,'1.11 Mukono-Mbalala-24h'!N33,'2.11 Mukono-Mbalala-24h'!N33,'4.11 Mukono-Mbalala '!N33)</f>
        <v>0</v>
      </c>
      <c r="O33" s="15">
        <f t="shared" si="0"/>
        <v>173</v>
      </c>
      <c r="P33" s="15">
        <f t="shared" si="1"/>
        <v>274.14285714285711</v>
      </c>
      <c r="R33" s="1" t="s">
        <v>157</v>
      </c>
      <c r="S33" s="34">
        <f>SUM(C102:C105)</f>
        <v>145</v>
      </c>
      <c r="T33" s="34">
        <f t="shared" ref="T33:AF33" si="25">SUM(D102:D105)</f>
        <v>16</v>
      </c>
      <c r="U33" s="34">
        <f t="shared" si="25"/>
        <v>16.5</v>
      </c>
      <c r="V33" s="34">
        <f t="shared" si="25"/>
        <v>111.5</v>
      </c>
      <c r="W33" s="34">
        <f t="shared" si="25"/>
        <v>3.5</v>
      </c>
      <c r="X33" s="34">
        <f t="shared" si="25"/>
        <v>6</v>
      </c>
      <c r="Y33" s="34">
        <f t="shared" si="25"/>
        <v>17</v>
      </c>
      <c r="Z33" s="34">
        <f t="shared" si="25"/>
        <v>22</v>
      </c>
      <c r="AA33" s="34">
        <f t="shared" si="25"/>
        <v>14</v>
      </c>
      <c r="AB33" s="34">
        <f t="shared" si="25"/>
        <v>59</v>
      </c>
      <c r="AC33" s="34">
        <f t="shared" si="25"/>
        <v>134</v>
      </c>
      <c r="AD33" s="34">
        <f t="shared" si="25"/>
        <v>0</v>
      </c>
      <c r="AE33" s="31">
        <f t="shared" si="25"/>
        <v>410.5</v>
      </c>
      <c r="AF33" s="31">
        <f t="shared" si="25"/>
        <v>544.5</v>
      </c>
    </row>
    <row r="34" spans="2:32" ht="23.1" customHeight="1" x14ac:dyDescent="0.25">
      <c r="B34" s="24" t="s">
        <v>61</v>
      </c>
      <c r="C34" s="49">
        <f>AVERAGE('29.10 Mukono-Mbalala'!C34,'30.10.Mukono-Mbalala'!C34,'31.10 Mukono-Mbalala'!C34,'3.11 Mukono-Mbalala'!C34,'1.11 Mukono-Mbalala-24h'!C34,'2.11 Mukono-Mbalala-24h'!C34,'4.11 Mukono-Mbalala '!C34)</f>
        <v>41.142857142857146</v>
      </c>
      <c r="D34" s="49">
        <f>AVERAGE('29.10 Mukono-Mbalala'!D34,'30.10.Mukono-Mbalala'!D34,'31.10 Mukono-Mbalala'!D34,'3.11 Mukono-Mbalala'!D34,'1.11 Mukono-Mbalala-24h'!D34,'2.11 Mukono-Mbalala-24h'!D34,'4.11 Mukono-Mbalala '!D34)</f>
        <v>8.1428571428571423</v>
      </c>
      <c r="E34" s="49">
        <f>AVERAGE('29.10 Mukono-Mbalala'!E34,'30.10.Mukono-Mbalala'!E34,'31.10 Mukono-Mbalala'!E34,'3.11 Mukono-Mbalala'!E34,'1.11 Mukono-Mbalala-24h'!E34,'2.11 Mukono-Mbalala-24h'!E34,'4.11 Mukono-Mbalala '!E34)</f>
        <v>6.2857142857142856</v>
      </c>
      <c r="F34" s="49">
        <f>AVERAGE('29.10 Mukono-Mbalala'!F34,'30.10.Mukono-Mbalala'!F34,'31.10 Mukono-Mbalala'!F34,'3.11 Mukono-Mbalala'!F34,'1.11 Mukono-Mbalala-24h'!F34,'2.11 Mukono-Mbalala-24h'!F34,'4.11 Mukono-Mbalala '!F34)</f>
        <v>48.857142857142854</v>
      </c>
      <c r="G34" s="49">
        <f>AVERAGE('29.10 Mukono-Mbalala'!G34,'30.10.Mukono-Mbalala'!G34,'31.10 Mukono-Mbalala'!G34,'3.11 Mukono-Mbalala'!G34,'1.11 Mukono-Mbalala-24h'!G34,'2.11 Mukono-Mbalala-24h'!G34,'4.11 Mukono-Mbalala '!G34)</f>
        <v>4.4285714285714288</v>
      </c>
      <c r="H34" s="49">
        <f>AVERAGE('29.10 Mukono-Mbalala'!H34,'30.10.Mukono-Mbalala'!H34,'31.10 Mukono-Mbalala'!H34,'3.11 Mukono-Mbalala'!H34,'1.11 Mukono-Mbalala-24h'!H34,'2.11 Mukono-Mbalala-24h'!H34,'4.11 Mukono-Mbalala '!H34)</f>
        <v>1.5714285714285714</v>
      </c>
      <c r="I34" s="49">
        <f>AVERAGE('29.10 Mukono-Mbalala'!I34,'30.10.Mukono-Mbalala'!I34,'31.10 Mukono-Mbalala'!I34,'3.11 Mukono-Mbalala'!I34,'1.11 Mukono-Mbalala-24h'!I34,'2.11 Mukono-Mbalala-24h'!I34,'4.11 Mukono-Mbalala '!I34)</f>
        <v>15.571428571428571</v>
      </c>
      <c r="J34" s="49">
        <f>AVERAGE('29.10 Mukono-Mbalala'!J34,'30.10.Mukono-Mbalala'!J34,'31.10 Mukono-Mbalala'!J34,'3.11 Mukono-Mbalala'!J34,'1.11 Mukono-Mbalala-24h'!J34,'2.11 Mukono-Mbalala-24h'!J34,'4.11 Mukono-Mbalala '!J34)</f>
        <v>5.7142857142857144</v>
      </c>
      <c r="K34" s="49">
        <f>AVERAGE('29.10 Mukono-Mbalala'!K34,'30.10.Mukono-Mbalala'!K34,'31.10 Mukono-Mbalala'!K34,'3.11 Mukono-Mbalala'!K34,'1.11 Mukono-Mbalala-24h'!K34,'2.11 Mukono-Mbalala-24h'!K34,'4.11 Mukono-Mbalala '!K34)</f>
        <v>4.8571428571428568</v>
      </c>
      <c r="L34" s="49">
        <f>AVERAGE('29.10 Mukono-Mbalala'!L34,'30.10.Mukono-Mbalala'!L34,'31.10 Mukono-Mbalala'!L34,'3.11 Mukono-Mbalala'!L34,'1.11 Mukono-Mbalala-24h'!L34,'2.11 Mukono-Mbalala-24h'!L34,'4.11 Mukono-Mbalala '!L34)</f>
        <v>12</v>
      </c>
      <c r="M34" s="49">
        <f>AVERAGE('29.10 Mukono-Mbalala'!M34,'30.10.Mukono-Mbalala'!M34,'31.10 Mukono-Mbalala'!M34,'3.11 Mukono-Mbalala'!M34,'1.11 Mukono-Mbalala-24h'!M34,'2.11 Mukono-Mbalala-24h'!M34,'4.11 Mukono-Mbalala '!M34)</f>
        <v>94.714285714285708</v>
      </c>
      <c r="N34" s="49">
        <f>AVERAGE('29.10 Mukono-Mbalala'!N34,'30.10.Mukono-Mbalala'!N34,'31.10 Mukono-Mbalala'!N34,'3.11 Mukono-Mbalala'!N34,'1.11 Mukono-Mbalala-24h'!N34,'2.11 Mukono-Mbalala-24h'!N34,'4.11 Mukono-Mbalala '!N34)</f>
        <v>0</v>
      </c>
      <c r="O34" s="15">
        <f t="shared" si="0"/>
        <v>148.57142857142858</v>
      </c>
      <c r="P34" s="15">
        <f t="shared" si="1"/>
        <v>243.28571428571428</v>
      </c>
      <c r="R34" s="38" t="s">
        <v>90</v>
      </c>
      <c r="S34" s="39">
        <f t="shared" ref="S34:AF34" si="26">MAX(S10:S12)</f>
        <v>171.71428571428572</v>
      </c>
      <c r="T34" s="39">
        <f t="shared" si="26"/>
        <v>45</v>
      </c>
      <c r="U34" s="39">
        <f t="shared" si="26"/>
        <v>32.714285714285715</v>
      </c>
      <c r="V34" s="39">
        <f t="shared" si="26"/>
        <v>164.14285714285714</v>
      </c>
      <c r="W34" s="39">
        <f t="shared" si="26"/>
        <v>10.285714285714285</v>
      </c>
      <c r="X34" s="39">
        <f t="shared" si="26"/>
        <v>6</v>
      </c>
      <c r="Y34" s="39">
        <f t="shared" si="26"/>
        <v>39.285714285714285</v>
      </c>
      <c r="Z34" s="39">
        <f t="shared" si="26"/>
        <v>20.571428571428569</v>
      </c>
      <c r="AA34" s="39">
        <f t="shared" si="26"/>
        <v>15.142857142857144</v>
      </c>
      <c r="AB34" s="39">
        <f t="shared" si="26"/>
        <v>43.857142857142861</v>
      </c>
      <c r="AC34" s="39">
        <f t="shared" si="26"/>
        <v>396.71428571428567</v>
      </c>
      <c r="AD34" s="39">
        <f t="shared" si="26"/>
        <v>0.14285714285714285</v>
      </c>
      <c r="AE34" s="40">
        <f t="shared" si="26"/>
        <v>497.57142857142856</v>
      </c>
      <c r="AF34" s="40">
        <f t="shared" si="26"/>
        <v>894.28571428571422</v>
      </c>
    </row>
    <row r="35" spans="2:32" ht="23.1" customHeight="1" x14ac:dyDescent="0.25">
      <c r="B35" s="24" t="s">
        <v>62</v>
      </c>
      <c r="C35" s="49">
        <f>AVERAGE('29.10 Mukono-Mbalala'!C35,'30.10.Mukono-Mbalala'!C35,'31.10 Mukono-Mbalala'!C35,'3.11 Mukono-Mbalala'!C35,'1.11 Mukono-Mbalala-24h'!C35,'2.11 Mukono-Mbalala-24h'!C35,'4.11 Mukono-Mbalala '!C35)</f>
        <v>39.428571428571431</v>
      </c>
      <c r="D35" s="49">
        <f>AVERAGE('29.10 Mukono-Mbalala'!D35,'30.10.Mukono-Mbalala'!D35,'31.10 Mukono-Mbalala'!D35,'3.11 Mukono-Mbalala'!D35,'1.11 Mukono-Mbalala-24h'!D35,'2.11 Mukono-Mbalala-24h'!D35,'4.11 Mukono-Mbalala '!D35)</f>
        <v>6.2857142857142856</v>
      </c>
      <c r="E35" s="49">
        <f>AVERAGE('29.10 Mukono-Mbalala'!E35,'30.10.Mukono-Mbalala'!E35,'31.10 Mukono-Mbalala'!E35,'3.11 Mukono-Mbalala'!E35,'1.11 Mukono-Mbalala-24h'!E35,'2.11 Mukono-Mbalala-24h'!E35,'4.11 Mukono-Mbalala '!E35)</f>
        <v>5.4285714285714288</v>
      </c>
      <c r="F35" s="49">
        <f>AVERAGE('29.10 Mukono-Mbalala'!F35,'30.10.Mukono-Mbalala'!F35,'31.10 Mukono-Mbalala'!F35,'3.11 Mukono-Mbalala'!F35,'1.11 Mukono-Mbalala-24h'!F35,'2.11 Mukono-Mbalala-24h'!F35,'4.11 Mukono-Mbalala '!F35)</f>
        <v>38.857142857142854</v>
      </c>
      <c r="G35" s="49">
        <f>AVERAGE('29.10 Mukono-Mbalala'!G35,'30.10.Mukono-Mbalala'!G35,'31.10 Mukono-Mbalala'!G35,'3.11 Mukono-Mbalala'!G35,'1.11 Mukono-Mbalala-24h'!G35,'2.11 Mukono-Mbalala-24h'!G35,'4.11 Mukono-Mbalala '!G35)</f>
        <v>1.2857142857142858</v>
      </c>
      <c r="H35" s="49">
        <f>AVERAGE('29.10 Mukono-Mbalala'!H35,'30.10.Mukono-Mbalala'!H35,'31.10 Mukono-Mbalala'!H35,'3.11 Mukono-Mbalala'!H35,'1.11 Mukono-Mbalala-24h'!H35,'2.11 Mukono-Mbalala-24h'!H35,'4.11 Mukono-Mbalala '!H35)</f>
        <v>1</v>
      </c>
      <c r="I35" s="49">
        <f>AVERAGE('29.10 Mukono-Mbalala'!I35,'30.10.Mukono-Mbalala'!I35,'31.10 Mukono-Mbalala'!I35,'3.11 Mukono-Mbalala'!I35,'1.11 Mukono-Mbalala-24h'!I35,'2.11 Mukono-Mbalala-24h'!I35,'4.11 Mukono-Mbalala '!I35)</f>
        <v>10.142857142857142</v>
      </c>
      <c r="J35" s="49">
        <f>AVERAGE('29.10 Mukono-Mbalala'!J35,'30.10.Mukono-Mbalala'!J35,'31.10 Mukono-Mbalala'!J35,'3.11 Mukono-Mbalala'!J35,'1.11 Mukono-Mbalala-24h'!J35,'2.11 Mukono-Mbalala-24h'!J35,'4.11 Mukono-Mbalala '!J35)</f>
        <v>6.7142857142857144</v>
      </c>
      <c r="K35" s="49">
        <f>AVERAGE('29.10 Mukono-Mbalala'!K35,'30.10.Mukono-Mbalala'!K35,'31.10 Mukono-Mbalala'!K35,'3.11 Mukono-Mbalala'!K35,'1.11 Mukono-Mbalala-24h'!K35,'2.11 Mukono-Mbalala-24h'!K35,'4.11 Mukono-Mbalala '!K35)</f>
        <v>4.2857142857142856</v>
      </c>
      <c r="L35" s="49">
        <f>AVERAGE('29.10 Mukono-Mbalala'!L35,'30.10.Mukono-Mbalala'!L35,'31.10 Mukono-Mbalala'!L35,'3.11 Mukono-Mbalala'!L35,'1.11 Mukono-Mbalala-24h'!L35,'2.11 Mukono-Mbalala-24h'!L35,'4.11 Mukono-Mbalala '!L35)</f>
        <v>15.428571428571429</v>
      </c>
      <c r="M35" s="49">
        <f>AVERAGE('29.10 Mukono-Mbalala'!M35,'30.10.Mukono-Mbalala'!M35,'31.10 Mukono-Mbalala'!M35,'3.11 Mukono-Mbalala'!M35,'1.11 Mukono-Mbalala-24h'!M35,'2.11 Mukono-Mbalala-24h'!M35,'4.11 Mukono-Mbalala '!M35)</f>
        <v>110.57142857142857</v>
      </c>
      <c r="N35" s="49">
        <f>AVERAGE('29.10 Mukono-Mbalala'!N35,'30.10.Mukono-Mbalala'!N35,'31.10 Mukono-Mbalala'!N35,'3.11 Mukono-Mbalala'!N35,'1.11 Mukono-Mbalala-24h'!N35,'2.11 Mukono-Mbalala-24h'!N35,'4.11 Mukono-Mbalala '!N35)</f>
        <v>0</v>
      </c>
      <c r="O35" s="15">
        <f t="shared" si="0"/>
        <v>128.85714285714286</v>
      </c>
      <c r="P35" s="15">
        <f t="shared" si="1"/>
        <v>239.42857142857144</v>
      </c>
      <c r="R35" s="38" t="s">
        <v>91</v>
      </c>
      <c r="S35" s="39">
        <f t="shared" ref="S35:AF35" si="27">MAX(S13:S18)</f>
        <v>211.57142857142858</v>
      </c>
      <c r="T35" s="39">
        <f t="shared" si="27"/>
        <v>50</v>
      </c>
      <c r="U35" s="39">
        <f t="shared" si="27"/>
        <v>35</v>
      </c>
      <c r="V35" s="39">
        <f t="shared" si="27"/>
        <v>196.85714285714286</v>
      </c>
      <c r="W35" s="39">
        <f t="shared" si="27"/>
        <v>20</v>
      </c>
      <c r="X35" s="39">
        <f t="shared" si="27"/>
        <v>5.2857142857142856</v>
      </c>
      <c r="Y35" s="39">
        <f t="shared" si="27"/>
        <v>47.142857142857139</v>
      </c>
      <c r="Z35" s="39">
        <f t="shared" si="27"/>
        <v>33.285714285714285</v>
      </c>
      <c r="AA35" s="39">
        <f t="shared" si="27"/>
        <v>21</v>
      </c>
      <c r="AB35" s="39">
        <f t="shared" si="27"/>
        <v>71.714285714285708</v>
      </c>
      <c r="AC35" s="39">
        <f t="shared" si="27"/>
        <v>449.14285714285717</v>
      </c>
      <c r="AD35" s="39">
        <f t="shared" si="27"/>
        <v>0</v>
      </c>
      <c r="AE35" s="40">
        <f t="shared" si="27"/>
        <v>651.14285714285711</v>
      </c>
      <c r="AF35" s="40">
        <f t="shared" si="27"/>
        <v>1080.4285714285716</v>
      </c>
    </row>
    <row r="36" spans="2:32" ht="23.1" customHeight="1" x14ac:dyDescent="0.25">
      <c r="B36" s="24" t="s">
        <v>63</v>
      </c>
      <c r="C36" s="49">
        <f>AVERAGE('29.10 Mukono-Mbalala'!C36,'30.10.Mukono-Mbalala'!C36,'31.10 Mukono-Mbalala'!C36,'3.11 Mukono-Mbalala'!C36,'1.11 Mukono-Mbalala-24h'!C36,'2.11 Mukono-Mbalala-24h'!C36,'4.11 Mukono-Mbalala '!C36)</f>
        <v>49</v>
      </c>
      <c r="D36" s="49">
        <f>AVERAGE('29.10 Mukono-Mbalala'!D36,'30.10.Mukono-Mbalala'!D36,'31.10 Mukono-Mbalala'!D36,'3.11 Mukono-Mbalala'!D36,'1.11 Mukono-Mbalala-24h'!D36,'2.11 Mukono-Mbalala-24h'!D36,'4.11 Mukono-Mbalala '!D36)</f>
        <v>14.428571428571429</v>
      </c>
      <c r="E36" s="49">
        <f>AVERAGE('29.10 Mukono-Mbalala'!E36,'30.10.Mukono-Mbalala'!E36,'31.10 Mukono-Mbalala'!E36,'3.11 Mukono-Mbalala'!E36,'1.11 Mukono-Mbalala-24h'!E36,'2.11 Mukono-Mbalala-24h'!E36,'4.11 Mukono-Mbalala '!E36)</f>
        <v>4.5714285714285712</v>
      </c>
      <c r="F36" s="49">
        <f>AVERAGE('29.10 Mukono-Mbalala'!F36,'30.10.Mukono-Mbalala'!F36,'31.10 Mukono-Mbalala'!F36,'3.11 Mukono-Mbalala'!F36,'1.11 Mukono-Mbalala-24h'!F36,'2.11 Mukono-Mbalala-24h'!F36,'4.11 Mukono-Mbalala '!F36)</f>
        <v>42.714285714285715</v>
      </c>
      <c r="G36" s="49">
        <f>AVERAGE('29.10 Mukono-Mbalala'!G36,'30.10.Mukono-Mbalala'!G36,'31.10 Mukono-Mbalala'!G36,'3.11 Mukono-Mbalala'!G36,'1.11 Mukono-Mbalala-24h'!G36,'2.11 Mukono-Mbalala-24h'!G36,'4.11 Mukono-Mbalala '!G36)</f>
        <v>1.1428571428571428</v>
      </c>
      <c r="H36" s="49">
        <f>AVERAGE('29.10 Mukono-Mbalala'!H36,'30.10.Mukono-Mbalala'!H36,'31.10 Mukono-Mbalala'!H36,'3.11 Mukono-Mbalala'!H36,'1.11 Mukono-Mbalala-24h'!H36,'2.11 Mukono-Mbalala-24h'!H36,'4.11 Mukono-Mbalala '!H36)</f>
        <v>1</v>
      </c>
      <c r="I36" s="49">
        <f>AVERAGE('29.10 Mukono-Mbalala'!I36,'30.10.Mukono-Mbalala'!I36,'31.10 Mukono-Mbalala'!I36,'3.11 Mukono-Mbalala'!I36,'1.11 Mukono-Mbalala-24h'!I36,'2.11 Mukono-Mbalala-24h'!I36,'4.11 Mukono-Mbalala '!I36)</f>
        <v>11.571428571428571</v>
      </c>
      <c r="J36" s="49">
        <f>AVERAGE('29.10 Mukono-Mbalala'!J36,'30.10.Mukono-Mbalala'!J36,'31.10 Mukono-Mbalala'!J36,'3.11 Mukono-Mbalala'!J36,'1.11 Mukono-Mbalala-24h'!J36,'2.11 Mukono-Mbalala-24h'!J36,'4.11 Mukono-Mbalala '!J36)</f>
        <v>5.2857142857142856</v>
      </c>
      <c r="K36" s="49">
        <f>AVERAGE('29.10 Mukono-Mbalala'!K36,'30.10.Mukono-Mbalala'!K36,'31.10 Mukono-Mbalala'!K36,'3.11 Mukono-Mbalala'!K36,'1.11 Mukono-Mbalala-24h'!K36,'2.11 Mukono-Mbalala-24h'!K36,'4.11 Mukono-Mbalala '!K36)</f>
        <v>4.8571428571428568</v>
      </c>
      <c r="L36" s="49">
        <f>AVERAGE('29.10 Mukono-Mbalala'!L36,'30.10.Mukono-Mbalala'!L36,'31.10 Mukono-Mbalala'!L36,'3.11 Mukono-Mbalala'!L36,'1.11 Mukono-Mbalala-24h'!L36,'2.11 Mukono-Mbalala-24h'!L36,'4.11 Mukono-Mbalala '!L36)</f>
        <v>15.571428571428571</v>
      </c>
      <c r="M36" s="49">
        <f>AVERAGE('29.10 Mukono-Mbalala'!M36,'30.10.Mukono-Mbalala'!M36,'31.10 Mukono-Mbalala'!M36,'3.11 Mukono-Mbalala'!M36,'1.11 Mukono-Mbalala-24h'!M36,'2.11 Mukono-Mbalala-24h'!M36,'4.11 Mukono-Mbalala '!M36)</f>
        <v>117.57142857142857</v>
      </c>
      <c r="N36" s="49">
        <f>AVERAGE('29.10 Mukono-Mbalala'!N36,'30.10.Mukono-Mbalala'!N36,'31.10 Mukono-Mbalala'!N36,'3.11 Mukono-Mbalala'!N36,'1.11 Mukono-Mbalala-24h'!N36,'2.11 Mukono-Mbalala-24h'!N36,'4.11 Mukono-Mbalala '!N36)</f>
        <v>0</v>
      </c>
      <c r="O36" s="15">
        <f t="shared" si="0"/>
        <v>150.14285714285717</v>
      </c>
      <c r="P36" s="15">
        <f t="shared" si="1"/>
        <v>267.71428571428572</v>
      </c>
      <c r="R36" s="38" t="s">
        <v>92</v>
      </c>
      <c r="S36" s="39">
        <f t="shared" ref="S36:AF36" si="28">MAX(S19:S21)</f>
        <v>159.28571428571428</v>
      </c>
      <c r="T36" s="39">
        <f t="shared" si="28"/>
        <v>32.714285714285715</v>
      </c>
      <c r="U36" s="39">
        <f t="shared" si="28"/>
        <v>25.285714285714285</v>
      </c>
      <c r="V36" s="39">
        <f t="shared" si="28"/>
        <v>155.42857142857142</v>
      </c>
      <c r="W36" s="39">
        <f t="shared" si="28"/>
        <v>10.285714285714285</v>
      </c>
      <c r="X36" s="39">
        <f t="shared" si="28"/>
        <v>4.8571428571428568</v>
      </c>
      <c r="Y36" s="39">
        <f t="shared" si="28"/>
        <v>44.428571428571423</v>
      </c>
      <c r="Z36" s="39">
        <f t="shared" si="28"/>
        <v>24</v>
      </c>
      <c r="AA36" s="39">
        <f t="shared" si="28"/>
        <v>18</v>
      </c>
      <c r="AB36" s="39">
        <f t="shared" si="28"/>
        <v>99.285714285714278</v>
      </c>
      <c r="AC36" s="39">
        <f t="shared" si="28"/>
        <v>512.42857142857144</v>
      </c>
      <c r="AD36" s="39">
        <f t="shared" si="28"/>
        <v>0</v>
      </c>
      <c r="AE36" s="40">
        <f t="shared" si="28"/>
        <v>565.28571428571422</v>
      </c>
      <c r="AF36" s="40">
        <f t="shared" si="28"/>
        <v>1035.4285714285716</v>
      </c>
    </row>
    <row r="37" spans="2:32" ht="23.1" customHeight="1" x14ac:dyDescent="0.25">
      <c r="B37" s="23" t="s">
        <v>64</v>
      </c>
      <c r="C37" s="49">
        <f>AVERAGE('29.10 Mukono-Mbalala'!C37,'30.10.Mukono-Mbalala'!C37,'31.10 Mukono-Mbalala'!C37,'3.11 Mukono-Mbalala'!C37,'1.11 Mukono-Mbalala-24h'!C37,'2.11 Mukono-Mbalala-24h'!C37,'4.11 Mukono-Mbalala '!C37)</f>
        <v>34.428571428571431</v>
      </c>
      <c r="D37" s="49">
        <f>AVERAGE('29.10 Mukono-Mbalala'!D37,'30.10.Mukono-Mbalala'!D37,'31.10 Mukono-Mbalala'!D37,'3.11 Mukono-Mbalala'!D37,'1.11 Mukono-Mbalala-24h'!D37,'2.11 Mukono-Mbalala-24h'!D37,'4.11 Mukono-Mbalala '!D37)</f>
        <v>17.571428571428573</v>
      </c>
      <c r="E37" s="49">
        <f>AVERAGE('29.10 Mukono-Mbalala'!E37,'30.10.Mukono-Mbalala'!E37,'31.10 Mukono-Mbalala'!E37,'3.11 Mukono-Mbalala'!E37,'1.11 Mukono-Mbalala-24h'!E37,'2.11 Mukono-Mbalala-24h'!E37,'4.11 Mukono-Mbalala '!E37)</f>
        <v>5.5714285714285712</v>
      </c>
      <c r="F37" s="49">
        <f>AVERAGE('29.10 Mukono-Mbalala'!F37,'30.10.Mukono-Mbalala'!F37,'31.10 Mukono-Mbalala'!F37,'3.11 Mukono-Mbalala'!F37,'1.11 Mukono-Mbalala-24h'!F37,'2.11 Mukono-Mbalala-24h'!F37,'4.11 Mukono-Mbalala '!F37)</f>
        <v>25.857142857142858</v>
      </c>
      <c r="G37" s="49">
        <f>AVERAGE('29.10 Mukono-Mbalala'!G37,'30.10.Mukono-Mbalala'!G37,'31.10 Mukono-Mbalala'!G37,'3.11 Mukono-Mbalala'!G37,'1.11 Mukono-Mbalala-24h'!G37,'2.11 Mukono-Mbalala-24h'!G37,'4.11 Mukono-Mbalala '!G37)</f>
        <v>2.4285714285714284</v>
      </c>
      <c r="H37" s="49">
        <f>AVERAGE('29.10 Mukono-Mbalala'!H37,'30.10.Mukono-Mbalala'!H37,'31.10 Mukono-Mbalala'!H37,'3.11 Mukono-Mbalala'!H37,'1.11 Mukono-Mbalala-24h'!H37,'2.11 Mukono-Mbalala-24h'!H37,'4.11 Mukono-Mbalala '!H37)</f>
        <v>1.5714285714285714</v>
      </c>
      <c r="I37" s="49">
        <f>AVERAGE('29.10 Mukono-Mbalala'!I37,'30.10.Mukono-Mbalala'!I37,'31.10 Mukono-Mbalala'!I37,'3.11 Mukono-Mbalala'!I37,'1.11 Mukono-Mbalala-24h'!I37,'2.11 Mukono-Mbalala-24h'!I37,'4.11 Mukono-Mbalala '!I37)</f>
        <v>9.2857142857142865</v>
      </c>
      <c r="J37" s="49">
        <f>AVERAGE('29.10 Mukono-Mbalala'!J37,'30.10.Mukono-Mbalala'!J37,'31.10 Mukono-Mbalala'!J37,'3.11 Mukono-Mbalala'!J37,'1.11 Mukono-Mbalala-24h'!J37,'2.11 Mukono-Mbalala-24h'!J37,'4.11 Mukono-Mbalala '!J37)</f>
        <v>15.142857142857142</v>
      </c>
      <c r="K37" s="49">
        <f>AVERAGE('29.10 Mukono-Mbalala'!K37,'30.10.Mukono-Mbalala'!K37,'31.10 Mukono-Mbalala'!K37,'3.11 Mukono-Mbalala'!K37,'1.11 Mukono-Mbalala-24h'!K37,'2.11 Mukono-Mbalala-24h'!K37,'4.11 Mukono-Mbalala '!K37)</f>
        <v>3.4285714285714284</v>
      </c>
      <c r="L37" s="49">
        <f>AVERAGE('29.10 Mukono-Mbalala'!L37,'30.10.Mukono-Mbalala'!L37,'31.10 Mukono-Mbalala'!L37,'3.11 Mukono-Mbalala'!L37,'1.11 Mukono-Mbalala-24h'!L37,'2.11 Mukono-Mbalala-24h'!L37,'4.11 Mukono-Mbalala '!L37)</f>
        <v>17.571428571428573</v>
      </c>
      <c r="M37" s="49">
        <f>AVERAGE('29.10 Mukono-Mbalala'!M37,'30.10.Mukono-Mbalala'!M37,'31.10 Mukono-Mbalala'!M37,'3.11 Mukono-Mbalala'!M37,'1.11 Mukono-Mbalala-24h'!M37,'2.11 Mukono-Mbalala-24h'!M37,'4.11 Mukono-Mbalala '!M37)</f>
        <v>111.42857142857143</v>
      </c>
      <c r="N37" s="49">
        <f>AVERAGE('29.10 Mukono-Mbalala'!N37,'30.10.Mukono-Mbalala'!N37,'31.10 Mukono-Mbalala'!N37,'3.11 Mukono-Mbalala'!N37,'1.11 Mukono-Mbalala-24h'!N37,'2.11 Mukono-Mbalala-24h'!N37,'4.11 Mukono-Mbalala '!N37)</f>
        <v>0</v>
      </c>
      <c r="O37" s="15">
        <f t="shared" si="0"/>
        <v>132.85714285714286</v>
      </c>
      <c r="P37" s="15">
        <f t="shared" si="1"/>
        <v>244.28571428571428</v>
      </c>
      <c r="R37" s="37" t="s">
        <v>85</v>
      </c>
      <c r="S37" s="35">
        <f t="shared" ref="S37:AF37" si="29">SUM(S10:S12)</f>
        <v>486.42857142857144</v>
      </c>
      <c r="T37" s="16">
        <f t="shared" si="29"/>
        <v>119</v>
      </c>
      <c r="U37" s="16">
        <f t="shared" si="29"/>
        <v>95.428571428571431</v>
      </c>
      <c r="V37" s="16">
        <f t="shared" si="29"/>
        <v>439.85714285714278</v>
      </c>
      <c r="W37" s="16">
        <f t="shared" si="29"/>
        <v>22.142857142857142</v>
      </c>
      <c r="X37" s="16">
        <f t="shared" si="29"/>
        <v>12.857142857142858</v>
      </c>
      <c r="Y37" s="16">
        <f t="shared" si="29"/>
        <v>106.71428571428572</v>
      </c>
      <c r="Z37" s="16">
        <f t="shared" si="29"/>
        <v>54.857142857142854</v>
      </c>
      <c r="AA37" s="16">
        <f t="shared" si="29"/>
        <v>39.428571428571431</v>
      </c>
      <c r="AB37" s="16">
        <f t="shared" si="29"/>
        <v>101.14285714285715</v>
      </c>
      <c r="AC37" s="16">
        <f t="shared" si="29"/>
        <v>1105.5714285714284</v>
      </c>
      <c r="AD37" s="16">
        <f t="shared" si="29"/>
        <v>0.14285714285714285</v>
      </c>
      <c r="AE37" s="32">
        <f t="shared" si="29"/>
        <v>1478</v>
      </c>
      <c r="AF37" s="32">
        <f t="shared" si="29"/>
        <v>2583.5714285714284</v>
      </c>
    </row>
    <row r="38" spans="2:32" ht="23.1" customHeight="1" x14ac:dyDescent="0.25">
      <c r="B38" s="24" t="s">
        <v>65</v>
      </c>
      <c r="C38" s="49">
        <f>AVERAGE('29.10 Mukono-Mbalala'!C38,'30.10.Mukono-Mbalala'!C38,'31.10 Mukono-Mbalala'!C38,'3.11 Mukono-Mbalala'!C38,'1.11 Mukono-Mbalala-24h'!C38,'2.11 Mukono-Mbalala-24h'!C38,'4.11 Mukono-Mbalala '!C38)</f>
        <v>35.857142857142854</v>
      </c>
      <c r="D38" s="49">
        <f>AVERAGE('29.10 Mukono-Mbalala'!D38,'30.10.Mukono-Mbalala'!D38,'31.10 Mukono-Mbalala'!D38,'3.11 Mukono-Mbalala'!D38,'1.11 Mukono-Mbalala-24h'!D38,'2.11 Mukono-Mbalala-24h'!D38,'4.11 Mukono-Mbalala '!D38)</f>
        <v>14</v>
      </c>
      <c r="E38" s="49">
        <f>AVERAGE('29.10 Mukono-Mbalala'!E38,'30.10.Mukono-Mbalala'!E38,'31.10 Mukono-Mbalala'!E38,'3.11 Mukono-Mbalala'!E38,'1.11 Mukono-Mbalala-24h'!E38,'2.11 Mukono-Mbalala-24h'!E38,'4.11 Mukono-Mbalala '!E38)</f>
        <v>6.8571428571428568</v>
      </c>
      <c r="F38" s="49">
        <f>AVERAGE('29.10 Mukono-Mbalala'!F38,'30.10.Mukono-Mbalala'!F38,'31.10 Mukono-Mbalala'!F38,'3.11 Mukono-Mbalala'!F38,'1.11 Mukono-Mbalala-24h'!F38,'2.11 Mukono-Mbalala-24h'!F38,'4.11 Mukono-Mbalala '!F38)</f>
        <v>49.142857142857146</v>
      </c>
      <c r="G38" s="49">
        <f>AVERAGE('29.10 Mukono-Mbalala'!G38,'30.10.Mukono-Mbalala'!G38,'31.10 Mukono-Mbalala'!G38,'3.11 Mukono-Mbalala'!G38,'1.11 Mukono-Mbalala-24h'!G38,'2.11 Mukono-Mbalala-24h'!G38,'4.11 Mukono-Mbalala '!G38)</f>
        <v>1.7142857142857142</v>
      </c>
      <c r="H38" s="49">
        <f>AVERAGE('29.10 Mukono-Mbalala'!H38,'30.10.Mukono-Mbalala'!H38,'31.10 Mukono-Mbalala'!H38,'3.11 Mukono-Mbalala'!H38,'1.11 Mukono-Mbalala-24h'!H38,'2.11 Mukono-Mbalala-24h'!H38,'4.11 Mukono-Mbalala '!H38)</f>
        <v>0.8571428571428571</v>
      </c>
      <c r="I38" s="49">
        <f>AVERAGE('29.10 Mukono-Mbalala'!I38,'30.10.Mukono-Mbalala'!I38,'31.10 Mukono-Mbalala'!I38,'3.11 Mukono-Mbalala'!I38,'1.11 Mukono-Mbalala-24h'!I38,'2.11 Mukono-Mbalala-24h'!I38,'4.11 Mukono-Mbalala '!I38)</f>
        <v>12.285714285714286</v>
      </c>
      <c r="J38" s="49">
        <f>AVERAGE('29.10 Mukono-Mbalala'!J38,'30.10.Mukono-Mbalala'!J38,'31.10 Mukono-Mbalala'!J38,'3.11 Mukono-Mbalala'!J38,'1.11 Mukono-Mbalala-24h'!J38,'2.11 Mukono-Mbalala-24h'!J38,'4.11 Mukono-Mbalala '!J38)</f>
        <v>9.4285714285714288</v>
      </c>
      <c r="K38" s="49">
        <f>AVERAGE('29.10 Mukono-Mbalala'!K38,'30.10.Mukono-Mbalala'!K38,'31.10 Mukono-Mbalala'!K38,'3.11 Mukono-Mbalala'!K38,'1.11 Mukono-Mbalala-24h'!K38,'2.11 Mukono-Mbalala-24h'!K38,'4.11 Mukono-Mbalala '!K38)</f>
        <v>7.2857142857142856</v>
      </c>
      <c r="L38" s="49">
        <f>AVERAGE('29.10 Mukono-Mbalala'!L38,'30.10.Mukono-Mbalala'!L38,'31.10 Mukono-Mbalala'!L38,'3.11 Mukono-Mbalala'!L38,'1.11 Mukono-Mbalala-24h'!L38,'2.11 Mukono-Mbalala-24h'!L38,'4.11 Mukono-Mbalala '!L38)</f>
        <v>16.142857142857142</v>
      </c>
      <c r="M38" s="49">
        <f>AVERAGE('29.10 Mukono-Mbalala'!M38,'30.10.Mukono-Mbalala'!M38,'31.10 Mukono-Mbalala'!M38,'3.11 Mukono-Mbalala'!M38,'1.11 Mukono-Mbalala-24h'!M38,'2.11 Mukono-Mbalala-24h'!M38,'4.11 Mukono-Mbalala '!M38)</f>
        <v>93.714285714285708</v>
      </c>
      <c r="N38" s="49">
        <f>AVERAGE('29.10 Mukono-Mbalala'!N38,'30.10.Mukono-Mbalala'!N38,'31.10 Mukono-Mbalala'!N38,'3.11 Mukono-Mbalala'!N38,'1.11 Mukono-Mbalala-24h'!N38,'2.11 Mukono-Mbalala-24h'!N38,'4.11 Mukono-Mbalala '!N38)</f>
        <v>0</v>
      </c>
      <c r="O38" s="15">
        <f t="shared" si="0"/>
        <v>153.57142857142856</v>
      </c>
      <c r="P38" s="15">
        <f t="shared" si="1"/>
        <v>247.28571428571428</v>
      </c>
      <c r="R38" s="28" t="s">
        <v>86</v>
      </c>
      <c r="S38" s="16">
        <f t="shared" ref="S38:AF38" si="30">SUM(S13:S18)</f>
        <v>1068.7142857142858</v>
      </c>
      <c r="T38" s="16">
        <f t="shared" si="30"/>
        <v>233</v>
      </c>
      <c r="U38" s="16">
        <f t="shared" si="30"/>
        <v>163.85714285714286</v>
      </c>
      <c r="V38" s="16">
        <f t="shared" si="30"/>
        <v>998.14285714285711</v>
      </c>
      <c r="W38" s="16">
        <f t="shared" si="30"/>
        <v>57.714285714285708</v>
      </c>
      <c r="X38" s="16">
        <f t="shared" si="30"/>
        <v>28</v>
      </c>
      <c r="Y38" s="16">
        <f t="shared" si="30"/>
        <v>239.57142857142856</v>
      </c>
      <c r="Z38" s="16">
        <f t="shared" si="30"/>
        <v>165.57142857142858</v>
      </c>
      <c r="AA38" s="16">
        <f t="shared" si="30"/>
        <v>103.14285714285714</v>
      </c>
      <c r="AB38" s="16">
        <f t="shared" si="30"/>
        <v>365.14285714285717</v>
      </c>
      <c r="AC38" s="16">
        <f t="shared" si="30"/>
        <v>2312.8571428571427</v>
      </c>
      <c r="AD38" s="16">
        <f t="shared" si="30"/>
        <v>0</v>
      </c>
      <c r="AE38" s="32">
        <f t="shared" si="30"/>
        <v>3422.8571428571427</v>
      </c>
      <c r="AF38" s="32">
        <f t="shared" si="30"/>
        <v>5735.7142857142862</v>
      </c>
    </row>
    <row r="39" spans="2:32" ht="23.1" customHeight="1" x14ac:dyDescent="0.25">
      <c r="B39" s="24" t="s">
        <v>66</v>
      </c>
      <c r="C39" s="49">
        <f>AVERAGE('29.10 Mukono-Mbalala'!C39,'30.10.Mukono-Mbalala'!C39,'31.10 Mukono-Mbalala'!C39,'3.11 Mukono-Mbalala'!C39,'1.11 Mukono-Mbalala-24h'!C39,'2.11 Mukono-Mbalala-24h'!C39,'4.11 Mukono-Mbalala '!C39)</f>
        <v>44</v>
      </c>
      <c r="D39" s="49">
        <f>AVERAGE('29.10 Mukono-Mbalala'!D39,'30.10.Mukono-Mbalala'!D39,'31.10 Mukono-Mbalala'!D39,'3.11 Mukono-Mbalala'!D39,'1.11 Mukono-Mbalala-24h'!D39,'2.11 Mukono-Mbalala-24h'!D39,'4.11 Mukono-Mbalala '!D39)</f>
        <v>8.5714285714285712</v>
      </c>
      <c r="E39" s="49">
        <f>AVERAGE('29.10 Mukono-Mbalala'!E39,'30.10.Mukono-Mbalala'!E39,'31.10 Mukono-Mbalala'!E39,'3.11 Mukono-Mbalala'!E39,'1.11 Mukono-Mbalala-24h'!E39,'2.11 Mukono-Mbalala-24h'!E39,'4.11 Mukono-Mbalala '!E39)</f>
        <v>7.4285714285714288</v>
      </c>
      <c r="F39" s="49">
        <f>AVERAGE('29.10 Mukono-Mbalala'!F39,'30.10.Mukono-Mbalala'!F39,'31.10 Mukono-Mbalala'!F39,'3.11 Mukono-Mbalala'!F39,'1.11 Mukono-Mbalala-24h'!F39,'2.11 Mukono-Mbalala-24h'!F39,'4.11 Mukono-Mbalala '!F39)</f>
        <v>50.857142857142854</v>
      </c>
      <c r="G39" s="49">
        <f>AVERAGE('29.10 Mukono-Mbalala'!G39,'30.10.Mukono-Mbalala'!G39,'31.10 Mukono-Mbalala'!G39,'3.11 Mukono-Mbalala'!G39,'1.11 Mukono-Mbalala-24h'!G39,'2.11 Mukono-Mbalala-24h'!G39,'4.11 Mukono-Mbalala '!G39)</f>
        <v>4.4285714285714288</v>
      </c>
      <c r="H39" s="49">
        <f>AVERAGE('29.10 Mukono-Mbalala'!H39,'30.10.Mukono-Mbalala'!H39,'31.10 Mukono-Mbalala'!H39,'3.11 Mukono-Mbalala'!H39,'1.11 Mukono-Mbalala-24h'!H39,'2.11 Mukono-Mbalala-24h'!H39,'4.11 Mukono-Mbalala '!H39)</f>
        <v>0.5714285714285714</v>
      </c>
      <c r="I39" s="49">
        <f>AVERAGE('29.10 Mukono-Mbalala'!I39,'30.10.Mukono-Mbalala'!I39,'31.10 Mukono-Mbalala'!I39,'3.11 Mukono-Mbalala'!I39,'1.11 Mukono-Mbalala-24h'!I39,'2.11 Mukono-Mbalala-24h'!I39,'4.11 Mukono-Mbalala '!I39)</f>
        <v>7.7142857142857144</v>
      </c>
      <c r="J39" s="49">
        <f>AVERAGE('29.10 Mukono-Mbalala'!J39,'30.10.Mukono-Mbalala'!J39,'31.10 Mukono-Mbalala'!J39,'3.11 Mukono-Mbalala'!J39,'1.11 Mukono-Mbalala-24h'!J39,'2.11 Mukono-Mbalala-24h'!J39,'4.11 Mukono-Mbalala '!J39)</f>
        <v>7.4285714285714288</v>
      </c>
      <c r="K39" s="49">
        <f>AVERAGE('29.10 Mukono-Mbalala'!K39,'30.10.Mukono-Mbalala'!K39,'31.10 Mukono-Mbalala'!K39,'3.11 Mukono-Mbalala'!K39,'1.11 Mukono-Mbalala-24h'!K39,'2.11 Mukono-Mbalala-24h'!K39,'4.11 Mukono-Mbalala '!K39)</f>
        <v>4</v>
      </c>
      <c r="L39" s="49">
        <f>AVERAGE('29.10 Mukono-Mbalala'!L39,'30.10.Mukono-Mbalala'!L39,'31.10 Mukono-Mbalala'!L39,'3.11 Mukono-Mbalala'!L39,'1.11 Mukono-Mbalala-24h'!L39,'2.11 Mukono-Mbalala-24h'!L39,'4.11 Mukono-Mbalala '!L39)</f>
        <v>19.142857142857142</v>
      </c>
      <c r="M39" s="49">
        <f>AVERAGE('29.10 Mukono-Mbalala'!M39,'30.10.Mukono-Mbalala'!M39,'31.10 Mukono-Mbalala'!M39,'3.11 Mukono-Mbalala'!M39,'1.11 Mukono-Mbalala-24h'!M39,'2.11 Mukono-Mbalala-24h'!M39,'4.11 Mukono-Mbalala '!M39)</f>
        <v>72.571428571428569</v>
      </c>
      <c r="N39" s="49">
        <f>AVERAGE('29.10 Mukono-Mbalala'!N39,'30.10.Mukono-Mbalala'!N39,'31.10 Mukono-Mbalala'!N39,'3.11 Mukono-Mbalala'!N39,'1.11 Mukono-Mbalala-24h'!N39,'2.11 Mukono-Mbalala-24h'!N39,'4.11 Mukono-Mbalala '!N39)</f>
        <v>0</v>
      </c>
      <c r="O39" s="15">
        <f t="shared" si="0"/>
        <v>154.14285714285714</v>
      </c>
      <c r="P39" s="15">
        <f t="shared" si="1"/>
        <v>226.71428571428572</v>
      </c>
      <c r="R39" s="29" t="s">
        <v>87</v>
      </c>
      <c r="S39" s="16">
        <f t="shared" ref="S39:AF39" si="31">SUM(S19:S21)</f>
        <v>461.28571428571428</v>
      </c>
      <c r="T39" s="16">
        <f t="shared" si="31"/>
        <v>91.571428571428584</v>
      </c>
      <c r="U39" s="16">
        <f t="shared" si="31"/>
        <v>74.857142857142861</v>
      </c>
      <c r="V39" s="16">
        <f t="shared" si="31"/>
        <v>426.71428571428572</v>
      </c>
      <c r="W39" s="16">
        <f t="shared" si="31"/>
        <v>21.285714285714285</v>
      </c>
      <c r="X39" s="16">
        <f t="shared" si="31"/>
        <v>12.857142857142858</v>
      </c>
      <c r="Y39" s="16">
        <f t="shared" si="31"/>
        <v>108.85714285714285</v>
      </c>
      <c r="Z39" s="16">
        <f t="shared" si="31"/>
        <v>67.714285714285722</v>
      </c>
      <c r="AA39" s="16">
        <f t="shared" si="31"/>
        <v>51.857142857142861</v>
      </c>
      <c r="AB39" s="16">
        <f t="shared" si="31"/>
        <v>238.71428571428569</v>
      </c>
      <c r="AC39" s="16">
        <f t="shared" si="31"/>
        <v>1260.2857142857142</v>
      </c>
      <c r="AD39" s="16">
        <f t="shared" si="31"/>
        <v>0</v>
      </c>
      <c r="AE39" s="32">
        <f t="shared" si="31"/>
        <v>1555.7142857142858</v>
      </c>
      <c r="AF39" s="32">
        <f t="shared" si="31"/>
        <v>2816</v>
      </c>
    </row>
    <row r="40" spans="2:32" ht="23.1" customHeight="1" x14ac:dyDescent="0.25">
      <c r="B40" s="24" t="s">
        <v>67</v>
      </c>
      <c r="C40" s="49">
        <f>AVERAGE('29.10 Mukono-Mbalala'!C40,'30.10.Mukono-Mbalala'!C40,'31.10 Mukono-Mbalala'!C40,'3.11 Mukono-Mbalala'!C40,'1.11 Mukono-Mbalala-24h'!C40,'2.11 Mukono-Mbalala-24h'!C40,'4.11 Mukono-Mbalala '!C40)</f>
        <v>40.428571428571431</v>
      </c>
      <c r="D40" s="49">
        <f>AVERAGE('29.10 Mukono-Mbalala'!D40,'30.10.Mukono-Mbalala'!D40,'31.10 Mukono-Mbalala'!D40,'3.11 Mukono-Mbalala'!D40,'1.11 Mukono-Mbalala-24h'!D40,'2.11 Mukono-Mbalala-24h'!D40,'4.11 Mukono-Mbalala '!D40)</f>
        <v>5.2857142857142856</v>
      </c>
      <c r="E40" s="49">
        <f>AVERAGE('29.10 Mukono-Mbalala'!E40,'30.10.Mukono-Mbalala'!E40,'31.10 Mukono-Mbalala'!E40,'3.11 Mukono-Mbalala'!E40,'1.11 Mukono-Mbalala-24h'!E40,'2.11 Mukono-Mbalala-24h'!E40,'4.11 Mukono-Mbalala '!E40)</f>
        <v>4.5714285714285712</v>
      </c>
      <c r="F40" s="49">
        <f>AVERAGE('29.10 Mukono-Mbalala'!F40,'30.10.Mukono-Mbalala'!F40,'31.10 Mukono-Mbalala'!F40,'3.11 Mukono-Mbalala'!F40,'1.11 Mukono-Mbalala-24h'!F40,'2.11 Mukono-Mbalala-24h'!F40,'4.11 Mukono-Mbalala '!F40)</f>
        <v>48</v>
      </c>
      <c r="G40" s="49">
        <f>AVERAGE('29.10 Mukono-Mbalala'!G40,'30.10.Mukono-Mbalala'!G40,'31.10 Mukono-Mbalala'!G40,'3.11 Mukono-Mbalala'!G40,'1.11 Mukono-Mbalala-24h'!G40,'2.11 Mukono-Mbalala-24h'!G40,'4.11 Mukono-Mbalala '!G40)</f>
        <v>1.7142857142857142</v>
      </c>
      <c r="H40" s="49">
        <f>AVERAGE('29.10 Mukono-Mbalala'!H40,'30.10.Mukono-Mbalala'!H40,'31.10 Mukono-Mbalala'!H40,'3.11 Mukono-Mbalala'!H40,'1.11 Mukono-Mbalala-24h'!H40,'2.11 Mukono-Mbalala-24h'!H40,'4.11 Mukono-Mbalala '!H40)</f>
        <v>1.7142857142857142</v>
      </c>
      <c r="I40" s="49">
        <f>AVERAGE('29.10 Mukono-Mbalala'!I40,'30.10.Mukono-Mbalala'!I40,'31.10 Mukono-Mbalala'!I40,'3.11 Mukono-Mbalala'!I40,'1.11 Mukono-Mbalala-24h'!I40,'2.11 Mukono-Mbalala-24h'!I40,'4.11 Mukono-Mbalala '!I40)</f>
        <v>6.5714285714285712</v>
      </c>
      <c r="J40" s="49">
        <f>AVERAGE('29.10 Mukono-Mbalala'!J40,'30.10.Mukono-Mbalala'!J40,'31.10 Mukono-Mbalala'!J40,'3.11 Mukono-Mbalala'!J40,'1.11 Mukono-Mbalala-24h'!J40,'2.11 Mukono-Mbalala-24h'!J40,'4.11 Mukono-Mbalala '!J40)</f>
        <v>7.1428571428571432</v>
      </c>
      <c r="K40" s="49">
        <f>AVERAGE('29.10 Mukono-Mbalala'!K40,'30.10.Mukono-Mbalala'!K40,'31.10 Mukono-Mbalala'!K40,'3.11 Mukono-Mbalala'!K40,'1.11 Mukono-Mbalala-24h'!K40,'2.11 Mukono-Mbalala-24h'!K40,'4.11 Mukono-Mbalala '!K40)</f>
        <v>4.2857142857142856</v>
      </c>
      <c r="L40" s="49">
        <f>AVERAGE('29.10 Mukono-Mbalala'!L40,'30.10.Mukono-Mbalala'!L40,'31.10 Mukono-Mbalala'!L40,'3.11 Mukono-Mbalala'!L40,'1.11 Mukono-Mbalala-24h'!L40,'2.11 Mukono-Mbalala-24h'!L40,'4.11 Mukono-Mbalala '!L40)</f>
        <v>17</v>
      </c>
      <c r="M40" s="49">
        <f>AVERAGE('29.10 Mukono-Mbalala'!M40,'30.10.Mukono-Mbalala'!M40,'31.10 Mukono-Mbalala'!M40,'3.11 Mukono-Mbalala'!M40,'1.11 Mukono-Mbalala-24h'!M40,'2.11 Mukono-Mbalala-24h'!M40,'4.11 Mukono-Mbalala '!M40)</f>
        <v>77.142857142857139</v>
      </c>
      <c r="N40" s="49">
        <f>AVERAGE('29.10 Mukono-Mbalala'!N40,'30.10.Mukono-Mbalala'!N40,'31.10 Mukono-Mbalala'!N40,'3.11 Mukono-Mbalala'!N40,'1.11 Mukono-Mbalala-24h'!N40,'2.11 Mukono-Mbalala-24h'!N40,'4.11 Mukono-Mbalala '!N40)</f>
        <v>0</v>
      </c>
      <c r="O40" s="15">
        <f t="shared" si="0"/>
        <v>136.71428571428569</v>
      </c>
      <c r="P40" s="15">
        <f t="shared" si="1"/>
        <v>213.85714285714283</v>
      </c>
      <c r="R40" s="5" t="s">
        <v>17</v>
      </c>
      <c r="S40" s="16">
        <f t="shared" ref="S40:AF40" si="32">SUM(S10:S21)</f>
        <v>2016.4285714285716</v>
      </c>
      <c r="T40" s="16">
        <f t="shared" si="32"/>
        <v>443.57142857142861</v>
      </c>
      <c r="U40" s="16">
        <f t="shared" si="32"/>
        <v>334.14285714285717</v>
      </c>
      <c r="V40" s="16">
        <f t="shared" si="32"/>
        <v>1864.7142857142853</v>
      </c>
      <c r="W40" s="16">
        <f t="shared" si="32"/>
        <v>101.14285714285714</v>
      </c>
      <c r="X40" s="16">
        <f t="shared" si="32"/>
        <v>53.714285714285708</v>
      </c>
      <c r="Y40" s="16">
        <f t="shared" si="32"/>
        <v>455.14285714285717</v>
      </c>
      <c r="Z40" s="16">
        <f t="shared" si="32"/>
        <v>288.14285714285711</v>
      </c>
      <c r="AA40" s="16">
        <f t="shared" si="32"/>
        <v>194.42857142857142</v>
      </c>
      <c r="AB40" s="16">
        <f t="shared" si="32"/>
        <v>705.00000000000011</v>
      </c>
      <c r="AC40" s="16">
        <f t="shared" si="32"/>
        <v>4678.7142857142862</v>
      </c>
      <c r="AD40" s="16">
        <f t="shared" si="32"/>
        <v>0.14285714285714285</v>
      </c>
      <c r="AE40" s="32">
        <f t="shared" si="32"/>
        <v>6456.5714285714284</v>
      </c>
      <c r="AF40" s="32">
        <f t="shared" si="32"/>
        <v>11135.285714285714</v>
      </c>
    </row>
    <row r="41" spans="2:32" ht="23.1" customHeight="1" x14ac:dyDescent="0.25">
      <c r="B41" s="23" t="s">
        <v>68</v>
      </c>
      <c r="C41" s="49">
        <f>AVERAGE('29.10 Mukono-Mbalala'!C41,'30.10.Mukono-Mbalala'!C41,'31.10 Mukono-Mbalala'!C41,'3.11 Mukono-Mbalala'!C41,'1.11 Mukono-Mbalala-24h'!C41,'2.11 Mukono-Mbalala-24h'!C41,'4.11 Mukono-Mbalala '!C41)</f>
        <v>39.571428571428569</v>
      </c>
      <c r="D41" s="49">
        <f>AVERAGE('29.10 Mukono-Mbalala'!D41,'30.10.Mukono-Mbalala'!D41,'31.10 Mukono-Mbalala'!D41,'3.11 Mukono-Mbalala'!D41,'1.11 Mukono-Mbalala-24h'!D41,'2.11 Mukono-Mbalala-24h'!D41,'4.11 Mukono-Mbalala '!D41)</f>
        <v>8.4285714285714288</v>
      </c>
      <c r="E41" s="49">
        <f>AVERAGE('29.10 Mukono-Mbalala'!E41,'30.10.Mukono-Mbalala'!E41,'31.10 Mukono-Mbalala'!E41,'3.11 Mukono-Mbalala'!E41,'1.11 Mukono-Mbalala-24h'!E41,'2.11 Mukono-Mbalala-24h'!E41,'4.11 Mukono-Mbalala '!E41)</f>
        <v>6.8571428571428568</v>
      </c>
      <c r="F41" s="49">
        <f>AVERAGE('29.10 Mukono-Mbalala'!F41,'30.10.Mukono-Mbalala'!F41,'31.10 Mukono-Mbalala'!F41,'3.11 Mukono-Mbalala'!F41,'1.11 Mukono-Mbalala-24h'!F41,'2.11 Mukono-Mbalala-24h'!F41,'4.11 Mukono-Mbalala '!F41)</f>
        <v>40.285714285714285</v>
      </c>
      <c r="G41" s="49">
        <f>AVERAGE('29.10 Mukono-Mbalala'!G41,'30.10.Mukono-Mbalala'!G41,'31.10 Mukono-Mbalala'!G41,'3.11 Mukono-Mbalala'!G41,'1.11 Mukono-Mbalala-24h'!G41,'2.11 Mukono-Mbalala-24h'!G41,'4.11 Mukono-Mbalala '!G41)</f>
        <v>1.7142857142857142</v>
      </c>
      <c r="H41" s="49">
        <f>AVERAGE('29.10 Mukono-Mbalala'!H41,'30.10.Mukono-Mbalala'!H41,'31.10 Mukono-Mbalala'!H41,'3.11 Mukono-Mbalala'!H41,'1.11 Mukono-Mbalala-24h'!H41,'2.11 Mukono-Mbalala-24h'!H41,'4.11 Mukono-Mbalala '!H41)</f>
        <v>1.8571428571428572</v>
      </c>
      <c r="I41" s="49">
        <f>AVERAGE('29.10 Mukono-Mbalala'!I41,'30.10.Mukono-Mbalala'!I41,'31.10 Mukono-Mbalala'!I41,'3.11 Mukono-Mbalala'!I41,'1.11 Mukono-Mbalala-24h'!I41,'2.11 Mukono-Mbalala-24h'!I41,'4.11 Mukono-Mbalala '!I41)</f>
        <v>7.1428571428571432</v>
      </c>
      <c r="J41" s="49">
        <f>AVERAGE('29.10 Mukono-Mbalala'!J41,'30.10.Mukono-Mbalala'!J41,'31.10 Mukono-Mbalala'!J41,'3.11 Mukono-Mbalala'!J41,'1.11 Mukono-Mbalala-24h'!J41,'2.11 Mukono-Mbalala-24h'!J41,'4.11 Mukono-Mbalala '!J41)</f>
        <v>9.2857142857142865</v>
      </c>
      <c r="K41" s="49">
        <f>AVERAGE('29.10 Mukono-Mbalala'!K41,'30.10.Mukono-Mbalala'!K41,'31.10 Mukono-Mbalala'!K41,'3.11 Mukono-Mbalala'!K41,'1.11 Mukono-Mbalala-24h'!K41,'2.11 Mukono-Mbalala-24h'!K41,'4.11 Mukono-Mbalala '!K41)</f>
        <v>4</v>
      </c>
      <c r="L41" s="49">
        <f>AVERAGE('29.10 Mukono-Mbalala'!L41,'30.10.Mukono-Mbalala'!L41,'31.10 Mukono-Mbalala'!L41,'3.11 Mukono-Mbalala'!L41,'1.11 Mukono-Mbalala-24h'!L41,'2.11 Mukono-Mbalala-24h'!L41,'4.11 Mukono-Mbalala '!L41)</f>
        <v>19.428571428571427</v>
      </c>
      <c r="M41" s="49">
        <f>AVERAGE('29.10 Mukono-Mbalala'!M41,'30.10.Mukono-Mbalala'!M41,'31.10 Mukono-Mbalala'!M41,'3.11 Mukono-Mbalala'!M41,'1.11 Mukono-Mbalala-24h'!M41,'2.11 Mukono-Mbalala-24h'!M41,'4.11 Mukono-Mbalala '!M41)</f>
        <v>74.714285714285708</v>
      </c>
      <c r="N41" s="49">
        <f>AVERAGE('29.10 Mukono-Mbalala'!N41,'30.10.Mukono-Mbalala'!N41,'31.10 Mukono-Mbalala'!N41,'3.11 Mukono-Mbalala'!N41,'1.11 Mukono-Mbalala-24h'!N41,'2.11 Mukono-Mbalala-24h'!N41,'4.11 Mukono-Mbalala '!N41)</f>
        <v>0</v>
      </c>
      <c r="O41" s="15">
        <f t="shared" si="0"/>
        <v>138.57142857142856</v>
      </c>
      <c r="P41" s="15">
        <f t="shared" si="1"/>
        <v>213.28571428571428</v>
      </c>
      <c r="R41" s="5" t="s">
        <v>185</v>
      </c>
      <c r="S41" s="16">
        <f>SUM(S10:S33)</f>
        <v>2888.4285714285716</v>
      </c>
      <c r="T41" s="16">
        <f t="shared" ref="T41:AD41" si="33">SUM(T10:T33)</f>
        <v>665.57142857142867</v>
      </c>
      <c r="U41" s="16">
        <f t="shared" si="33"/>
        <v>511.64285714285717</v>
      </c>
      <c r="V41" s="16">
        <f t="shared" si="33"/>
        <v>2729.7142857142853</v>
      </c>
      <c r="W41" s="16">
        <f t="shared" si="33"/>
        <v>175.64285714285714</v>
      </c>
      <c r="X41" s="16">
        <f t="shared" si="33"/>
        <v>155.71428571428572</v>
      </c>
      <c r="Y41" s="16">
        <f t="shared" si="33"/>
        <v>662.64285714285711</v>
      </c>
      <c r="Z41" s="16">
        <f t="shared" si="33"/>
        <v>534.64285714285711</v>
      </c>
      <c r="AA41" s="16">
        <f t="shared" si="33"/>
        <v>388.42857142857144</v>
      </c>
      <c r="AB41" s="16">
        <f t="shared" si="33"/>
        <v>1312</v>
      </c>
      <c r="AC41" s="16">
        <f t="shared" si="33"/>
        <v>5667.2142857142862</v>
      </c>
      <c r="AD41" s="16">
        <f t="shared" si="33"/>
        <v>0.14285714285714285</v>
      </c>
      <c r="AE41" s="32">
        <f>SUM(AE10:AE33)</f>
        <v>10024.571428571428</v>
      </c>
      <c r="AF41" s="32">
        <f>SUM(AF10:AF33)</f>
        <v>15691.785714285714</v>
      </c>
    </row>
    <row r="42" spans="2:32" ht="23.1" customHeight="1" x14ac:dyDescent="0.25">
      <c r="B42" s="24" t="s">
        <v>69</v>
      </c>
      <c r="C42" s="49">
        <f>AVERAGE('29.10 Mukono-Mbalala'!C42,'30.10.Mukono-Mbalala'!C42,'31.10 Mukono-Mbalala'!C42,'3.11 Mukono-Mbalala'!C42,'1.11 Mukono-Mbalala-24h'!C42,'2.11 Mukono-Mbalala-24h'!C42,'4.11 Mukono-Mbalala '!C42)</f>
        <v>40.714285714285715</v>
      </c>
      <c r="D42" s="49">
        <f>AVERAGE('29.10 Mukono-Mbalala'!D42,'30.10.Mukono-Mbalala'!D42,'31.10 Mukono-Mbalala'!D42,'3.11 Mukono-Mbalala'!D42,'1.11 Mukono-Mbalala-24h'!D42,'2.11 Mukono-Mbalala-24h'!D42,'4.11 Mukono-Mbalala '!D42)</f>
        <v>6.4285714285714288</v>
      </c>
      <c r="E42" s="49">
        <f>AVERAGE('29.10 Mukono-Mbalala'!E42,'30.10.Mukono-Mbalala'!E42,'31.10 Mukono-Mbalala'!E42,'3.11 Mukono-Mbalala'!E42,'1.11 Mukono-Mbalala-24h'!E42,'2.11 Mukono-Mbalala-24h'!E42,'4.11 Mukono-Mbalala '!E42)</f>
        <v>5.8571428571428568</v>
      </c>
      <c r="F42" s="49">
        <f>AVERAGE('29.10 Mukono-Mbalala'!F42,'30.10.Mukono-Mbalala'!F42,'31.10 Mukono-Mbalala'!F42,'3.11 Mukono-Mbalala'!F42,'1.11 Mukono-Mbalala-24h'!F42,'2.11 Mukono-Mbalala-24h'!F42,'4.11 Mukono-Mbalala '!F42)</f>
        <v>38.714285714285715</v>
      </c>
      <c r="G42" s="49">
        <f>AVERAGE('29.10 Mukono-Mbalala'!G42,'30.10.Mukono-Mbalala'!G42,'31.10 Mukono-Mbalala'!G42,'3.11 Mukono-Mbalala'!G42,'1.11 Mukono-Mbalala-24h'!G42,'2.11 Mukono-Mbalala-24h'!G42,'4.11 Mukono-Mbalala '!G42)</f>
        <v>1.5714285714285714</v>
      </c>
      <c r="H42" s="49">
        <f>AVERAGE('29.10 Mukono-Mbalala'!H42,'30.10.Mukono-Mbalala'!H42,'31.10 Mukono-Mbalala'!H42,'3.11 Mukono-Mbalala'!H42,'1.11 Mukono-Mbalala-24h'!H42,'2.11 Mukono-Mbalala-24h'!H42,'4.11 Mukono-Mbalala '!H42)</f>
        <v>2.5714285714285716</v>
      </c>
      <c r="I42" s="49">
        <f>AVERAGE('29.10 Mukono-Mbalala'!I42,'30.10.Mukono-Mbalala'!I42,'31.10 Mukono-Mbalala'!I42,'3.11 Mukono-Mbalala'!I42,'1.11 Mukono-Mbalala-24h'!I42,'2.11 Mukono-Mbalala-24h'!I42,'4.11 Mukono-Mbalala '!I42)</f>
        <v>5.8571428571428568</v>
      </c>
      <c r="J42" s="49">
        <f>AVERAGE('29.10 Mukono-Mbalala'!J42,'30.10.Mukono-Mbalala'!J42,'31.10 Mukono-Mbalala'!J42,'3.11 Mukono-Mbalala'!J42,'1.11 Mukono-Mbalala-24h'!J42,'2.11 Mukono-Mbalala-24h'!J42,'4.11 Mukono-Mbalala '!J42)</f>
        <v>6</v>
      </c>
      <c r="K42" s="49">
        <f>AVERAGE('29.10 Mukono-Mbalala'!K42,'30.10.Mukono-Mbalala'!K42,'31.10 Mukono-Mbalala'!K42,'3.11 Mukono-Mbalala'!K42,'1.11 Mukono-Mbalala-24h'!K42,'2.11 Mukono-Mbalala-24h'!K42,'4.11 Mukono-Mbalala '!K42)</f>
        <v>2</v>
      </c>
      <c r="L42" s="49">
        <f>AVERAGE('29.10 Mukono-Mbalala'!L42,'30.10.Mukono-Mbalala'!L42,'31.10 Mukono-Mbalala'!L42,'3.11 Mukono-Mbalala'!L42,'1.11 Mukono-Mbalala-24h'!L42,'2.11 Mukono-Mbalala-24h'!L42,'4.11 Mukono-Mbalala '!L42)</f>
        <v>23.285714285714285</v>
      </c>
      <c r="M42" s="49">
        <f>AVERAGE('29.10 Mukono-Mbalala'!M42,'30.10.Mukono-Mbalala'!M42,'31.10 Mukono-Mbalala'!M42,'3.11 Mukono-Mbalala'!M42,'1.11 Mukono-Mbalala-24h'!M42,'2.11 Mukono-Mbalala-24h'!M42,'4.11 Mukono-Mbalala '!M42)</f>
        <v>74.142857142857139</v>
      </c>
      <c r="N42" s="49">
        <f>AVERAGE('29.10 Mukono-Mbalala'!N42,'30.10.Mukono-Mbalala'!N42,'31.10 Mukono-Mbalala'!N42,'3.11 Mukono-Mbalala'!N42,'1.11 Mukono-Mbalala-24h'!N42,'2.11 Mukono-Mbalala-24h'!N42,'4.11 Mukono-Mbalala '!N42)</f>
        <v>0</v>
      </c>
      <c r="O42" s="15">
        <f t="shared" si="0"/>
        <v>133</v>
      </c>
      <c r="P42" s="15">
        <f t="shared" si="1"/>
        <v>207.14285714285714</v>
      </c>
      <c r="R42" s="5" t="s">
        <v>160</v>
      </c>
      <c r="S42" s="48">
        <f>S41/S40</f>
        <v>1.4324477506199078</v>
      </c>
      <c r="T42" s="48">
        <f t="shared" ref="T42:AF42" si="34">T41/T40</f>
        <v>1.5004830917874397</v>
      </c>
      <c r="U42" s="48">
        <f t="shared" si="34"/>
        <v>1.5312099187687045</v>
      </c>
      <c r="V42" s="48">
        <f t="shared" si="34"/>
        <v>1.4638780357006054</v>
      </c>
      <c r="W42" s="48">
        <f t="shared" si="34"/>
        <v>1.7365819209039548</v>
      </c>
      <c r="X42" s="48">
        <f t="shared" si="34"/>
        <v>2.8989361702127665</v>
      </c>
      <c r="Y42" s="48">
        <f t="shared" si="34"/>
        <v>1.4559008160703075</v>
      </c>
      <c r="Z42" s="48">
        <f t="shared" si="34"/>
        <v>1.8554784333168073</v>
      </c>
      <c r="AA42" s="48">
        <f t="shared" si="34"/>
        <v>1.997795738427627</v>
      </c>
      <c r="AB42" s="48">
        <f t="shared" si="34"/>
        <v>1.8609929078014182</v>
      </c>
      <c r="AC42" s="48">
        <f t="shared" si="34"/>
        <v>1.2112759915727764</v>
      </c>
      <c r="AD42" s="48">
        <f t="shared" si="34"/>
        <v>1</v>
      </c>
      <c r="AE42" s="51">
        <f t="shared" si="34"/>
        <v>1.552615275688114</v>
      </c>
      <c r="AF42" s="51">
        <f t="shared" si="34"/>
        <v>1.4091947092254995</v>
      </c>
    </row>
    <row r="43" spans="2:32" ht="23.1" customHeight="1" x14ac:dyDescent="0.25">
      <c r="B43" s="23" t="s">
        <v>70</v>
      </c>
      <c r="C43" s="49">
        <f>AVERAGE('29.10 Mukono-Mbalala'!C43,'30.10.Mukono-Mbalala'!C43,'31.10 Mukono-Mbalala'!C43,'3.11 Mukono-Mbalala'!C43,'1.11 Mukono-Mbalala-24h'!C43,'2.11 Mukono-Mbalala-24h'!C43,'4.11 Mukono-Mbalala '!C43)</f>
        <v>34.142857142857146</v>
      </c>
      <c r="D43" s="49">
        <f>AVERAGE('29.10 Mukono-Mbalala'!D43,'30.10.Mukono-Mbalala'!D43,'31.10 Mukono-Mbalala'!D43,'3.11 Mukono-Mbalala'!D43,'1.11 Mukono-Mbalala-24h'!D43,'2.11 Mukono-Mbalala-24h'!D43,'4.11 Mukono-Mbalala '!D43)</f>
        <v>7.2857142857142856</v>
      </c>
      <c r="E43" s="49">
        <f>AVERAGE('29.10 Mukono-Mbalala'!E43,'30.10.Mukono-Mbalala'!E43,'31.10 Mukono-Mbalala'!E43,'3.11 Mukono-Mbalala'!E43,'1.11 Mukono-Mbalala-24h'!E43,'2.11 Mukono-Mbalala-24h'!E43,'4.11 Mukono-Mbalala '!E43)</f>
        <v>4.8571428571428568</v>
      </c>
      <c r="F43" s="49">
        <f>AVERAGE('29.10 Mukono-Mbalala'!F43,'30.10.Mukono-Mbalala'!F43,'31.10 Mukono-Mbalala'!F43,'3.11 Mukono-Mbalala'!F43,'1.11 Mukono-Mbalala-24h'!F43,'2.11 Mukono-Mbalala-24h'!F43,'4.11 Mukono-Mbalala '!F43)</f>
        <v>32.428571428571431</v>
      </c>
      <c r="G43" s="49">
        <f>AVERAGE('29.10 Mukono-Mbalala'!G43,'30.10.Mukono-Mbalala'!G43,'31.10 Mukono-Mbalala'!G43,'3.11 Mukono-Mbalala'!G43,'1.11 Mukono-Mbalala-24h'!G43,'2.11 Mukono-Mbalala-24h'!G43,'4.11 Mukono-Mbalala '!G43)</f>
        <v>1.2857142857142858</v>
      </c>
      <c r="H43" s="49">
        <f>AVERAGE('29.10 Mukono-Mbalala'!H43,'30.10.Mukono-Mbalala'!H43,'31.10 Mukono-Mbalala'!H43,'3.11 Mukono-Mbalala'!H43,'1.11 Mukono-Mbalala-24h'!H43,'2.11 Mukono-Mbalala-24h'!H43,'4.11 Mukono-Mbalala '!H43)</f>
        <v>1</v>
      </c>
      <c r="I43" s="49">
        <f>AVERAGE('29.10 Mukono-Mbalala'!I43,'30.10.Mukono-Mbalala'!I43,'31.10 Mukono-Mbalala'!I43,'3.11 Mukono-Mbalala'!I43,'1.11 Mukono-Mbalala-24h'!I43,'2.11 Mukono-Mbalala-24h'!I43,'4.11 Mukono-Mbalala '!I43)</f>
        <v>8.7142857142857135</v>
      </c>
      <c r="J43" s="49">
        <f>AVERAGE('29.10 Mukono-Mbalala'!J43,'30.10.Mukono-Mbalala'!J43,'31.10 Mukono-Mbalala'!J43,'3.11 Mukono-Mbalala'!J43,'1.11 Mukono-Mbalala-24h'!J43,'2.11 Mukono-Mbalala-24h'!J43,'4.11 Mukono-Mbalala '!J43)</f>
        <v>3.5714285714285716</v>
      </c>
      <c r="K43" s="49">
        <f>AVERAGE('29.10 Mukono-Mbalala'!K43,'30.10.Mukono-Mbalala'!K43,'31.10 Mukono-Mbalala'!K43,'3.11 Mukono-Mbalala'!K43,'1.11 Mukono-Mbalala-24h'!K43,'2.11 Mukono-Mbalala-24h'!K43,'4.11 Mukono-Mbalala '!K43)</f>
        <v>4</v>
      </c>
      <c r="L43" s="49">
        <f>AVERAGE('29.10 Mukono-Mbalala'!L43,'30.10.Mukono-Mbalala'!L43,'31.10 Mukono-Mbalala'!L43,'3.11 Mukono-Mbalala'!L43,'1.11 Mukono-Mbalala-24h'!L43,'2.11 Mukono-Mbalala-24h'!L43,'4.11 Mukono-Mbalala '!L43)</f>
        <v>13.714285714285714</v>
      </c>
      <c r="M43" s="49">
        <f>AVERAGE('29.10 Mukono-Mbalala'!M43,'30.10.Mukono-Mbalala'!M43,'31.10 Mukono-Mbalala'!M43,'3.11 Mukono-Mbalala'!M43,'1.11 Mukono-Mbalala-24h'!M43,'2.11 Mukono-Mbalala-24h'!M43,'4.11 Mukono-Mbalala '!M43)</f>
        <v>79.428571428571431</v>
      </c>
      <c r="N43" s="49">
        <f>AVERAGE('29.10 Mukono-Mbalala'!N43,'30.10.Mukono-Mbalala'!N43,'31.10 Mukono-Mbalala'!N43,'3.11 Mukono-Mbalala'!N43,'1.11 Mukono-Mbalala-24h'!N43,'2.11 Mukono-Mbalala-24h'!N43,'4.11 Mukono-Mbalala '!N43)</f>
        <v>0</v>
      </c>
      <c r="O43" s="15">
        <f t="shared" si="0"/>
        <v>111</v>
      </c>
      <c r="P43" s="15">
        <f t="shared" si="1"/>
        <v>190.42857142857144</v>
      </c>
    </row>
    <row r="44" spans="2:32" ht="23.1" customHeight="1" x14ac:dyDescent="0.25">
      <c r="B44" s="25" t="s">
        <v>71</v>
      </c>
      <c r="C44" s="49">
        <f>AVERAGE('29.10 Mukono-Mbalala'!C44,'30.10.Mukono-Mbalala'!C44,'31.10 Mukono-Mbalala'!C44,'3.11 Mukono-Mbalala'!C44,'1.11 Mukono-Mbalala-24h'!C44,'2.11 Mukono-Mbalala-24h'!C44,'4.11 Mukono-Mbalala '!C44)</f>
        <v>36.428571428571431</v>
      </c>
      <c r="D44" s="49">
        <f>AVERAGE('29.10 Mukono-Mbalala'!D44,'30.10.Mukono-Mbalala'!D44,'31.10 Mukono-Mbalala'!D44,'3.11 Mukono-Mbalala'!D44,'1.11 Mukono-Mbalala-24h'!D44,'2.11 Mukono-Mbalala-24h'!D44,'4.11 Mukono-Mbalala '!D44)</f>
        <v>7.8571428571428568</v>
      </c>
      <c r="E44" s="49">
        <f>AVERAGE('29.10 Mukono-Mbalala'!E44,'30.10.Mukono-Mbalala'!E44,'31.10 Mukono-Mbalala'!E44,'3.11 Mukono-Mbalala'!E44,'1.11 Mukono-Mbalala-24h'!E44,'2.11 Mukono-Mbalala-24h'!E44,'4.11 Mukono-Mbalala '!E44)</f>
        <v>5.5714285714285712</v>
      </c>
      <c r="F44" s="49">
        <f>AVERAGE('29.10 Mukono-Mbalala'!F44,'30.10.Mukono-Mbalala'!F44,'31.10 Mukono-Mbalala'!F44,'3.11 Mukono-Mbalala'!F44,'1.11 Mukono-Mbalala-24h'!F44,'2.11 Mukono-Mbalala-24h'!F44,'4.11 Mukono-Mbalala '!F44)</f>
        <v>33.714285714285715</v>
      </c>
      <c r="G44" s="49">
        <f>AVERAGE('29.10 Mukono-Mbalala'!G44,'30.10.Mukono-Mbalala'!G44,'31.10 Mukono-Mbalala'!G44,'3.11 Mukono-Mbalala'!G44,'1.11 Mukono-Mbalala-24h'!G44,'2.11 Mukono-Mbalala-24h'!G44,'4.11 Mukono-Mbalala '!G44)</f>
        <v>1</v>
      </c>
      <c r="H44" s="49">
        <f>AVERAGE('29.10 Mukono-Mbalala'!H44,'30.10.Mukono-Mbalala'!H44,'31.10 Mukono-Mbalala'!H44,'3.11 Mukono-Mbalala'!H44,'1.11 Mukono-Mbalala-24h'!H44,'2.11 Mukono-Mbalala-24h'!H44,'4.11 Mukono-Mbalala '!H44)</f>
        <v>1</v>
      </c>
      <c r="I44" s="49">
        <f>AVERAGE('29.10 Mukono-Mbalala'!I44,'30.10.Mukono-Mbalala'!I44,'31.10 Mukono-Mbalala'!I44,'3.11 Mukono-Mbalala'!I44,'1.11 Mukono-Mbalala-24h'!I44,'2.11 Mukono-Mbalala-24h'!I44,'4.11 Mukono-Mbalala '!I44)</f>
        <v>8.5714285714285712</v>
      </c>
      <c r="J44" s="49">
        <f>AVERAGE('29.10 Mukono-Mbalala'!J44,'30.10.Mukono-Mbalala'!J44,'31.10 Mukono-Mbalala'!J44,'3.11 Mukono-Mbalala'!J44,'1.11 Mukono-Mbalala-24h'!J44,'2.11 Mukono-Mbalala-24h'!J44,'4.11 Mukono-Mbalala '!J44)</f>
        <v>5.4285714285714288</v>
      </c>
      <c r="K44" s="49">
        <f>AVERAGE('29.10 Mukono-Mbalala'!K44,'30.10.Mukono-Mbalala'!K44,'31.10 Mukono-Mbalala'!K44,'3.11 Mukono-Mbalala'!K44,'1.11 Mukono-Mbalala-24h'!K44,'2.11 Mukono-Mbalala-24h'!K44,'4.11 Mukono-Mbalala '!K44)</f>
        <v>3.8571428571428572</v>
      </c>
      <c r="L44" s="49">
        <f>AVERAGE('29.10 Mukono-Mbalala'!L44,'30.10.Mukono-Mbalala'!L44,'31.10 Mukono-Mbalala'!L44,'3.11 Mukono-Mbalala'!L44,'1.11 Mukono-Mbalala-24h'!L44,'2.11 Mukono-Mbalala-24h'!L44,'4.11 Mukono-Mbalala '!L44)</f>
        <v>14.714285714285714</v>
      </c>
      <c r="M44" s="49">
        <f>AVERAGE('29.10 Mukono-Mbalala'!M44,'30.10.Mukono-Mbalala'!M44,'31.10 Mukono-Mbalala'!M44,'3.11 Mukono-Mbalala'!M44,'1.11 Mukono-Mbalala-24h'!M44,'2.11 Mukono-Mbalala-24h'!M44,'4.11 Mukono-Mbalala '!M44)</f>
        <v>84.714285714285708</v>
      </c>
      <c r="N44" s="49">
        <f>AVERAGE('29.10 Mukono-Mbalala'!N44,'30.10.Mukono-Mbalala'!N44,'31.10 Mukono-Mbalala'!N44,'3.11 Mukono-Mbalala'!N44,'1.11 Mukono-Mbalala-24h'!N44,'2.11 Mukono-Mbalala-24h'!N44,'4.11 Mukono-Mbalala '!N44)</f>
        <v>0</v>
      </c>
      <c r="O44" s="15">
        <f t="shared" si="0"/>
        <v>118.14285714285714</v>
      </c>
      <c r="P44" s="15">
        <f t="shared" si="1"/>
        <v>202.85714285714283</v>
      </c>
    </row>
    <row r="45" spans="2:32" ht="23.1" customHeight="1" x14ac:dyDescent="0.25">
      <c r="B45" s="23" t="s">
        <v>72</v>
      </c>
      <c r="C45" s="49">
        <f>AVERAGE('29.10 Mukono-Mbalala'!C45,'30.10.Mukono-Mbalala'!C45,'31.10 Mukono-Mbalala'!C45,'3.11 Mukono-Mbalala'!C45,'1.11 Mukono-Mbalala-24h'!C45,'2.11 Mukono-Mbalala-24h'!C45,'4.11 Mukono-Mbalala '!C45)</f>
        <v>30.142857142857142</v>
      </c>
      <c r="D45" s="49">
        <f>AVERAGE('29.10 Mukono-Mbalala'!D45,'30.10.Mukono-Mbalala'!D45,'31.10 Mukono-Mbalala'!D45,'3.11 Mukono-Mbalala'!D45,'1.11 Mukono-Mbalala-24h'!D45,'2.11 Mukono-Mbalala-24h'!D45,'4.11 Mukono-Mbalala '!D45)</f>
        <v>7.2857142857142856</v>
      </c>
      <c r="E45" s="49">
        <f>AVERAGE('29.10 Mukono-Mbalala'!E45,'30.10.Mukono-Mbalala'!E45,'31.10 Mukono-Mbalala'!E45,'3.11 Mukono-Mbalala'!E45,'1.11 Mukono-Mbalala-24h'!E45,'2.11 Mukono-Mbalala-24h'!E45,'4.11 Mukono-Mbalala '!E45)</f>
        <v>5</v>
      </c>
      <c r="F45" s="49">
        <f>AVERAGE('29.10 Mukono-Mbalala'!F45,'30.10.Mukono-Mbalala'!F45,'31.10 Mukono-Mbalala'!F45,'3.11 Mukono-Mbalala'!F45,'1.11 Mukono-Mbalala-24h'!F45,'2.11 Mukono-Mbalala-24h'!F45,'4.11 Mukono-Mbalala '!F45)</f>
        <v>26.285714285714285</v>
      </c>
      <c r="G45" s="49">
        <f>AVERAGE('29.10 Mukono-Mbalala'!G45,'30.10.Mukono-Mbalala'!G45,'31.10 Mukono-Mbalala'!G45,'3.11 Mukono-Mbalala'!G45,'1.11 Mukono-Mbalala-24h'!G45,'2.11 Mukono-Mbalala-24h'!G45,'4.11 Mukono-Mbalala '!G45)</f>
        <v>1.8571428571428572</v>
      </c>
      <c r="H45" s="49">
        <f>AVERAGE('29.10 Mukono-Mbalala'!H45,'30.10.Mukono-Mbalala'!H45,'31.10 Mukono-Mbalala'!H45,'3.11 Mukono-Mbalala'!H45,'1.11 Mukono-Mbalala-24h'!H45,'2.11 Mukono-Mbalala-24h'!H45,'4.11 Mukono-Mbalala '!H45)</f>
        <v>0.7142857142857143</v>
      </c>
      <c r="I45" s="49">
        <f>AVERAGE('29.10 Mukono-Mbalala'!I45,'30.10.Mukono-Mbalala'!I45,'31.10 Mukono-Mbalala'!I45,'3.11 Mukono-Mbalala'!I45,'1.11 Mukono-Mbalala-24h'!I45,'2.11 Mukono-Mbalala-24h'!I45,'4.11 Mukono-Mbalala '!I45)</f>
        <v>8.5714285714285712</v>
      </c>
      <c r="J45" s="49">
        <f>AVERAGE('29.10 Mukono-Mbalala'!J45,'30.10.Mukono-Mbalala'!J45,'31.10 Mukono-Mbalala'!J45,'3.11 Mukono-Mbalala'!J45,'1.11 Mukono-Mbalala-24h'!J45,'2.11 Mukono-Mbalala-24h'!J45,'4.11 Mukono-Mbalala '!J45)</f>
        <v>5.8571428571428568</v>
      </c>
      <c r="K45" s="49">
        <f>AVERAGE('29.10 Mukono-Mbalala'!K45,'30.10.Mukono-Mbalala'!K45,'31.10 Mukono-Mbalala'!K45,'3.11 Mukono-Mbalala'!K45,'1.11 Mukono-Mbalala-24h'!K45,'2.11 Mukono-Mbalala-24h'!K45,'4.11 Mukono-Mbalala '!K45)</f>
        <v>4</v>
      </c>
      <c r="L45" s="49">
        <f>AVERAGE('29.10 Mukono-Mbalala'!L45,'30.10.Mukono-Mbalala'!L45,'31.10 Mukono-Mbalala'!L45,'3.11 Mukono-Mbalala'!L45,'1.11 Mukono-Mbalala-24h'!L45,'2.11 Mukono-Mbalala-24h'!L45,'4.11 Mukono-Mbalala '!L45)</f>
        <v>16</v>
      </c>
      <c r="M45" s="49">
        <f>AVERAGE('29.10 Mukono-Mbalala'!M45,'30.10.Mukono-Mbalala'!M45,'31.10 Mukono-Mbalala'!M45,'3.11 Mukono-Mbalala'!M45,'1.11 Mukono-Mbalala-24h'!M45,'2.11 Mukono-Mbalala-24h'!M45,'4.11 Mukono-Mbalala '!M45)</f>
        <v>69.142857142857139</v>
      </c>
      <c r="N45" s="49">
        <f>AVERAGE('29.10 Mukono-Mbalala'!N45,'30.10.Mukono-Mbalala'!N45,'31.10 Mukono-Mbalala'!N45,'3.11 Mukono-Mbalala'!N45,'1.11 Mukono-Mbalala-24h'!N45,'2.11 Mukono-Mbalala-24h'!N45,'4.11 Mukono-Mbalala '!N45)</f>
        <v>0</v>
      </c>
      <c r="O45" s="15">
        <f t="shared" si="0"/>
        <v>105.71428571428572</v>
      </c>
      <c r="P45" s="15">
        <f t="shared" si="1"/>
        <v>174.85714285714286</v>
      </c>
    </row>
    <row r="46" spans="2:32" ht="23.1" customHeight="1" x14ac:dyDescent="0.25">
      <c r="B46" s="24" t="s">
        <v>73</v>
      </c>
      <c r="C46" s="49">
        <f>AVERAGE('29.10 Mukono-Mbalala'!C46,'30.10.Mukono-Mbalala'!C46,'31.10 Mukono-Mbalala'!C46,'3.11 Mukono-Mbalala'!C46,'1.11 Mukono-Mbalala-24h'!C46,'2.11 Mukono-Mbalala-24h'!C46,'4.11 Mukono-Mbalala '!C46)</f>
        <v>40.571428571428569</v>
      </c>
      <c r="D46" s="49">
        <f>AVERAGE('29.10 Mukono-Mbalala'!D46,'30.10.Mukono-Mbalala'!D46,'31.10 Mukono-Mbalala'!D46,'3.11 Mukono-Mbalala'!D46,'1.11 Mukono-Mbalala-24h'!D46,'2.11 Mukono-Mbalala-24h'!D46,'4.11 Mukono-Mbalala '!D46)</f>
        <v>8.4285714285714288</v>
      </c>
      <c r="E46" s="49">
        <f>AVERAGE('29.10 Mukono-Mbalala'!E46,'30.10.Mukono-Mbalala'!E46,'31.10 Mukono-Mbalala'!E46,'3.11 Mukono-Mbalala'!E46,'1.11 Mukono-Mbalala-24h'!E46,'2.11 Mukono-Mbalala-24h'!E46,'4.11 Mukono-Mbalala '!E46)</f>
        <v>6.5714285714285712</v>
      </c>
      <c r="F46" s="49">
        <f>AVERAGE('29.10 Mukono-Mbalala'!F46,'30.10.Mukono-Mbalala'!F46,'31.10 Mukono-Mbalala'!F46,'3.11 Mukono-Mbalala'!F46,'1.11 Mukono-Mbalala-24h'!F46,'2.11 Mukono-Mbalala-24h'!F46,'4.11 Mukono-Mbalala '!F46)</f>
        <v>37.428571428571431</v>
      </c>
      <c r="G46" s="49">
        <f>AVERAGE('29.10 Mukono-Mbalala'!G46,'30.10.Mukono-Mbalala'!G46,'31.10 Mukono-Mbalala'!G46,'3.11 Mukono-Mbalala'!G46,'1.11 Mukono-Mbalala-24h'!G46,'2.11 Mukono-Mbalala-24h'!G46,'4.11 Mukono-Mbalala '!G46)</f>
        <v>1.2857142857142858</v>
      </c>
      <c r="H46" s="49">
        <f>AVERAGE('29.10 Mukono-Mbalala'!H46,'30.10.Mukono-Mbalala'!H46,'31.10 Mukono-Mbalala'!H46,'3.11 Mukono-Mbalala'!H46,'1.11 Mukono-Mbalala-24h'!H46,'2.11 Mukono-Mbalala-24h'!H46,'4.11 Mukono-Mbalala '!H46)</f>
        <v>0.7142857142857143</v>
      </c>
      <c r="I46" s="49">
        <f>AVERAGE('29.10 Mukono-Mbalala'!I46,'30.10.Mukono-Mbalala'!I46,'31.10 Mukono-Mbalala'!I46,'3.11 Mukono-Mbalala'!I46,'1.11 Mukono-Mbalala-24h'!I46,'2.11 Mukono-Mbalala-24h'!I46,'4.11 Mukono-Mbalala '!I46)</f>
        <v>9.5714285714285712</v>
      </c>
      <c r="J46" s="49">
        <f>AVERAGE('29.10 Mukono-Mbalala'!J46,'30.10.Mukono-Mbalala'!J46,'31.10 Mukono-Mbalala'!J46,'3.11 Mukono-Mbalala'!J46,'1.11 Mukono-Mbalala-24h'!J46,'2.11 Mukono-Mbalala-24h'!J46,'4.11 Mukono-Mbalala '!J46)</f>
        <v>5</v>
      </c>
      <c r="K46" s="49">
        <f>AVERAGE('29.10 Mukono-Mbalala'!K46,'30.10.Mukono-Mbalala'!K46,'31.10 Mukono-Mbalala'!K46,'3.11 Mukono-Mbalala'!K46,'1.11 Mukono-Mbalala-24h'!K46,'2.11 Mukono-Mbalala-24h'!K46,'4.11 Mukono-Mbalala '!K46)</f>
        <v>3.4285714285714284</v>
      </c>
      <c r="L46" s="49">
        <f>AVERAGE('29.10 Mukono-Mbalala'!L46,'30.10.Mukono-Mbalala'!L46,'31.10 Mukono-Mbalala'!L46,'3.11 Mukono-Mbalala'!L46,'1.11 Mukono-Mbalala-24h'!L46,'2.11 Mukono-Mbalala-24h'!L46,'4.11 Mukono-Mbalala '!L46)</f>
        <v>17.428571428571427</v>
      </c>
      <c r="M46" s="49">
        <f>AVERAGE('29.10 Mukono-Mbalala'!M46,'30.10.Mukono-Mbalala'!M46,'31.10 Mukono-Mbalala'!M46,'3.11 Mukono-Mbalala'!M46,'1.11 Mukono-Mbalala-24h'!M46,'2.11 Mukono-Mbalala-24h'!M46,'4.11 Mukono-Mbalala '!M46)</f>
        <v>74.714285714285708</v>
      </c>
      <c r="N46" s="49">
        <f>AVERAGE('29.10 Mukono-Mbalala'!N46,'30.10.Mukono-Mbalala'!N46,'31.10 Mukono-Mbalala'!N46,'3.11 Mukono-Mbalala'!N46,'1.11 Mukono-Mbalala-24h'!N46,'2.11 Mukono-Mbalala-24h'!N46,'4.11 Mukono-Mbalala '!N46)</f>
        <v>0</v>
      </c>
      <c r="O46" s="15">
        <f t="shared" si="0"/>
        <v>130.42857142857142</v>
      </c>
      <c r="P46" s="15">
        <f t="shared" si="1"/>
        <v>205.14285714285711</v>
      </c>
      <c r="R46" s="8"/>
      <c r="T46"/>
    </row>
    <row r="47" spans="2:32" ht="23.1" customHeight="1" x14ac:dyDescent="0.25">
      <c r="B47" s="24" t="s">
        <v>74</v>
      </c>
      <c r="C47" s="49">
        <f>AVERAGE('29.10 Mukono-Mbalala'!C47,'30.10.Mukono-Mbalala'!C47,'31.10 Mukono-Mbalala'!C47,'3.11 Mukono-Mbalala'!C47,'1.11 Mukono-Mbalala-24h'!C47,'2.11 Mukono-Mbalala-24h'!C47,'4.11 Mukono-Mbalala '!C47)</f>
        <v>35.428571428571431</v>
      </c>
      <c r="D47" s="49">
        <f>AVERAGE('29.10 Mukono-Mbalala'!D47,'30.10.Mukono-Mbalala'!D47,'31.10 Mukono-Mbalala'!D47,'3.11 Mukono-Mbalala'!D47,'1.11 Mukono-Mbalala-24h'!D47,'2.11 Mukono-Mbalala-24h'!D47,'4.11 Mukono-Mbalala '!D47)</f>
        <v>6.2857142857142856</v>
      </c>
      <c r="E47" s="49">
        <f>AVERAGE('29.10 Mukono-Mbalala'!E47,'30.10.Mukono-Mbalala'!E47,'31.10 Mukono-Mbalala'!E47,'3.11 Mukono-Mbalala'!E47,'1.11 Mukono-Mbalala-24h'!E47,'2.11 Mukono-Mbalala-24h'!E47,'4.11 Mukono-Mbalala '!E47)</f>
        <v>4</v>
      </c>
      <c r="F47" s="49">
        <f>AVERAGE('29.10 Mukono-Mbalala'!F47,'30.10.Mukono-Mbalala'!F47,'31.10 Mukono-Mbalala'!F47,'3.11 Mukono-Mbalala'!F47,'1.11 Mukono-Mbalala-24h'!F47,'2.11 Mukono-Mbalala-24h'!F47,'4.11 Mukono-Mbalala '!F47)</f>
        <v>30.714285714285715</v>
      </c>
      <c r="G47" s="49">
        <f>AVERAGE('29.10 Mukono-Mbalala'!G47,'30.10.Mukono-Mbalala'!G47,'31.10 Mukono-Mbalala'!G47,'3.11 Mukono-Mbalala'!G47,'1.11 Mukono-Mbalala-24h'!G47,'2.11 Mukono-Mbalala-24h'!G47,'4.11 Mukono-Mbalala '!G47)</f>
        <v>2</v>
      </c>
      <c r="H47" s="49">
        <f>AVERAGE('29.10 Mukono-Mbalala'!H47,'30.10.Mukono-Mbalala'!H47,'31.10 Mukono-Mbalala'!H47,'3.11 Mukono-Mbalala'!H47,'1.11 Mukono-Mbalala-24h'!H47,'2.11 Mukono-Mbalala-24h'!H47,'4.11 Mukono-Mbalala '!H47)</f>
        <v>0.8571428571428571</v>
      </c>
      <c r="I47" s="49">
        <f>AVERAGE('29.10 Mukono-Mbalala'!I47,'30.10.Mukono-Mbalala'!I47,'31.10 Mukono-Mbalala'!I47,'3.11 Mukono-Mbalala'!I47,'1.11 Mukono-Mbalala-24h'!I47,'2.11 Mukono-Mbalala-24h'!I47,'4.11 Mukono-Mbalala '!I47)</f>
        <v>13</v>
      </c>
      <c r="J47" s="49">
        <f>AVERAGE('29.10 Mukono-Mbalala'!J47,'30.10.Mukono-Mbalala'!J47,'31.10 Mukono-Mbalala'!J47,'3.11 Mukono-Mbalala'!J47,'1.11 Mukono-Mbalala-24h'!J47,'2.11 Mukono-Mbalala-24h'!J47,'4.11 Mukono-Mbalala '!J47)</f>
        <v>4.1428571428571432</v>
      </c>
      <c r="K47" s="49">
        <f>AVERAGE('29.10 Mukono-Mbalala'!K47,'30.10.Mukono-Mbalala'!K47,'31.10 Mukono-Mbalala'!K47,'3.11 Mukono-Mbalala'!K47,'1.11 Mukono-Mbalala-24h'!K47,'2.11 Mukono-Mbalala-24h'!K47,'4.11 Mukono-Mbalala '!K47)</f>
        <v>3.5714285714285716</v>
      </c>
      <c r="L47" s="49">
        <f>AVERAGE('29.10 Mukono-Mbalala'!L47,'30.10.Mukono-Mbalala'!L47,'31.10 Mukono-Mbalala'!L47,'3.11 Mukono-Mbalala'!L47,'1.11 Mukono-Mbalala-24h'!L47,'2.11 Mukono-Mbalala-24h'!L47,'4.11 Mukono-Mbalala '!L47)</f>
        <v>21</v>
      </c>
      <c r="M47" s="49">
        <f>AVERAGE('29.10 Mukono-Mbalala'!M47,'30.10.Mukono-Mbalala'!M47,'31.10 Mukono-Mbalala'!M47,'3.11 Mukono-Mbalala'!M47,'1.11 Mukono-Mbalala-24h'!M47,'2.11 Mukono-Mbalala-24h'!M47,'4.11 Mukono-Mbalala '!M47)</f>
        <v>88.857142857142861</v>
      </c>
      <c r="N47" s="49">
        <f>AVERAGE('29.10 Mukono-Mbalala'!N47,'30.10.Mukono-Mbalala'!N47,'31.10 Mukono-Mbalala'!N47,'3.11 Mukono-Mbalala'!N47,'1.11 Mukono-Mbalala-24h'!N47,'2.11 Mukono-Mbalala-24h'!N47,'4.11 Mukono-Mbalala '!N47)</f>
        <v>0</v>
      </c>
      <c r="O47" s="15">
        <f t="shared" si="0"/>
        <v>121</v>
      </c>
      <c r="P47" s="15">
        <f t="shared" si="1"/>
        <v>209.85714285714286</v>
      </c>
      <c r="R47" s="8"/>
      <c r="T47"/>
    </row>
    <row r="48" spans="2:32" ht="23.1" customHeight="1" x14ac:dyDescent="0.25">
      <c r="B48" s="24" t="s">
        <v>75</v>
      </c>
      <c r="C48" s="49">
        <f>AVERAGE('29.10 Mukono-Mbalala'!C48,'30.10.Mukono-Mbalala'!C48,'31.10 Mukono-Mbalala'!C48,'3.11 Mukono-Mbalala'!C48,'1.11 Mukono-Mbalala-24h'!C48,'2.11 Mukono-Mbalala-24h'!C48,'4.11 Mukono-Mbalala '!C48)</f>
        <v>48.857142857142854</v>
      </c>
      <c r="D48" s="49">
        <f>AVERAGE('29.10 Mukono-Mbalala'!D48,'30.10.Mukono-Mbalala'!D48,'31.10 Mukono-Mbalala'!D48,'3.11 Mukono-Mbalala'!D48,'1.11 Mukono-Mbalala-24h'!D48,'2.11 Mukono-Mbalala-24h'!D48,'4.11 Mukono-Mbalala '!D48)</f>
        <v>11</v>
      </c>
      <c r="E48" s="49">
        <f>AVERAGE('29.10 Mukono-Mbalala'!E48,'30.10.Mukono-Mbalala'!E48,'31.10 Mukono-Mbalala'!E48,'3.11 Mukono-Mbalala'!E48,'1.11 Mukono-Mbalala-24h'!E48,'2.11 Mukono-Mbalala-24h'!E48,'4.11 Mukono-Mbalala '!E48)</f>
        <v>6.5714285714285712</v>
      </c>
      <c r="F48" s="49">
        <f>AVERAGE('29.10 Mukono-Mbalala'!F48,'30.10.Mukono-Mbalala'!F48,'31.10 Mukono-Mbalala'!F48,'3.11 Mukono-Mbalala'!F48,'1.11 Mukono-Mbalala-24h'!F48,'2.11 Mukono-Mbalala-24h'!F48,'4.11 Mukono-Mbalala '!F48)</f>
        <v>44.571428571428569</v>
      </c>
      <c r="G48" s="49">
        <f>AVERAGE('29.10 Mukono-Mbalala'!G48,'30.10.Mukono-Mbalala'!G48,'31.10 Mukono-Mbalala'!G48,'3.11 Mukono-Mbalala'!G48,'1.11 Mukono-Mbalala-24h'!G48,'2.11 Mukono-Mbalala-24h'!G48,'4.11 Mukono-Mbalala '!G48)</f>
        <v>1</v>
      </c>
      <c r="H48" s="49">
        <f>AVERAGE('29.10 Mukono-Mbalala'!H48,'30.10.Mukono-Mbalala'!H48,'31.10 Mukono-Mbalala'!H48,'3.11 Mukono-Mbalala'!H48,'1.11 Mukono-Mbalala-24h'!H48,'2.11 Mukono-Mbalala-24h'!H48,'4.11 Mukono-Mbalala '!H48)</f>
        <v>0.7142857142857143</v>
      </c>
      <c r="I48" s="49">
        <f>AVERAGE('29.10 Mukono-Mbalala'!I48,'30.10.Mukono-Mbalala'!I48,'31.10 Mukono-Mbalala'!I48,'3.11 Mukono-Mbalala'!I48,'1.11 Mukono-Mbalala-24h'!I48,'2.11 Mukono-Mbalala-24h'!I48,'4.11 Mukono-Mbalala '!I48)</f>
        <v>14</v>
      </c>
      <c r="J48" s="49">
        <f>AVERAGE('29.10 Mukono-Mbalala'!J48,'30.10.Mukono-Mbalala'!J48,'31.10 Mukono-Mbalala'!J48,'3.11 Mukono-Mbalala'!J48,'1.11 Mukono-Mbalala-24h'!J48,'2.11 Mukono-Mbalala-24h'!J48,'4.11 Mukono-Mbalala '!J48)</f>
        <v>6.1428571428571432</v>
      </c>
      <c r="K48" s="49">
        <f>AVERAGE('29.10 Mukono-Mbalala'!K48,'30.10.Mukono-Mbalala'!K48,'31.10 Mukono-Mbalala'!K48,'3.11 Mukono-Mbalala'!K48,'1.11 Mukono-Mbalala-24h'!K48,'2.11 Mukono-Mbalala-24h'!K48,'4.11 Mukono-Mbalala '!K48)</f>
        <v>6</v>
      </c>
      <c r="L48" s="49">
        <f>AVERAGE('29.10 Mukono-Mbalala'!L48,'30.10.Mukono-Mbalala'!L48,'31.10 Mukono-Mbalala'!L48,'3.11 Mukono-Mbalala'!L48,'1.11 Mukono-Mbalala-24h'!L48,'2.11 Mukono-Mbalala-24h'!L48,'4.11 Mukono-Mbalala '!L48)</f>
        <v>20.285714285714285</v>
      </c>
      <c r="M48" s="49">
        <f>AVERAGE('29.10 Mukono-Mbalala'!M48,'30.10.Mukono-Mbalala'!M48,'31.10 Mukono-Mbalala'!M48,'3.11 Mukono-Mbalala'!M48,'1.11 Mukono-Mbalala-24h'!M48,'2.11 Mukono-Mbalala-24h'!M48,'4.11 Mukono-Mbalala '!M48)</f>
        <v>112.42857142857143</v>
      </c>
      <c r="N48" s="49">
        <f>AVERAGE('29.10 Mukono-Mbalala'!N48,'30.10.Mukono-Mbalala'!N48,'31.10 Mukono-Mbalala'!N48,'3.11 Mukono-Mbalala'!N48,'1.11 Mukono-Mbalala-24h'!N48,'2.11 Mukono-Mbalala-24h'!N48,'4.11 Mukono-Mbalala '!N48)</f>
        <v>0</v>
      </c>
      <c r="O48" s="15">
        <f t="shared" si="0"/>
        <v>159.14285714285714</v>
      </c>
      <c r="P48" s="15">
        <f t="shared" si="1"/>
        <v>271.57142857142856</v>
      </c>
      <c r="R48" s="8"/>
      <c r="T48"/>
    </row>
    <row r="49" spans="2:20" ht="23.1" customHeight="1" x14ac:dyDescent="0.25">
      <c r="B49" s="23" t="s">
        <v>76</v>
      </c>
      <c r="C49" s="49">
        <f>AVERAGE('29.10 Mukono-Mbalala'!C49,'30.10.Mukono-Mbalala'!C49,'31.10 Mukono-Mbalala'!C49,'3.11 Mukono-Mbalala'!C49,'1.11 Mukono-Mbalala-24h'!C49,'2.11 Mukono-Mbalala-24h'!C49,'4.11 Mukono-Mbalala '!C49)</f>
        <v>34.428571428571431</v>
      </c>
      <c r="D49" s="49">
        <f>AVERAGE('29.10 Mukono-Mbalala'!D49,'30.10.Mukono-Mbalala'!D49,'31.10 Mukono-Mbalala'!D49,'3.11 Mukono-Mbalala'!D49,'1.11 Mukono-Mbalala-24h'!D49,'2.11 Mukono-Mbalala-24h'!D49,'4.11 Mukono-Mbalala '!D49)</f>
        <v>7</v>
      </c>
      <c r="E49" s="49">
        <f>AVERAGE('29.10 Mukono-Mbalala'!E49,'30.10.Mukono-Mbalala'!E49,'31.10 Mukono-Mbalala'!E49,'3.11 Mukono-Mbalala'!E49,'1.11 Mukono-Mbalala-24h'!E49,'2.11 Mukono-Mbalala-24h'!E49,'4.11 Mukono-Mbalala '!E49)</f>
        <v>7.4285714285714288</v>
      </c>
      <c r="F49" s="49">
        <f>AVERAGE('29.10 Mukono-Mbalala'!F49,'30.10.Mukono-Mbalala'!F49,'31.10 Mukono-Mbalala'!F49,'3.11 Mukono-Mbalala'!F49,'1.11 Mukono-Mbalala-24h'!F49,'2.11 Mukono-Mbalala-24h'!F49,'4.11 Mukono-Mbalala '!F49)</f>
        <v>42.714285714285715</v>
      </c>
      <c r="G49" s="49">
        <f>AVERAGE('29.10 Mukono-Mbalala'!G49,'30.10.Mukono-Mbalala'!G49,'31.10 Mukono-Mbalala'!G49,'3.11 Mukono-Mbalala'!G49,'1.11 Mukono-Mbalala-24h'!G49,'2.11 Mukono-Mbalala-24h'!G49,'4.11 Mukono-Mbalala '!G49)</f>
        <v>1.7142857142857142</v>
      </c>
      <c r="H49" s="49">
        <f>AVERAGE('29.10 Mukono-Mbalala'!H49,'30.10.Mukono-Mbalala'!H49,'31.10 Mukono-Mbalala'!H49,'3.11 Mukono-Mbalala'!H49,'1.11 Mukono-Mbalala-24h'!H49,'2.11 Mukono-Mbalala-24h'!H49,'4.11 Mukono-Mbalala '!H49)</f>
        <v>1.1428571428571428</v>
      </c>
      <c r="I49" s="49">
        <f>AVERAGE('29.10 Mukono-Mbalala'!I49,'30.10.Mukono-Mbalala'!I49,'31.10 Mukono-Mbalala'!I49,'3.11 Mukono-Mbalala'!I49,'1.11 Mukono-Mbalala-24h'!I49,'2.11 Mukono-Mbalala-24h'!I49,'4.11 Mukono-Mbalala '!I49)</f>
        <v>7.8571428571428568</v>
      </c>
      <c r="J49" s="49">
        <f>AVERAGE('29.10 Mukono-Mbalala'!J49,'30.10.Mukono-Mbalala'!J49,'31.10 Mukono-Mbalala'!J49,'3.11 Mukono-Mbalala'!J49,'1.11 Mukono-Mbalala-24h'!J49,'2.11 Mukono-Mbalala-24h'!J49,'4.11 Mukono-Mbalala '!J49)</f>
        <v>6.8571428571428568</v>
      </c>
      <c r="K49" s="49">
        <f>AVERAGE('29.10 Mukono-Mbalala'!K49,'30.10.Mukono-Mbalala'!K49,'31.10 Mukono-Mbalala'!K49,'3.11 Mukono-Mbalala'!K49,'1.11 Mukono-Mbalala-24h'!K49,'2.11 Mukono-Mbalala-24h'!K49,'4.11 Mukono-Mbalala '!K49)</f>
        <v>5</v>
      </c>
      <c r="L49" s="49">
        <f>AVERAGE('29.10 Mukono-Mbalala'!L49,'30.10.Mukono-Mbalala'!L49,'31.10 Mukono-Mbalala'!L49,'3.11 Mukono-Mbalala'!L49,'1.11 Mukono-Mbalala-24h'!L49,'2.11 Mukono-Mbalala-24h'!L49,'4.11 Mukono-Mbalala '!L49)</f>
        <v>40.571428571428569</v>
      </c>
      <c r="M49" s="49">
        <f>AVERAGE('29.10 Mukono-Mbalala'!M49,'30.10.Mukono-Mbalala'!M49,'31.10 Mukono-Mbalala'!M49,'3.11 Mukono-Mbalala'!M49,'1.11 Mukono-Mbalala-24h'!M49,'2.11 Mukono-Mbalala-24h'!M49,'4.11 Mukono-Mbalala '!M49)</f>
        <v>88.428571428571431</v>
      </c>
      <c r="N49" s="49">
        <f>AVERAGE('29.10 Mukono-Mbalala'!N49,'30.10.Mukono-Mbalala'!N49,'31.10 Mukono-Mbalala'!N49,'3.11 Mukono-Mbalala'!N49,'1.11 Mukono-Mbalala-24h'!N49,'2.11 Mukono-Mbalala-24h'!N49,'4.11 Mukono-Mbalala '!N49)</f>
        <v>0</v>
      </c>
      <c r="O49" s="15">
        <f t="shared" si="0"/>
        <v>154.71428571428572</v>
      </c>
      <c r="P49" s="15">
        <f t="shared" si="1"/>
        <v>243.14285714285717</v>
      </c>
      <c r="R49" s="8"/>
      <c r="T49"/>
    </row>
    <row r="50" spans="2:20" ht="23.1" customHeight="1" x14ac:dyDescent="0.25">
      <c r="B50" s="24" t="s">
        <v>77</v>
      </c>
      <c r="C50" s="49">
        <f>AVERAGE('29.10 Mukono-Mbalala'!C50,'30.10.Mukono-Mbalala'!C50,'31.10 Mukono-Mbalala'!C50,'3.11 Mukono-Mbalala'!C50,'1.11 Mukono-Mbalala-24h'!C50,'2.11 Mukono-Mbalala-24h'!C50,'4.11 Mukono-Mbalala '!C50)</f>
        <v>38</v>
      </c>
      <c r="D50" s="49">
        <f>AVERAGE('29.10 Mukono-Mbalala'!D50,'30.10.Mukono-Mbalala'!D50,'31.10 Mukono-Mbalala'!D50,'3.11 Mukono-Mbalala'!D50,'1.11 Mukono-Mbalala-24h'!D50,'2.11 Mukono-Mbalala-24h'!D50,'4.11 Mukono-Mbalala '!D50)</f>
        <v>8.2857142857142865</v>
      </c>
      <c r="E50" s="49">
        <f>AVERAGE('29.10 Mukono-Mbalala'!E50,'30.10.Mukono-Mbalala'!E50,'31.10 Mukono-Mbalala'!E50,'3.11 Mukono-Mbalala'!E50,'1.11 Mukono-Mbalala-24h'!E50,'2.11 Mukono-Mbalala-24h'!E50,'4.11 Mukono-Mbalala '!E50)</f>
        <v>4.4285714285714288</v>
      </c>
      <c r="F50" s="49">
        <f>AVERAGE('29.10 Mukono-Mbalala'!F50,'30.10.Mukono-Mbalala'!F50,'31.10 Mukono-Mbalala'!F50,'3.11 Mukono-Mbalala'!F50,'1.11 Mukono-Mbalala-24h'!F50,'2.11 Mukono-Mbalala-24h'!F50,'4.11 Mukono-Mbalala '!F50)</f>
        <v>35</v>
      </c>
      <c r="G50" s="49">
        <f>AVERAGE('29.10 Mukono-Mbalala'!G50,'30.10.Mukono-Mbalala'!G50,'31.10 Mukono-Mbalala'!G50,'3.11 Mukono-Mbalala'!G50,'1.11 Mukono-Mbalala-24h'!G50,'2.11 Mukono-Mbalala-24h'!G50,'4.11 Mukono-Mbalala '!G50)</f>
        <v>2</v>
      </c>
      <c r="H50" s="49">
        <f>AVERAGE('29.10 Mukono-Mbalala'!H50,'30.10.Mukono-Mbalala'!H50,'31.10 Mukono-Mbalala'!H50,'3.11 Mukono-Mbalala'!H50,'1.11 Mukono-Mbalala-24h'!H50,'2.11 Mukono-Mbalala-24h'!H50,'4.11 Mukono-Mbalala '!H50)</f>
        <v>1.5714285714285714</v>
      </c>
      <c r="I50" s="49">
        <f>AVERAGE('29.10 Mukono-Mbalala'!I50,'30.10.Mukono-Mbalala'!I50,'31.10 Mukono-Mbalala'!I50,'3.11 Mukono-Mbalala'!I50,'1.11 Mukono-Mbalala-24h'!I50,'2.11 Mukono-Mbalala-24h'!I50,'4.11 Mukono-Mbalala '!I50)</f>
        <v>8.1428571428571423</v>
      </c>
      <c r="J50" s="49">
        <f>AVERAGE('29.10 Mukono-Mbalala'!J50,'30.10.Mukono-Mbalala'!J50,'31.10 Mukono-Mbalala'!J50,'3.11 Mukono-Mbalala'!J50,'1.11 Mukono-Mbalala-24h'!J50,'2.11 Mukono-Mbalala-24h'!J50,'4.11 Mukono-Mbalala '!J50)</f>
        <v>6.1428571428571432</v>
      </c>
      <c r="K50" s="49">
        <f>AVERAGE('29.10 Mukono-Mbalala'!K50,'30.10.Mukono-Mbalala'!K50,'31.10 Mukono-Mbalala'!K50,'3.11 Mukono-Mbalala'!K50,'1.11 Mukono-Mbalala-24h'!K50,'2.11 Mukono-Mbalala-24h'!K50,'4.11 Mukono-Mbalala '!K50)</f>
        <v>4.4285714285714288</v>
      </c>
      <c r="L50" s="49">
        <f>AVERAGE('29.10 Mukono-Mbalala'!L50,'30.10.Mukono-Mbalala'!L50,'31.10 Mukono-Mbalala'!L50,'3.11 Mukono-Mbalala'!L50,'1.11 Mukono-Mbalala-24h'!L50,'2.11 Mukono-Mbalala-24h'!L50,'4.11 Mukono-Mbalala '!L50)</f>
        <v>12.714285714285714</v>
      </c>
      <c r="M50" s="49">
        <f>AVERAGE('29.10 Mukono-Mbalala'!M50,'30.10.Mukono-Mbalala'!M50,'31.10 Mukono-Mbalala'!M50,'3.11 Mukono-Mbalala'!M50,'1.11 Mukono-Mbalala-24h'!M50,'2.11 Mukono-Mbalala-24h'!M50,'4.11 Mukono-Mbalala '!M50)</f>
        <v>89.285714285714292</v>
      </c>
      <c r="N50" s="49">
        <f>AVERAGE('29.10 Mukono-Mbalala'!N50,'30.10.Mukono-Mbalala'!N50,'31.10 Mukono-Mbalala'!N50,'3.11 Mukono-Mbalala'!N50,'1.11 Mukono-Mbalala-24h'!N50,'2.11 Mukono-Mbalala-24h'!N50,'4.11 Mukono-Mbalala '!N50)</f>
        <v>0</v>
      </c>
      <c r="O50" s="15">
        <f t="shared" si="0"/>
        <v>120.71428571428571</v>
      </c>
      <c r="P50" s="15">
        <f t="shared" si="1"/>
        <v>210</v>
      </c>
      <c r="R50" s="8"/>
      <c r="T50"/>
    </row>
    <row r="51" spans="2:20" ht="23.1" customHeight="1" x14ac:dyDescent="0.25">
      <c r="B51" s="24" t="s">
        <v>78</v>
      </c>
      <c r="C51" s="49">
        <f>AVERAGE('29.10 Mukono-Mbalala'!C51,'30.10.Mukono-Mbalala'!C51,'31.10 Mukono-Mbalala'!C51,'3.11 Mukono-Mbalala'!C51,'1.11 Mukono-Mbalala-24h'!C51,'2.11 Mukono-Mbalala-24h'!C51,'4.11 Mukono-Mbalala '!C51)</f>
        <v>32.714285714285715</v>
      </c>
      <c r="D51" s="49">
        <f>AVERAGE('29.10 Mukono-Mbalala'!D51,'30.10.Mukono-Mbalala'!D51,'31.10 Mukono-Mbalala'!D51,'3.11 Mukono-Mbalala'!D51,'1.11 Mukono-Mbalala-24h'!D51,'2.11 Mukono-Mbalala-24h'!D51,'4.11 Mukono-Mbalala '!D51)</f>
        <v>8.2857142857142865</v>
      </c>
      <c r="E51" s="49">
        <f>AVERAGE('29.10 Mukono-Mbalala'!E51,'30.10.Mukono-Mbalala'!E51,'31.10 Mukono-Mbalala'!E51,'3.11 Mukono-Mbalala'!E51,'1.11 Mukono-Mbalala-24h'!E51,'2.11 Mukono-Mbalala-24h'!E51,'4.11 Mukono-Mbalala '!E51)</f>
        <v>5.1428571428571432</v>
      </c>
      <c r="F51" s="49">
        <f>AVERAGE('29.10 Mukono-Mbalala'!F51,'30.10.Mukono-Mbalala'!F51,'31.10 Mukono-Mbalala'!F51,'3.11 Mukono-Mbalala'!F51,'1.11 Mukono-Mbalala-24h'!F51,'2.11 Mukono-Mbalala-24h'!F51,'4.11 Mukono-Mbalala '!F51)</f>
        <v>32.285714285714285</v>
      </c>
      <c r="G51" s="49">
        <f>AVERAGE('29.10 Mukono-Mbalala'!G51,'30.10.Mukono-Mbalala'!G51,'31.10 Mukono-Mbalala'!G51,'3.11 Mukono-Mbalala'!G51,'1.11 Mukono-Mbalala-24h'!G51,'2.11 Mukono-Mbalala-24h'!G51,'4.11 Mukono-Mbalala '!G51)</f>
        <v>1.1428571428571428</v>
      </c>
      <c r="H51" s="49">
        <f>AVERAGE('29.10 Mukono-Mbalala'!H51,'30.10.Mukono-Mbalala'!H51,'31.10 Mukono-Mbalala'!H51,'3.11 Mukono-Mbalala'!H51,'1.11 Mukono-Mbalala-24h'!H51,'2.11 Mukono-Mbalala-24h'!H51,'4.11 Mukono-Mbalala '!H51)</f>
        <v>1.5714285714285714</v>
      </c>
      <c r="I51" s="49">
        <f>AVERAGE('29.10 Mukono-Mbalala'!I51,'30.10.Mukono-Mbalala'!I51,'31.10 Mukono-Mbalala'!I51,'3.11 Mukono-Mbalala'!I51,'1.11 Mukono-Mbalala-24h'!I51,'2.11 Mukono-Mbalala-24h'!I51,'4.11 Mukono-Mbalala '!I51)</f>
        <v>7.5714285714285712</v>
      </c>
      <c r="J51" s="49">
        <f>AVERAGE('29.10 Mukono-Mbalala'!J51,'30.10.Mukono-Mbalala'!J51,'31.10 Mukono-Mbalala'!J51,'3.11 Mukono-Mbalala'!J51,'1.11 Mukono-Mbalala-24h'!J51,'2.11 Mukono-Mbalala-24h'!J51,'4.11 Mukono-Mbalala '!J51)</f>
        <v>6.1428571428571432</v>
      </c>
      <c r="K51" s="49">
        <f>AVERAGE('29.10 Mukono-Mbalala'!K51,'30.10.Mukono-Mbalala'!K51,'31.10 Mukono-Mbalala'!K51,'3.11 Mukono-Mbalala'!K51,'1.11 Mukono-Mbalala-24h'!K51,'2.11 Mukono-Mbalala-24h'!K51,'4.11 Mukono-Mbalala '!K51)</f>
        <v>5.5714285714285712</v>
      </c>
      <c r="L51" s="49">
        <f>AVERAGE('29.10 Mukono-Mbalala'!L51,'30.10.Mukono-Mbalala'!L51,'31.10 Mukono-Mbalala'!L51,'3.11 Mukono-Mbalala'!L51,'1.11 Mukono-Mbalala-24h'!L51,'2.11 Mukono-Mbalala-24h'!L51,'4.11 Mukono-Mbalala '!L51)</f>
        <v>15.571428571428571</v>
      </c>
      <c r="M51" s="49">
        <f>AVERAGE('29.10 Mukono-Mbalala'!M51,'30.10.Mukono-Mbalala'!M51,'31.10 Mukono-Mbalala'!M51,'3.11 Mukono-Mbalala'!M51,'1.11 Mukono-Mbalala-24h'!M51,'2.11 Mukono-Mbalala-24h'!M51,'4.11 Mukono-Mbalala '!M51)</f>
        <v>110.85714285714286</v>
      </c>
      <c r="N51" s="49">
        <f>AVERAGE('29.10 Mukono-Mbalala'!N51,'30.10.Mukono-Mbalala'!N51,'31.10 Mukono-Mbalala'!N51,'3.11 Mukono-Mbalala'!N51,'1.11 Mukono-Mbalala-24h'!N51,'2.11 Mukono-Mbalala-24h'!N51,'4.11 Mukono-Mbalala '!N51)</f>
        <v>0</v>
      </c>
      <c r="O51" s="15">
        <f t="shared" si="0"/>
        <v>115.99999999999999</v>
      </c>
      <c r="P51" s="15">
        <f t="shared" si="1"/>
        <v>226.85714285714283</v>
      </c>
      <c r="R51" s="8"/>
      <c r="T51"/>
    </row>
    <row r="52" spans="2:20" ht="23.1" customHeight="1" x14ac:dyDescent="0.25">
      <c r="B52" s="24" t="s">
        <v>79</v>
      </c>
      <c r="C52" s="49">
        <f>AVERAGE('29.10 Mukono-Mbalala'!C52,'30.10.Mukono-Mbalala'!C52,'31.10 Mukono-Mbalala'!C52,'3.11 Mukono-Mbalala'!C52,'1.11 Mukono-Mbalala-24h'!C52,'2.11 Mukono-Mbalala-24h'!C52,'4.11 Mukono-Mbalala '!C52)</f>
        <v>31</v>
      </c>
      <c r="D52" s="49">
        <f>AVERAGE('29.10 Mukono-Mbalala'!D52,'30.10.Mukono-Mbalala'!D52,'31.10 Mukono-Mbalala'!D52,'3.11 Mukono-Mbalala'!D52,'1.11 Mukono-Mbalala-24h'!D52,'2.11 Mukono-Mbalala-24h'!D52,'4.11 Mukono-Mbalala '!D52)</f>
        <v>7.2857142857142856</v>
      </c>
      <c r="E52" s="49">
        <f>AVERAGE('29.10 Mukono-Mbalala'!E52,'30.10.Mukono-Mbalala'!E52,'31.10 Mukono-Mbalala'!E52,'3.11 Mukono-Mbalala'!E52,'1.11 Mukono-Mbalala-24h'!E52,'2.11 Mukono-Mbalala-24h'!E52,'4.11 Mukono-Mbalala '!E52)</f>
        <v>7.5714285714285712</v>
      </c>
      <c r="F52" s="49">
        <f>AVERAGE('29.10 Mukono-Mbalala'!F52,'30.10.Mukono-Mbalala'!F52,'31.10 Mukono-Mbalala'!F52,'3.11 Mukono-Mbalala'!F52,'1.11 Mukono-Mbalala-24h'!F52,'2.11 Mukono-Mbalala-24h'!F52,'4.11 Mukono-Mbalala '!F52)</f>
        <v>22.571428571428573</v>
      </c>
      <c r="G52" s="49">
        <f>AVERAGE('29.10 Mukono-Mbalala'!G52,'30.10.Mukono-Mbalala'!G52,'31.10 Mukono-Mbalala'!G52,'3.11 Mukono-Mbalala'!G52,'1.11 Mukono-Mbalala-24h'!G52,'2.11 Mukono-Mbalala-24h'!G52,'4.11 Mukono-Mbalala '!G52)</f>
        <v>0.8571428571428571</v>
      </c>
      <c r="H52" s="49">
        <f>AVERAGE('29.10 Mukono-Mbalala'!H52,'30.10.Mukono-Mbalala'!H52,'31.10 Mukono-Mbalala'!H52,'3.11 Mukono-Mbalala'!H52,'1.11 Mukono-Mbalala-24h'!H52,'2.11 Mukono-Mbalala-24h'!H52,'4.11 Mukono-Mbalala '!H52)</f>
        <v>1</v>
      </c>
      <c r="I52" s="49">
        <f>AVERAGE('29.10 Mukono-Mbalala'!I52,'30.10.Mukono-Mbalala'!I52,'31.10 Mukono-Mbalala'!I52,'3.11 Mukono-Mbalala'!I52,'1.11 Mukono-Mbalala-24h'!I52,'2.11 Mukono-Mbalala-24h'!I52,'4.11 Mukono-Mbalala '!I52)</f>
        <v>5.8571428571428568</v>
      </c>
      <c r="J52" s="49">
        <f>AVERAGE('29.10 Mukono-Mbalala'!J52,'30.10.Mukono-Mbalala'!J52,'31.10 Mukono-Mbalala'!J52,'3.11 Mukono-Mbalala'!J52,'1.11 Mukono-Mbalala-24h'!J52,'2.11 Mukono-Mbalala-24h'!J52,'4.11 Mukono-Mbalala '!J52)</f>
        <v>4.2857142857142856</v>
      </c>
      <c r="K52" s="49">
        <f>AVERAGE('29.10 Mukono-Mbalala'!K52,'30.10.Mukono-Mbalala'!K52,'31.10 Mukono-Mbalala'!K52,'3.11 Mukono-Mbalala'!K52,'1.11 Mukono-Mbalala-24h'!K52,'2.11 Mukono-Mbalala-24h'!K52,'4.11 Mukono-Mbalala '!K52)</f>
        <v>3.2857142857142856</v>
      </c>
      <c r="L52" s="49">
        <f>AVERAGE('29.10 Mukono-Mbalala'!L52,'30.10.Mukono-Mbalala'!L52,'31.10 Mukono-Mbalala'!L52,'3.11 Mukono-Mbalala'!L52,'1.11 Mukono-Mbalala-24h'!L52,'2.11 Mukono-Mbalala-24h'!L52,'4.11 Mukono-Mbalala '!L52)</f>
        <v>15.428571428571429</v>
      </c>
      <c r="M52" s="49">
        <f>AVERAGE('29.10 Mukono-Mbalala'!M52,'30.10.Mukono-Mbalala'!M52,'31.10 Mukono-Mbalala'!M52,'3.11 Mukono-Mbalala'!M52,'1.11 Mukono-Mbalala-24h'!M52,'2.11 Mukono-Mbalala-24h'!M52,'4.11 Mukono-Mbalala '!M52)</f>
        <v>80.857142857142861</v>
      </c>
      <c r="N52" s="49">
        <f>AVERAGE('29.10 Mukono-Mbalala'!N52,'30.10.Mukono-Mbalala'!N52,'31.10 Mukono-Mbalala'!N52,'3.11 Mukono-Mbalala'!N52,'1.11 Mukono-Mbalala-24h'!N52,'2.11 Mukono-Mbalala-24h'!N52,'4.11 Mukono-Mbalala '!N52)</f>
        <v>0</v>
      </c>
      <c r="O52" s="15">
        <f t="shared" si="0"/>
        <v>99.142857142857167</v>
      </c>
      <c r="P52" s="15">
        <f t="shared" si="1"/>
        <v>180.00000000000003</v>
      </c>
      <c r="R52" s="8"/>
      <c r="T52"/>
    </row>
    <row r="53" spans="2:20" ht="23.1" customHeight="1" x14ac:dyDescent="0.25">
      <c r="B53" s="23" t="s">
        <v>80</v>
      </c>
      <c r="C53" s="49">
        <f>AVERAGE('29.10 Mukono-Mbalala'!C53,'30.10.Mukono-Mbalala'!C53,'31.10 Mukono-Mbalala'!C53,'3.11 Mukono-Mbalala'!C53,'1.11 Mukono-Mbalala-24h'!C53,'2.11 Mukono-Mbalala-24h'!C53,'4.11 Mukono-Mbalala '!C53)</f>
        <v>41</v>
      </c>
      <c r="D53" s="49">
        <f>AVERAGE('29.10 Mukono-Mbalala'!D53,'30.10.Mukono-Mbalala'!D53,'31.10 Mukono-Mbalala'!D53,'3.11 Mukono-Mbalala'!D53,'1.11 Mukono-Mbalala-24h'!D53,'2.11 Mukono-Mbalala-24h'!D53,'4.11 Mukono-Mbalala '!D53)</f>
        <v>5.8571428571428568</v>
      </c>
      <c r="E53" s="49">
        <f>AVERAGE('29.10 Mukono-Mbalala'!E53,'30.10.Mukono-Mbalala'!E53,'31.10 Mukono-Mbalala'!E53,'3.11 Mukono-Mbalala'!E53,'1.11 Mukono-Mbalala-24h'!E53,'2.11 Mukono-Mbalala-24h'!E53,'4.11 Mukono-Mbalala '!E53)</f>
        <v>7.8571428571428568</v>
      </c>
      <c r="F53" s="49">
        <f>AVERAGE('29.10 Mukono-Mbalala'!F53,'30.10.Mukono-Mbalala'!F53,'31.10 Mukono-Mbalala'!F53,'3.11 Mukono-Mbalala'!F53,'1.11 Mukono-Mbalala-24h'!F53,'2.11 Mukono-Mbalala-24h'!F53,'4.11 Mukono-Mbalala '!F53)</f>
        <v>38.142857142857146</v>
      </c>
      <c r="G53" s="49">
        <f>AVERAGE('29.10 Mukono-Mbalala'!G53,'30.10.Mukono-Mbalala'!G53,'31.10 Mukono-Mbalala'!G53,'3.11 Mukono-Mbalala'!G53,'1.11 Mukono-Mbalala-24h'!G53,'2.11 Mukono-Mbalala-24h'!G53,'4.11 Mukono-Mbalala '!G53)</f>
        <v>1</v>
      </c>
      <c r="H53" s="49">
        <f>AVERAGE('29.10 Mukono-Mbalala'!H53,'30.10.Mukono-Mbalala'!H53,'31.10 Mukono-Mbalala'!H53,'3.11 Mukono-Mbalala'!H53,'1.11 Mukono-Mbalala-24h'!H53,'2.11 Mukono-Mbalala-24h'!H53,'4.11 Mukono-Mbalala '!H53)</f>
        <v>0.42857142857142855</v>
      </c>
      <c r="I53" s="49">
        <f>AVERAGE('29.10 Mukono-Mbalala'!I53,'30.10.Mukono-Mbalala'!I53,'31.10 Mukono-Mbalala'!I53,'3.11 Mukono-Mbalala'!I53,'1.11 Mukono-Mbalala-24h'!I53,'2.11 Mukono-Mbalala-24h'!I53,'4.11 Mukono-Mbalala '!I53)</f>
        <v>8.2857142857142865</v>
      </c>
      <c r="J53" s="49">
        <f>AVERAGE('29.10 Mukono-Mbalala'!J53,'30.10.Mukono-Mbalala'!J53,'31.10 Mukono-Mbalala'!J53,'3.11 Mukono-Mbalala'!J53,'1.11 Mukono-Mbalala-24h'!J53,'2.11 Mukono-Mbalala-24h'!J53,'4.11 Mukono-Mbalala '!J53)</f>
        <v>5</v>
      </c>
      <c r="K53" s="49">
        <f>AVERAGE('29.10 Mukono-Mbalala'!K53,'30.10.Mukono-Mbalala'!K53,'31.10 Mukono-Mbalala'!K53,'3.11 Mukono-Mbalala'!K53,'1.11 Mukono-Mbalala-24h'!K53,'2.11 Mukono-Mbalala-24h'!K53,'4.11 Mukono-Mbalala '!K53)</f>
        <v>4.1428571428571432</v>
      </c>
      <c r="L53" s="49">
        <f>AVERAGE('29.10 Mukono-Mbalala'!L53,'30.10.Mukono-Mbalala'!L53,'31.10 Mukono-Mbalala'!L53,'3.11 Mukono-Mbalala'!L53,'1.11 Mukono-Mbalala-24h'!L53,'2.11 Mukono-Mbalala-24h'!L53,'4.11 Mukono-Mbalala '!L53)</f>
        <v>19.857142857142858</v>
      </c>
      <c r="M53" s="49">
        <f>AVERAGE('29.10 Mukono-Mbalala'!M53,'30.10.Mukono-Mbalala'!M53,'31.10 Mukono-Mbalala'!M53,'3.11 Mukono-Mbalala'!M53,'1.11 Mukono-Mbalala-24h'!M53,'2.11 Mukono-Mbalala-24h'!M53,'4.11 Mukono-Mbalala '!M53)</f>
        <v>102.42857142857143</v>
      </c>
      <c r="N53" s="49">
        <f>AVERAGE('29.10 Mukono-Mbalala'!N53,'30.10.Mukono-Mbalala'!N53,'31.10 Mukono-Mbalala'!N53,'3.11 Mukono-Mbalala'!N53,'1.11 Mukono-Mbalala-24h'!N53,'2.11 Mukono-Mbalala-24h'!N53,'4.11 Mukono-Mbalala '!N53)</f>
        <v>0</v>
      </c>
      <c r="O53" s="15">
        <f t="shared" si="0"/>
        <v>131.57142857142858</v>
      </c>
      <c r="P53" s="15">
        <f t="shared" si="1"/>
        <v>234</v>
      </c>
      <c r="R53" s="8"/>
      <c r="T53"/>
    </row>
    <row r="54" spans="2:20" ht="23.1" customHeight="1" x14ac:dyDescent="0.25">
      <c r="B54" s="23" t="s">
        <v>81</v>
      </c>
      <c r="C54" s="49">
        <f>AVERAGE('29.10 Mukono-Mbalala'!C54,'30.10.Mukono-Mbalala'!C54,'31.10 Mukono-Mbalala'!C54,'3.11 Mukono-Mbalala'!C54,'1.11 Mukono-Mbalala-24h'!C54,'2.11 Mukono-Mbalala-24h'!C54,'4.11 Mukono-Mbalala '!C54)</f>
        <v>41.428571428571431</v>
      </c>
      <c r="D54" s="49">
        <f>AVERAGE('29.10 Mukono-Mbalala'!D54,'30.10.Mukono-Mbalala'!D54,'31.10 Mukono-Mbalala'!D54,'3.11 Mukono-Mbalala'!D54,'1.11 Mukono-Mbalala-24h'!D54,'2.11 Mukono-Mbalala-24h'!D54,'4.11 Mukono-Mbalala '!D54)</f>
        <v>8</v>
      </c>
      <c r="E54" s="49">
        <f>AVERAGE('29.10 Mukono-Mbalala'!E54,'30.10.Mukono-Mbalala'!E54,'31.10 Mukono-Mbalala'!E54,'3.11 Mukono-Mbalala'!E54,'1.11 Mukono-Mbalala-24h'!E54,'2.11 Mukono-Mbalala-24h'!E54,'4.11 Mukono-Mbalala '!E54)</f>
        <v>9.4285714285714288</v>
      </c>
      <c r="F54" s="49">
        <f>AVERAGE('29.10 Mukono-Mbalala'!F54,'30.10.Mukono-Mbalala'!F54,'31.10 Mukono-Mbalala'!F54,'3.11 Mukono-Mbalala'!F54,'1.11 Mukono-Mbalala-24h'!F54,'2.11 Mukono-Mbalala-24h'!F54,'4.11 Mukono-Mbalala '!F54)</f>
        <v>37.285714285714285</v>
      </c>
      <c r="G54" s="49">
        <f>AVERAGE('29.10 Mukono-Mbalala'!G54,'30.10.Mukono-Mbalala'!G54,'31.10 Mukono-Mbalala'!G54,'3.11 Mukono-Mbalala'!G54,'1.11 Mukono-Mbalala-24h'!G54,'2.11 Mukono-Mbalala-24h'!G54,'4.11 Mukono-Mbalala '!G54)</f>
        <v>2.2857142857142856</v>
      </c>
      <c r="H54" s="49">
        <f>AVERAGE('29.10 Mukono-Mbalala'!H54,'30.10.Mukono-Mbalala'!H54,'31.10 Mukono-Mbalala'!H54,'3.11 Mukono-Mbalala'!H54,'1.11 Mukono-Mbalala-24h'!H54,'2.11 Mukono-Mbalala-24h'!H54,'4.11 Mukono-Mbalala '!H54)</f>
        <v>2.2857142857142856</v>
      </c>
      <c r="I54" s="49">
        <f>AVERAGE('29.10 Mukono-Mbalala'!I54,'30.10.Mukono-Mbalala'!I54,'31.10 Mukono-Mbalala'!I54,'3.11 Mukono-Mbalala'!I54,'1.11 Mukono-Mbalala-24h'!I54,'2.11 Mukono-Mbalala-24h'!I54,'4.11 Mukono-Mbalala '!I54)</f>
        <v>9.2857142857142865</v>
      </c>
      <c r="J54" s="49">
        <f>AVERAGE('29.10 Mukono-Mbalala'!J54,'30.10.Mukono-Mbalala'!J54,'31.10 Mukono-Mbalala'!J54,'3.11 Mukono-Mbalala'!J54,'1.11 Mukono-Mbalala-24h'!J54,'2.11 Mukono-Mbalala-24h'!J54,'4.11 Mukono-Mbalala '!J54)</f>
        <v>5</v>
      </c>
      <c r="K54" s="49">
        <f>AVERAGE('29.10 Mukono-Mbalala'!K54,'30.10.Mukono-Mbalala'!K54,'31.10 Mukono-Mbalala'!K54,'3.11 Mukono-Mbalala'!K54,'1.11 Mukono-Mbalala-24h'!K54,'2.11 Mukono-Mbalala-24h'!K54,'4.11 Mukono-Mbalala '!K54)</f>
        <v>3.1428571428571428</v>
      </c>
      <c r="L54" s="49">
        <f>AVERAGE('29.10 Mukono-Mbalala'!L54,'30.10.Mukono-Mbalala'!L54,'31.10 Mukono-Mbalala'!L54,'3.11 Mukono-Mbalala'!L54,'1.11 Mukono-Mbalala-24h'!L54,'2.11 Mukono-Mbalala-24h'!L54,'4.11 Mukono-Mbalala '!L54)</f>
        <v>15.142857142857142</v>
      </c>
      <c r="M54" s="49">
        <f>AVERAGE('29.10 Mukono-Mbalala'!M54,'30.10.Mukono-Mbalala'!M54,'31.10 Mukono-Mbalala'!M54,'3.11 Mukono-Mbalala'!M54,'1.11 Mukono-Mbalala-24h'!M54,'2.11 Mukono-Mbalala-24h'!M54,'4.11 Mukono-Mbalala '!M54)</f>
        <v>116</v>
      </c>
      <c r="N54" s="49">
        <f>AVERAGE('29.10 Mukono-Mbalala'!N54,'30.10.Mukono-Mbalala'!N54,'31.10 Mukono-Mbalala'!N54,'3.11 Mukono-Mbalala'!N54,'1.11 Mukono-Mbalala-24h'!N54,'2.11 Mukono-Mbalala-24h'!N54,'4.11 Mukono-Mbalala '!N54)</f>
        <v>0</v>
      </c>
      <c r="O54" s="15">
        <f t="shared" si="0"/>
        <v>133.28571428571431</v>
      </c>
      <c r="P54" s="15">
        <f t="shared" si="1"/>
        <v>249.28571428571431</v>
      </c>
      <c r="R54" s="8"/>
      <c r="T54"/>
    </row>
    <row r="55" spans="2:20" ht="23.1" customHeight="1" x14ac:dyDescent="0.25">
      <c r="B55" s="23" t="s">
        <v>82</v>
      </c>
      <c r="C55" s="49">
        <f>AVERAGE('29.10 Mukono-Mbalala'!C55,'30.10.Mukono-Mbalala'!C55,'31.10 Mukono-Mbalala'!C55,'3.11 Mukono-Mbalala'!C55,'1.11 Mukono-Mbalala-24h'!C55,'2.11 Mukono-Mbalala-24h'!C55,'4.11 Mukono-Mbalala '!C55)</f>
        <v>46.714285714285715</v>
      </c>
      <c r="D55" s="49">
        <f>AVERAGE('29.10 Mukono-Mbalala'!D55,'30.10.Mukono-Mbalala'!D55,'31.10 Mukono-Mbalala'!D55,'3.11 Mukono-Mbalala'!D55,'1.11 Mukono-Mbalala-24h'!D55,'2.11 Mukono-Mbalala-24h'!D55,'4.11 Mukono-Mbalala '!D55)</f>
        <v>9.7142857142857135</v>
      </c>
      <c r="E55" s="49">
        <f>AVERAGE('29.10 Mukono-Mbalala'!E55,'30.10.Mukono-Mbalala'!E55,'31.10 Mukono-Mbalala'!E55,'3.11 Mukono-Mbalala'!E55,'1.11 Mukono-Mbalala-24h'!E55,'2.11 Mukono-Mbalala-24h'!E55,'4.11 Mukono-Mbalala '!E55)</f>
        <v>5.8571428571428568</v>
      </c>
      <c r="F55" s="49">
        <f>AVERAGE('29.10 Mukono-Mbalala'!F55,'30.10.Mukono-Mbalala'!F55,'31.10 Mukono-Mbalala'!F55,'3.11 Mukono-Mbalala'!F55,'1.11 Mukono-Mbalala-24h'!F55,'2.11 Mukono-Mbalala-24h'!F55,'4.11 Mukono-Mbalala '!F55)</f>
        <v>42.285714285714285</v>
      </c>
      <c r="G55" s="49">
        <f>AVERAGE('29.10 Mukono-Mbalala'!G55,'30.10.Mukono-Mbalala'!G55,'31.10 Mukono-Mbalala'!G55,'3.11 Mukono-Mbalala'!G55,'1.11 Mukono-Mbalala-24h'!G55,'2.11 Mukono-Mbalala-24h'!G55,'4.11 Mukono-Mbalala '!G55)</f>
        <v>3.8571428571428572</v>
      </c>
      <c r="H55" s="49">
        <f>AVERAGE('29.10 Mukono-Mbalala'!H55,'30.10.Mukono-Mbalala'!H55,'31.10 Mukono-Mbalala'!H55,'3.11 Mukono-Mbalala'!H55,'1.11 Mukono-Mbalala-24h'!H55,'2.11 Mukono-Mbalala-24h'!H55,'4.11 Mukono-Mbalala '!H55)</f>
        <v>1</v>
      </c>
      <c r="I55" s="49">
        <f>AVERAGE('29.10 Mukono-Mbalala'!I55,'30.10.Mukono-Mbalala'!I55,'31.10 Mukono-Mbalala'!I55,'3.11 Mukono-Mbalala'!I55,'1.11 Mukono-Mbalala-24h'!I55,'2.11 Mukono-Mbalala-24h'!I55,'4.11 Mukono-Mbalala '!I55)</f>
        <v>10.285714285714286</v>
      </c>
      <c r="J55" s="49">
        <f>AVERAGE('29.10 Mukono-Mbalala'!J55,'30.10.Mukono-Mbalala'!J55,'31.10 Mukono-Mbalala'!J55,'3.11 Mukono-Mbalala'!J55,'1.11 Mukono-Mbalala-24h'!J55,'2.11 Mukono-Mbalala-24h'!J55,'4.11 Mukono-Mbalala '!J55)</f>
        <v>6.2857142857142856</v>
      </c>
      <c r="K55" s="49">
        <f>AVERAGE('29.10 Mukono-Mbalala'!K55,'30.10.Mukono-Mbalala'!K55,'31.10 Mukono-Mbalala'!K55,'3.11 Mukono-Mbalala'!K55,'1.11 Mukono-Mbalala-24h'!K55,'2.11 Mukono-Mbalala-24h'!K55,'4.11 Mukono-Mbalala '!K55)</f>
        <v>3.5714285714285716</v>
      </c>
      <c r="L55" s="49">
        <f>AVERAGE('29.10 Mukono-Mbalala'!L55,'30.10.Mukono-Mbalala'!L55,'31.10 Mukono-Mbalala'!L55,'3.11 Mukono-Mbalala'!L55,'1.11 Mukono-Mbalala-24h'!L55,'2.11 Mukono-Mbalala-24h'!L55,'4.11 Mukono-Mbalala '!L55)</f>
        <v>21.571428571428573</v>
      </c>
      <c r="M55" s="49">
        <f>AVERAGE('29.10 Mukono-Mbalala'!M55,'30.10.Mukono-Mbalala'!M55,'31.10 Mukono-Mbalala'!M55,'3.11 Mukono-Mbalala'!M55,'1.11 Mukono-Mbalala-24h'!M55,'2.11 Mukono-Mbalala-24h'!M55,'4.11 Mukono-Mbalala '!M55)</f>
        <v>136.85714285714286</v>
      </c>
      <c r="N55" s="49">
        <f>AVERAGE('29.10 Mukono-Mbalala'!N55,'30.10.Mukono-Mbalala'!N55,'31.10 Mukono-Mbalala'!N55,'3.11 Mukono-Mbalala'!N55,'1.11 Mukono-Mbalala-24h'!N55,'2.11 Mukono-Mbalala-24h'!N55,'4.11 Mukono-Mbalala '!N55)</f>
        <v>0</v>
      </c>
      <c r="O55" s="15">
        <f t="shared" si="0"/>
        <v>151.14285714285717</v>
      </c>
      <c r="P55" s="15">
        <f t="shared" si="1"/>
        <v>288</v>
      </c>
      <c r="R55" s="8"/>
      <c r="T55"/>
    </row>
    <row r="56" spans="2:20" ht="23.1" customHeight="1" x14ac:dyDescent="0.25">
      <c r="B56" s="23" t="s">
        <v>83</v>
      </c>
      <c r="C56" s="49">
        <f>AVERAGE('29.10 Mukono-Mbalala'!C56,'30.10.Mukono-Mbalala'!C56,'31.10 Mukono-Mbalala'!C56,'3.11 Mukono-Mbalala'!C56,'1.11 Mukono-Mbalala-24h'!C56,'2.11 Mukono-Mbalala-24h'!C56,'4.11 Mukono-Mbalala '!C56)</f>
        <v>34</v>
      </c>
      <c r="D56" s="49">
        <f>AVERAGE('29.10 Mukono-Mbalala'!D56,'30.10.Mukono-Mbalala'!D56,'31.10 Mukono-Mbalala'!D56,'3.11 Mukono-Mbalala'!D56,'1.11 Mukono-Mbalala-24h'!D56,'2.11 Mukono-Mbalala-24h'!D56,'4.11 Mukono-Mbalala '!D56)</f>
        <v>4.7142857142857144</v>
      </c>
      <c r="E56" s="49">
        <f>AVERAGE('29.10 Mukono-Mbalala'!E56,'30.10.Mukono-Mbalala'!E56,'31.10 Mukono-Mbalala'!E56,'3.11 Mukono-Mbalala'!E56,'1.11 Mukono-Mbalala-24h'!E56,'2.11 Mukono-Mbalala-24h'!E56,'4.11 Mukono-Mbalala '!E56)</f>
        <v>4.5714285714285712</v>
      </c>
      <c r="F56" s="49">
        <f>AVERAGE('29.10 Mukono-Mbalala'!F56,'30.10.Mukono-Mbalala'!F56,'31.10 Mukono-Mbalala'!F56,'3.11 Mukono-Mbalala'!F56,'1.11 Mukono-Mbalala-24h'!F56,'2.11 Mukono-Mbalala-24h'!F56,'4.11 Mukono-Mbalala '!F56)</f>
        <v>33.714285714285715</v>
      </c>
      <c r="G56" s="49">
        <f>AVERAGE('29.10 Mukono-Mbalala'!G56,'30.10.Mukono-Mbalala'!G56,'31.10 Mukono-Mbalala'!G56,'3.11 Mukono-Mbalala'!G56,'1.11 Mukono-Mbalala-24h'!G56,'2.11 Mukono-Mbalala-24h'!G56,'4.11 Mukono-Mbalala '!G56)</f>
        <v>2.4285714285714284</v>
      </c>
      <c r="H56" s="49">
        <f>AVERAGE('29.10 Mukono-Mbalala'!H56,'30.10.Mukono-Mbalala'!H56,'31.10 Mukono-Mbalala'!H56,'3.11 Mukono-Mbalala'!H56,'1.11 Mukono-Mbalala-24h'!H56,'2.11 Mukono-Mbalala-24h'!H56,'4.11 Mukono-Mbalala '!H56)</f>
        <v>0.7142857142857143</v>
      </c>
      <c r="I56" s="49">
        <f>AVERAGE('29.10 Mukono-Mbalala'!I56,'30.10.Mukono-Mbalala'!I56,'31.10 Mukono-Mbalala'!I56,'3.11 Mukono-Mbalala'!I56,'1.11 Mukono-Mbalala-24h'!I56,'2.11 Mukono-Mbalala-24h'!I56,'4.11 Mukono-Mbalala '!I56)</f>
        <v>9.7142857142857135</v>
      </c>
      <c r="J56" s="49">
        <f>AVERAGE('29.10 Mukono-Mbalala'!J56,'30.10.Mukono-Mbalala'!J56,'31.10 Mukono-Mbalala'!J56,'3.11 Mukono-Mbalala'!J56,'1.11 Mukono-Mbalala-24h'!J56,'2.11 Mukono-Mbalala-24h'!J56,'4.11 Mukono-Mbalala '!J56)</f>
        <v>7.2857142857142856</v>
      </c>
      <c r="K56" s="49">
        <f>AVERAGE('29.10 Mukono-Mbalala'!K56,'30.10.Mukono-Mbalala'!K56,'31.10 Mukono-Mbalala'!K56,'3.11 Mukono-Mbalala'!K56,'1.11 Mukono-Mbalala-24h'!K56,'2.11 Mukono-Mbalala-24h'!K56,'4.11 Mukono-Mbalala '!K56)</f>
        <v>4.8571428571428568</v>
      </c>
      <c r="L56" s="49">
        <f>AVERAGE('29.10 Mukono-Mbalala'!L56,'30.10.Mukono-Mbalala'!L56,'31.10 Mukono-Mbalala'!L56,'3.11 Mukono-Mbalala'!L56,'1.11 Mukono-Mbalala-24h'!L56,'2.11 Mukono-Mbalala-24h'!L56,'4.11 Mukono-Mbalala '!L56)</f>
        <v>21.285714285714285</v>
      </c>
      <c r="M56" s="49">
        <f>AVERAGE('29.10 Mukono-Mbalala'!M56,'30.10.Mukono-Mbalala'!M56,'31.10 Mukono-Mbalala'!M56,'3.11 Mukono-Mbalala'!M56,'1.11 Mukono-Mbalala-24h'!M56,'2.11 Mukono-Mbalala-24h'!M56,'4.11 Mukono-Mbalala '!M56)</f>
        <v>116.71428571428571</v>
      </c>
      <c r="N56" s="49">
        <f>AVERAGE('29.10 Mukono-Mbalala'!N56,'30.10.Mukono-Mbalala'!N56,'31.10 Mukono-Mbalala'!N56,'3.11 Mukono-Mbalala'!N56,'1.11 Mukono-Mbalala-24h'!N56,'2.11 Mukono-Mbalala-24h'!N56,'4.11 Mukono-Mbalala '!N56)</f>
        <v>0</v>
      </c>
      <c r="O56" s="15">
        <f t="shared" si="0"/>
        <v>123.28571428571428</v>
      </c>
      <c r="P56" s="15">
        <f t="shared" si="1"/>
        <v>240</v>
      </c>
      <c r="R56" s="8"/>
      <c r="T56"/>
    </row>
    <row r="57" spans="2:20" ht="23.1" customHeight="1" x14ac:dyDescent="0.25">
      <c r="B57" s="23" t="s">
        <v>84</v>
      </c>
      <c r="C57" s="49">
        <f>AVERAGE('29.10 Mukono-Mbalala'!C57,'30.10.Mukono-Mbalala'!C57,'31.10 Mukono-Mbalala'!C57,'3.11 Mukono-Mbalala'!C57,'1.11 Mukono-Mbalala-24h'!C57,'2.11 Mukono-Mbalala-24h'!C57,'4.11 Mukono-Mbalala '!C57)</f>
        <v>37.142857142857146</v>
      </c>
      <c r="D57" s="49">
        <f>AVERAGE('29.10 Mukono-Mbalala'!D57,'30.10.Mukono-Mbalala'!D57,'31.10 Mukono-Mbalala'!D57,'3.11 Mukono-Mbalala'!D57,'1.11 Mukono-Mbalala-24h'!D57,'2.11 Mukono-Mbalala-24h'!D57,'4.11 Mukono-Mbalala '!D57)</f>
        <v>6.7142857142857144</v>
      </c>
      <c r="E57" s="49">
        <f>AVERAGE('29.10 Mukono-Mbalala'!E57,'30.10.Mukono-Mbalala'!E57,'31.10 Mukono-Mbalala'!E57,'3.11 Mukono-Mbalala'!E57,'1.11 Mukono-Mbalala-24h'!E57,'2.11 Mukono-Mbalala-24h'!E57,'4.11 Mukono-Mbalala '!E57)</f>
        <v>5.4285714285714288</v>
      </c>
      <c r="F57" s="49">
        <f>AVERAGE('29.10 Mukono-Mbalala'!F57,'30.10.Mukono-Mbalala'!F57,'31.10 Mukono-Mbalala'!F57,'3.11 Mukono-Mbalala'!F57,'1.11 Mukono-Mbalala-24h'!F57,'2.11 Mukono-Mbalala-24h'!F57,'4.11 Mukono-Mbalala '!F57)</f>
        <v>30</v>
      </c>
      <c r="G57" s="49">
        <f>AVERAGE('29.10 Mukono-Mbalala'!G57,'30.10.Mukono-Mbalala'!G57,'31.10 Mukono-Mbalala'!G57,'3.11 Mukono-Mbalala'!G57,'1.11 Mukono-Mbalala-24h'!G57,'2.11 Mukono-Mbalala-24h'!G57,'4.11 Mukono-Mbalala '!G57)</f>
        <v>1.7142857142857142</v>
      </c>
      <c r="H57" s="49">
        <f>AVERAGE('29.10 Mukono-Mbalala'!H57,'30.10.Mukono-Mbalala'!H57,'31.10 Mukono-Mbalala'!H57,'3.11 Mukono-Mbalala'!H57,'1.11 Mukono-Mbalala-24h'!H57,'2.11 Mukono-Mbalala-24h'!H57,'4.11 Mukono-Mbalala '!H57)</f>
        <v>0.8571428571428571</v>
      </c>
      <c r="I57" s="49">
        <f>AVERAGE('29.10 Mukono-Mbalala'!I57,'30.10.Mukono-Mbalala'!I57,'31.10 Mukono-Mbalala'!I57,'3.11 Mukono-Mbalala'!I57,'1.11 Mukono-Mbalala-24h'!I57,'2.11 Mukono-Mbalala-24h'!I57,'4.11 Mukono-Mbalala '!I57)</f>
        <v>5.2857142857142856</v>
      </c>
      <c r="J57" s="49">
        <f>AVERAGE('29.10 Mukono-Mbalala'!J57,'30.10.Mukono-Mbalala'!J57,'31.10 Mukono-Mbalala'!J57,'3.11 Mukono-Mbalala'!J57,'1.11 Mukono-Mbalala-24h'!J57,'2.11 Mukono-Mbalala-24h'!J57,'4.11 Mukono-Mbalala '!J57)</f>
        <v>5.4285714285714288</v>
      </c>
      <c r="K57" s="49">
        <f>AVERAGE('29.10 Mukono-Mbalala'!K57,'30.10.Mukono-Mbalala'!K57,'31.10 Mukono-Mbalala'!K57,'3.11 Mukono-Mbalala'!K57,'1.11 Mukono-Mbalala-24h'!K57,'2.11 Mukono-Mbalala-24h'!K57,'4.11 Mukono-Mbalala '!K57)</f>
        <v>4.8571428571428568</v>
      </c>
      <c r="L57" s="49">
        <f>AVERAGE('29.10 Mukono-Mbalala'!L57,'30.10.Mukono-Mbalala'!L57,'31.10 Mukono-Mbalala'!L57,'3.11 Mukono-Mbalala'!L57,'1.11 Mukono-Mbalala-24h'!L57,'2.11 Mukono-Mbalala-24h'!L57,'4.11 Mukono-Mbalala '!L57)</f>
        <v>17.857142857142858</v>
      </c>
      <c r="M57" s="49">
        <f>AVERAGE('29.10 Mukono-Mbalala'!M57,'30.10.Mukono-Mbalala'!M57,'31.10 Mukono-Mbalala'!M57,'3.11 Mukono-Mbalala'!M57,'1.11 Mukono-Mbalala-24h'!M57,'2.11 Mukono-Mbalala-24h'!M57,'4.11 Mukono-Mbalala '!M57)</f>
        <v>142.85714285714286</v>
      </c>
      <c r="N57" s="49">
        <f>AVERAGE('29.10 Mukono-Mbalala'!N57,'30.10.Mukono-Mbalala'!N57,'31.10 Mukono-Mbalala'!N57,'3.11 Mukono-Mbalala'!N57,'1.11 Mukono-Mbalala-24h'!N57,'2.11 Mukono-Mbalala-24h'!N57,'4.11 Mukono-Mbalala '!N57)</f>
        <v>0</v>
      </c>
      <c r="O57" s="15">
        <f t="shared" si="0"/>
        <v>115.28571428571431</v>
      </c>
      <c r="P57" s="15">
        <f t="shared" si="1"/>
        <v>258.14285714285717</v>
      </c>
      <c r="R57" s="8"/>
      <c r="T57"/>
    </row>
    <row r="58" spans="2:20" ht="23.1" customHeight="1" x14ac:dyDescent="0.25">
      <c r="B58" s="23" t="s">
        <v>99</v>
      </c>
      <c r="C58" s="49">
        <f>AVERAGE('1.11 Mukono-Mbalala-24h'!C58,'2.11 Mukono-Mbalala-24h'!C58)</f>
        <v>45</v>
      </c>
      <c r="D58" s="49">
        <f>AVERAGE('1.11 Mukono-Mbalala-24h'!D58,'2.11 Mukono-Mbalala-24h'!D58)</f>
        <v>5.5</v>
      </c>
      <c r="E58" s="49">
        <f>AVERAGE('1.11 Mukono-Mbalala-24h'!E58,'2.11 Mukono-Mbalala-24h'!E58)</f>
        <v>3</v>
      </c>
      <c r="F58" s="49">
        <f>AVERAGE('1.11 Mukono-Mbalala-24h'!F58,'2.11 Mukono-Mbalala-24h'!F58)</f>
        <v>33.5</v>
      </c>
      <c r="G58" s="49">
        <f>AVERAGE('1.11 Mukono-Mbalala-24h'!G58,'2.11 Mukono-Mbalala-24h'!G58)</f>
        <v>2</v>
      </c>
      <c r="H58" s="49">
        <f>AVERAGE('1.11 Mukono-Mbalala-24h'!H58,'2.11 Mukono-Mbalala-24h'!H58)</f>
        <v>3</v>
      </c>
      <c r="I58" s="49">
        <f>AVERAGE('1.11 Mukono-Mbalala-24h'!I58,'2.11 Mukono-Mbalala-24h'!I58)</f>
        <v>5.5</v>
      </c>
      <c r="J58" s="49">
        <f>AVERAGE('1.11 Mukono-Mbalala-24h'!J58,'2.11 Mukono-Mbalala-24h'!J58)</f>
        <v>3</v>
      </c>
      <c r="K58" s="49">
        <f>AVERAGE('1.11 Mukono-Mbalala-24h'!K58,'2.11 Mukono-Mbalala-24h'!K58)</f>
        <v>4</v>
      </c>
      <c r="L58" s="49">
        <f>AVERAGE('1.11 Mukono-Mbalala-24h'!L58,'2.11 Mukono-Mbalala-24h'!L58)</f>
        <v>7.5</v>
      </c>
      <c r="M58" s="49">
        <f>AVERAGE('1.11 Mukono-Mbalala-24h'!M58,'2.11 Mukono-Mbalala-24h'!M58)</f>
        <v>43</v>
      </c>
      <c r="N58" s="49">
        <f>AVERAGE('1.11 Mukono-Mbalala-24h'!N58,'2.11 Mukono-Mbalala-24h'!N58)</f>
        <v>0</v>
      </c>
      <c r="O58" s="15">
        <f t="shared" si="0"/>
        <v>112</v>
      </c>
      <c r="P58" s="15">
        <f t="shared" si="1"/>
        <v>155</v>
      </c>
      <c r="R58" s="8"/>
      <c r="T58"/>
    </row>
    <row r="59" spans="2:20" ht="23.1" customHeight="1" x14ac:dyDescent="0.25">
      <c r="B59" s="23" t="s">
        <v>100</v>
      </c>
      <c r="C59" s="49">
        <f>AVERAGE('1.11 Mukono-Mbalala-24h'!C59,'2.11 Mukono-Mbalala-24h'!C59)</f>
        <v>63.5</v>
      </c>
      <c r="D59" s="49">
        <f>AVERAGE('1.11 Mukono-Mbalala-24h'!D59,'2.11 Mukono-Mbalala-24h'!D59)</f>
        <v>10</v>
      </c>
      <c r="E59" s="49">
        <f>AVERAGE('1.11 Mukono-Mbalala-24h'!E59,'2.11 Mukono-Mbalala-24h'!E59)</f>
        <v>7</v>
      </c>
      <c r="F59" s="49">
        <f>AVERAGE('1.11 Mukono-Mbalala-24h'!F59,'2.11 Mukono-Mbalala-24h'!F59)</f>
        <v>45.5</v>
      </c>
      <c r="G59" s="49">
        <f>AVERAGE('1.11 Mukono-Mbalala-24h'!G59,'2.11 Mukono-Mbalala-24h'!G59)</f>
        <v>1.5</v>
      </c>
      <c r="H59" s="49">
        <f>AVERAGE('1.11 Mukono-Mbalala-24h'!H59,'2.11 Mukono-Mbalala-24h'!H59)</f>
        <v>0</v>
      </c>
      <c r="I59" s="49">
        <f>AVERAGE('1.11 Mukono-Mbalala-24h'!I59,'2.11 Mukono-Mbalala-24h'!I59)</f>
        <v>8.5</v>
      </c>
      <c r="J59" s="49">
        <f>AVERAGE('1.11 Mukono-Mbalala-24h'!J59,'2.11 Mukono-Mbalala-24h'!J59)</f>
        <v>13</v>
      </c>
      <c r="K59" s="49">
        <f>AVERAGE('1.11 Mukono-Mbalala-24h'!K59,'2.11 Mukono-Mbalala-24h'!K59)</f>
        <v>8.5</v>
      </c>
      <c r="L59" s="49">
        <f>AVERAGE('1.11 Mukono-Mbalala-24h'!L59,'2.11 Mukono-Mbalala-24h'!L59)</f>
        <v>18</v>
      </c>
      <c r="M59" s="49">
        <f>AVERAGE('1.11 Mukono-Mbalala-24h'!M59,'2.11 Mukono-Mbalala-24h'!M59)</f>
        <v>53</v>
      </c>
      <c r="N59" s="49">
        <f>AVERAGE('1.11 Mukono-Mbalala-24h'!N59,'2.11 Mukono-Mbalala-24h'!N59)</f>
        <v>0</v>
      </c>
      <c r="O59" s="15">
        <f t="shared" si="0"/>
        <v>175.5</v>
      </c>
      <c r="P59" s="15">
        <f t="shared" si="1"/>
        <v>228.5</v>
      </c>
      <c r="R59" s="8"/>
      <c r="T59"/>
    </row>
    <row r="60" spans="2:20" ht="23.1" customHeight="1" x14ac:dyDescent="0.25">
      <c r="B60" s="23" t="s">
        <v>101</v>
      </c>
      <c r="C60" s="49">
        <f>AVERAGE('1.11 Mukono-Mbalala-24h'!C60,'2.11 Mukono-Mbalala-24h'!C60)</f>
        <v>37.5</v>
      </c>
      <c r="D60" s="49">
        <f>AVERAGE('1.11 Mukono-Mbalala-24h'!D60,'2.11 Mukono-Mbalala-24h'!D60)</f>
        <v>6.5</v>
      </c>
      <c r="E60" s="49">
        <f>AVERAGE('1.11 Mukono-Mbalala-24h'!E60,'2.11 Mukono-Mbalala-24h'!E60)</f>
        <v>9</v>
      </c>
      <c r="F60" s="49">
        <f>AVERAGE('1.11 Mukono-Mbalala-24h'!F60,'2.11 Mukono-Mbalala-24h'!F60)</f>
        <v>26</v>
      </c>
      <c r="G60" s="49">
        <f>AVERAGE('1.11 Mukono-Mbalala-24h'!G60,'2.11 Mukono-Mbalala-24h'!G60)</f>
        <v>1</v>
      </c>
      <c r="H60" s="49">
        <f>AVERAGE('1.11 Mukono-Mbalala-24h'!H60,'2.11 Mukono-Mbalala-24h'!H60)</f>
        <v>3</v>
      </c>
      <c r="I60" s="49">
        <f>AVERAGE('1.11 Mukono-Mbalala-24h'!I60,'2.11 Mukono-Mbalala-24h'!I60)</f>
        <v>6</v>
      </c>
      <c r="J60" s="49">
        <f>AVERAGE('1.11 Mukono-Mbalala-24h'!J60,'2.11 Mukono-Mbalala-24h'!J60)</f>
        <v>8.5</v>
      </c>
      <c r="K60" s="49">
        <f>AVERAGE('1.11 Mukono-Mbalala-24h'!K60,'2.11 Mukono-Mbalala-24h'!K60)</f>
        <v>2.5</v>
      </c>
      <c r="L60" s="49">
        <f>AVERAGE('1.11 Mukono-Mbalala-24h'!L60,'2.11 Mukono-Mbalala-24h'!L60)</f>
        <v>22.5</v>
      </c>
      <c r="M60" s="49">
        <f>AVERAGE('1.11 Mukono-Mbalala-24h'!M60,'2.11 Mukono-Mbalala-24h'!M60)</f>
        <v>46</v>
      </c>
      <c r="N60" s="49">
        <f>AVERAGE('1.11 Mukono-Mbalala-24h'!N60,'2.11 Mukono-Mbalala-24h'!N60)</f>
        <v>0</v>
      </c>
      <c r="O60" s="15">
        <f t="shared" si="0"/>
        <v>122.5</v>
      </c>
      <c r="P60" s="15">
        <f t="shared" si="1"/>
        <v>168.5</v>
      </c>
      <c r="R60" s="8"/>
      <c r="T60"/>
    </row>
    <row r="61" spans="2:20" ht="23.1" customHeight="1" x14ac:dyDescent="0.25">
      <c r="B61" s="23" t="s">
        <v>102</v>
      </c>
      <c r="C61" s="49">
        <f>AVERAGE('1.11 Mukono-Mbalala-24h'!C61,'2.11 Mukono-Mbalala-24h'!C61)</f>
        <v>21</v>
      </c>
      <c r="D61" s="49">
        <f>AVERAGE('1.11 Mukono-Mbalala-24h'!D61,'2.11 Mukono-Mbalala-24h'!D61)</f>
        <v>8.5</v>
      </c>
      <c r="E61" s="49">
        <f>AVERAGE('1.11 Mukono-Mbalala-24h'!E61,'2.11 Mukono-Mbalala-24h'!E61)</f>
        <v>5.5</v>
      </c>
      <c r="F61" s="49">
        <f>AVERAGE('1.11 Mukono-Mbalala-24h'!F61,'2.11 Mukono-Mbalala-24h'!F61)</f>
        <v>37.5</v>
      </c>
      <c r="G61" s="49">
        <f>AVERAGE('1.11 Mukono-Mbalala-24h'!G61,'2.11 Mukono-Mbalala-24h'!G61)</f>
        <v>8</v>
      </c>
      <c r="H61" s="49">
        <f>AVERAGE('1.11 Mukono-Mbalala-24h'!H61,'2.11 Mukono-Mbalala-24h'!H61)</f>
        <v>11.5</v>
      </c>
      <c r="I61" s="49">
        <f>AVERAGE('1.11 Mukono-Mbalala-24h'!I61,'2.11 Mukono-Mbalala-24h'!I61)</f>
        <v>13.5</v>
      </c>
      <c r="J61" s="49">
        <f>AVERAGE('1.11 Mukono-Mbalala-24h'!J61,'2.11 Mukono-Mbalala-24h'!J61)</f>
        <v>5</v>
      </c>
      <c r="K61" s="49">
        <f>AVERAGE('1.11 Mukono-Mbalala-24h'!K61,'2.11 Mukono-Mbalala-24h'!K61)</f>
        <v>4</v>
      </c>
      <c r="L61" s="49">
        <f>AVERAGE('1.11 Mukono-Mbalala-24h'!L61,'2.11 Mukono-Mbalala-24h'!L61)</f>
        <v>20.5</v>
      </c>
      <c r="M61" s="49">
        <f>AVERAGE('1.11 Mukono-Mbalala-24h'!M61,'2.11 Mukono-Mbalala-24h'!M61)</f>
        <v>61.5</v>
      </c>
      <c r="N61" s="49">
        <f>AVERAGE('1.11 Mukono-Mbalala-24h'!N61,'2.11 Mukono-Mbalala-24h'!N61)</f>
        <v>0</v>
      </c>
      <c r="O61" s="15">
        <f t="shared" si="0"/>
        <v>135</v>
      </c>
      <c r="P61" s="15">
        <f t="shared" si="1"/>
        <v>196.5</v>
      </c>
      <c r="R61" s="8"/>
      <c r="T61"/>
    </row>
    <row r="62" spans="2:20" ht="23.1" customHeight="1" x14ac:dyDescent="0.25">
      <c r="B62" s="23" t="s">
        <v>107</v>
      </c>
      <c r="C62" s="49">
        <f>AVERAGE('1.11 Mukono-Mbalala-24h'!C62,'2.11 Mukono-Mbalala-24h'!C62)</f>
        <v>52</v>
      </c>
      <c r="D62" s="49">
        <f>AVERAGE('1.11 Mukono-Mbalala-24h'!D62,'2.11 Mukono-Mbalala-24h'!D62)</f>
        <v>16.5</v>
      </c>
      <c r="E62" s="49">
        <f>AVERAGE('1.11 Mukono-Mbalala-24h'!E62,'2.11 Mukono-Mbalala-24h'!E62)</f>
        <v>17</v>
      </c>
      <c r="F62" s="49">
        <f>AVERAGE('1.11 Mukono-Mbalala-24h'!F62,'2.11 Mukono-Mbalala-24h'!F62)</f>
        <v>53</v>
      </c>
      <c r="G62" s="49">
        <f>AVERAGE('1.11 Mukono-Mbalala-24h'!G62,'2.11 Mukono-Mbalala-24h'!G62)</f>
        <v>1.5</v>
      </c>
      <c r="H62" s="49">
        <f>AVERAGE('1.11 Mukono-Mbalala-24h'!H62,'2.11 Mukono-Mbalala-24h'!H62)</f>
        <v>1.5</v>
      </c>
      <c r="I62" s="49">
        <f>AVERAGE('1.11 Mukono-Mbalala-24h'!I62,'2.11 Mukono-Mbalala-24h'!I62)</f>
        <v>4.5</v>
      </c>
      <c r="J62" s="49">
        <f>AVERAGE('1.11 Mukono-Mbalala-24h'!J62,'2.11 Mukono-Mbalala-24h'!J62)</f>
        <v>22</v>
      </c>
      <c r="K62" s="49">
        <f>AVERAGE('1.11 Mukono-Mbalala-24h'!K62,'2.11 Mukono-Mbalala-24h'!K62)</f>
        <v>9</v>
      </c>
      <c r="L62" s="49">
        <f>AVERAGE('1.11 Mukono-Mbalala-24h'!L62,'2.11 Mukono-Mbalala-24h'!L62)</f>
        <v>29</v>
      </c>
      <c r="M62" s="49">
        <f>AVERAGE('1.11 Mukono-Mbalala-24h'!M62,'2.11 Mukono-Mbalala-24h'!M62)</f>
        <v>72</v>
      </c>
      <c r="N62" s="49">
        <f>AVERAGE('1.11 Mukono-Mbalala-24h'!N62,'2.11 Mukono-Mbalala-24h'!N62)</f>
        <v>0</v>
      </c>
      <c r="O62" s="15">
        <f t="shared" si="0"/>
        <v>206</v>
      </c>
      <c r="P62" s="15">
        <f t="shared" si="1"/>
        <v>278</v>
      </c>
      <c r="R62" s="8"/>
      <c r="T62"/>
    </row>
    <row r="63" spans="2:20" ht="23.1" customHeight="1" x14ac:dyDescent="0.25">
      <c r="B63" s="23" t="s">
        <v>108</v>
      </c>
      <c r="C63" s="49">
        <f>AVERAGE('1.11 Mukono-Mbalala-24h'!C63,'2.11 Mukono-Mbalala-24h'!C63)</f>
        <v>40</v>
      </c>
      <c r="D63" s="49">
        <f>AVERAGE('1.11 Mukono-Mbalala-24h'!D63,'2.11 Mukono-Mbalala-24h'!D63)</f>
        <v>13.5</v>
      </c>
      <c r="E63" s="49">
        <f>AVERAGE('1.11 Mukono-Mbalala-24h'!E63,'2.11 Mukono-Mbalala-24h'!E63)</f>
        <v>9.5</v>
      </c>
      <c r="F63" s="49">
        <f>AVERAGE('1.11 Mukono-Mbalala-24h'!F63,'2.11 Mukono-Mbalala-24h'!F63)</f>
        <v>44</v>
      </c>
      <c r="G63" s="49">
        <f>AVERAGE('1.11 Mukono-Mbalala-24h'!G63,'2.11 Mukono-Mbalala-24h'!G63)</f>
        <v>2.5</v>
      </c>
      <c r="H63" s="49">
        <f>AVERAGE('1.11 Mukono-Mbalala-24h'!H63,'2.11 Mukono-Mbalala-24h'!H63)</f>
        <v>1</v>
      </c>
      <c r="I63" s="49">
        <f>AVERAGE('1.11 Mukono-Mbalala-24h'!I63,'2.11 Mukono-Mbalala-24h'!I63)</f>
        <v>6</v>
      </c>
      <c r="J63" s="49">
        <f>AVERAGE('1.11 Mukono-Mbalala-24h'!J63,'2.11 Mukono-Mbalala-24h'!J63)</f>
        <v>4.5</v>
      </c>
      <c r="K63" s="49">
        <f>AVERAGE('1.11 Mukono-Mbalala-24h'!K63,'2.11 Mukono-Mbalala-24h'!K63)</f>
        <v>4.5</v>
      </c>
      <c r="L63" s="49">
        <f>AVERAGE('1.11 Mukono-Mbalala-24h'!L63,'2.11 Mukono-Mbalala-24h'!L63)</f>
        <v>18</v>
      </c>
      <c r="M63" s="49">
        <f>AVERAGE('1.11 Mukono-Mbalala-24h'!M63,'2.11 Mukono-Mbalala-24h'!M63)</f>
        <v>66.5</v>
      </c>
      <c r="N63" s="49">
        <f>AVERAGE('1.11 Mukono-Mbalala-24h'!N63,'2.11 Mukono-Mbalala-24h'!N63)</f>
        <v>0</v>
      </c>
      <c r="O63" s="15">
        <f t="shared" si="0"/>
        <v>143.5</v>
      </c>
      <c r="P63" s="15">
        <f t="shared" si="1"/>
        <v>210</v>
      </c>
      <c r="R63" s="8"/>
      <c r="T63"/>
    </row>
    <row r="64" spans="2:20" ht="23.1" customHeight="1" x14ac:dyDescent="0.25">
      <c r="B64" s="23" t="s">
        <v>109</v>
      </c>
      <c r="C64" s="49">
        <f>AVERAGE('1.11 Mukono-Mbalala-24h'!C64,'2.11 Mukono-Mbalala-24h'!C64)</f>
        <v>44</v>
      </c>
      <c r="D64" s="49">
        <f>AVERAGE('1.11 Mukono-Mbalala-24h'!D64,'2.11 Mukono-Mbalala-24h'!D64)</f>
        <v>19</v>
      </c>
      <c r="E64" s="49">
        <f>AVERAGE('1.11 Mukono-Mbalala-24h'!E64,'2.11 Mukono-Mbalala-24h'!E64)</f>
        <v>11.5</v>
      </c>
      <c r="F64" s="49">
        <f>AVERAGE('1.11 Mukono-Mbalala-24h'!F64,'2.11 Mukono-Mbalala-24h'!F64)</f>
        <v>52</v>
      </c>
      <c r="G64" s="49">
        <f>AVERAGE('1.11 Mukono-Mbalala-24h'!G64,'2.11 Mukono-Mbalala-24h'!G64)</f>
        <v>4.5</v>
      </c>
      <c r="H64" s="49">
        <f>AVERAGE('1.11 Mukono-Mbalala-24h'!H64,'2.11 Mukono-Mbalala-24h'!H64)</f>
        <v>0</v>
      </c>
      <c r="I64" s="49">
        <f>AVERAGE('1.11 Mukono-Mbalala-24h'!I64,'2.11 Mukono-Mbalala-24h'!I64)</f>
        <v>6</v>
      </c>
      <c r="J64" s="49">
        <f>AVERAGE('1.11 Mukono-Mbalala-24h'!J64,'2.11 Mukono-Mbalala-24h'!J64)</f>
        <v>4.5</v>
      </c>
      <c r="K64" s="49">
        <f>AVERAGE('1.11 Mukono-Mbalala-24h'!K64,'2.11 Mukono-Mbalala-24h'!K64)</f>
        <v>12.5</v>
      </c>
      <c r="L64" s="49">
        <f>AVERAGE('1.11 Mukono-Mbalala-24h'!L64,'2.11 Mukono-Mbalala-24h'!L64)</f>
        <v>15.5</v>
      </c>
      <c r="M64" s="49">
        <f>AVERAGE('1.11 Mukono-Mbalala-24h'!M64,'2.11 Mukono-Mbalala-24h'!M64)</f>
        <v>62</v>
      </c>
      <c r="N64" s="49">
        <f>AVERAGE('1.11 Mukono-Mbalala-24h'!N64,'2.11 Mukono-Mbalala-24h'!N64)</f>
        <v>0</v>
      </c>
      <c r="O64" s="15">
        <f t="shared" si="0"/>
        <v>169.5</v>
      </c>
      <c r="P64" s="15">
        <f t="shared" si="1"/>
        <v>231.5</v>
      </c>
      <c r="R64" s="8"/>
      <c r="T64"/>
    </row>
    <row r="65" spans="2:20" ht="23.1" customHeight="1" x14ac:dyDescent="0.25">
      <c r="B65" s="23" t="s">
        <v>158</v>
      </c>
      <c r="C65" s="49">
        <f>AVERAGE('1.11 Mukono-Mbalala-24h'!C65,'2.11 Mukono-Mbalala-24h'!C65)</f>
        <v>50</v>
      </c>
      <c r="D65" s="49">
        <f>AVERAGE('1.11 Mukono-Mbalala-24h'!D65,'2.11 Mukono-Mbalala-24h'!D65)</f>
        <v>8.5</v>
      </c>
      <c r="E65" s="49">
        <f>AVERAGE('1.11 Mukono-Mbalala-24h'!E65,'2.11 Mukono-Mbalala-24h'!E65)</f>
        <v>9.5</v>
      </c>
      <c r="F65" s="49">
        <f>AVERAGE('1.11 Mukono-Mbalala-24h'!F65,'2.11 Mukono-Mbalala-24h'!F65)</f>
        <v>56</v>
      </c>
      <c r="G65" s="49">
        <f>AVERAGE('1.11 Mukono-Mbalala-24h'!G65,'2.11 Mukono-Mbalala-24h'!G65)</f>
        <v>1.5</v>
      </c>
      <c r="H65" s="49">
        <f>AVERAGE('1.11 Mukono-Mbalala-24h'!H65,'2.11 Mukono-Mbalala-24h'!H65)</f>
        <v>0</v>
      </c>
      <c r="I65" s="49">
        <f>AVERAGE('1.11 Mukono-Mbalala-24h'!I65,'2.11 Mukono-Mbalala-24h'!I65)</f>
        <v>12.5</v>
      </c>
      <c r="J65" s="49">
        <f>AVERAGE('1.11 Mukono-Mbalala-24h'!J65,'2.11 Mukono-Mbalala-24h'!J65)</f>
        <v>3.5</v>
      </c>
      <c r="K65" s="49">
        <f>AVERAGE('1.11 Mukono-Mbalala-24h'!K65,'2.11 Mukono-Mbalala-24h'!K65)</f>
        <v>5.5</v>
      </c>
      <c r="L65" s="49">
        <f>AVERAGE('1.11 Mukono-Mbalala-24h'!L65,'2.11 Mukono-Mbalala-24h'!L65)</f>
        <v>21</v>
      </c>
      <c r="M65" s="49">
        <f>AVERAGE('1.11 Mukono-Mbalala-24h'!M65,'2.11 Mukono-Mbalala-24h'!M65)</f>
        <v>42.5</v>
      </c>
      <c r="N65" s="49">
        <f>AVERAGE('1.11 Mukono-Mbalala-24h'!N65,'2.11 Mukono-Mbalala-24h'!N65)</f>
        <v>0</v>
      </c>
      <c r="O65" s="15">
        <f t="shared" si="0"/>
        <v>168</v>
      </c>
      <c r="P65" s="15">
        <f t="shared" si="1"/>
        <v>210.5</v>
      </c>
      <c r="R65" s="8"/>
      <c r="T65"/>
    </row>
    <row r="66" spans="2:20" ht="23.1" customHeight="1" x14ac:dyDescent="0.25">
      <c r="B66" s="23" t="s">
        <v>103</v>
      </c>
      <c r="C66" s="49">
        <f>AVERAGE('1.11 Mukono-Mbalala-24h'!C66,'2.11 Mukono-Mbalala-24h'!C66)</f>
        <v>38</v>
      </c>
      <c r="D66" s="49">
        <f>AVERAGE('1.11 Mukono-Mbalala-24h'!D66,'2.11 Mukono-Mbalala-24h'!D66)</f>
        <v>15</v>
      </c>
      <c r="E66" s="49">
        <f>AVERAGE('1.11 Mukono-Mbalala-24h'!E66,'2.11 Mukono-Mbalala-24h'!E66)</f>
        <v>6</v>
      </c>
      <c r="F66" s="49">
        <f>AVERAGE('1.11 Mukono-Mbalala-24h'!F66,'2.11 Mukono-Mbalala-24h'!F66)</f>
        <v>53.5</v>
      </c>
      <c r="G66" s="49">
        <f>AVERAGE('1.11 Mukono-Mbalala-24h'!G66,'2.11 Mukono-Mbalala-24h'!G66)</f>
        <v>2</v>
      </c>
      <c r="H66" s="49">
        <f>AVERAGE('1.11 Mukono-Mbalala-24h'!H66,'2.11 Mukono-Mbalala-24h'!H66)</f>
        <v>0.5</v>
      </c>
      <c r="I66" s="49">
        <f>AVERAGE('1.11 Mukono-Mbalala-24h'!I66,'2.11 Mukono-Mbalala-24h'!I66)</f>
        <v>10</v>
      </c>
      <c r="J66" s="49">
        <f>AVERAGE('1.11 Mukono-Mbalala-24h'!J66,'2.11 Mukono-Mbalala-24h'!J66)</f>
        <v>7</v>
      </c>
      <c r="K66" s="49">
        <f>AVERAGE('1.11 Mukono-Mbalala-24h'!K66,'2.11 Mukono-Mbalala-24h'!K66)</f>
        <v>7</v>
      </c>
      <c r="L66" s="49">
        <f>AVERAGE('1.11 Mukono-Mbalala-24h'!L66,'2.11 Mukono-Mbalala-24h'!L66)</f>
        <v>25</v>
      </c>
      <c r="M66" s="49">
        <f>AVERAGE('1.11 Mukono-Mbalala-24h'!M66,'2.11 Mukono-Mbalala-24h'!M66)</f>
        <v>65</v>
      </c>
      <c r="N66" s="49">
        <f>AVERAGE('1.11 Mukono-Mbalala-24h'!N66,'2.11 Mukono-Mbalala-24h'!N66)</f>
        <v>0</v>
      </c>
      <c r="O66" s="15">
        <f t="shared" si="0"/>
        <v>164</v>
      </c>
      <c r="P66" s="15">
        <f t="shared" si="1"/>
        <v>229</v>
      </c>
      <c r="R66" s="8"/>
      <c r="T66"/>
    </row>
    <row r="67" spans="2:20" ht="23.1" customHeight="1" x14ac:dyDescent="0.25">
      <c r="B67" s="23" t="s">
        <v>104</v>
      </c>
      <c r="C67" s="49">
        <f>AVERAGE('1.11 Mukono-Mbalala-24h'!C67,'2.11 Mukono-Mbalala-24h'!C67)</f>
        <v>29</v>
      </c>
      <c r="D67" s="49">
        <f>AVERAGE('1.11 Mukono-Mbalala-24h'!D67,'2.11 Mukono-Mbalala-24h'!D67)</f>
        <v>8</v>
      </c>
      <c r="E67" s="49">
        <f>AVERAGE('1.11 Mukono-Mbalala-24h'!E67,'2.11 Mukono-Mbalala-24h'!E67)</f>
        <v>8</v>
      </c>
      <c r="F67" s="49">
        <f>AVERAGE('1.11 Mukono-Mbalala-24h'!F67,'2.11 Mukono-Mbalala-24h'!F67)</f>
        <v>36.5</v>
      </c>
      <c r="G67" s="49">
        <f>AVERAGE('1.11 Mukono-Mbalala-24h'!G67,'2.11 Mukono-Mbalala-24h'!G67)</f>
        <v>4.5</v>
      </c>
      <c r="H67" s="49">
        <f>AVERAGE('1.11 Mukono-Mbalala-24h'!H67,'2.11 Mukono-Mbalala-24h'!H67)</f>
        <v>1</v>
      </c>
      <c r="I67" s="49">
        <f>AVERAGE('1.11 Mukono-Mbalala-24h'!I67,'2.11 Mukono-Mbalala-24h'!I67)</f>
        <v>6</v>
      </c>
      <c r="J67" s="49">
        <f>AVERAGE('1.11 Mukono-Mbalala-24h'!J67,'2.11 Mukono-Mbalala-24h'!J67)</f>
        <v>8</v>
      </c>
      <c r="K67" s="49">
        <f>AVERAGE('1.11 Mukono-Mbalala-24h'!K67,'2.11 Mukono-Mbalala-24h'!K67)</f>
        <v>5</v>
      </c>
      <c r="L67" s="49">
        <f>AVERAGE('1.11 Mukono-Mbalala-24h'!L67,'2.11 Mukono-Mbalala-24h'!L67)</f>
        <v>15.5</v>
      </c>
      <c r="M67" s="49">
        <f>AVERAGE('1.11 Mukono-Mbalala-24h'!M67,'2.11 Mukono-Mbalala-24h'!M67)</f>
        <v>47</v>
      </c>
      <c r="N67" s="49">
        <f>AVERAGE('1.11 Mukono-Mbalala-24h'!N67,'2.11 Mukono-Mbalala-24h'!N67)</f>
        <v>0</v>
      </c>
      <c r="O67" s="15">
        <f t="shared" si="0"/>
        <v>121.5</v>
      </c>
      <c r="P67" s="15">
        <f t="shared" si="1"/>
        <v>168.5</v>
      </c>
      <c r="R67" s="8"/>
      <c r="T67"/>
    </row>
    <row r="68" spans="2:20" ht="23.1" customHeight="1" x14ac:dyDescent="0.25">
      <c r="B68" s="23" t="s">
        <v>105</v>
      </c>
      <c r="C68" s="49">
        <f>AVERAGE('1.11 Mukono-Mbalala-24h'!C68,'2.11 Mukono-Mbalala-24h'!C68)</f>
        <v>41.5</v>
      </c>
      <c r="D68" s="49">
        <f>AVERAGE('1.11 Mukono-Mbalala-24h'!D68,'2.11 Mukono-Mbalala-24h'!D68)</f>
        <v>3.5</v>
      </c>
      <c r="E68" s="49">
        <f>AVERAGE('1.11 Mukono-Mbalala-24h'!E68,'2.11 Mukono-Mbalala-24h'!E68)</f>
        <v>3</v>
      </c>
      <c r="F68" s="49">
        <f>AVERAGE('1.11 Mukono-Mbalala-24h'!F68,'2.11 Mukono-Mbalala-24h'!F68)</f>
        <v>54.5</v>
      </c>
      <c r="G68" s="49">
        <f>AVERAGE('1.11 Mukono-Mbalala-24h'!G68,'2.11 Mukono-Mbalala-24h'!G68)</f>
        <v>5</v>
      </c>
      <c r="H68" s="49">
        <f>AVERAGE('1.11 Mukono-Mbalala-24h'!H68,'2.11 Mukono-Mbalala-24h'!H68)</f>
        <v>22.5</v>
      </c>
      <c r="I68" s="49">
        <f>AVERAGE('1.11 Mukono-Mbalala-24h'!I68,'2.11 Mukono-Mbalala-24h'!I68)</f>
        <v>11</v>
      </c>
      <c r="J68" s="49">
        <f>AVERAGE('1.11 Mukono-Mbalala-24h'!J68,'2.11 Mukono-Mbalala-24h'!J68)</f>
        <v>7.5</v>
      </c>
      <c r="K68" s="49">
        <f>AVERAGE('1.11 Mukono-Mbalala-24h'!K68,'2.11 Mukono-Mbalala-24h'!K68)</f>
        <v>8</v>
      </c>
      <c r="L68" s="49">
        <f>AVERAGE('1.11 Mukono-Mbalala-24h'!L68,'2.11 Mukono-Mbalala-24h'!L68)</f>
        <v>13.5</v>
      </c>
      <c r="M68" s="49">
        <f>AVERAGE('1.11 Mukono-Mbalala-24h'!M68,'2.11 Mukono-Mbalala-24h'!M68)</f>
        <v>33</v>
      </c>
      <c r="N68" s="49">
        <f>AVERAGE('1.11 Mukono-Mbalala-24h'!N68,'2.11 Mukono-Mbalala-24h'!N68)</f>
        <v>0</v>
      </c>
      <c r="O68" s="15">
        <f t="shared" si="0"/>
        <v>170</v>
      </c>
      <c r="P68" s="15">
        <f t="shared" si="1"/>
        <v>203</v>
      </c>
      <c r="R68" s="8"/>
      <c r="T68"/>
    </row>
    <row r="69" spans="2:20" ht="23.1" customHeight="1" x14ac:dyDescent="0.25">
      <c r="B69" s="23" t="s">
        <v>106</v>
      </c>
      <c r="C69" s="49">
        <f>AVERAGE('1.11 Mukono-Mbalala-24h'!C69,'2.11 Mukono-Mbalala-24h'!C69)</f>
        <v>10</v>
      </c>
      <c r="D69" s="49">
        <f>AVERAGE('1.11 Mukono-Mbalala-24h'!D69,'2.11 Mukono-Mbalala-24h'!D69)</f>
        <v>3</v>
      </c>
      <c r="E69" s="49">
        <f>AVERAGE('1.11 Mukono-Mbalala-24h'!E69,'2.11 Mukono-Mbalala-24h'!E69)</f>
        <v>2.5</v>
      </c>
      <c r="F69" s="49">
        <f>AVERAGE('1.11 Mukono-Mbalala-24h'!F69,'2.11 Mukono-Mbalala-24h'!F69)</f>
        <v>51.5</v>
      </c>
      <c r="G69" s="49">
        <f>AVERAGE('1.11 Mukono-Mbalala-24h'!G69,'2.11 Mukono-Mbalala-24h'!G69)</f>
        <v>0</v>
      </c>
      <c r="H69" s="49">
        <f>AVERAGE('1.11 Mukono-Mbalala-24h'!H69,'2.11 Mukono-Mbalala-24h'!H69)</f>
        <v>12.5</v>
      </c>
      <c r="I69" s="49">
        <f>AVERAGE('1.11 Mukono-Mbalala-24h'!I69,'2.11 Mukono-Mbalala-24h'!I69)</f>
        <v>6.5</v>
      </c>
      <c r="J69" s="49">
        <f>AVERAGE('1.11 Mukono-Mbalala-24h'!J69,'2.11 Mukono-Mbalala-24h'!J69)</f>
        <v>6</v>
      </c>
      <c r="K69" s="49">
        <f>AVERAGE('1.11 Mukono-Mbalala-24h'!K69,'2.11 Mukono-Mbalala-24h'!K69)</f>
        <v>5</v>
      </c>
      <c r="L69" s="49">
        <f>AVERAGE('1.11 Mukono-Mbalala-24h'!L69,'2.11 Mukono-Mbalala-24h'!L69)</f>
        <v>11.5</v>
      </c>
      <c r="M69" s="49">
        <f>AVERAGE('1.11 Mukono-Mbalala-24h'!M69,'2.11 Mukono-Mbalala-24h'!M69)</f>
        <v>44</v>
      </c>
      <c r="N69" s="49">
        <f>AVERAGE('1.11 Mukono-Mbalala-24h'!N69,'2.11 Mukono-Mbalala-24h'!N69)</f>
        <v>0</v>
      </c>
      <c r="O69" s="15">
        <f t="shared" si="0"/>
        <v>108.5</v>
      </c>
      <c r="P69" s="15">
        <f t="shared" si="1"/>
        <v>152.5</v>
      </c>
      <c r="R69" s="8"/>
      <c r="T69"/>
    </row>
    <row r="70" spans="2:20" ht="23.1" customHeight="1" x14ac:dyDescent="0.25">
      <c r="B70" s="23" t="s">
        <v>110</v>
      </c>
      <c r="C70" s="49">
        <f>AVERAGE('1.11 Mukono-Mbalala-24h'!C70,'2.11 Mukono-Mbalala-24h'!C70)</f>
        <v>12</v>
      </c>
      <c r="D70" s="49">
        <f>AVERAGE('1.11 Mukono-Mbalala-24h'!D70,'2.11 Mukono-Mbalala-24h'!D70)</f>
        <v>2.5</v>
      </c>
      <c r="E70" s="49">
        <f>AVERAGE('1.11 Mukono-Mbalala-24h'!E70,'2.11 Mukono-Mbalala-24h'!E70)</f>
        <v>1.5</v>
      </c>
      <c r="F70" s="49">
        <f>AVERAGE('1.11 Mukono-Mbalala-24h'!F70,'2.11 Mukono-Mbalala-24h'!F70)</f>
        <v>9.5</v>
      </c>
      <c r="G70" s="49">
        <f>AVERAGE('1.11 Mukono-Mbalala-24h'!G70,'2.11 Mukono-Mbalala-24h'!G70)</f>
        <v>1</v>
      </c>
      <c r="H70" s="49">
        <f>AVERAGE('1.11 Mukono-Mbalala-24h'!H70,'2.11 Mukono-Mbalala-24h'!H70)</f>
        <v>1.5</v>
      </c>
      <c r="I70" s="49">
        <f>AVERAGE('1.11 Mukono-Mbalala-24h'!I70,'2.11 Mukono-Mbalala-24h'!I70)</f>
        <v>2.5</v>
      </c>
      <c r="J70" s="49">
        <f>AVERAGE('1.11 Mukono-Mbalala-24h'!J70,'2.11 Mukono-Mbalala-24h'!J70)</f>
        <v>4</v>
      </c>
      <c r="K70" s="49">
        <f>AVERAGE('1.11 Mukono-Mbalala-24h'!K70,'2.11 Mukono-Mbalala-24h'!K70)</f>
        <v>1.5</v>
      </c>
      <c r="L70" s="49">
        <f>AVERAGE('1.11 Mukono-Mbalala-24h'!L70,'2.11 Mukono-Mbalala-24h'!L70)</f>
        <v>11.5</v>
      </c>
      <c r="M70" s="49">
        <f>AVERAGE('1.11 Mukono-Mbalala-24h'!M70,'2.11 Mukono-Mbalala-24h'!M70)</f>
        <v>25</v>
      </c>
      <c r="N70" s="49">
        <f>AVERAGE('1.11 Mukono-Mbalala-24h'!N70,'2.11 Mukono-Mbalala-24h'!N70)</f>
        <v>0</v>
      </c>
      <c r="O70" s="15">
        <f t="shared" si="0"/>
        <v>47.5</v>
      </c>
      <c r="P70" s="15">
        <f t="shared" si="1"/>
        <v>72.5</v>
      </c>
      <c r="R70" s="8"/>
      <c r="T70"/>
    </row>
    <row r="71" spans="2:20" ht="23.1" customHeight="1" x14ac:dyDescent="0.25">
      <c r="B71" s="23" t="s">
        <v>111</v>
      </c>
      <c r="C71" s="49">
        <f>AVERAGE('1.11 Mukono-Mbalala-24h'!C71,'2.11 Mukono-Mbalala-24h'!C71)</f>
        <v>14</v>
      </c>
      <c r="D71" s="49">
        <f>AVERAGE('1.11 Mukono-Mbalala-24h'!D71,'2.11 Mukono-Mbalala-24h'!D71)</f>
        <v>3.5</v>
      </c>
      <c r="E71" s="49">
        <f>AVERAGE('1.11 Mukono-Mbalala-24h'!E71,'2.11 Mukono-Mbalala-24h'!E71)</f>
        <v>1.5</v>
      </c>
      <c r="F71" s="49">
        <f>AVERAGE('1.11 Mukono-Mbalala-24h'!F71,'2.11 Mukono-Mbalala-24h'!F71)</f>
        <v>10.5</v>
      </c>
      <c r="G71" s="49">
        <f>AVERAGE('1.11 Mukono-Mbalala-24h'!G71,'2.11 Mukono-Mbalala-24h'!G71)</f>
        <v>3</v>
      </c>
      <c r="H71" s="49">
        <f>AVERAGE('1.11 Mukono-Mbalala-24h'!H71,'2.11 Mukono-Mbalala-24h'!H71)</f>
        <v>0</v>
      </c>
      <c r="I71" s="49">
        <f>AVERAGE('1.11 Mukono-Mbalala-24h'!I71,'2.11 Mukono-Mbalala-24h'!I71)</f>
        <v>3.5</v>
      </c>
      <c r="J71" s="49">
        <f>AVERAGE('1.11 Mukono-Mbalala-24h'!J71,'2.11 Mukono-Mbalala-24h'!J71)</f>
        <v>3</v>
      </c>
      <c r="K71" s="49">
        <f>AVERAGE('1.11 Mukono-Mbalala-24h'!K71,'2.11 Mukono-Mbalala-24h'!K71)</f>
        <v>2.5</v>
      </c>
      <c r="L71" s="49">
        <f>AVERAGE('1.11 Mukono-Mbalala-24h'!L71,'2.11 Mukono-Mbalala-24h'!L71)</f>
        <v>10.5</v>
      </c>
      <c r="M71" s="49">
        <f>AVERAGE('1.11 Mukono-Mbalala-24h'!M71,'2.11 Mukono-Mbalala-24h'!M71)</f>
        <v>10.5</v>
      </c>
      <c r="N71" s="49">
        <f>AVERAGE('1.11 Mukono-Mbalala-24h'!N71,'2.11 Mukono-Mbalala-24h'!N71)</f>
        <v>0</v>
      </c>
      <c r="O71" s="15">
        <f t="shared" si="0"/>
        <v>52</v>
      </c>
      <c r="P71" s="15">
        <f t="shared" si="1"/>
        <v>62.5</v>
      </c>
      <c r="R71" s="8"/>
      <c r="T71"/>
    </row>
    <row r="72" spans="2:20" ht="23.1" customHeight="1" x14ac:dyDescent="0.25">
      <c r="B72" s="23" t="s">
        <v>112</v>
      </c>
      <c r="C72" s="49">
        <f>AVERAGE('1.11 Mukono-Mbalala-24h'!C72,'2.11 Mukono-Mbalala-24h'!C72)</f>
        <v>8</v>
      </c>
      <c r="D72" s="49">
        <f>AVERAGE('1.11 Mukono-Mbalala-24h'!D72,'2.11 Mukono-Mbalala-24h'!D72)</f>
        <v>3.5</v>
      </c>
      <c r="E72" s="49">
        <f>AVERAGE('1.11 Mukono-Mbalala-24h'!E72,'2.11 Mukono-Mbalala-24h'!E72)</f>
        <v>2.5</v>
      </c>
      <c r="F72" s="49">
        <f>AVERAGE('1.11 Mukono-Mbalala-24h'!F72,'2.11 Mukono-Mbalala-24h'!F72)</f>
        <v>9</v>
      </c>
      <c r="G72" s="49">
        <f>AVERAGE('1.11 Mukono-Mbalala-24h'!G72,'2.11 Mukono-Mbalala-24h'!G72)</f>
        <v>1.5</v>
      </c>
      <c r="H72" s="49">
        <f>AVERAGE('1.11 Mukono-Mbalala-24h'!H72,'2.11 Mukono-Mbalala-24h'!H72)</f>
        <v>0</v>
      </c>
      <c r="I72" s="49">
        <f>AVERAGE('1.11 Mukono-Mbalala-24h'!I72,'2.11 Mukono-Mbalala-24h'!I72)</f>
        <v>1.5</v>
      </c>
      <c r="J72" s="49">
        <f>AVERAGE('1.11 Mukono-Mbalala-24h'!J72,'2.11 Mukono-Mbalala-24h'!J72)</f>
        <v>1.5</v>
      </c>
      <c r="K72" s="49">
        <f>AVERAGE('1.11 Mukono-Mbalala-24h'!K72,'2.11 Mukono-Mbalala-24h'!K72)</f>
        <v>5.5</v>
      </c>
      <c r="L72" s="49">
        <f>AVERAGE('1.11 Mukono-Mbalala-24h'!L72,'2.11 Mukono-Mbalala-24h'!L72)</f>
        <v>11</v>
      </c>
      <c r="M72" s="49">
        <f>AVERAGE('1.11 Mukono-Mbalala-24h'!M72,'2.11 Mukono-Mbalala-24h'!M72)</f>
        <v>8.5</v>
      </c>
      <c r="N72" s="49">
        <f>AVERAGE('1.11 Mukono-Mbalala-24h'!N72,'2.11 Mukono-Mbalala-24h'!N72)</f>
        <v>0</v>
      </c>
      <c r="O72" s="15">
        <f t="shared" si="0"/>
        <v>44</v>
      </c>
      <c r="P72" s="15">
        <f t="shared" si="1"/>
        <v>52.5</v>
      </c>
      <c r="R72" s="8"/>
      <c r="T72"/>
    </row>
    <row r="73" spans="2:20" ht="23.1" customHeight="1" x14ac:dyDescent="0.25">
      <c r="B73" s="23" t="s">
        <v>113</v>
      </c>
      <c r="C73" s="49">
        <f>AVERAGE('1.11 Mukono-Mbalala-24h'!C73,'2.11 Mukono-Mbalala-24h'!C73)</f>
        <v>12</v>
      </c>
      <c r="D73" s="49">
        <f>AVERAGE('1.11 Mukono-Mbalala-24h'!D73,'2.11 Mukono-Mbalala-24h'!D73)</f>
        <v>2</v>
      </c>
      <c r="E73" s="49">
        <f>AVERAGE('1.11 Mukono-Mbalala-24h'!E73,'2.11 Mukono-Mbalala-24h'!E73)</f>
        <v>1.5</v>
      </c>
      <c r="F73" s="49">
        <f>AVERAGE('1.11 Mukono-Mbalala-24h'!F73,'2.11 Mukono-Mbalala-24h'!F73)</f>
        <v>10</v>
      </c>
      <c r="G73" s="49">
        <f>AVERAGE('1.11 Mukono-Mbalala-24h'!G73,'2.11 Mukono-Mbalala-24h'!G73)</f>
        <v>3</v>
      </c>
      <c r="H73" s="49">
        <f>AVERAGE('1.11 Mukono-Mbalala-24h'!H73,'2.11 Mukono-Mbalala-24h'!H73)</f>
        <v>2</v>
      </c>
      <c r="I73" s="49">
        <f>AVERAGE('1.11 Mukono-Mbalala-24h'!I73,'2.11 Mukono-Mbalala-24h'!I73)</f>
        <v>3</v>
      </c>
      <c r="J73" s="49">
        <f>AVERAGE('1.11 Mukono-Mbalala-24h'!J73,'2.11 Mukono-Mbalala-24h'!J73)</f>
        <v>5.5</v>
      </c>
      <c r="K73" s="49">
        <f>AVERAGE('1.11 Mukono-Mbalala-24h'!K73,'2.11 Mukono-Mbalala-24h'!K73)</f>
        <v>3</v>
      </c>
      <c r="L73" s="49">
        <f>AVERAGE('1.11 Mukono-Mbalala-24h'!L73,'2.11 Mukono-Mbalala-24h'!L73)</f>
        <v>6.5</v>
      </c>
      <c r="M73" s="49">
        <f>AVERAGE('1.11 Mukono-Mbalala-24h'!M73,'2.11 Mukono-Mbalala-24h'!M73)</f>
        <v>8</v>
      </c>
      <c r="N73" s="49">
        <f>AVERAGE('1.11 Mukono-Mbalala-24h'!N73,'2.11 Mukono-Mbalala-24h'!N73)</f>
        <v>0</v>
      </c>
      <c r="O73" s="15">
        <f t="shared" si="0"/>
        <v>48.5</v>
      </c>
      <c r="P73" s="15">
        <f t="shared" si="1"/>
        <v>56.5</v>
      </c>
      <c r="R73" s="8"/>
      <c r="T73"/>
    </row>
    <row r="74" spans="2:20" ht="23.1" customHeight="1" x14ac:dyDescent="0.25">
      <c r="B74" s="23" t="s">
        <v>114</v>
      </c>
      <c r="C74" s="49">
        <f>AVERAGE('1.11 Mukono-Mbalala-24h'!C74,'2.11 Mukono-Mbalala-24h'!C74)</f>
        <v>14.5</v>
      </c>
      <c r="D74" s="49">
        <f>AVERAGE('1.11 Mukono-Mbalala-24h'!D74,'2.11 Mukono-Mbalala-24h'!D74)</f>
        <v>5.5</v>
      </c>
      <c r="E74" s="49">
        <f>AVERAGE('1.11 Mukono-Mbalala-24h'!E74,'2.11 Mukono-Mbalala-24h'!E74)</f>
        <v>1</v>
      </c>
      <c r="F74" s="49">
        <f>AVERAGE('1.11 Mukono-Mbalala-24h'!F74,'2.11 Mukono-Mbalala-24h'!F74)</f>
        <v>6.5</v>
      </c>
      <c r="G74" s="49">
        <f>AVERAGE('1.11 Mukono-Mbalala-24h'!G74,'2.11 Mukono-Mbalala-24h'!G74)</f>
        <v>1.5</v>
      </c>
      <c r="H74" s="49">
        <f>AVERAGE('1.11 Mukono-Mbalala-24h'!H74,'2.11 Mukono-Mbalala-24h'!H74)</f>
        <v>1.5</v>
      </c>
      <c r="I74" s="49">
        <f>AVERAGE('1.11 Mukono-Mbalala-24h'!I74,'2.11 Mukono-Mbalala-24h'!I74)</f>
        <v>1.5</v>
      </c>
      <c r="J74" s="49">
        <f>AVERAGE('1.11 Mukono-Mbalala-24h'!J74,'2.11 Mukono-Mbalala-24h'!J74)</f>
        <v>1.5</v>
      </c>
      <c r="K74" s="49">
        <f>AVERAGE('1.11 Mukono-Mbalala-24h'!K74,'2.11 Mukono-Mbalala-24h'!K74)</f>
        <v>6.5</v>
      </c>
      <c r="L74" s="49">
        <f>AVERAGE('1.11 Mukono-Mbalala-24h'!L74,'2.11 Mukono-Mbalala-24h'!L74)</f>
        <v>21</v>
      </c>
      <c r="M74" s="49">
        <f>AVERAGE('1.11 Mukono-Mbalala-24h'!M74,'2.11 Mukono-Mbalala-24h'!M74)</f>
        <v>8.5</v>
      </c>
      <c r="N74" s="49">
        <f>AVERAGE('1.11 Mukono-Mbalala-24h'!N74,'2.11 Mukono-Mbalala-24h'!N74)</f>
        <v>0</v>
      </c>
      <c r="O74" s="15">
        <f t="shared" ref="O74:O104" si="35">SUM(C74:L74,N74)</f>
        <v>61</v>
      </c>
      <c r="P74" s="15">
        <f t="shared" ref="P74:P104" si="36">SUM(C74:N74)</f>
        <v>69.5</v>
      </c>
      <c r="R74" s="8"/>
      <c r="T74"/>
    </row>
    <row r="75" spans="2:20" ht="23.1" customHeight="1" x14ac:dyDescent="0.25">
      <c r="B75" s="23" t="s">
        <v>115</v>
      </c>
      <c r="C75" s="49">
        <f>AVERAGE('1.11 Mukono-Mbalala-24h'!C75,'2.11 Mukono-Mbalala-24h'!C75)</f>
        <v>9.5</v>
      </c>
      <c r="D75" s="49">
        <f>AVERAGE('1.11 Mukono-Mbalala-24h'!D75,'2.11 Mukono-Mbalala-24h'!D75)</f>
        <v>5</v>
      </c>
      <c r="E75" s="49">
        <f>AVERAGE('1.11 Mukono-Mbalala-24h'!E75,'2.11 Mukono-Mbalala-24h'!E75)</f>
        <v>0</v>
      </c>
      <c r="F75" s="49">
        <f>AVERAGE('1.11 Mukono-Mbalala-24h'!F75,'2.11 Mukono-Mbalala-24h'!F75)</f>
        <v>10</v>
      </c>
      <c r="G75" s="49">
        <f>AVERAGE('1.11 Mukono-Mbalala-24h'!G75,'2.11 Mukono-Mbalala-24h'!G75)</f>
        <v>1</v>
      </c>
      <c r="H75" s="49">
        <f>AVERAGE('1.11 Mukono-Mbalala-24h'!H75,'2.11 Mukono-Mbalala-24h'!H75)</f>
        <v>0.5</v>
      </c>
      <c r="I75" s="49">
        <f>AVERAGE('1.11 Mukono-Mbalala-24h'!I75,'2.11 Mukono-Mbalala-24h'!I75)</f>
        <v>0</v>
      </c>
      <c r="J75" s="49">
        <f>AVERAGE('1.11 Mukono-Mbalala-24h'!J75,'2.11 Mukono-Mbalala-24h'!J75)</f>
        <v>2.5</v>
      </c>
      <c r="K75" s="49">
        <f>AVERAGE('1.11 Mukono-Mbalala-24h'!K75,'2.11 Mukono-Mbalala-24h'!K75)</f>
        <v>3</v>
      </c>
      <c r="L75" s="49">
        <f>AVERAGE('1.11 Mukono-Mbalala-24h'!L75,'2.11 Mukono-Mbalala-24h'!L75)</f>
        <v>10</v>
      </c>
      <c r="M75" s="49">
        <f>AVERAGE('1.11 Mukono-Mbalala-24h'!M75,'2.11 Mukono-Mbalala-24h'!M75)</f>
        <v>14.5</v>
      </c>
      <c r="N75" s="49">
        <f>AVERAGE('1.11 Mukono-Mbalala-24h'!N75,'2.11 Mukono-Mbalala-24h'!N75)</f>
        <v>0</v>
      </c>
      <c r="O75" s="15">
        <f t="shared" si="35"/>
        <v>41.5</v>
      </c>
      <c r="P75" s="15">
        <f t="shared" si="36"/>
        <v>56</v>
      </c>
      <c r="R75" s="8"/>
      <c r="T75"/>
    </row>
    <row r="76" spans="2:20" ht="23.1" customHeight="1" x14ac:dyDescent="0.25">
      <c r="B76" s="23" t="s">
        <v>116</v>
      </c>
      <c r="C76" s="49">
        <f>AVERAGE('1.11 Mukono-Mbalala-24h'!C76,'2.11 Mukono-Mbalala-24h'!C76)</f>
        <v>8</v>
      </c>
      <c r="D76" s="49">
        <f>AVERAGE('1.11 Mukono-Mbalala-24h'!D76,'2.11 Mukono-Mbalala-24h'!D76)</f>
        <v>2</v>
      </c>
      <c r="E76" s="49">
        <f>AVERAGE('1.11 Mukono-Mbalala-24h'!E76,'2.11 Mukono-Mbalala-24h'!E76)</f>
        <v>2</v>
      </c>
      <c r="F76" s="49">
        <f>AVERAGE('1.11 Mukono-Mbalala-24h'!F76,'2.11 Mukono-Mbalala-24h'!F76)</f>
        <v>8.5</v>
      </c>
      <c r="G76" s="49">
        <f>AVERAGE('1.11 Mukono-Mbalala-24h'!G76,'2.11 Mukono-Mbalala-24h'!G76)</f>
        <v>1</v>
      </c>
      <c r="H76" s="49">
        <f>AVERAGE('1.11 Mukono-Mbalala-24h'!H76,'2.11 Mukono-Mbalala-24h'!H76)</f>
        <v>0.5</v>
      </c>
      <c r="I76" s="49">
        <f>AVERAGE('1.11 Mukono-Mbalala-24h'!I76,'2.11 Mukono-Mbalala-24h'!I76)</f>
        <v>2.5</v>
      </c>
      <c r="J76" s="49">
        <f>AVERAGE('1.11 Mukono-Mbalala-24h'!J76,'2.11 Mukono-Mbalala-24h'!J76)</f>
        <v>4.5</v>
      </c>
      <c r="K76" s="49">
        <f>AVERAGE('1.11 Mukono-Mbalala-24h'!K76,'2.11 Mukono-Mbalala-24h'!K76)</f>
        <v>2.5</v>
      </c>
      <c r="L76" s="49">
        <f>AVERAGE('1.11 Mukono-Mbalala-24h'!L76,'2.11 Mukono-Mbalala-24h'!L76)</f>
        <v>12.5</v>
      </c>
      <c r="M76" s="49">
        <f>AVERAGE('1.11 Mukono-Mbalala-24h'!M76,'2.11 Mukono-Mbalala-24h'!M76)</f>
        <v>10</v>
      </c>
      <c r="N76" s="49">
        <f>AVERAGE('1.11 Mukono-Mbalala-24h'!N76,'2.11 Mukono-Mbalala-24h'!N76)</f>
        <v>0</v>
      </c>
      <c r="O76" s="15">
        <f t="shared" si="35"/>
        <v>44</v>
      </c>
      <c r="P76" s="15">
        <f t="shared" si="36"/>
        <v>54</v>
      </c>
      <c r="R76" s="8"/>
      <c r="T76"/>
    </row>
    <row r="77" spans="2:20" ht="23.1" customHeight="1" x14ac:dyDescent="0.25">
      <c r="B77" s="23" t="s">
        <v>117</v>
      </c>
      <c r="C77" s="49">
        <f>AVERAGE('1.11 Mukono-Mbalala-24h'!C77,'2.11 Mukono-Mbalala-24h'!C77)</f>
        <v>10</v>
      </c>
      <c r="D77" s="49">
        <f>AVERAGE('1.11 Mukono-Mbalala-24h'!D77,'2.11 Mukono-Mbalala-24h'!D77)</f>
        <v>2.5</v>
      </c>
      <c r="E77" s="49">
        <f>AVERAGE('1.11 Mukono-Mbalala-24h'!E77,'2.11 Mukono-Mbalala-24h'!E77)</f>
        <v>2</v>
      </c>
      <c r="F77" s="49">
        <f>AVERAGE('1.11 Mukono-Mbalala-24h'!F77,'2.11 Mukono-Mbalala-24h'!F77)</f>
        <v>8</v>
      </c>
      <c r="G77" s="49">
        <f>AVERAGE('1.11 Mukono-Mbalala-24h'!G77,'2.11 Mukono-Mbalala-24h'!G77)</f>
        <v>3</v>
      </c>
      <c r="H77" s="49">
        <f>AVERAGE('1.11 Mukono-Mbalala-24h'!H77,'2.11 Mukono-Mbalala-24h'!H77)</f>
        <v>0</v>
      </c>
      <c r="I77" s="49">
        <f>AVERAGE('1.11 Mukono-Mbalala-24h'!I77,'2.11 Mukono-Mbalala-24h'!I77)</f>
        <v>2</v>
      </c>
      <c r="J77" s="49">
        <f>AVERAGE('1.11 Mukono-Mbalala-24h'!J77,'2.11 Mukono-Mbalala-24h'!J77)</f>
        <v>4.5</v>
      </c>
      <c r="K77" s="49">
        <f>AVERAGE('1.11 Mukono-Mbalala-24h'!K77,'2.11 Mukono-Mbalala-24h'!K77)</f>
        <v>5</v>
      </c>
      <c r="L77" s="49">
        <f>AVERAGE('1.11 Mukono-Mbalala-24h'!L77,'2.11 Mukono-Mbalala-24h'!L77)</f>
        <v>11</v>
      </c>
      <c r="M77" s="49">
        <f>AVERAGE('1.11 Mukono-Mbalala-24h'!M77,'2.11 Mukono-Mbalala-24h'!M77)</f>
        <v>9.5</v>
      </c>
      <c r="N77" s="49">
        <f>AVERAGE('1.11 Mukono-Mbalala-24h'!N77,'2.11 Mukono-Mbalala-24h'!N77)</f>
        <v>0</v>
      </c>
      <c r="O77" s="15">
        <f t="shared" si="35"/>
        <v>48</v>
      </c>
      <c r="P77" s="15">
        <f t="shared" si="36"/>
        <v>57.5</v>
      </c>
      <c r="R77" s="8"/>
      <c r="T77"/>
    </row>
    <row r="78" spans="2:20" ht="23.1" customHeight="1" x14ac:dyDescent="0.25">
      <c r="B78" s="24" t="s">
        <v>118</v>
      </c>
      <c r="C78" s="49">
        <f>AVERAGE('1.11 Mukono-Mbalala-24h'!C78,'2.11 Mukono-Mbalala-24h'!C78)</f>
        <v>8.5</v>
      </c>
      <c r="D78" s="49">
        <f>AVERAGE('1.11 Mukono-Mbalala-24h'!D78,'2.11 Mukono-Mbalala-24h'!D78)</f>
        <v>2.5</v>
      </c>
      <c r="E78" s="49">
        <f>AVERAGE('1.11 Mukono-Mbalala-24h'!E78,'2.11 Mukono-Mbalala-24h'!E78)</f>
        <v>4</v>
      </c>
      <c r="F78" s="49">
        <f>AVERAGE('1.11 Mukono-Mbalala-24h'!F78,'2.11 Mukono-Mbalala-24h'!F78)</f>
        <v>3.5</v>
      </c>
      <c r="G78" s="49">
        <f>AVERAGE('1.11 Mukono-Mbalala-24h'!G78,'2.11 Mukono-Mbalala-24h'!G78)</f>
        <v>1.5</v>
      </c>
      <c r="H78" s="49">
        <f>AVERAGE('1.11 Mukono-Mbalala-24h'!H78,'2.11 Mukono-Mbalala-24h'!H78)</f>
        <v>1</v>
      </c>
      <c r="I78" s="49">
        <f>AVERAGE('1.11 Mukono-Mbalala-24h'!I78,'2.11 Mukono-Mbalala-24h'!I78)</f>
        <v>3</v>
      </c>
      <c r="J78" s="49">
        <f>AVERAGE('1.11 Mukono-Mbalala-24h'!J78,'2.11 Mukono-Mbalala-24h'!J78)</f>
        <v>3.5</v>
      </c>
      <c r="K78" s="49">
        <f>AVERAGE('1.11 Mukono-Mbalala-24h'!K78,'2.11 Mukono-Mbalala-24h'!K78)</f>
        <v>3.5</v>
      </c>
      <c r="L78" s="49">
        <f>AVERAGE('1.11 Mukono-Mbalala-24h'!L78,'2.11 Mukono-Mbalala-24h'!L78)</f>
        <v>12</v>
      </c>
      <c r="M78" s="49">
        <f>AVERAGE('1.11 Mukono-Mbalala-24h'!M78,'2.11 Mukono-Mbalala-24h'!M78)</f>
        <v>6</v>
      </c>
      <c r="N78" s="49">
        <f>AVERAGE('1.11 Mukono-Mbalala-24h'!N78,'2.11 Mukono-Mbalala-24h'!N78)</f>
        <v>0</v>
      </c>
      <c r="O78" s="15">
        <f t="shared" si="35"/>
        <v>43</v>
      </c>
      <c r="P78" s="15">
        <f t="shared" si="36"/>
        <v>49</v>
      </c>
      <c r="R78" s="8"/>
      <c r="T78"/>
    </row>
    <row r="79" spans="2:20" ht="23.1" customHeight="1" x14ac:dyDescent="0.25">
      <c r="B79" s="23" t="s">
        <v>119</v>
      </c>
      <c r="C79" s="49">
        <f>AVERAGE('1.11 Mukono-Mbalala-24h'!C79,'2.11 Mukono-Mbalala-24h'!C79)</f>
        <v>6</v>
      </c>
      <c r="D79" s="49">
        <f>AVERAGE('1.11 Mukono-Mbalala-24h'!D79,'2.11 Mukono-Mbalala-24h'!D79)</f>
        <v>1</v>
      </c>
      <c r="E79" s="49">
        <f>AVERAGE('1.11 Mukono-Mbalala-24h'!E79,'2.11 Mukono-Mbalala-24h'!E79)</f>
        <v>3</v>
      </c>
      <c r="F79" s="49">
        <f>AVERAGE('1.11 Mukono-Mbalala-24h'!F79,'2.11 Mukono-Mbalala-24h'!F79)</f>
        <v>3.5</v>
      </c>
      <c r="G79" s="49">
        <f>AVERAGE('1.11 Mukono-Mbalala-24h'!G79,'2.11 Mukono-Mbalala-24h'!G79)</f>
        <v>0</v>
      </c>
      <c r="H79" s="49">
        <f>AVERAGE('1.11 Mukono-Mbalala-24h'!H79,'2.11 Mukono-Mbalala-24h'!H79)</f>
        <v>0</v>
      </c>
      <c r="I79" s="49">
        <f>AVERAGE('1.11 Mukono-Mbalala-24h'!I79,'2.11 Mukono-Mbalala-24h'!I79)</f>
        <v>2.5</v>
      </c>
      <c r="J79" s="49">
        <f>AVERAGE('1.11 Mukono-Mbalala-24h'!J79,'2.11 Mukono-Mbalala-24h'!J79)</f>
        <v>6</v>
      </c>
      <c r="K79" s="49">
        <f>AVERAGE('1.11 Mukono-Mbalala-24h'!K79,'2.11 Mukono-Mbalala-24h'!K79)</f>
        <v>2</v>
      </c>
      <c r="L79" s="49">
        <f>AVERAGE('1.11 Mukono-Mbalala-24h'!L79,'2.11 Mukono-Mbalala-24h'!L79)</f>
        <v>9</v>
      </c>
      <c r="M79" s="49">
        <f>AVERAGE('1.11 Mukono-Mbalala-24h'!M79,'2.11 Mukono-Mbalala-24h'!M79)</f>
        <v>2.5</v>
      </c>
      <c r="N79" s="49">
        <f>AVERAGE('1.11 Mukono-Mbalala-24h'!N79,'2.11 Mukono-Mbalala-24h'!N79)</f>
        <v>0</v>
      </c>
      <c r="O79" s="15">
        <f t="shared" si="35"/>
        <v>33</v>
      </c>
      <c r="P79" s="15">
        <f t="shared" si="36"/>
        <v>35.5</v>
      </c>
      <c r="R79" s="8"/>
      <c r="T79"/>
    </row>
    <row r="80" spans="2:20" ht="23.1" customHeight="1" x14ac:dyDescent="0.25">
      <c r="B80" s="25" t="s">
        <v>120</v>
      </c>
      <c r="C80" s="49">
        <f>AVERAGE('1.11 Mukono-Mbalala-24h'!C80,'2.11 Mukono-Mbalala-24h'!C80)</f>
        <v>5.5</v>
      </c>
      <c r="D80" s="49">
        <f>AVERAGE('1.11 Mukono-Mbalala-24h'!D80,'2.11 Mukono-Mbalala-24h'!D80)</f>
        <v>3</v>
      </c>
      <c r="E80" s="49">
        <f>AVERAGE('1.11 Mukono-Mbalala-24h'!E80,'2.11 Mukono-Mbalala-24h'!E80)</f>
        <v>2</v>
      </c>
      <c r="F80" s="49">
        <f>AVERAGE('1.11 Mukono-Mbalala-24h'!F80,'2.11 Mukono-Mbalala-24h'!F80)</f>
        <v>2.5</v>
      </c>
      <c r="G80" s="49">
        <f>AVERAGE('1.11 Mukono-Mbalala-24h'!G80,'2.11 Mukono-Mbalala-24h'!G80)</f>
        <v>1.5</v>
      </c>
      <c r="H80" s="49">
        <f>AVERAGE('1.11 Mukono-Mbalala-24h'!H80,'2.11 Mukono-Mbalala-24h'!H80)</f>
        <v>1.5</v>
      </c>
      <c r="I80" s="49">
        <f>AVERAGE('1.11 Mukono-Mbalala-24h'!I80,'2.11 Mukono-Mbalala-24h'!I80)</f>
        <v>3.5</v>
      </c>
      <c r="J80" s="49">
        <f>AVERAGE('1.11 Mukono-Mbalala-24h'!J80,'2.11 Mukono-Mbalala-24h'!J80)</f>
        <v>4</v>
      </c>
      <c r="K80" s="49">
        <f>AVERAGE('1.11 Mukono-Mbalala-24h'!K80,'2.11 Mukono-Mbalala-24h'!K80)</f>
        <v>7.5</v>
      </c>
      <c r="L80" s="49">
        <f>AVERAGE('1.11 Mukono-Mbalala-24h'!L80,'2.11 Mukono-Mbalala-24h'!L80)</f>
        <v>9.5</v>
      </c>
      <c r="M80" s="49">
        <f>AVERAGE('1.11 Mukono-Mbalala-24h'!M80,'2.11 Mukono-Mbalala-24h'!M80)</f>
        <v>1.5</v>
      </c>
      <c r="N80" s="49">
        <f>AVERAGE('1.11 Mukono-Mbalala-24h'!N80,'2.11 Mukono-Mbalala-24h'!N80)</f>
        <v>0</v>
      </c>
      <c r="O80" s="15">
        <f t="shared" si="35"/>
        <v>40.5</v>
      </c>
      <c r="P80" s="15">
        <f t="shared" si="36"/>
        <v>42</v>
      </c>
      <c r="R80" s="8"/>
      <c r="T80"/>
    </row>
    <row r="81" spans="2:20" ht="23.1" customHeight="1" x14ac:dyDescent="0.25">
      <c r="B81" s="23" t="s">
        <v>121</v>
      </c>
      <c r="C81" s="49">
        <f>AVERAGE('1.11 Mukono-Mbalala-24h'!C81,'2.11 Mukono-Mbalala-24h'!C81)</f>
        <v>6.5</v>
      </c>
      <c r="D81" s="49">
        <f>AVERAGE('1.11 Mukono-Mbalala-24h'!D81,'2.11 Mukono-Mbalala-24h'!D81)</f>
        <v>1.5</v>
      </c>
      <c r="E81" s="49">
        <f>AVERAGE('1.11 Mukono-Mbalala-24h'!E81,'2.11 Mukono-Mbalala-24h'!E81)</f>
        <v>1</v>
      </c>
      <c r="F81" s="49">
        <f>AVERAGE('1.11 Mukono-Mbalala-24h'!F81,'2.11 Mukono-Mbalala-24h'!F81)</f>
        <v>0.5</v>
      </c>
      <c r="G81" s="49">
        <f>AVERAGE('1.11 Mukono-Mbalala-24h'!G81,'2.11 Mukono-Mbalala-24h'!G81)</f>
        <v>2</v>
      </c>
      <c r="H81" s="49">
        <f>AVERAGE('1.11 Mukono-Mbalala-24h'!H81,'2.11 Mukono-Mbalala-24h'!H81)</f>
        <v>3</v>
      </c>
      <c r="I81" s="49">
        <f>AVERAGE('1.11 Mukono-Mbalala-24h'!I81,'2.11 Mukono-Mbalala-24h'!I81)</f>
        <v>2</v>
      </c>
      <c r="J81" s="49">
        <f>AVERAGE('1.11 Mukono-Mbalala-24h'!J81,'2.11 Mukono-Mbalala-24h'!J81)</f>
        <v>1.5</v>
      </c>
      <c r="K81" s="49">
        <f>AVERAGE('1.11 Mukono-Mbalala-24h'!K81,'2.11 Mukono-Mbalala-24h'!K81)</f>
        <v>4</v>
      </c>
      <c r="L81" s="49">
        <f>AVERAGE('1.11 Mukono-Mbalala-24h'!L81,'2.11 Mukono-Mbalala-24h'!L81)</f>
        <v>6</v>
      </c>
      <c r="M81" s="49">
        <f>AVERAGE('1.11 Mukono-Mbalala-24h'!M81,'2.11 Mukono-Mbalala-24h'!M81)</f>
        <v>4</v>
      </c>
      <c r="N81" s="49">
        <f>AVERAGE('1.11 Mukono-Mbalala-24h'!N81,'2.11 Mukono-Mbalala-24h'!N81)</f>
        <v>0</v>
      </c>
      <c r="O81" s="15">
        <f t="shared" si="35"/>
        <v>28</v>
      </c>
      <c r="P81" s="15">
        <f t="shared" si="36"/>
        <v>32</v>
      </c>
      <c r="R81" s="8"/>
      <c r="T81"/>
    </row>
    <row r="82" spans="2:20" ht="23.1" customHeight="1" x14ac:dyDescent="0.25">
      <c r="B82" s="24" t="s">
        <v>122</v>
      </c>
      <c r="C82" s="49">
        <f>AVERAGE('1.11 Mukono-Mbalala-24h'!C82,'2.11 Mukono-Mbalala-24h'!C82)</f>
        <v>2</v>
      </c>
      <c r="D82" s="49">
        <f>AVERAGE('1.11 Mukono-Mbalala-24h'!D82,'2.11 Mukono-Mbalala-24h'!D82)</f>
        <v>1.5</v>
      </c>
      <c r="E82" s="49">
        <f>AVERAGE('1.11 Mukono-Mbalala-24h'!E82,'2.11 Mukono-Mbalala-24h'!E82)</f>
        <v>2.5</v>
      </c>
      <c r="F82" s="49">
        <f>AVERAGE('1.11 Mukono-Mbalala-24h'!F82,'2.11 Mukono-Mbalala-24h'!F82)</f>
        <v>4</v>
      </c>
      <c r="G82" s="49">
        <f>AVERAGE('1.11 Mukono-Mbalala-24h'!G82,'2.11 Mukono-Mbalala-24h'!G82)</f>
        <v>0.5</v>
      </c>
      <c r="H82" s="49">
        <f>AVERAGE('1.11 Mukono-Mbalala-24h'!H82,'2.11 Mukono-Mbalala-24h'!H82)</f>
        <v>1.5</v>
      </c>
      <c r="I82" s="49">
        <f>AVERAGE('1.11 Mukono-Mbalala-24h'!I82,'2.11 Mukono-Mbalala-24h'!I82)</f>
        <v>3</v>
      </c>
      <c r="J82" s="49">
        <f>AVERAGE('1.11 Mukono-Mbalala-24h'!J82,'2.11 Mukono-Mbalala-24h'!J82)</f>
        <v>5</v>
      </c>
      <c r="K82" s="49">
        <f>AVERAGE('1.11 Mukono-Mbalala-24h'!K82,'2.11 Mukono-Mbalala-24h'!K82)</f>
        <v>1</v>
      </c>
      <c r="L82" s="49">
        <f>AVERAGE('1.11 Mukono-Mbalala-24h'!L82,'2.11 Mukono-Mbalala-24h'!L82)</f>
        <v>5.5</v>
      </c>
      <c r="M82" s="49">
        <f>AVERAGE('1.11 Mukono-Mbalala-24h'!M82,'2.11 Mukono-Mbalala-24h'!M82)</f>
        <v>4.5</v>
      </c>
      <c r="N82" s="49">
        <f>AVERAGE('1.11 Mukono-Mbalala-24h'!N82,'2.11 Mukono-Mbalala-24h'!N82)</f>
        <v>0</v>
      </c>
      <c r="O82" s="15">
        <f t="shared" si="35"/>
        <v>26.5</v>
      </c>
      <c r="P82" s="15">
        <f t="shared" si="36"/>
        <v>31</v>
      </c>
      <c r="R82" s="8"/>
      <c r="T82"/>
    </row>
    <row r="83" spans="2:20" ht="23.1" customHeight="1" x14ac:dyDescent="0.25">
      <c r="B83" s="23" t="s">
        <v>123</v>
      </c>
      <c r="C83" s="49">
        <f>AVERAGE('1.11 Mukono-Mbalala-24h'!C83,'2.11 Mukono-Mbalala-24h'!C83)</f>
        <v>3.5</v>
      </c>
      <c r="D83" s="49">
        <f>AVERAGE('1.11 Mukono-Mbalala-24h'!D83,'2.11 Mukono-Mbalala-24h'!D83)</f>
        <v>0</v>
      </c>
      <c r="E83" s="49">
        <f>AVERAGE('1.11 Mukono-Mbalala-24h'!E83,'2.11 Mukono-Mbalala-24h'!E83)</f>
        <v>0.5</v>
      </c>
      <c r="F83" s="49">
        <f>AVERAGE('1.11 Mukono-Mbalala-24h'!F83,'2.11 Mukono-Mbalala-24h'!F83)</f>
        <v>3.5</v>
      </c>
      <c r="G83" s="49">
        <f>AVERAGE('1.11 Mukono-Mbalala-24h'!G83,'2.11 Mukono-Mbalala-24h'!G83)</f>
        <v>1</v>
      </c>
      <c r="H83" s="49">
        <f>AVERAGE('1.11 Mukono-Mbalala-24h'!H83,'2.11 Mukono-Mbalala-24h'!H83)</f>
        <v>1.5</v>
      </c>
      <c r="I83" s="49">
        <f>AVERAGE('1.11 Mukono-Mbalala-24h'!I83,'2.11 Mukono-Mbalala-24h'!I83)</f>
        <v>1</v>
      </c>
      <c r="J83" s="49">
        <f>AVERAGE('1.11 Mukono-Mbalala-24h'!J83,'2.11 Mukono-Mbalala-24h'!J83)</f>
        <v>5</v>
      </c>
      <c r="K83" s="49">
        <f>AVERAGE('1.11 Mukono-Mbalala-24h'!K83,'2.11 Mukono-Mbalala-24h'!K83)</f>
        <v>2.5</v>
      </c>
      <c r="L83" s="49">
        <f>AVERAGE('1.11 Mukono-Mbalala-24h'!L83,'2.11 Mukono-Mbalala-24h'!L83)</f>
        <v>9.5</v>
      </c>
      <c r="M83" s="49">
        <f>AVERAGE('1.11 Mukono-Mbalala-24h'!M83,'2.11 Mukono-Mbalala-24h'!M83)</f>
        <v>3.5</v>
      </c>
      <c r="N83" s="49">
        <f>AVERAGE('1.11 Mukono-Mbalala-24h'!N83,'2.11 Mukono-Mbalala-24h'!N83)</f>
        <v>0</v>
      </c>
      <c r="O83" s="15">
        <f t="shared" si="35"/>
        <v>28</v>
      </c>
      <c r="P83" s="15">
        <f t="shared" si="36"/>
        <v>31.5</v>
      </c>
      <c r="R83" s="8"/>
      <c r="T83"/>
    </row>
    <row r="84" spans="2:20" ht="23.1" customHeight="1" x14ac:dyDescent="0.25">
      <c r="B84" s="25" t="s">
        <v>124</v>
      </c>
      <c r="C84" s="49">
        <f>AVERAGE('1.11 Mukono-Mbalala-24h'!C84,'2.11 Mukono-Mbalala-24h'!C84)</f>
        <v>2.5</v>
      </c>
      <c r="D84" s="49">
        <f>AVERAGE('1.11 Mukono-Mbalala-24h'!D84,'2.11 Mukono-Mbalala-24h'!D84)</f>
        <v>0.5</v>
      </c>
      <c r="E84" s="49">
        <f>AVERAGE('1.11 Mukono-Mbalala-24h'!E84,'2.11 Mukono-Mbalala-24h'!E84)</f>
        <v>2</v>
      </c>
      <c r="F84" s="49">
        <f>AVERAGE('1.11 Mukono-Mbalala-24h'!F84,'2.11 Mukono-Mbalala-24h'!F84)</f>
        <v>4</v>
      </c>
      <c r="G84" s="49">
        <f>AVERAGE('1.11 Mukono-Mbalala-24h'!G84,'2.11 Mukono-Mbalala-24h'!G84)</f>
        <v>0</v>
      </c>
      <c r="H84" s="49">
        <f>AVERAGE('1.11 Mukono-Mbalala-24h'!H84,'2.11 Mukono-Mbalala-24h'!H84)</f>
        <v>0</v>
      </c>
      <c r="I84" s="49">
        <f>AVERAGE('1.11 Mukono-Mbalala-24h'!I84,'2.11 Mukono-Mbalala-24h'!I84)</f>
        <v>1.5</v>
      </c>
      <c r="J84" s="49">
        <f>AVERAGE('1.11 Mukono-Mbalala-24h'!J84,'2.11 Mukono-Mbalala-24h'!J84)</f>
        <v>3.5</v>
      </c>
      <c r="K84" s="49">
        <f>AVERAGE('1.11 Mukono-Mbalala-24h'!K84,'2.11 Mukono-Mbalala-24h'!K84)</f>
        <v>1.5</v>
      </c>
      <c r="L84" s="49">
        <f>AVERAGE('1.11 Mukono-Mbalala-24h'!L84,'2.11 Mukono-Mbalala-24h'!L84)</f>
        <v>7</v>
      </c>
      <c r="M84" s="49">
        <f>AVERAGE('1.11 Mukono-Mbalala-24h'!M84,'2.11 Mukono-Mbalala-24h'!M84)</f>
        <v>1.5</v>
      </c>
      <c r="N84" s="49">
        <f>AVERAGE('1.11 Mukono-Mbalala-24h'!N84,'2.11 Mukono-Mbalala-24h'!N84)</f>
        <v>0</v>
      </c>
      <c r="O84" s="15">
        <f t="shared" si="35"/>
        <v>22.5</v>
      </c>
      <c r="P84" s="15">
        <f t="shared" si="36"/>
        <v>24</v>
      </c>
      <c r="R84" s="8"/>
      <c r="T84"/>
    </row>
    <row r="85" spans="2:20" ht="23.1" customHeight="1" x14ac:dyDescent="0.25">
      <c r="B85" s="23" t="s">
        <v>125</v>
      </c>
      <c r="C85" s="49">
        <f>AVERAGE('1.11 Mukono-Mbalala-24h'!C85,'2.11 Mukono-Mbalala-24h'!C85)</f>
        <v>4.5</v>
      </c>
      <c r="D85" s="49">
        <f>AVERAGE('1.11 Mukono-Mbalala-24h'!D85,'2.11 Mukono-Mbalala-24h'!D85)</f>
        <v>3</v>
      </c>
      <c r="E85" s="49">
        <f>AVERAGE('1.11 Mukono-Mbalala-24h'!E85,'2.11 Mukono-Mbalala-24h'!E85)</f>
        <v>0.5</v>
      </c>
      <c r="F85" s="49">
        <f>AVERAGE('1.11 Mukono-Mbalala-24h'!F85,'2.11 Mukono-Mbalala-24h'!F85)</f>
        <v>2</v>
      </c>
      <c r="G85" s="49">
        <f>AVERAGE('1.11 Mukono-Mbalala-24h'!G85,'2.11 Mukono-Mbalala-24h'!G85)</f>
        <v>1</v>
      </c>
      <c r="H85" s="49">
        <f>AVERAGE('1.11 Mukono-Mbalala-24h'!H85,'2.11 Mukono-Mbalala-24h'!H85)</f>
        <v>2.5</v>
      </c>
      <c r="I85" s="49">
        <f>AVERAGE('1.11 Mukono-Mbalala-24h'!I85,'2.11 Mukono-Mbalala-24h'!I85)</f>
        <v>1.5</v>
      </c>
      <c r="J85" s="49">
        <f>AVERAGE('1.11 Mukono-Mbalala-24h'!J85,'2.11 Mukono-Mbalala-24h'!J85)</f>
        <v>3</v>
      </c>
      <c r="K85" s="49">
        <f>AVERAGE('1.11 Mukono-Mbalala-24h'!K85,'2.11 Mukono-Mbalala-24h'!K85)</f>
        <v>3</v>
      </c>
      <c r="L85" s="49">
        <f>AVERAGE('1.11 Mukono-Mbalala-24h'!L85,'2.11 Mukono-Mbalala-24h'!L85)</f>
        <v>8.5</v>
      </c>
      <c r="M85" s="49">
        <f>AVERAGE('1.11 Mukono-Mbalala-24h'!M85,'2.11 Mukono-Mbalala-24h'!M85)</f>
        <v>2</v>
      </c>
      <c r="N85" s="49">
        <f>AVERAGE('1.11 Mukono-Mbalala-24h'!N85,'2.11 Mukono-Mbalala-24h'!N85)</f>
        <v>0</v>
      </c>
      <c r="O85" s="15">
        <f t="shared" si="35"/>
        <v>29.5</v>
      </c>
      <c r="P85" s="15">
        <f t="shared" si="36"/>
        <v>31.5</v>
      </c>
      <c r="R85" s="8"/>
      <c r="T85"/>
    </row>
    <row r="86" spans="2:20" ht="23.1" customHeight="1" x14ac:dyDescent="0.25">
      <c r="B86" s="24" t="s">
        <v>126</v>
      </c>
      <c r="C86" s="49">
        <f>AVERAGE('1.11 Mukono-Mbalala-24h'!C86,'2.11 Mukono-Mbalala-24h'!C86)</f>
        <v>3</v>
      </c>
      <c r="D86" s="49">
        <f>AVERAGE('1.11 Mukono-Mbalala-24h'!D86,'2.11 Mukono-Mbalala-24h'!D86)</f>
        <v>1.5</v>
      </c>
      <c r="E86" s="49">
        <f>AVERAGE('1.11 Mukono-Mbalala-24h'!E86,'2.11 Mukono-Mbalala-24h'!E86)</f>
        <v>1.5</v>
      </c>
      <c r="F86" s="49">
        <f>AVERAGE('1.11 Mukono-Mbalala-24h'!F86,'2.11 Mukono-Mbalala-24h'!F86)</f>
        <v>4.5</v>
      </c>
      <c r="G86" s="49">
        <f>AVERAGE('1.11 Mukono-Mbalala-24h'!G86,'2.11 Mukono-Mbalala-24h'!G86)</f>
        <v>0</v>
      </c>
      <c r="H86" s="49">
        <f>AVERAGE('1.11 Mukono-Mbalala-24h'!H86,'2.11 Mukono-Mbalala-24h'!H86)</f>
        <v>1.5</v>
      </c>
      <c r="I86" s="49">
        <f>AVERAGE('1.11 Mukono-Mbalala-24h'!I86,'2.11 Mukono-Mbalala-24h'!I86)</f>
        <v>2.5</v>
      </c>
      <c r="J86" s="49">
        <f>AVERAGE('1.11 Mukono-Mbalala-24h'!J86,'2.11 Mukono-Mbalala-24h'!J86)</f>
        <v>1.5</v>
      </c>
      <c r="K86" s="49">
        <f>AVERAGE('1.11 Mukono-Mbalala-24h'!K86,'2.11 Mukono-Mbalala-24h'!K86)</f>
        <v>2.5</v>
      </c>
      <c r="L86" s="49">
        <f>AVERAGE('1.11 Mukono-Mbalala-24h'!L86,'2.11 Mukono-Mbalala-24h'!L86)</f>
        <v>7</v>
      </c>
      <c r="M86" s="49">
        <f>AVERAGE('1.11 Mukono-Mbalala-24h'!M86,'2.11 Mukono-Mbalala-24h'!M86)</f>
        <v>3.5</v>
      </c>
      <c r="N86" s="49">
        <f>AVERAGE('1.11 Mukono-Mbalala-24h'!N86,'2.11 Mukono-Mbalala-24h'!N86)</f>
        <v>0</v>
      </c>
      <c r="O86" s="15">
        <f t="shared" si="35"/>
        <v>25.5</v>
      </c>
      <c r="P86" s="15">
        <f t="shared" si="36"/>
        <v>29</v>
      </c>
      <c r="R86" s="8"/>
      <c r="T86"/>
    </row>
    <row r="87" spans="2:20" ht="23.1" customHeight="1" x14ac:dyDescent="0.25">
      <c r="B87" s="23" t="s">
        <v>127</v>
      </c>
      <c r="C87" s="49">
        <f>AVERAGE('1.11 Mukono-Mbalala-24h'!C87,'2.11 Mukono-Mbalala-24h'!C87)</f>
        <v>4.5</v>
      </c>
      <c r="D87" s="49">
        <f>AVERAGE('1.11 Mukono-Mbalala-24h'!D87,'2.11 Mukono-Mbalala-24h'!D87)</f>
        <v>3.5</v>
      </c>
      <c r="E87" s="49">
        <f>AVERAGE('1.11 Mukono-Mbalala-24h'!E87,'2.11 Mukono-Mbalala-24h'!E87)</f>
        <v>3.5</v>
      </c>
      <c r="F87" s="49">
        <f>AVERAGE('1.11 Mukono-Mbalala-24h'!F87,'2.11 Mukono-Mbalala-24h'!F87)</f>
        <v>3</v>
      </c>
      <c r="G87" s="49">
        <f>AVERAGE('1.11 Mukono-Mbalala-24h'!G87,'2.11 Mukono-Mbalala-24h'!G87)</f>
        <v>0</v>
      </c>
      <c r="H87" s="49">
        <f>AVERAGE('1.11 Mukono-Mbalala-24h'!H87,'2.11 Mukono-Mbalala-24h'!H87)</f>
        <v>0.5</v>
      </c>
      <c r="I87" s="49">
        <f>AVERAGE('1.11 Mukono-Mbalala-24h'!I87,'2.11 Mukono-Mbalala-24h'!I87)</f>
        <v>2</v>
      </c>
      <c r="J87" s="49">
        <f>AVERAGE('1.11 Mukono-Mbalala-24h'!J87,'2.11 Mukono-Mbalala-24h'!J87)</f>
        <v>4.5</v>
      </c>
      <c r="K87" s="49">
        <f>AVERAGE('1.11 Mukono-Mbalala-24h'!K87,'2.11 Mukono-Mbalala-24h'!K87)</f>
        <v>4.5</v>
      </c>
      <c r="L87" s="49">
        <f>AVERAGE('1.11 Mukono-Mbalala-24h'!L87,'2.11 Mukono-Mbalala-24h'!L87)</f>
        <v>5.5</v>
      </c>
      <c r="M87" s="49">
        <f>AVERAGE('1.11 Mukono-Mbalala-24h'!M87,'2.11 Mukono-Mbalala-24h'!M87)</f>
        <v>4</v>
      </c>
      <c r="N87" s="49">
        <f>AVERAGE('1.11 Mukono-Mbalala-24h'!N87,'2.11 Mukono-Mbalala-24h'!N87)</f>
        <v>0</v>
      </c>
      <c r="O87" s="15">
        <f t="shared" si="35"/>
        <v>31.5</v>
      </c>
      <c r="P87" s="15">
        <f t="shared" si="36"/>
        <v>35.5</v>
      </c>
      <c r="R87" s="8"/>
      <c r="T87"/>
    </row>
    <row r="88" spans="2:20" ht="23.1" customHeight="1" x14ac:dyDescent="0.25">
      <c r="B88" s="25" t="s">
        <v>128</v>
      </c>
      <c r="C88" s="49">
        <f>AVERAGE('1.11 Mukono-Mbalala-24h'!C88,'2.11 Mukono-Mbalala-24h'!C88)</f>
        <v>7</v>
      </c>
      <c r="D88" s="49">
        <f>AVERAGE('1.11 Mukono-Mbalala-24h'!D88,'2.11 Mukono-Mbalala-24h'!D88)</f>
        <v>4</v>
      </c>
      <c r="E88" s="49">
        <f>AVERAGE('1.11 Mukono-Mbalala-24h'!E88,'2.11 Mukono-Mbalala-24h'!E88)</f>
        <v>3</v>
      </c>
      <c r="F88" s="49">
        <f>AVERAGE('1.11 Mukono-Mbalala-24h'!F88,'2.11 Mukono-Mbalala-24h'!F88)</f>
        <v>3.5</v>
      </c>
      <c r="G88" s="49">
        <f>AVERAGE('1.11 Mukono-Mbalala-24h'!G88,'2.11 Mukono-Mbalala-24h'!G88)</f>
        <v>0</v>
      </c>
      <c r="H88" s="49">
        <f>AVERAGE('1.11 Mukono-Mbalala-24h'!H88,'2.11 Mukono-Mbalala-24h'!H88)</f>
        <v>0.5</v>
      </c>
      <c r="I88" s="49">
        <f>AVERAGE('1.11 Mukono-Mbalala-24h'!I88,'2.11 Mukono-Mbalala-24h'!I88)</f>
        <v>2</v>
      </c>
      <c r="J88" s="49">
        <f>AVERAGE('1.11 Mukono-Mbalala-24h'!J88,'2.11 Mukono-Mbalala-24h'!J88)</f>
        <v>1</v>
      </c>
      <c r="K88" s="49">
        <f>AVERAGE('1.11 Mukono-Mbalala-24h'!K88,'2.11 Mukono-Mbalala-24h'!K88)</f>
        <v>2.5</v>
      </c>
      <c r="L88" s="49">
        <f>AVERAGE('1.11 Mukono-Mbalala-24h'!L88,'2.11 Mukono-Mbalala-24h'!L88)</f>
        <v>10</v>
      </c>
      <c r="M88" s="49">
        <f>AVERAGE('1.11 Mukono-Mbalala-24h'!M88,'2.11 Mukono-Mbalala-24h'!M88)</f>
        <v>1</v>
      </c>
      <c r="N88" s="49">
        <f>AVERAGE('1.11 Mukono-Mbalala-24h'!N88,'2.11 Mukono-Mbalala-24h'!N88)</f>
        <v>0</v>
      </c>
      <c r="O88" s="15">
        <f t="shared" si="35"/>
        <v>33.5</v>
      </c>
      <c r="P88" s="15">
        <f t="shared" si="36"/>
        <v>34.5</v>
      </c>
      <c r="R88" s="8"/>
      <c r="T88"/>
    </row>
    <row r="89" spans="2:20" ht="23.1" customHeight="1" x14ac:dyDescent="0.25">
      <c r="B89" s="23" t="s">
        <v>129</v>
      </c>
      <c r="C89" s="49">
        <f>AVERAGE('1.11 Mukono-Mbalala-24h'!C89,'2.11 Mukono-Mbalala-24h'!C89)</f>
        <v>5</v>
      </c>
      <c r="D89" s="49">
        <f>AVERAGE('1.11 Mukono-Mbalala-24h'!D89,'2.11 Mukono-Mbalala-24h'!D89)</f>
        <v>3.5</v>
      </c>
      <c r="E89" s="49">
        <f>AVERAGE('1.11 Mukono-Mbalala-24h'!E89,'2.11 Mukono-Mbalala-24h'!E89)</f>
        <v>2.5</v>
      </c>
      <c r="F89" s="49">
        <f>AVERAGE('1.11 Mukono-Mbalala-24h'!F89,'2.11 Mukono-Mbalala-24h'!F89)</f>
        <v>0.5</v>
      </c>
      <c r="G89" s="49">
        <f>AVERAGE('1.11 Mukono-Mbalala-24h'!G89,'2.11 Mukono-Mbalala-24h'!G89)</f>
        <v>0.5</v>
      </c>
      <c r="H89" s="49">
        <f>AVERAGE('1.11 Mukono-Mbalala-24h'!H89,'2.11 Mukono-Mbalala-24h'!H89)</f>
        <v>0</v>
      </c>
      <c r="I89" s="49">
        <f>AVERAGE('1.11 Mukono-Mbalala-24h'!I89,'2.11 Mukono-Mbalala-24h'!I89)</f>
        <v>1</v>
      </c>
      <c r="J89" s="49">
        <f>AVERAGE('1.11 Mukono-Mbalala-24h'!J89,'2.11 Mukono-Mbalala-24h'!J89)</f>
        <v>2.5</v>
      </c>
      <c r="K89" s="49">
        <f>AVERAGE('1.11 Mukono-Mbalala-24h'!K89,'2.11 Mukono-Mbalala-24h'!K89)</f>
        <v>5</v>
      </c>
      <c r="L89" s="49">
        <f>AVERAGE('1.11 Mukono-Mbalala-24h'!L89,'2.11 Mukono-Mbalala-24h'!L89)</f>
        <v>7.5</v>
      </c>
      <c r="M89" s="49">
        <f>AVERAGE('1.11 Mukono-Mbalala-24h'!M89,'2.11 Mukono-Mbalala-24h'!M89)</f>
        <v>1.5</v>
      </c>
      <c r="N89" s="49">
        <f>AVERAGE('1.11 Mukono-Mbalala-24h'!N89,'2.11 Mukono-Mbalala-24h'!N89)</f>
        <v>0</v>
      </c>
      <c r="O89" s="15">
        <f t="shared" si="35"/>
        <v>28</v>
      </c>
      <c r="P89" s="15">
        <f t="shared" si="36"/>
        <v>29.5</v>
      </c>
      <c r="R89" s="8"/>
      <c r="T89"/>
    </row>
    <row r="90" spans="2:20" ht="23.1" customHeight="1" x14ac:dyDescent="0.25">
      <c r="B90" s="24" t="s">
        <v>130</v>
      </c>
      <c r="C90" s="49">
        <f>AVERAGE('1.11 Mukono-Mbalala-24h'!C90,'2.11 Mukono-Mbalala-24h'!C90)</f>
        <v>5.5</v>
      </c>
      <c r="D90" s="49">
        <f>AVERAGE('1.11 Mukono-Mbalala-24h'!D90,'2.11 Mukono-Mbalala-24h'!D90)</f>
        <v>2.5</v>
      </c>
      <c r="E90" s="49">
        <f>AVERAGE('1.11 Mukono-Mbalala-24h'!E90,'2.11 Mukono-Mbalala-24h'!E90)</f>
        <v>2</v>
      </c>
      <c r="F90" s="49">
        <f>AVERAGE('1.11 Mukono-Mbalala-24h'!F90,'2.11 Mukono-Mbalala-24h'!F90)</f>
        <v>7</v>
      </c>
      <c r="G90" s="49">
        <f>AVERAGE('1.11 Mukono-Mbalala-24h'!G90,'2.11 Mukono-Mbalala-24h'!G90)</f>
        <v>0.5</v>
      </c>
      <c r="H90" s="49">
        <f>AVERAGE('1.11 Mukono-Mbalala-24h'!H90,'2.11 Mukono-Mbalala-24h'!H90)</f>
        <v>1</v>
      </c>
      <c r="I90" s="49">
        <f>AVERAGE('1.11 Mukono-Mbalala-24h'!I90,'2.11 Mukono-Mbalala-24h'!I90)</f>
        <v>3.5</v>
      </c>
      <c r="J90" s="49">
        <f>AVERAGE('1.11 Mukono-Mbalala-24h'!J90,'2.11 Mukono-Mbalala-24h'!J90)</f>
        <v>3</v>
      </c>
      <c r="K90" s="49">
        <f>AVERAGE('1.11 Mukono-Mbalala-24h'!K90,'2.11 Mukono-Mbalala-24h'!K90)</f>
        <v>2</v>
      </c>
      <c r="L90" s="49">
        <f>AVERAGE('1.11 Mukono-Mbalala-24h'!L90,'2.11 Mukono-Mbalala-24h'!L90)</f>
        <v>13.5</v>
      </c>
      <c r="M90" s="49">
        <f>AVERAGE('1.11 Mukono-Mbalala-24h'!M90,'2.11 Mukono-Mbalala-24h'!M90)</f>
        <v>4.5</v>
      </c>
      <c r="N90" s="49">
        <f>AVERAGE('1.11 Mukono-Mbalala-24h'!N90,'2.11 Mukono-Mbalala-24h'!N90)</f>
        <v>0</v>
      </c>
      <c r="O90" s="15">
        <f t="shared" si="35"/>
        <v>40.5</v>
      </c>
      <c r="P90" s="15">
        <f t="shared" si="36"/>
        <v>45</v>
      </c>
      <c r="R90" s="8"/>
      <c r="T90"/>
    </row>
    <row r="91" spans="2:20" ht="23.1" customHeight="1" x14ac:dyDescent="0.25">
      <c r="B91" s="23" t="s">
        <v>131</v>
      </c>
      <c r="C91" s="49">
        <f>AVERAGE('1.11 Mukono-Mbalala-24h'!C91,'2.11 Mukono-Mbalala-24h'!C91)</f>
        <v>3.5</v>
      </c>
      <c r="D91" s="49">
        <f>AVERAGE('1.11 Mukono-Mbalala-24h'!D91,'2.11 Mukono-Mbalala-24h'!D91)</f>
        <v>3.5</v>
      </c>
      <c r="E91" s="49">
        <f>AVERAGE('1.11 Mukono-Mbalala-24h'!E91,'2.11 Mukono-Mbalala-24h'!E91)</f>
        <v>0</v>
      </c>
      <c r="F91" s="49">
        <f>AVERAGE('1.11 Mukono-Mbalala-24h'!F91,'2.11 Mukono-Mbalala-24h'!F91)</f>
        <v>5.5</v>
      </c>
      <c r="G91" s="49">
        <f>AVERAGE('1.11 Mukono-Mbalala-24h'!G91,'2.11 Mukono-Mbalala-24h'!G91)</f>
        <v>0</v>
      </c>
      <c r="H91" s="49">
        <f>AVERAGE('1.11 Mukono-Mbalala-24h'!H91,'2.11 Mukono-Mbalala-24h'!H91)</f>
        <v>0</v>
      </c>
      <c r="I91" s="49">
        <f>AVERAGE('1.11 Mukono-Mbalala-24h'!I91,'2.11 Mukono-Mbalala-24h'!I91)</f>
        <v>3.5</v>
      </c>
      <c r="J91" s="49">
        <f>AVERAGE('1.11 Mukono-Mbalala-24h'!J91,'2.11 Mukono-Mbalala-24h'!J91)</f>
        <v>8</v>
      </c>
      <c r="K91" s="49">
        <f>AVERAGE('1.11 Mukono-Mbalala-24h'!K91,'2.11 Mukono-Mbalala-24h'!K91)</f>
        <v>2</v>
      </c>
      <c r="L91" s="49">
        <f>AVERAGE('1.11 Mukono-Mbalala-24h'!L91,'2.11 Mukono-Mbalala-24h'!L91)</f>
        <v>8.5</v>
      </c>
      <c r="M91" s="49">
        <f>AVERAGE('1.11 Mukono-Mbalala-24h'!M91,'2.11 Mukono-Mbalala-24h'!M91)</f>
        <v>4</v>
      </c>
      <c r="N91" s="49">
        <f>AVERAGE('1.11 Mukono-Mbalala-24h'!N91,'2.11 Mukono-Mbalala-24h'!N91)</f>
        <v>0</v>
      </c>
      <c r="O91" s="15">
        <f t="shared" si="35"/>
        <v>34.5</v>
      </c>
      <c r="P91" s="15">
        <f t="shared" si="36"/>
        <v>38.5</v>
      </c>
      <c r="R91" s="8"/>
      <c r="T91"/>
    </row>
    <row r="92" spans="2:20" ht="23.1" customHeight="1" x14ac:dyDescent="0.25">
      <c r="B92" s="25" t="s">
        <v>132</v>
      </c>
      <c r="C92" s="49">
        <f>AVERAGE('1.11 Mukono-Mbalala-24h'!C92,'2.11 Mukono-Mbalala-24h'!C92)</f>
        <v>8</v>
      </c>
      <c r="D92" s="49">
        <f>AVERAGE('1.11 Mukono-Mbalala-24h'!D92,'2.11 Mukono-Mbalala-24h'!D92)</f>
        <v>4.5</v>
      </c>
      <c r="E92" s="49">
        <f>AVERAGE('1.11 Mukono-Mbalala-24h'!E92,'2.11 Mukono-Mbalala-24h'!E92)</f>
        <v>3.5</v>
      </c>
      <c r="F92" s="49">
        <f>AVERAGE('1.11 Mukono-Mbalala-24h'!F92,'2.11 Mukono-Mbalala-24h'!F92)</f>
        <v>7</v>
      </c>
      <c r="G92" s="49">
        <f>AVERAGE('1.11 Mukono-Mbalala-24h'!G92,'2.11 Mukono-Mbalala-24h'!G92)</f>
        <v>0</v>
      </c>
      <c r="H92" s="49">
        <f>AVERAGE('1.11 Mukono-Mbalala-24h'!H92,'2.11 Mukono-Mbalala-24h'!H92)</f>
        <v>2</v>
      </c>
      <c r="I92" s="49">
        <f>AVERAGE('1.11 Mukono-Mbalala-24h'!I92,'2.11 Mukono-Mbalala-24h'!I92)</f>
        <v>3.5</v>
      </c>
      <c r="J92" s="49">
        <f>AVERAGE('1.11 Mukono-Mbalala-24h'!J92,'2.11 Mukono-Mbalala-24h'!J92)</f>
        <v>6</v>
      </c>
      <c r="K92" s="49">
        <f>AVERAGE('1.11 Mukono-Mbalala-24h'!K92,'2.11 Mukono-Mbalala-24h'!K92)</f>
        <v>2.5</v>
      </c>
      <c r="L92" s="49">
        <f>AVERAGE('1.11 Mukono-Mbalala-24h'!L92,'2.11 Mukono-Mbalala-24h'!L92)</f>
        <v>11</v>
      </c>
      <c r="M92" s="49">
        <f>AVERAGE('1.11 Mukono-Mbalala-24h'!M92,'2.11 Mukono-Mbalala-24h'!M92)</f>
        <v>5</v>
      </c>
      <c r="N92" s="49">
        <f>AVERAGE('1.11 Mukono-Mbalala-24h'!N92,'2.11 Mukono-Mbalala-24h'!N92)</f>
        <v>0</v>
      </c>
      <c r="O92" s="15">
        <f t="shared" si="35"/>
        <v>48</v>
      </c>
      <c r="P92" s="15">
        <f t="shared" si="36"/>
        <v>53</v>
      </c>
      <c r="R92" s="8"/>
      <c r="T92"/>
    </row>
    <row r="93" spans="2:20" ht="23.1" customHeight="1" x14ac:dyDescent="0.25">
      <c r="B93" s="23" t="s">
        <v>133</v>
      </c>
      <c r="C93" s="49">
        <f>AVERAGE('1.11 Mukono-Mbalala-24h'!C93,'2.11 Mukono-Mbalala-24h'!C93)</f>
        <v>6</v>
      </c>
      <c r="D93" s="49">
        <f>AVERAGE('1.11 Mukono-Mbalala-24h'!D93,'2.11 Mukono-Mbalala-24h'!D93)</f>
        <v>3.5</v>
      </c>
      <c r="E93" s="49">
        <f>AVERAGE('1.11 Mukono-Mbalala-24h'!E93,'2.11 Mukono-Mbalala-24h'!E93)</f>
        <v>3</v>
      </c>
      <c r="F93" s="49">
        <f>AVERAGE('1.11 Mukono-Mbalala-24h'!F93,'2.11 Mukono-Mbalala-24h'!F93)</f>
        <v>4.5</v>
      </c>
      <c r="G93" s="49">
        <f>AVERAGE('1.11 Mukono-Mbalala-24h'!G93,'2.11 Mukono-Mbalala-24h'!G93)</f>
        <v>1</v>
      </c>
      <c r="H93" s="49">
        <f>AVERAGE('1.11 Mukono-Mbalala-24h'!H93,'2.11 Mukono-Mbalala-24h'!H93)</f>
        <v>1</v>
      </c>
      <c r="I93" s="49">
        <f>AVERAGE('1.11 Mukono-Mbalala-24h'!I93,'2.11 Mukono-Mbalala-24h'!I93)</f>
        <v>2.5</v>
      </c>
      <c r="J93" s="49">
        <f>AVERAGE('1.11 Mukono-Mbalala-24h'!J93,'2.11 Mukono-Mbalala-24h'!J93)</f>
        <v>7</v>
      </c>
      <c r="K93" s="49">
        <f>AVERAGE('1.11 Mukono-Mbalala-24h'!K93,'2.11 Mukono-Mbalala-24h'!K93)</f>
        <v>4.5</v>
      </c>
      <c r="L93" s="49">
        <f>AVERAGE('1.11 Mukono-Mbalala-24h'!L93,'2.11 Mukono-Mbalala-24h'!L93)</f>
        <v>8</v>
      </c>
      <c r="M93" s="49">
        <f>AVERAGE('1.11 Mukono-Mbalala-24h'!M93,'2.11 Mukono-Mbalala-24h'!M93)</f>
        <v>5</v>
      </c>
      <c r="N93" s="49">
        <f>AVERAGE('1.11 Mukono-Mbalala-24h'!N93,'2.11 Mukono-Mbalala-24h'!N93)</f>
        <v>0</v>
      </c>
      <c r="O93" s="15">
        <f t="shared" si="35"/>
        <v>41</v>
      </c>
      <c r="P93" s="15">
        <f t="shared" si="36"/>
        <v>46</v>
      </c>
      <c r="R93" s="8"/>
      <c r="T93"/>
    </row>
    <row r="94" spans="2:20" ht="23.1" customHeight="1" x14ac:dyDescent="0.25">
      <c r="B94" s="24" t="s">
        <v>134</v>
      </c>
      <c r="C94" s="49">
        <f>AVERAGE('1.11 Mukono-Mbalala-24h'!C94,'2.11 Mukono-Mbalala-24h'!C94)</f>
        <v>5.5</v>
      </c>
      <c r="D94" s="49">
        <f>AVERAGE('1.11 Mukono-Mbalala-24h'!D94,'2.11 Mukono-Mbalala-24h'!D94)</f>
        <v>2.5</v>
      </c>
      <c r="E94" s="49">
        <f>AVERAGE('1.11 Mukono-Mbalala-24h'!E94,'2.11 Mukono-Mbalala-24h'!E94)</f>
        <v>2.5</v>
      </c>
      <c r="F94" s="49">
        <f>AVERAGE('1.11 Mukono-Mbalala-24h'!F94,'2.11 Mukono-Mbalala-24h'!F94)</f>
        <v>5</v>
      </c>
      <c r="G94" s="49">
        <f>AVERAGE('1.11 Mukono-Mbalala-24h'!G94,'2.11 Mukono-Mbalala-24h'!G94)</f>
        <v>1</v>
      </c>
      <c r="H94" s="49">
        <f>AVERAGE('1.11 Mukono-Mbalala-24h'!H94,'2.11 Mukono-Mbalala-24h'!H94)</f>
        <v>1.5</v>
      </c>
      <c r="I94" s="49">
        <f>AVERAGE('1.11 Mukono-Mbalala-24h'!I94,'2.11 Mukono-Mbalala-24h'!I94)</f>
        <v>8.5</v>
      </c>
      <c r="J94" s="49">
        <f>AVERAGE('1.11 Mukono-Mbalala-24h'!J94,'2.11 Mukono-Mbalala-24h'!J94)</f>
        <v>6</v>
      </c>
      <c r="K94" s="49">
        <f>AVERAGE('1.11 Mukono-Mbalala-24h'!K94,'2.11 Mukono-Mbalala-24h'!K94)</f>
        <v>0.5</v>
      </c>
      <c r="L94" s="49">
        <f>AVERAGE('1.11 Mukono-Mbalala-24h'!L94,'2.11 Mukono-Mbalala-24h'!L94)</f>
        <v>13.5</v>
      </c>
      <c r="M94" s="49">
        <f>AVERAGE('1.11 Mukono-Mbalala-24h'!M94,'2.11 Mukono-Mbalala-24h'!M94)</f>
        <v>10</v>
      </c>
      <c r="N94" s="49">
        <f>AVERAGE('1.11 Mukono-Mbalala-24h'!N94,'2.11 Mukono-Mbalala-24h'!N94)</f>
        <v>0</v>
      </c>
      <c r="O94" s="15">
        <f t="shared" si="35"/>
        <v>46.5</v>
      </c>
      <c r="P94" s="15">
        <f t="shared" si="36"/>
        <v>56.5</v>
      </c>
      <c r="R94" s="8"/>
      <c r="T94"/>
    </row>
    <row r="95" spans="2:20" ht="23.1" customHeight="1" x14ac:dyDescent="0.25">
      <c r="B95" s="23" t="s">
        <v>135</v>
      </c>
      <c r="C95" s="49">
        <f>AVERAGE('1.11 Mukono-Mbalala-24h'!C95,'2.11 Mukono-Mbalala-24h'!C95)</f>
        <v>10.5</v>
      </c>
      <c r="D95" s="49">
        <f>AVERAGE('1.11 Mukono-Mbalala-24h'!D95,'2.11 Mukono-Mbalala-24h'!D95)</f>
        <v>2.5</v>
      </c>
      <c r="E95" s="49">
        <f>AVERAGE('1.11 Mukono-Mbalala-24h'!E95,'2.11 Mukono-Mbalala-24h'!E95)</f>
        <v>4.5</v>
      </c>
      <c r="F95" s="49">
        <f>AVERAGE('1.11 Mukono-Mbalala-24h'!F95,'2.11 Mukono-Mbalala-24h'!F95)</f>
        <v>7</v>
      </c>
      <c r="G95" s="49">
        <f>AVERAGE('1.11 Mukono-Mbalala-24h'!G95,'2.11 Mukono-Mbalala-24h'!G95)</f>
        <v>2</v>
      </c>
      <c r="H95" s="49">
        <f>AVERAGE('1.11 Mukono-Mbalala-24h'!H95,'2.11 Mukono-Mbalala-24h'!H95)</f>
        <v>1.5</v>
      </c>
      <c r="I95" s="49">
        <f>AVERAGE('1.11 Mukono-Mbalala-24h'!I95,'2.11 Mukono-Mbalala-24h'!I95)</f>
        <v>4.5</v>
      </c>
      <c r="J95" s="49">
        <f>AVERAGE('1.11 Mukono-Mbalala-24h'!J95,'2.11 Mukono-Mbalala-24h'!J95)</f>
        <v>5</v>
      </c>
      <c r="K95" s="49">
        <f>AVERAGE('1.11 Mukono-Mbalala-24h'!K95,'2.11 Mukono-Mbalala-24h'!K95)</f>
        <v>2.5</v>
      </c>
      <c r="L95" s="49">
        <f>AVERAGE('1.11 Mukono-Mbalala-24h'!L95,'2.11 Mukono-Mbalala-24h'!L95)</f>
        <v>13</v>
      </c>
      <c r="M95" s="49">
        <f>AVERAGE('1.11 Mukono-Mbalala-24h'!M95,'2.11 Mukono-Mbalala-24h'!M95)</f>
        <v>8.5</v>
      </c>
      <c r="N95" s="49">
        <f>AVERAGE('1.11 Mukono-Mbalala-24h'!N95,'2.11 Mukono-Mbalala-24h'!N95)</f>
        <v>0</v>
      </c>
      <c r="O95" s="15">
        <f t="shared" si="35"/>
        <v>53</v>
      </c>
      <c r="P95" s="15">
        <f t="shared" si="36"/>
        <v>61.5</v>
      </c>
      <c r="R95" s="8"/>
      <c r="T95"/>
    </row>
    <row r="96" spans="2:20" ht="23.1" customHeight="1" x14ac:dyDescent="0.25">
      <c r="B96" s="25" t="s">
        <v>136</v>
      </c>
      <c r="C96" s="49">
        <f>AVERAGE('1.11 Mukono-Mbalala-24h'!C96,'2.11 Mukono-Mbalala-24h'!C96)</f>
        <v>16.5</v>
      </c>
      <c r="D96" s="49">
        <f>AVERAGE('1.11 Mukono-Mbalala-24h'!D96,'2.11 Mukono-Mbalala-24h'!D96)</f>
        <v>1</v>
      </c>
      <c r="E96" s="49">
        <f>AVERAGE('1.11 Mukono-Mbalala-24h'!E96,'2.11 Mukono-Mbalala-24h'!E96)</f>
        <v>2</v>
      </c>
      <c r="F96" s="49">
        <f>AVERAGE('1.11 Mukono-Mbalala-24h'!F96,'2.11 Mukono-Mbalala-24h'!F96)</f>
        <v>5.5</v>
      </c>
      <c r="G96" s="49">
        <f>AVERAGE('1.11 Mukono-Mbalala-24h'!G96,'2.11 Mukono-Mbalala-24h'!G96)</f>
        <v>1.5</v>
      </c>
      <c r="H96" s="49">
        <f>AVERAGE('1.11 Mukono-Mbalala-24h'!H96,'2.11 Mukono-Mbalala-24h'!H96)</f>
        <v>1.5</v>
      </c>
      <c r="I96" s="49">
        <f>AVERAGE('1.11 Mukono-Mbalala-24h'!I96,'2.11 Mukono-Mbalala-24h'!I96)</f>
        <v>5</v>
      </c>
      <c r="J96" s="49">
        <f>AVERAGE('1.11 Mukono-Mbalala-24h'!J96,'2.11 Mukono-Mbalala-24h'!J96)</f>
        <v>8.5</v>
      </c>
      <c r="K96" s="49">
        <f>AVERAGE('1.11 Mukono-Mbalala-24h'!K96,'2.11 Mukono-Mbalala-24h'!K96)</f>
        <v>3</v>
      </c>
      <c r="L96" s="49">
        <f>AVERAGE('1.11 Mukono-Mbalala-24h'!L96,'2.11 Mukono-Mbalala-24h'!L96)</f>
        <v>13.5</v>
      </c>
      <c r="M96" s="49">
        <f>AVERAGE('1.11 Mukono-Mbalala-24h'!M96,'2.11 Mukono-Mbalala-24h'!M96)</f>
        <v>6.5</v>
      </c>
      <c r="N96" s="49">
        <f>AVERAGE('1.11 Mukono-Mbalala-24h'!N96,'2.11 Mukono-Mbalala-24h'!N96)</f>
        <v>0</v>
      </c>
      <c r="O96" s="15">
        <f t="shared" si="35"/>
        <v>58</v>
      </c>
      <c r="P96" s="15">
        <f t="shared" si="36"/>
        <v>64.5</v>
      </c>
      <c r="R96" s="8"/>
      <c r="T96"/>
    </row>
    <row r="97" spans="2:20" ht="23.1" customHeight="1" x14ac:dyDescent="0.25">
      <c r="B97" s="23" t="s">
        <v>137</v>
      </c>
      <c r="C97" s="49">
        <f>AVERAGE('1.11 Mukono-Mbalala-24h'!C97,'2.11 Mukono-Mbalala-24h'!C97)</f>
        <v>8.5</v>
      </c>
      <c r="D97" s="49">
        <f>AVERAGE('1.11 Mukono-Mbalala-24h'!D97,'2.11 Mukono-Mbalala-24h'!D97)</f>
        <v>6</v>
      </c>
      <c r="E97" s="49">
        <f>AVERAGE('1.11 Mukono-Mbalala-24h'!E97,'2.11 Mukono-Mbalala-24h'!E97)</f>
        <v>1.5</v>
      </c>
      <c r="F97" s="49">
        <f>AVERAGE('1.11 Mukono-Mbalala-24h'!F97,'2.11 Mukono-Mbalala-24h'!F97)</f>
        <v>11.5</v>
      </c>
      <c r="G97" s="49">
        <f>AVERAGE('1.11 Mukono-Mbalala-24h'!G97,'2.11 Mukono-Mbalala-24h'!G97)</f>
        <v>1.5</v>
      </c>
      <c r="H97" s="49">
        <f>AVERAGE('1.11 Mukono-Mbalala-24h'!H97,'2.11 Mukono-Mbalala-24h'!H97)</f>
        <v>2</v>
      </c>
      <c r="I97" s="49">
        <f>AVERAGE('1.11 Mukono-Mbalala-24h'!I97,'2.11 Mukono-Mbalala-24h'!I97)</f>
        <v>8</v>
      </c>
      <c r="J97" s="49">
        <f>AVERAGE('1.11 Mukono-Mbalala-24h'!J97,'2.11 Mukono-Mbalala-24h'!J97)</f>
        <v>3.5</v>
      </c>
      <c r="K97" s="49">
        <f>AVERAGE('1.11 Mukono-Mbalala-24h'!K97,'2.11 Mukono-Mbalala-24h'!K97)</f>
        <v>4.5</v>
      </c>
      <c r="L97" s="49">
        <f>AVERAGE('1.11 Mukono-Mbalala-24h'!L97,'2.11 Mukono-Mbalala-24h'!L97)</f>
        <v>9.5</v>
      </c>
      <c r="M97" s="49">
        <f>AVERAGE('1.11 Mukono-Mbalala-24h'!M97,'2.11 Mukono-Mbalala-24h'!M97)</f>
        <v>8</v>
      </c>
      <c r="N97" s="49">
        <f>AVERAGE('1.11 Mukono-Mbalala-24h'!N97,'2.11 Mukono-Mbalala-24h'!N97)</f>
        <v>0</v>
      </c>
      <c r="O97" s="15">
        <f t="shared" si="35"/>
        <v>56.5</v>
      </c>
      <c r="P97" s="15">
        <f t="shared" si="36"/>
        <v>64.5</v>
      </c>
      <c r="R97" s="8"/>
      <c r="T97"/>
    </row>
    <row r="98" spans="2:20" ht="23.1" customHeight="1" x14ac:dyDescent="0.25">
      <c r="B98" s="24" t="s">
        <v>138</v>
      </c>
      <c r="C98" s="49">
        <f>AVERAGE('1.11 Mukono-Mbalala-24h'!C98,'2.11 Mukono-Mbalala-24h'!C98)</f>
        <v>11.5</v>
      </c>
      <c r="D98" s="49">
        <f>AVERAGE('1.11 Mukono-Mbalala-24h'!D98,'2.11 Mukono-Mbalala-24h'!D98)</f>
        <v>2</v>
      </c>
      <c r="E98" s="49">
        <f>AVERAGE('1.11 Mukono-Mbalala-24h'!E98,'2.11 Mukono-Mbalala-24h'!E98)</f>
        <v>3</v>
      </c>
      <c r="F98" s="49">
        <f>AVERAGE('1.11 Mukono-Mbalala-24h'!F98,'2.11 Mukono-Mbalala-24h'!F98)</f>
        <v>13.5</v>
      </c>
      <c r="G98" s="49">
        <f>AVERAGE('1.11 Mukono-Mbalala-24h'!G98,'2.11 Mukono-Mbalala-24h'!G98)</f>
        <v>1.5</v>
      </c>
      <c r="H98" s="49">
        <f>AVERAGE('1.11 Mukono-Mbalala-24h'!H98,'2.11 Mukono-Mbalala-24h'!H98)</f>
        <v>3.5</v>
      </c>
      <c r="I98" s="49">
        <f>AVERAGE('1.11 Mukono-Mbalala-24h'!I98,'2.11 Mukono-Mbalala-24h'!I98)</f>
        <v>2.5</v>
      </c>
      <c r="J98" s="49">
        <f>AVERAGE('1.11 Mukono-Mbalala-24h'!J98,'2.11 Mukono-Mbalala-24h'!J98)</f>
        <v>7</v>
      </c>
      <c r="K98" s="49">
        <f>AVERAGE('1.11 Mukono-Mbalala-24h'!K98,'2.11 Mukono-Mbalala-24h'!K98)</f>
        <v>1.5</v>
      </c>
      <c r="L98" s="49">
        <f>AVERAGE('1.11 Mukono-Mbalala-24h'!L98,'2.11 Mukono-Mbalala-24h'!L98)</f>
        <v>9</v>
      </c>
      <c r="M98" s="49">
        <f>AVERAGE('1.11 Mukono-Mbalala-24h'!M98,'2.11 Mukono-Mbalala-24h'!M98)</f>
        <v>6.5</v>
      </c>
      <c r="N98" s="49">
        <f>AVERAGE('1.11 Mukono-Mbalala-24h'!N98,'2.11 Mukono-Mbalala-24h'!N98)</f>
        <v>0</v>
      </c>
      <c r="O98" s="15">
        <f t="shared" si="35"/>
        <v>55</v>
      </c>
      <c r="P98" s="15">
        <f t="shared" si="36"/>
        <v>61.5</v>
      </c>
      <c r="R98" s="8"/>
      <c r="T98"/>
    </row>
    <row r="99" spans="2:20" ht="23.1" customHeight="1" x14ac:dyDescent="0.25">
      <c r="B99" s="23" t="s">
        <v>139</v>
      </c>
      <c r="C99" s="49">
        <f>AVERAGE('1.11 Mukono-Mbalala-24h'!C99,'2.11 Mukono-Mbalala-24h'!C99)</f>
        <v>9.5</v>
      </c>
      <c r="D99" s="49">
        <f>AVERAGE('1.11 Mukono-Mbalala-24h'!D99,'2.11 Mukono-Mbalala-24h'!D99)</f>
        <v>2</v>
      </c>
      <c r="E99" s="49">
        <f>AVERAGE('1.11 Mukono-Mbalala-24h'!E99,'2.11 Mukono-Mbalala-24h'!E99)</f>
        <v>5.5</v>
      </c>
      <c r="F99" s="49">
        <f>AVERAGE('1.11 Mukono-Mbalala-24h'!F99,'2.11 Mukono-Mbalala-24h'!F99)</f>
        <v>18.5</v>
      </c>
      <c r="G99" s="49">
        <f>AVERAGE('1.11 Mukono-Mbalala-24h'!G99,'2.11 Mukono-Mbalala-24h'!G99)</f>
        <v>2</v>
      </c>
      <c r="H99" s="49">
        <f>AVERAGE('1.11 Mukono-Mbalala-24h'!H99,'2.11 Mukono-Mbalala-24h'!H99)</f>
        <v>2</v>
      </c>
      <c r="I99" s="49">
        <f>AVERAGE('1.11 Mukono-Mbalala-24h'!I99,'2.11 Mukono-Mbalala-24h'!I99)</f>
        <v>4</v>
      </c>
      <c r="J99" s="49">
        <f>AVERAGE('1.11 Mukono-Mbalala-24h'!J99,'2.11 Mukono-Mbalala-24h'!J99)</f>
        <v>2</v>
      </c>
      <c r="K99" s="49">
        <f>AVERAGE('1.11 Mukono-Mbalala-24h'!K99,'2.11 Mukono-Mbalala-24h'!K99)</f>
        <v>3</v>
      </c>
      <c r="L99" s="49">
        <f>AVERAGE('1.11 Mukono-Mbalala-24h'!L99,'2.11 Mukono-Mbalala-24h'!L99)</f>
        <v>11</v>
      </c>
      <c r="M99" s="49">
        <f>AVERAGE('1.11 Mukono-Mbalala-24h'!M99,'2.11 Mukono-Mbalala-24h'!M99)</f>
        <v>5</v>
      </c>
      <c r="N99" s="49">
        <f>AVERAGE('1.11 Mukono-Mbalala-24h'!N99,'2.11 Mukono-Mbalala-24h'!N99)</f>
        <v>0</v>
      </c>
      <c r="O99" s="15">
        <f t="shared" si="35"/>
        <v>59.5</v>
      </c>
      <c r="P99" s="15">
        <f t="shared" si="36"/>
        <v>64.5</v>
      </c>
      <c r="R99" s="8"/>
      <c r="T99"/>
    </row>
    <row r="100" spans="2:20" ht="23.1" customHeight="1" x14ac:dyDescent="0.25">
      <c r="B100" s="25" t="s">
        <v>140</v>
      </c>
      <c r="C100" s="49">
        <f>AVERAGE('1.11 Mukono-Mbalala-24h'!C100,'2.11 Mukono-Mbalala-24h'!C100)</f>
        <v>9</v>
      </c>
      <c r="D100" s="49">
        <f>AVERAGE('1.11 Mukono-Mbalala-24h'!D100,'2.11 Mukono-Mbalala-24h'!D100)</f>
        <v>1.5</v>
      </c>
      <c r="E100" s="49">
        <f>AVERAGE('1.11 Mukono-Mbalala-24h'!E100,'2.11 Mukono-Mbalala-24h'!E100)</f>
        <v>2</v>
      </c>
      <c r="F100" s="49">
        <f>AVERAGE('1.11 Mukono-Mbalala-24h'!F100,'2.11 Mukono-Mbalala-24h'!F100)</f>
        <v>5.5</v>
      </c>
      <c r="G100" s="49">
        <f>AVERAGE('1.11 Mukono-Mbalala-24h'!G100,'2.11 Mukono-Mbalala-24h'!G100)</f>
        <v>0.5</v>
      </c>
      <c r="H100" s="49">
        <f>AVERAGE('1.11 Mukono-Mbalala-24h'!H100,'2.11 Mukono-Mbalala-24h'!H100)</f>
        <v>2.5</v>
      </c>
      <c r="I100" s="49">
        <f>AVERAGE('1.11 Mukono-Mbalala-24h'!I100,'2.11 Mukono-Mbalala-24h'!I100)</f>
        <v>3</v>
      </c>
      <c r="J100" s="49">
        <f>AVERAGE('1.11 Mukono-Mbalala-24h'!J100,'2.11 Mukono-Mbalala-24h'!J100)</f>
        <v>2</v>
      </c>
      <c r="K100" s="49">
        <f>AVERAGE('1.11 Mukono-Mbalala-24h'!K100,'2.11 Mukono-Mbalala-24h'!K100)</f>
        <v>2</v>
      </c>
      <c r="L100" s="49">
        <f>AVERAGE('1.11 Mukono-Mbalala-24h'!L100,'2.11 Mukono-Mbalala-24h'!L100)</f>
        <v>10.5</v>
      </c>
      <c r="M100" s="49">
        <f>AVERAGE('1.11 Mukono-Mbalala-24h'!M100,'2.11 Mukono-Mbalala-24h'!M100)</f>
        <v>10</v>
      </c>
      <c r="N100" s="49">
        <f>AVERAGE('1.11 Mukono-Mbalala-24h'!N100,'2.11 Mukono-Mbalala-24h'!N100)</f>
        <v>0</v>
      </c>
      <c r="O100" s="15">
        <f t="shared" si="35"/>
        <v>38.5</v>
      </c>
      <c r="P100" s="15">
        <f t="shared" si="36"/>
        <v>48.5</v>
      </c>
      <c r="R100" s="8"/>
      <c r="T100"/>
    </row>
    <row r="101" spans="2:20" ht="23.1" customHeight="1" x14ac:dyDescent="0.25">
      <c r="B101" s="23" t="s">
        <v>141</v>
      </c>
      <c r="C101" s="49">
        <f>AVERAGE('1.11 Mukono-Mbalala-24h'!C101,'2.11 Mukono-Mbalala-24h'!C101)</f>
        <v>15</v>
      </c>
      <c r="D101" s="49">
        <f>AVERAGE('1.11 Mukono-Mbalala-24h'!D101,'2.11 Mukono-Mbalala-24h'!D101)</f>
        <v>5</v>
      </c>
      <c r="E101" s="49">
        <f>AVERAGE('1.11 Mukono-Mbalala-24h'!E101,'2.11 Mukono-Mbalala-24h'!E101)</f>
        <v>2</v>
      </c>
      <c r="F101" s="49">
        <f>AVERAGE('1.11 Mukono-Mbalala-24h'!F101,'2.11 Mukono-Mbalala-24h'!F101)</f>
        <v>12.5</v>
      </c>
      <c r="G101" s="49">
        <f>AVERAGE('1.11 Mukono-Mbalala-24h'!G101,'2.11 Mukono-Mbalala-24h'!G101)</f>
        <v>2.5</v>
      </c>
      <c r="H101" s="49">
        <f>AVERAGE('1.11 Mukono-Mbalala-24h'!H101,'2.11 Mukono-Mbalala-24h'!H101)</f>
        <v>1.5</v>
      </c>
      <c r="I101" s="49">
        <f>AVERAGE('1.11 Mukono-Mbalala-24h'!I101,'2.11 Mukono-Mbalala-24h'!I101)</f>
        <v>4</v>
      </c>
      <c r="J101" s="49">
        <f>AVERAGE('1.11 Mukono-Mbalala-24h'!J101,'2.11 Mukono-Mbalala-24h'!J101)</f>
        <v>6</v>
      </c>
      <c r="K101" s="49">
        <f>AVERAGE('1.11 Mukono-Mbalala-24h'!K101,'2.11 Mukono-Mbalala-24h'!K101)</f>
        <v>7.5</v>
      </c>
      <c r="L101" s="49">
        <f>AVERAGE('1.11 Mukono-Mbalala-24h'!L101,'2.11 Mukono-Mbalala-24h'!L101)</f>
        <v>18.5</v>
      </c>
      <c r="M101" s="49">
        <f>AVERAGE('1.11 Mukono-Mbalala-24h'!M101,'2.11 Mukono-Mbalala-24h'!M101)</f>
        <v>16</v>
      </c>
      <c r="N101" s="49">
        <f>AVERAGE('1.11 Mukono-Mbalala-24h'!N101,'2.11 Mukono-Mbalala-24h'!N101)</f>
        <v>0</v>
      </c>
      <c r="O101" s="15">
        <f t="shared" si="35"/>
        <v>74.5</v>
      </c>
      <c r="P101" s="15">
        <f t="shared" si="36"/>
        <v>90.5</v>
      </c>
      <c r="R101" s="8"/>
      <c r="T101"/>
    </row>
    <row r="102" spans="2:20" ht="23.1" customHeight="1" x14ac:dyDescent="0.25">
      <c r="B102" s="24" t="s">
        <v>142</v>
      </c>
      <c r="C102" s="49">
        <f>AVERAGE('1.11 Mukono-Mbalala-24h'!C102,'2.11 Mukono-Mbalala-24h'!C102)</f>
        <v>36</v>
      </c>
      <c r="D102" s="49">
        <f>AVERAGE('1.11 Mukono-Mbalala-24h'!D102,'2.11 Mukono-Mbalala-24h'!D102)</f>
        <v>3.5</v>
      </c>
      <c r="E102" s="49">
        <f>AVERAGE('1.11 Mukono-Mbalala-24h'!E102,'2.11 Mukono-Mbalala-24h'!E102)</f>
        <v>3.5</v>
      </c>
      <c r="F102" s="49">
        <f>AVERAGE('1.11 Mukono-Mbalala-24h'!F102,'2.11 Mukono-Mbalala-24h'!F102)</f>
        <v>46</v>
      </c>
      <c r="G102" s="49">
        <f>AVERAGE('1.11 Mukono-Mbalala-24h'!G102,'2.11 Mukono-Mbalala-24h'!G102)</f>
        <v>1.5</v>
      </c>
      <c r="H102" s="49">
        <f>AVERAGE('1.11 Mukono-Mbalala-24h'!H102,'2.11 Mukono-Mbalala-24h'!H102)</f>
        <v>2</v>
      </c>
      <c r="I102" s="49">
        <f>AVERAGE('1.11 Mukono-Mbalala-24h'!I102,'2.11 Mukono-Mbalala-24h'!I102)</f>
        <v>3</v>
      </c>
      <c r="J102" s="49">
        <f>AVERAGE('1.11 Mukono-Mbalala-24h'!J102,'2.11 Mukono-Mbalala-24h'!J102)</f>
        <v>5</v>
      </c>
      <c r="K102" s="49">
        <f>AVERAGE('1.11 Mukono-Mbalala-24h'!K102,'2.11 Mukono-Mbalala-24h'!K102)</f>
        <v>1</v>
      </c>
      <c r="L102" s="49">
        <f>AVERAGE('1.11 Mukono-Mbalala-24h'!L102,'2.11 Mukono-Mbalala-24h'!L102)</f>
        <v>6</v>
      </c>
      <c r="M102" s="49">
        <f>AVERAGE('1.11 Mukono-Mbalala-24h'!M102,'2.11 Mukono-Mbalala-24h'!M102)</f>
        <v>31</v>
      </c>
      <c r="N102" s="49">
        <f>AVERAGE('1.11 Mukono-Mbalala-24h'!N102,'2.11 Mukono-Mbalala-24h'!N102)</f>
        <v>0</v>
      </c>
      <c r="O102" s="15">
        <f t="shared" si="35"/>
        <v>107.5</v>
      </c>
      <c r="P102" s="15">
        <f t="shared" si="36"/>
        <v>138.5</v>
      </c>
      <c r="R102" s="8"/>
      <c r="T102"/>
    </row>
    <row r="103" spans="2:20" ht="23.1" customHeight="1" x14ac:dyDescent="0.25">
      <c r="B103" s="23" t="s">
        <v>143</v>
      </c>
      <c r="C103" s="49">
        <f>AVERAGE('1.11 Mukono-Mbalala-24h'!C103,'2.11 Mukono-Mbalala-24h'!C103)</f>
        <v>28</v>
      </c>
      <c r="D103" s="49">
        <f>AVERAGE('1.11 Mukono-Mbalala-24h'!D103,'2.11 Mukono-Mbalala-24h'!D103)</f>
        <v>3.5</v>
      </c>
      <c r="E103" s="49">
        <f>AVERAGE('1.11 Mukono-Mbalala-24h'!E103,'2.11 Mukono-Mbalala-24h'!E103)</f>
        <v>6.5</v>
      </c>
      <c r="F103" s="49">
        <f>AVERAGE('1.11 Mukono-Mbalala-24h'!F103,'2.11 Mukono-Mbalala-24h'!F103)</f>
        <v>27.5</v>
      </c>
      <c r="G103" s="49">
        <f>AVERAGE('1.11 Mukono-Mbalala-24h'!G103,'2.11 Mukono-Mbalala-24h'!G103)</f>
        <v>1</v>
      </c>
      <c r="H103" s="49">
        <f>AVERAGE('1.11 Mukono-Mbalala-24h'!H103,'2.11 Mukono-Mbalala-24h'!H103)</f>
        <v>1.5</v>
      </c>
      <c r="I103" s="49">
        <f>AVERAGE('1.11 Mukono-Mbalala-24h'!I103,'2.11 Mukono-Mbalala-24h'!I103)</f>
        <v>5.5</v>
      </c>
      <c r="J103" s="49">
        <f>AVERAGE('1.11 Mukono-Mbalala-24h'!J103,'2.11 Mukono-Mbalala-24h'!J103)</f>
        <v>8</v>
      </c>
      <c r="K103" s="49">
        <f>AVERAGE('1.11 Mukono-Mbalala-24h'!K103,'2.11 Mukono-Mbalala-24h'!K103)</f>
        <v>2.5</v>
      </c>
      <c r="L103" s="49">
        <f>AVERAGE('1.11 Mukono-Mbalala-24h'!L103,'2.11 Mukono-Mbalala-24h'!L103)</f>
        <v>6.5</v>
      </c>
      <c r="M103" s="49">
        <f>AVERAGE('1.11 Mukono-Mbalala-24h'!M103,'2.11 Mukono-Mbalala-24h'!M103)</f>
        <v>21</v>
      </c>
      <c r="N103" s="49">
        <f>AVERAGE('1.11 Mukono-Mbalala-24h'!N103,'2.11 Mukono-Mbalala-24h'!N103)</f>
        <v>0</v>
      </c>
      <c r="O103" s="15">
        <f t="shared" si="35"/>
        <v>90.5</v>
      </c>
      <c r="P103" s="15">
        <f t="shared" si="36"/>
        <v>111.5</v>
      </c>
      <c r="R103" s="8"/>
      <c r="T103"/>
    </row>
    <row r="104" spans="2:20" ht="23.1" customHeight="1" x14ac:dyDescent="0.25">
      <c r="B104" s="25" t="s">
        <v>144</v>
      </c>
      <c r="C104" s="49">
        <f>AVERAGE('1.11 Mukono-Mbalala-24h'!C104,'2.11 Mukono-Mbalala-24h'!C104)</f>
        <v>26</v>
      </c>
      <c r="D104" s="49">
        <f>AVERAGE('1.11 Mukono-Mbalala-24h'!D104,'2.11 Mukono-Mbalala-24h'!D104)</f>
        <v>6.5</v>
      </c>
      <c r="E104" s="49">
        <f>AVERAGE('1.11 Mukono-Mbalala-24h'!E104,'2.11 Mukono-Mbalala-24h'!E104)</f>
        <v>4</v>
      </c>
      <c r="F104" s="49">
        <f>AVERAGE('1.11 Mukono-Mbalala-24h'!F104,'2.11 Mukono-Mbalala-24h'!F104)</f>
        <v>17</v>
      </c>
      <c r="G104" s="49">
        <f>AVERAGE('1.11 Mukono-Mbalala-24h'!G104,'2.11 Mukono-Mbalala-24h'!G104)</f>
        <v>0</v>
      </c>
      <c r="H104" s="49">
        <f>AVERAGE('1.11 Mukono-Mbalala-24h'!H104,'2.11 Mukono-Mbalala-24h'!H104)</f>
        <v>1</v>
      </c>
      <c r="I104" s="49">
        <f>AVERAGE('1.11 Mukono-Mbalala-24h'!I104,'2.11 Mukono-Mbalala-24h'!I104)</f>
        <v>2.5</v>
      </c>
      <c r="J104" s="49">
        <f>AVERAGE('1.11 Mukono-Mbalala-24h'!J104,'2.11 Mukono-Mbalala-24h'!J104)</f>
        <v>3</v>
      </c>
      <c r="K104" s="49">
        <f>AVERAGE('1.11 Mukono-Mbalala-24h'!K104,'2.11 Mukono-Mbalala-24h'!K104)</f>
        <v>1</v>
      </c>
      <c r="L104" s="49">
        <f>AVERAGE('1.11 Mukono-Mbalala-24h'!L104,'2.11 Mukono-Mbalala-24h'!L104)</f>
        <v>10.5</v>
      </c>
      <c r="M104" s="49">
        <f>AVERAGE('1.11 Mukono-Mbalala-24h'!M104,'2.11 Mukono-Mbalala-24h'!M104)</f>
        <v>29.5</v>
      </c>
      <c r="N104" s="49">
        <f>AVERAGE('1.11 Mukono-Mbalala-24h'!N104,'2.11 Mukono-Mbalala-24h'!N104)</f>
        <v>0</v>
      </c>
      <c r="O104" s="15">
        <f t="shared" si="35"/>
        <v>71.5</v>
      </c>
      <c r="P104" s="15">
        <f t="shared" si="36"/>
        <v>101</v>
      </c>
      <c r="R104" s="8"/>
      <c r="T104"/>
    </row>
    <row r="105" spans="2:20" ht="23.1" customHeight="1" x14ac:dyDescent="0.25">
      <c r="B105" s="23" t="s">
        <v>145</v>
      </c>
      <c r="C105" s="49">
        <f>AVERAGE('1.11 Mukono-Mbalala-24h'!C105,'2.11 Mukono-Mbalala-24h'!C105)</f>
        <v>55</v>
      </c>
      <c r="D105" s="49">
        <f>AVERAGE('1.11 Mukono-Mbalala-24h'!D105,'2.11 Mukono-Mbalala-24h'!D105)</f>
        <v>2.5</v>
      </c>
      <c r="E105" s="49">
        <f>AVERAGE('1.11 Mukono-Mbalala-24h'!E105,'2.11 Mukono-Mbalala-24h'!E105)</f>
        <v>2.5</v>
      </c>
      <c r="F105" s="49">
        <f>AVERAGE('1.11 Mukono-Mbalala-24h'!F105,'2.11 Mukono-Mbalala-24h'!F105)</f>
        <v>21</v>
      </c>
      <c r="G105" s="49">
        <f>AVERAGE('1.11 Mukono-Mbalala-24h'!G105,'2.11 Mukono-Mbalala-24h'!G105)</f>
        <v>1</v>
      </c>
      <c r="H105" s="49">
        <f>AVERAGE('1.11 Mukono-Mbalala-24h'!H105,'2.11 Mukono-Mbalala-24h'!H105)</f>
        <v>1.5</v>
      </c>
      <c r="I105" s="49">
        <f>AVERAGE('1.11 Mukono-Mbalala-24h'!I105,'2.11 Mukono-Mbalala-24h'!I105)</f>
        <v>6</v>
      </c>
      <c r="J105" s="49">
        <f>AVERAGE('1.11 Mukono-Mbalala-24h'!J105,'2.11 Mukono-Mbalala-24h'!J105)</f>
        <v>6</v>
      </c>
      <c r="K105" s="49">
        <f>AVERAGE('1.11 Mukono-Mbalala-24h'!K105,'2.11 Mukono-Mbalala-24h'!K105)</f>
        <v>9.5</v>
      </c>
      <c r="L105" s="49">
        <f>AVERAGE('1.11 Mukono-Mbalala-24h'!L105,'2.11 Mukono-Mbalala-24h'!L105)</f>
        <v>36</v>
      </c>
      <c r="M105" s="49">
        <f>AVERAGE('1.11 Mukono-Mbalala-24h'!M105,'2.11 Mukono-Mbalala-24h'!M105)</f>
        <v>52.5</v>
      </c>
      <c r="N105" s="49">
        <f>AVERAGE('1.11 Mukono-Mbalala-24h'!N105,'2.11 Mukono-Mbalala-24h'!N105)</f>
        <v>0</v>
      </c>
      <c r="O105" s="15">
        <f>SUM(C105:L105,N105)</f>
        <v>141</v>
      </c>
      <c r="P105" s="15">
        <f>SUM(C105:N105)</f>
        <v>193.5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2888.4285714285711</v>
      </c>
      <c r="D106" s="16">
        <f t="shared" ref="D106:P106" si="37">SUM(D10:D105)</f>
        <v>665.57142857142844</v>
      </c>
      <c r="E106" s="16">
        <f t="shared" si="37"/>
        <v>511.64285714285717</v>
      </c>
      <c r="F106" s="16">
        <f t="shared" si="37"/>
        <v>2729.7142857142858</v>
      </c>
      <c r="G106" s="16">
        <f t="shared" si="37"/>
        <v>175.64285714285714</v>
      </c>
      <c r="H106" s="16">
        <f t="shared" si="37"/>
        <v>155.71428571428572</v>
      </c>
      <c r="I106" s="16">
        <f t="shared" si="37"/>
        <v>662.64285714285711</v>
      </c>
      <c r="J106" s="16">
        <f t="shared" si="37"/>
        <v>534.64285714285711</v>
      </c>
      <c r="K106" s="16">
        <f t="shared" si="37"/>
        <v>388.42857142857144</v>
      </c>
      <c r="L106" s="16">
        <f t="shared" si="37"/>
        <v>1312</v>
      </c>
      <c r="M106" s="16">
        <f t="shared" si="37"/>
        <v>5667.2142857142862</v>
      </c>
      <c r="N106" s="16">
        <f t="shared" si="37"/>
        <v>0.14285714285714285</v>
      </c>
      <c r="O106" s="16">
        <f t="shared" si="37"/>
        <v>10024.571428571428</v>
      </c>
      <c r="P106" s="16">
        <f t="shared" si="37"/>
        <v>15691.785714285716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0.18407264947538518</v>
      </c>
      <c r="D107" s="43">
        <f t="shared" si="38"/>
        <v>4.2415276418508306E-2</v>
      </c>
      <c r="E107" s="43">
        <f t="shared" si="38"/>
        <v>3.2605776452648109E-2</v>
      </c>
      <c r="F107" s="43">
        <f t="shared" si="38"/>
        <v>0.17395816737601566</v>
      </c>
      <c r="G107" s="43">
        <f t="shared" si="38"/>
        <v>1.1193299497007076E-2</v>
      </c>
      <c r="H107" s="43">
        <f t="shared" si="38"/>
        <v>9.9232992694084712E-3</v>
      </c>
      <c r="I107" s="43">
        <f t="shared" si="38"/>
        <v>4.2228645560689164E-2</v>
      </c>
      <c r="J107" s="43">
        <f t="shared" si="38"/>
        <v>3.4071511482349721E-2</v>
      </c>
      <c r="K107" s="43">
        <f t="shared" si="38"/>
        <v>2.4753624507818012E-2</v>
      </c>
      <c r="L107" s="43">
        <f t="shared" si="38"/>
        <v>8.3610624302979261E-2</v>
      </c>
      <c r="M107" s="43">
        <f t="shared" si="38"/>
        <v>0.36115802171290712</v>
      </c>
      <c r="N107" s="43">
        <f t="shared" si="38"/>
        <v>9.103944283860981E-6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0.2881348686085618</v>
      </c>
      <c r="D108" s="44">
        <f t="shared" ref="D108:N108" si="39">D106/$O$106</f>
        <v>6.6394003306161992E-2</v>
      </c>
      <c r="E108" s="44">
        <f t="shared" si="39"/>
        <v>5.1038875904919352E-2</v>
      </c>
      <c r="F108" s="44">
        <f t="shared" si="39"/>
        <v>0.27230234281479798</v>
      </c>
      <c r="G108" s="44">
        <f t="shared" si="39"/>
        <v>1.7521233540443482E-2</v>
      </c>
      <c r="H108" s="44">
        <f t="shared" si="39"/>
        <v>1.5533261129795362E-2</v>
      </c>
      <c r="I108" s="44">
        <f t="shared" si="39"/>
        <v>6.610186399133558E-2</v>
      </c>
      <c r="J108" s="44">
        <f t="shared" si="39"/>
        <v>5.3333238328678111E-2</v>
      </c>
      <c r="K108" s="44">
        <f t="shared" si="39"/>
        <v>3.8747648634783111E-2</v>
      </c>
      <c r="L108" s="44">
        <f t="shared" si="39"/>
        <v>0.13087841304223907</v>
      </c>
      <c r="M108" s="44"/>
      <c r="N108" s="44">
        <f t="shared" si="39"/>
        <v>1.4250698284215927E-5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M31" zoomScale="60" workbookViewId="0">
      <selection activeCell="AD75" sqref="AD7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'4.11 Mbalala-Mukono'!C3:G3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'4.11 Mbalala-Mukono'!G5:H5</f>
        <v>Perfect tents</v>
      </c>
      <c r="H5" s="62"/>
      <c r="I5" s="14"/>
      <c r="J5" s="2" t="s">
        <v>5</v>
      </c>
      <c r="K5" s="61" t="str">
        <f>'4.11 Mbalala-Mukono'!K5:L5</f>
        <v>Menya G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'4.11 Mbalala-Mukono'!D6:E6</f>
        <v>Mbalala</v>
      </c>
      <c r="E6" s="62"/>
      <c r="F6" s="2" t="s">
        <v>2</v>
      </c>
      <c r="G6" s="61" t="str">
        <f>'4.11 Mbalala-Mukono'!G6:H6</f>
        <v>Mukono</v>
      </c>
      <c r="H6" s="62"/>
      <c r="J6" s="2" t="s">
        <v>21</v>
      </c>
      <c r="K6" s="61" t="str">
        <f>'4.11 Mbalala-Mukono'!K6:L6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AVERAGE('29.10 Mbalala-Mukono'!C10,'30.10 Mbalala-Mukono'!C10,'31.10 Mbalala-Mukono'!C10,'3.11 Mbalala-Mukono'!C10,'1.11 Mbalala-Mukono-24h'!C10,'2.11 Mbalala-Mukono-24h'!C10,'4.11 Mbalala-Mukono'!C10)</f>
        <v>20.428571428571427</v>
      </c>
      <c r="D10" s="49">
        <f>AVERAGE('29.10 Mbalala-Mukono'!D10,'30.10 Mbalala-Mukono'!D10,'31.10 Mbalala-Mukono'!D10,'3.11 Mbalala-Mukono'!D10,'1.11 Mbalala-Mukono-24h'!D10,'2.11 Mbalala-Mukono-24h'!D10,'4.11 Mbalala-Mukono'!D10)</f>
        <v>6.5714285714285712</v>
      </c>
      <c r="E10" s="49">
        <f>AVERAGE('29.10 Mbalala-Mukono'!E10,'30.10 Mbalala-Mukono'!E10,'31.10 Mbalala-Mukono'!E10,'3.11 Mbalala-Mukono'!E10,'1.11 Mbalala-Mukono-24h'!E10,'2.11 Mbalala-Mukono-24h'!E10,'4.11 Mbalala-Mukono'!E10)</f>
        <v>5.2857142857142856</v>
      </c>
      <c r="F10" s="49">
        <f>AVERAGE('29.10 Mbalala-Mukono'!F10,'30.10 Mbalala-Mukono'!F10,'31.10 Mbalala-Mukono'!F10,'3.11 Mbalala-Mukono'!F10,'1.11 Mbalala-Mukono-24h'!F10,'2.11 Mbalala-Mukono-24h'!F10,'4.11 Mbalala-Mukono'!F10)</f>
        <v>25</v>
      </c>
      <c r="G10" s="49">
        <f>AVERAGE('29.10 Mbalala-Mukono'!G10,'30.10 Mbalala-Mukono'!G10,'31.10 Mbalala-Mukono'!G10,'3.11 Mbalala-Mukono'!G10,'1.11 Mbalala-Mukono-24h'!G10,'2.11 Mbalala-Mukono-24h'!G10,'4.11 Mbalala-Mukono'!G10)</f>
        <v>1.2857142857142858</v>
      </c>
      <c r="H10" s="49">
        <f>AVERAGE('29.10 Mbalala-Mukono'!H10,'30.10 Mbalala-Mukono'!H10,'31.10 Mbalala-Mukono'!H10,'3.11 Mbalala-Mukono'!H10,'1.11 Mbalala-Mukono-24h'!H10,'2.11 Mbalala-Mukono-24h'!H10,'4.11 Mbalala-Mukono'!H10)</f>
        <v>0.7142857142857143</v>
      </c>
      <c r="I10" s="49">
        <f>AVERAGE('29.10 Mbalala-Mukono'!I10,'30.10 Mbalala-Mukono'!I10,'31.10 Mbalala-Mukono'!I10,'3.11 Mbalala-Mukono'!I10,'1.11 Mbalala-Mukono-24h'!I10,'2.11 Mbalala-Mukono-24h'!I10,'4.11 Mbalala-Mukono'!I10)</f>
        <v>4.8571428571428568</v>
      </c>
      <c r="J10" s="49">
        <f>AVERAGE('29.10 Mbalala-Mukono'!J10,'30.10 Mbalala-Mukono'!J10,'31.10 Mbalala-Mukono'!J10,'3.11 Mbalala-Mukono'!J10,'1.11 Mbalala-Mukono-24h'!J10,'2.11 Mbalala-Mukono-24h'!J10,'4.11 Mbalala-Mukono'!J10)</f>
        <v>3.8571428571428572</v>
      </c>
      <c r="K10" s="49">
        <f>AVERAGE('29.10 Mbalala-Mukono'!K10,'30.10 Mbalala-Mukono'!K10,'31.10 Mbalala-Mukono'!K10,'3.11 Mbalala-Mukono'!K10,'1.11 Mbalala-Mukono-24h'!K10,'2.11 Mbalala-Mukono-24h'!K10,'4.11 Mbalala-Mukono'!K10)</f>
        <v>3.5714285714285716</v>
      </c>
      <c r="L10" s="49">
        <f>AVERAGE('29.10 Mbalala-Mukono'!L10,'30.10 Mbalala-Mukono'!L10,'31.10 Mbalala-Mukono'!L10,'3.11 Mbalala-Mukono'!L10,'1.11 Mbalala-Mukono-24h'!L10,'2.11 Mbalala-Mukono-24h'!L10,'4.11 Mbalala-Mukono'!L10)</f>
        <v>11.285714285714286</v>
      </c>
      <c r="M10" s="49">
        <f>AVERAGE('29.10 Mbalala-Mukono'!M10,'30.10 Mbalala-Mukono'!M10,'31.10 Mbalala-Mukono'!M10,'3.11 Mbalala-Mukono'!M10,'1.11 Mbalala-Mukono-24h'!M10,'2.11 Mbalala-Mukono-24h'!M10,'4.11 Mbalala-Mukono'!M10)</f>
        <v>92.428571428571431</v>
      </c>
      <c r="N10" s="49">
        <f>AVERAGE('29.10 Mbalala-Mukono'!N10,'30.10 Mbalala-Mukono'!N10,'31.10 Mbalala-Mukono'!N10,'3.11 Mbalala-Mukono'!N10,'1.11 Mbalala-Mukono-24h'!N10,'2.11 Mbalala-Mukono-24h'!N10,'4.11 Mbalala-Mukono'!N10)</f>
        <v>0</v>
      </c>
      <c r="O10" s="15">
        <f t="shared" ref="O10:O73" si="0">SUM(C10:L10,N10)</f>
        <v>82.857142857142861</v>
      </c>
      <c r="P10" s="15">
        <f t="shared" ref="P10:P73" si="1">SUM(C10:N10)</f>
        <v>175.28571428571428</v>
      </c>
      <c r="R10" s="1" t="s">
        <v>6</v>
      </c>
      <c r="S10" s="17">
        <f t="shared" ref="S10:AF10" si="2">SUM(C10:C13)</f>
        <v>87.857142857142861</v>
      </c>
      <c r="T10" s="17">
        <f t="shared" si="2"/>
        <v>26.571428571428569</v>
      </c>
      <c r="U10" s="17">
        <f t="shared" si="2"/>
        <v>21.428571428571431</v>
      </c>
      <c r="V10" s="17">
        <f t="shared" si="2"/>
        <v>109.71428571428572</v>
      </c>
      <c r="W10" s="17">
        <f t="shared" si="2"/>
        <v>6.2857142857142856</v>
      </c>
      <c r="X10" s="17">
        <f t="shared" si="2"/>
        <v>2.8571428571428572</v>
      </c>
      <c r="Y10" s="17">
        <f t="shared" si="2"/>
        <v>20.571428571428569</v>
      </c>
      <c r="Z10" s="17">
        <f t="shared" si="2"/>
        <v>18.857142857142858</v>
      </c>
      <c r="AA10" s="17">
        <f t="shared" si="2"/>
        <v>15.428571428571429</v>
      </c>
      <c r="AB10" s="17">
        <f t="shared" si="2"/>
        <v>65.714285714285708</v>
      </c>
      <c r="AC10" s="17">
        <f t="shared" si="2"/>
        <v>358</v>
      </c>
      <c r="AD10" s="17">
        <f t="shared" si="2"/>
        <v>0</v>
      </c>
      <c r="AE10" s="31">
        <f t="shared" si="2"/>
        <v>375.28571428571428</v>
      </c>
      <c r="AF10" s="31">
        <f t="shared" si="2"/>
        <v>733.28571428571433</v>
      </c>
    </row>
    <row r="11" spans="2:32" s="6" customFormat="1" ht="23.1" customHeight="1" x14ac:dyDescent="0.25">
      <c r="B11" s="23" t="s">
        <v>38</v>
      </c>
      <c r="C11" s="49">
        <f>AVERAGE('29.10 Mbalala-Mukono'!C11,'30.10 Mbalala-Mukono'!C11,'31.10 Mbalala-Mukono'!C11,'3.11 Mbalala-Mukono'!C11,'1.11 Mbalala-Mukono-24h'!C11,'2.11 Mbalala-Mukono-24h'!C11,'4.11 Mbalala-Mukono'!C11)</f>
        <v>22.857142857142858</v>
      </c>
      <c r="D11" s="49">
        <f>AVERAGE('29.10 Mbalala-Mukono'!D11,'30.10 Mbalala-Mukono'!D11,'31.10 Mbalala-Mukono'!D11,'3.11 Mbalala-Mukono'!D11,'1.11 Mbalala-Mukono-24h'!D11,'2.11 Mbalala-Mukono-24h'!D11,'4.11 Mbalala-Mukono'!D11)</f>
        <v>6.8571428571428568</v>
      </c>
      <c r="E11" s="49">
        <f>AVERAGE('29.10 Mbalala-Mukono'!E11,'30.10 Mbalala-Mukono'!E11,'31.10 Mbalala-Mukono'!E11,'3.11 Mbalala-Mukono'!E11,'1.11 Mbalala-Mukono-24h'!E11,'2.11 Mbalala-Mukono-24h'!E11,'4.11 Mbalala-Mukono'!E11)</f>
        <v>4.7142857142857144</v>
      </c>
      <c r="F11" s="49">
        <f>AVERAGE('29.10 Mbalala-Mukono'!F11,'30.10 Mbalala-Mukono'!F11,'31.10 Mbalala-Mukono'!F11,'3.11 Mbalala-Mukono'!F11,'1.11 Mbalala-Mukono-24h'!F11,'2.11 Mbalala-Mukono-24h'!F11,'4.11 Mbalala-Mukono'!F11)</f>
        <v>27.571428571428573</v>
      </c>
      <c r="G11" s="49">
        <f>AVERAGE('29.10 Mbalala-Mukono'!G11,'30.10 Mbalala-Mukono'!G11,'31.10 Mbalala-Mukono'!G11,'3.11 Mbalala-Mukono'!G11,'1.11 Mbalala-Mukono-24h'!G11,'2.11 Mbalala-Mukono-24h'!G11,'4.11 Mbalala-Mukono'!G11)</f>
        <v>1.5714285714285714</v>
      </c>
      <c r="H11" s="49">
        <f>AVERAGE('29.10 Mbalala-Mukono'!H11,'30.10 Mbalala-Mukono'!H11,'31.10 Mbalala-Mukono'!H11,'3.11 Mbalala-Mukono'!H11,'1.11 Mbalala-Mukono-24h'!H11,'2.11 Mbalala-Mukono-24h'!H11,'4.11 Mbalala-Mukono'!H11)</f>
        <v>0.5714285714285714</v>
      </c>
      <c r="I11" s="49">
        <f>AVERAGE('29.10 Mbalala-Mukono'!I11,'30.10 Mbalala-Mukono'!I11,'31.10 Mbalala-Mukono'!I11,'3.11 Mbalala-Mukono'!I11,'1.11 Mbalala-Mukono-24h'!I11,'2.11 Mbalala-Mukono-24h'!I11,'4.11 Mbalala-Mukono'!I11)</f>
        <v>4.2857142857142856</v>
      </c>
      <c r="J11" s="49">
        <f>AVERAGE('29.10 Mbalala-Mukono'!J11,'30.10 Mbalala-Mukono'!J11,'31.10 Mbalala-Mukono'!J11,'3.11 Mbalala-Mukono'!J11,'1.11 Mbalala-Mukono-24h'!J11,'2.11 Mbalala-Mukono-24h'!J11,'4.11 Mbalala-Mukono'!J11)</f>
        <v>4.1428571428571432</v>
      </c>
      <c r="K11" s="49">
        <f>AVERAGE('29.10 Mbalala-Mukono'!K11,'30.10 Mbalala-Mukono'!K11,'31.10 Mbalala-Mukono'!K11,'3.11 Mbalala-Mukono'!K11,'1.11 Mbalala-Mukono-24h'!K11,'2.11 Mbalala-Mukono-24h'!K11,'4.11 Mbalala-Mukono'!K11)</f>
        <v>5</v>
      </c>
      <c r="L11" s="49">
        <f>AVERAGE('29.10 Mbalala-Mukono'!L11,'30.10 Mbalala-Mukono'!L11,'31.10 Mbalala-Mukono'!L11,'3.11 Mbalala-Mukono'!L11,'1.11 Mbalala-Mukono-24h'!L11,'2.11 Mbalala-Mukono-24h'!L11,'4.11 Mbalala-Mukono'!L11)</f>
        <v>27.428571428571427</v>
      </c>
      <c r="M11" s="49">
        <f>AVERAGE('29.10 Mbalala-Mukono'!M11,'30.10 Mbalala-Mukono'!M11,'31.10 Mbalala-Mukono'!M11,'3.11 Mbalala-Mukono'!M11,'1.11 Mbalala-Mukono-24h'!M11,'2.11 Mbalala-Mukono-24h'!M11,'4.11 Mbalala-Mukono'!M11)</f>
        <v>73.714285714285708</v>
      </c>
      <c r="N11" s="49">
        <f>AVERAGE('29.10 Mbalala-Mukono'!N11,'30.10 Mbalala-Mukono'!N11,'31.10 Mbalala-Mukono'!N11,'3.11 Mbalala-Mukono'!N11,'1.11 Mbalala-Mukono-24h'!N11,'2.11 Mbalala-Mukono-24h'!N11,'4.11 Mbalala-Mukono'!N11)</f>
        <v>0</v>
      </c>
      <c r="O11" s="15">
        <f t="shared" si="0"/>
        <v>105</v>
      </c>
      <c r="P11" s="15">
        <f t="shared" si="1"/>
        <v>178.71428571428572</v>
      </c>
      <c r="R11" s="1" t="s">
        <v>7</v>
      </c>
      <c r="S11" s="17">
        <f t="shared" ref="S11:AF11" si="3">SUM(C14:C17)</f>
        <v>101.14285714285714</v>
      </c>
      <c r="T11" s="17">
        <f t="shared" si="3"/>
        <v>27.285714285714285</v>
      </c>
      <c r="U11" s="17">
        <f t="shared" si="3"/>
        <v>22.714285714285715</v>
      </c>
      <c r="V11" s="17">
        <f t="shared" si="3"/>
        <v>116.71428571428572</v>
      </c>
      <c r="W11" s="17">
        <f t="shared" si="3"/>
        <v>6</v>
      </c>
      <c r="X11" s="17">
        <f t="shared" si="3"/>
        <v>4.1428571428571432</v>
      </c>
      <c r="Y11" s="17">
        <f t="shared" si="3"/>
        <v>20.285714285714285</v>
      </c>
      <c r="Z11" s="17">
        <f t="shared" si="3"/>
        <v>19.142857142857146</v>
      </c>
      <c r="AA11" s="17">
        <f t="shared" si="3"/>
        <v>6.7142857142857144</v>
      </c>
      <c r="AB11" s="17">
        <f t="shared" si="3"/>
        <v>46</v>
      </c>
      <c r="AC11" s="17">
        <f t="shared" si="3"/>
        <v>459.28571428571433</v>
      </c>
      <c r="AD11" s="17">
        <f t="shared" si="3"/>
        <v>0.14285714285714285</v>
      </c>
      <c r="AE11" s="31">
        <f t="shared" si="3"/>
        <v>370.28571428571422</v>
      </c>
      <c r="AF11" s="31">
        <f t="shared" si="3"/>
        <v>829.57142857142856</v>
      </c>
    </row>
    <row r="12" spans="2:32" ht="23.1" customHeight="1" x14ac:dyDescent="0.25">
      <c r="B12" s="23" t="s">
        <v>39</v>
      </c>
      <c r="C12" s="49">
        <f>AVERAGE('29.10 Mbalala-Mukono'!C12,'30.10 Mbalala-Mukono'!C12,'31.10 Mbalala-Mukono'!C12,'3.11 Mbalala-Mukono'!C12,'1.11 Mbalala-Mukono-24h'!C12,'2.11 Mbalala-Mukono-24h'!C12,'4.11 Mbalala-Mukono'!C12)</f>
        <v>23.857142857142858</v>
      </c>
      <c r="D12" s="49">
        <f>AVERAGE('29.10 Mbalala-Mukono'!D12,'30.10 Mbalala-Mukono'!D12,'31.10 Mbalala-Mukono'!D12,'3.11 Mbalala-Mukono'!D12,'1.11 Mbalala-Mukono-24h'!D12,'2.11 Mbalala-Mukono-24h'!D12,'4.11 Mbalala-Mukono'!D12)</f>
        <v>6.1428571428571432</v>
      </c>
      <c r="E12" s="49">
        <f>AVERAGE('29.10 Mbalala-Mukono'!E12,'30.10 Mbalala-Mukono'!E12,'31.10 Mbalala-Mukono'!E12,'3.11 Mbalala-Mukono'!E12,'1.11 Mbalala-Mukono-24h'!E12,'2.11 Mbalala-Mukono-24h'!E12,'4.11 Mbalala-Mukono'!E12)</f>
        <v>4.7142857142857144</v>
      </c>
      <c r="F12" s="49">
        <f>AVERAGE('29.10 Mbalala-Mukono'!F12,'30.10 Mbalala-Mukono'!F12,'31.10 Mbalala-Mukono'!F12,'3.11 Mbalala-Mukono'!F12,'1.11 Mbalala-Mukono-24h'!F12,'2.11 Mbalala-Mukono-24h'!F12,'4.11 Mbalala-Mukono'!F12)</f>
        <v>30.428571428571427</v>
      </c>
      <c r="G12" s="49">
        <f>AVERAGE('29.10 Mbalala-Mukono'!G12,'30.10 Mbalala-Mukono'!G12,'31.10 Mbalala-Mukono'!G12,'3.11 Mbalala-Mukono'!G12,'1.11 Mbalala-Mukono-24h'!G12,'2.11 Mbalala-Mukono-24h'!G12,'4.11 Mbalala-Mukono'!G12)</f>
        <v>1.1428571428571428</v>
      </c>
      <c r="H12" s="49">
        <f>AVERAGE('29.10 Mbalala-Mukono'!H12,'30.10 Mbalala-Mukono'!H12,'31.10 Mbalala-Mukono'!H12,'3.11 Mbalala-Mukono'!H12,'1.11 Mbalala-Mukono-24h'!H12,'2.11 Mbalala-Mukono-24h'!H12,'4.11 Mbalala-Mukono'!H12)</f>
        <v>0.7142857142857143</v>
      </c>
      <c r="I12" s="49">
        <f>AVERAGE('29.10 Mbalala-Mukono'!I12,'30.10 Mbalala-Mukono'!I12,'31.10 Mbalala-Mukono'!I12,'3.11 Mbalala-Mukono'!I12,'1.11 Mbalala-Mukono-24h'!I12,'2.11 Mbalala-Mukono-24h'!I12,'4.11 Mbalala-Mukono'!I12)</f>
        <v>5</v>
      </c>
      <c r="J12" s="49">
        <f>AVERAGE('29.10 Mbalala-Mukono'!J12,'30.10 Mbalala-Mukono'!J12,'31.10 Mbalala-Mukono'!J12,'3.11 Mbalala-Mukono'!J12,'1.11 Mbalala-Mukono-24h'!J12,'2.11 Mbalala-Mukono-24h'!J12,'4.11 Mbalala-Mukono'!J12)</f>
        <v>6.5714285714285712</v>
      </c>
      <c r="K12" s="49">
        <f>AVERAGE('29.10 Mbalala-Mukono'!K12,'30.10 Mbalala-Mukono'!K12,'31.10 Mbalala-Mukono'!K12,'3.11 Mbalala-Mukono'!K12,'1.11 Mbalala-Mukono-24h'!K12,'2.11 Mbalala-Mukono-24h'!K12,'4.11 Mbalala-Mukono'!K12)</f>
        <v>3.2857142857142856</v>
      </c>
      <c r="L12" s="49">
        <f>AVERAGE('29.10 Mbalala-Mukono'!L12,'30.10 Mbalala-Mukono'!L12,'31.10 Mbalala-Mukono'!L12,'3.11 Mbalala-Mukono'!L12,'1.11 Mbalala-Mukono-24h'!L12,'2.11 Mbalala-Mukono-24h'!L12,'4.11 Mbalala-Mukono'!L12)</f>
        <v>13.571428571428571</v>
      </c>
      <c r="M12" s="49">
        <f>AVERAGE('29.10 Mbalala-Mukono'!M12,'30.10 Mbalala-Mukono'!M12,'31.10 Mbalala-Mukono'!M12,'3.11 Mbalala-Mukono'!M12,'1.11 Mbalala-Mukono-24h'!M12,'2.11 Mbalala-Mukono-24h'!M12,'4.11 Mbalala-Mukono'!M12)</f>
        <v>92.571428571428569</v>
      </c>
      <c r="N12" s="49">
        <f>AVERAGE('29.10 Mbalala-Mukono'!N12,'30.10 Mbalala-Mukono'!N12,'31.10 Mbalala-Mukono'!N12,'3.11 Mbalala-Mukono'!N12,'1.11 Mbalala-Mukono-24h'!N12,'2.11 Mbalala-Mukono-24h'!N12,'4.11 Mbalala-Mukono'!N12)</f>
        <v>0</v>
      </c>
      <c r="O12" s="15">
        <f t="shared" si="0"/>
        <v>95.428571428571416</v>
      </c>
      <c r="P12" s="15">
        <f t="shared" si="1"/>
        <v>188</v>
      </c>
      <c r="R12" s="1" t="s">
        <v>8</v>
      </c>
      <c r="S12" s="17">
        <f t="shared" ref="S12:AF12" si="4">SUM(C18:C21)</f>
        <v>110.42857142857142</v>
      </c>
      <c r="T12" s="17">
        <f t="shared" si="4"/>
        <v>28.857142857142861</v>
      </c>
      <c r="U12" s="17">
        <f t="shared" si="4"/>
        <v>18.857142857142858</v>
      </c>
      <c r="V12" s="17">
        <f t="shared" si="4"/>
        <v>126.14285714285714</v>
      </c>
      <c r="W12" s="17">
        <f t="shared" si="4"/>
        <v>7</v>
      </c>
      <c r="X12" s="17">
        <f t="shared" si="4"/>
        <v>4.5714285714285712</v>
      </c>
      <c r="Y12" s="17">
        <f t="shared" si="4"/>
        <v>27.857142857142861</v>
      </c>
      <c r="Z12" s="17">
        <f t="shared" si="4"/>
        <v>22.428571428571431</v>
      </c>
      <c r="AA12" s="17">
        <f t="shared" si="4"/>
        <v>9.571428571428573</v>
      </c>
      <c r="AB12" s="17">
        <f t="shared" si="4"/>
        <v>46.428571428571431</v>
      </c>
      <c r="AC12" s="17">
        <f t="shared" si="4"/>
        <v>415.42857142857144</v>
      </c>
      <c r="AD12" s="17">
        <f t="shared" si="4"/>
        <v>0</v>
      </c>
      <c r="AE12" s="31">
        <f t="shared" si="4"/>
        <v>402.14285714285722</v>
      </c>
      <c r="AF12" s="31">
        <f t="shared" si="4"/>
        <v>817.57142857142867</v>
      </c>
    </row>
    <row r="13" spans="2:32" ht="23.1" customHeight="1" x14ac:dyDescent="0.25">
      <c r="B13" s="23" t="s">
        <v>40</v>
      </c>
      <c r="C13" s="49">
        <f>AVERAGE('29.10 Mbalala-Mukono'!C13,'30.10 Mbalala-Mukono'!C13,'31.10 Mbalala-Mukono'!C13,'3.11 Mbalala-Mukono'!C13,'1.11 Mbalala-Mukono-24h'!C13,'2.11 Mbalala-Mukono-24h'!C13,'4.11 Mbalala-Mukono'!C13)</f>
        <v>20.714285714285715</v>
      </c>
      <c r="D13" s="49">
        <f>AVERAGE('29.10 Mbalala-Mukono'!D13,'30.10 Mbalala-Mukono'!D13,'31.10 Mbalala-Mukono'!D13,'3.11 Mbalala-Mukono'!D13,'1.11 Mbalala-Mukono-24h'!D13,'2.11 Mbalala-Mukono-24h'!D13,'4.11 Mbalala-Mukono'!D13)</f>
        <v>7</v>
      </c>
      <c r="E13" s="49">
        <f>AVERAGE('29.10 Mbalala-Mukono'!E13,'30.10 Mbalala-Mukono'!E13,'31.10 Mbalala-Mukono'!E13,'3.11 Mbalala-Mukono'!E13,'1.11 Mbalala-Mukono-24h'!E13,'2.11 Mbalala-Mukono-24h'!E13,'4.11 Mbalala-Mukono'!E13)</f>
        <v>6.7142857142857144</v>
      </c>
      <c r="F13" s="49">
        <f>AVERAGE('29.10 Mbalala-Mukono'!F13,'30.10 Mbalala-Mukono'!F13,'31.10 Mbalala-Mukono'!F13,'3.11 Mbalala-Mukono'!F13,'1.11 Mbalala-Mukono-24h'!F13,'2.11 Mbalala-Mukono-24h'!F13,'4.11 Mbalala-Mukono'!F13)</f>
        <v>26.714285714285715</v>
      </c>
      <c r="G13" s="49">
        <f>AVERAGE('29.10 Mbalala-Mukono'!G13,'30.10 Mbalala-Mukono'!G13,'31.10 Mbalala-Mukono'!G13,'3.11 Mbalala-Mukono'!G13,'1.11 Mbalala-Mukono-24h'!G13,'2.11 Mbalala-Mukono-24h'!G13,'4.11 Mbalala-Mukono'!G13)</f>
        <v>2.2857142857142856</v>
      </c>
      <c r="H13" s="49">
        <f>AVERAGE('29.10 Mbalala-Mukono'!H13,'30.10 Mbalala-Mukono'!H13,'31.10 Mbalala-Mukono'!H13,'3.11 Mbalala-Mukono'!H13,'1.11 Mbalala-Mukono-24h'!H13,'2.11 Mbalala-Mukono-24h'!H13,'4.11 Mbalala-Mukono'!H13)</f>
        <v>0.8571428571428571</v>
      </c>
      <c r="I13" s="49">
        <f>AVERAGE('29.10 Mbalala-Mukono'!I13,'30.10 Mbalala-Mukono'!I13,'31.10 Mbalala-Mukono'!I13,'3.11 Mbalala-Mukono'!I13,'1.11 Mbalala-Mukono-24h'!I13,'2.11 Mbalala-Mukono-24h'!I13,'4.11 Mbalala-Mukono'!I13)</f>
        <v>6.4285714285714288</v>
      </c>
      <c r="J13" s="49">
        <f>AVERAGE('29.10 Mbalala-Mukono'!J13,'30.10 Mbalala-Mukono'!J13,'31.10 Mbalala-Mukono'!J13,'3.11 Mbalala-Mukono'!J13,'1.11 Mbalala-Mukono-24h'!J13,'2.11 Mbalala-Mukono-24h'!J13,'4.11 Mbalala-Mukono'!J13)</f>
        <v>4.2857142857142856</v>
      </c>
      <c r="K13" s="49">
        <f>AVERAGE('29.10 Mbalala-Mukono'!K13,'30.10 Mbalala-Mukono'!K13,'31.10 Mbalala-Mukono'!K13,'3.11 Mbalala-Mukono'!K13,'1.11 Mbalala-Mukono-24h'!K13,'2.11 Mbalala-Mukono-24h'!K13,'4.11 Mbalala-Mukono'!K13)</f>
        <v>3.5714285714285716</v>
      </c>
      <c r="L13" s="49">
        <f>AVERAGE('29.10 Mbalala-Mukono'!L13,'30.10 Mbalala-Mukono'!L13,'31.10 Mbalala-Mukono'!L13,'3.11 Mbalala-Mukono'!L13,'1.11 Mbalala-Mukono-24h'!L13,'2.11 Mbalala-Mukono-24h'!L13,'4.11 Mbalala-Mukono'!L13)</f>
        <v>13.428571428571429</v>
      </c>
      <c r="M13" s="49">
        <f>AVERAGE('29.10 Mbalala-Mukono'!M13,'30.10 Mbalala-Mukono'!M13,'31.10 Mbalala-Mukono'!M13,'3.11 Mbalala-Mukono'!M13,'1.11 Mbalala-Mukono-24h'!M13,'2.11 Mbalala-Mukono-24h'!M13,'4.11 Mbalala-Mukono'!M13)</f>
        <v>99.285714285714292</v>
      </c>
      <c r="N13" s="49">
        <f>AVERAGE('29.10 Mbalala-Mukono'!N13,'30.10 Mbalala-Mukono'!N13,'31.10 Mbalala-Mukono'!N13,'3.11 Mbalala-Mukono'!N13,'1.11 Mbalala-Mukono-24h'!N13,'2.11 Mbalala-Mukono-24h'!N13,'4.11 Mbalala-Mukono'!N13)</f>
        <v>0</v>
      </c>
      <c r="O13" s="15">
        <f t="shared" si="0"/>
        <v>92.000000000000014</v>
      </c>
      <c r="P13" s="15">
        <f t="shared" si="1"/>
        <v>191.28571428571431</v>
      </c>
      <c r="R13" s="1" t="s">
        <v>9</v>
      </c>
      <c r="S13" s="17">
        <f t="shared" ref="S13:AF13" si="5">SUM(C22:C25)</f>
        <v>95.571428571428584</v>
      </c>
      <c r="T13" s="17">
        <f t="shared" si="5"/>
        <v>30.571428571428573</v>
      </c>
      <c r="U13" s="17">
        <f t="shared" si="5"/>
        <v>21.285714285714285</v>
      </c>
      <c r="V13" s="17">
        <f t="shared" si="5"/>
        <v>121.71428571428571</v>
      </c>
      <c r="W13" s="17">
        <f t="shared" si="5"/>
        <v>5.4285714285714288</v>
      </c>
      <c r="X13" s="17">
        <f t="shared" si="5"/>
        <v>2.7142857142857144</v>
      </c>
      <c r="Y13" s="17">
        <f t="shared" si="5"/>
        <v>30.571428571428569</v>
      </c>
      <c r="Z13" s="17">
        <f t="shared" si="5"/>
        <v>23.857142857142858</v>
      </c>
      <c r="AA13" s="17">
        <f t="shared" si="5"/>
        <v>10.428571428571429</v>
      </c>
      <c r="AB13" s="17">
        <f t="shared" si="5"/>
        <v>45.571428571428569</v>
      </c>
      <c r="AC13" s="17">
        <f t="shared" si="5"/>
        <v>369.71428571428572</v>
      </c>
      <c r="AD13" s="17">
        <f t="shared" si="5"/>
        <v>0.14285714285714285</v>
      </c>
      <c r="AE13" s="31">
        <f t="shared" si="5"/>
        <v>387.85714285714289</v>
      </c>
      <c r="AF13" s="31">
        <f t="shared" si="5"/>
        <v>757.57142857142867</v>
      </c>
    </row>
    <row r="14" spans="2:32" ht="23.1" customHeight="1" x14ac:dyDescent="0.25">
      <c r="B14" s="23" t="s">
        <v>41</v>
      </c>
      <c r="C14" s="49">
        <f>AVERAGE('29.10 Mbalala-Mukono'!C14,'30.10 Mbalala-Mukono'!C14,'31.10 Mbalala-Mukono'!C14,'3.11 Mbalala-Mukono'!C14,'1.11 Mbalala-Mukono-24h'!C14,'2.11 Mbalala-Mukono-24h'!C14,'4.11 Mbalala-Mukono'!C14)</f>
        <v>27.142857142857142</v>
      </c>
      <c r="D14" s="49">
        <f>AVERAGE('29.10 Mbalala-Mukono'!D14,'30.10 Mbalala-Mukono'!D14,'31.10 Mbalala-Mukono'!D14,'3.11 Mbalala-Mukono'!D14,'1.11 Mbalala-Mukono-24h'!D14,'2.11 Mbalala-Mukono-24h'!D14,'4.11 Mbalala-Mukono'!D14)</f>
        <v>7.5714285714285712</v>
      </c>
      <c r="E14" s="49">
        <f>AVERAGE('29.10 Mbalala-Mukono'!E14,'30.10 Mbalala-Mukono'!E14,'31.10 Mbalala-Mukono'!E14,'3.11 Mbalala-Mukono'!E14,'1.11 Mbalala-Mukono-24h'!E14,'2.11 Mbalala-Mukono-24h'!E14,'4.11 Mbalala-Mukono'!E14)</f>
        <v>5.1428571428571432</v>
      </c>
      <c r="F14" s="49">
        <f>AVERAGE('29.10 Mbalala-Mukono'!F14,'30.10 Mbalala-Mukono'!F14,'31.10 Mbalala-Mukono'!F14,'3.11 Mbalala-Mukono'!F14,'1.11 Mbalala-Mukono-24h'!F14,'2.11 Mbalala-Mukono-24h'!F14,'4.11 Mbalala-Mukono'!F14)</f>
        <v>29.571428571428573</v>
      </c>
      <c r="G14" s="49">
        <f>AVERAGE('29.10 Mbalala-Mukono'!G14,'30.10 Mbalala-Mukono'!G14,'31.10 Mbalala-Mukono'!G14,'3.11 Mbalala-Mukono'!G14,'1.11 Mbalala-Mukono-24h'!G14,'2.11 Mbalala-Mukono-24h'!G14,'4.11 Mbalala-Mukono'!G14)</f>
        <v>1.8571428571428572</v>
      </c>
      <c r="H14" s="49">
        <f>AVERAGE('29.10 Mbalala-Mukono'!H14,'30.10 Mbalala-Mukono'!H14,'31.10 Mbalala-Mukono'!H14,'3.11 Mbalala-Mukono'!H14,'1.11 Mbalala-Mukono-24h'!H14,'2.11 Mbalala-Mukono-24h'!H14,'4.11 Mbalala-Mukono'!H14)</f>
        <v>1.1428571428571428</v>
      </c>
      <c r="I14" s="49">
        <f>AVERAGE('29.10 Mbalala-Mukono'!I14,'30.10 Mbalala-Mukono'!I14,'31.10 Mbalala-Mukono'!I14,'3.11 Mbalala-Mukono'!I14,'1.11 Mbalala-Mukono-24h'!I14,'2.11 Mbalala-Mukono-24h'!I14,'4.11 Mbalala-Mukono'!I14)</f>
        <v>5</v>
      </c>
      <c r="J14" s="49">
        <f>AVERAGE('29.10 Mbalala-Mukono'!J14,'30.10 Mbalala-Mukono'!J14,'31.10 Mbalala-Mukono'!J14,'3.11 Mbalala-Mukono'!J14,'1.11 Mbalala-Mukono-24h'!J14,'2.11 Mbalala-Mukono-24h'!J14,'4.11 Mbalala-Mukono'!J14)</f>
        <v>5</v>
      </c>
      <c r="K14" s="49">
        <f>AVERAGE('29.10 Mbalala-Mukono'!K14,'30.10 Mbalala-Mukono'!K14,'31.10 Mbalala-Mukono'!K14,'3.11 Mbalala-Mukono'!K14,'1.11 Mbalala-Mukono-24h'!K14,'2.11 Mbalala-Mukono-24h'!K14,'4.11 Mbalala-Mukono'!K14)</f>
        <v>1.7142857142857142</v>
      </c>
      <c r="L14" s="49">
        <f>AVERAGE('29.10 Mbalala-Mukono'!L14,'30.10 Mbalala-Mukono'!L14,'31.10 Mbalala-Mukono'!L14,'3.11 Mbalala-Mukono'!L14,'1.11 Mbalala-Mukono-24h'!L14,'2.11 Mbalala-Mukono-24h'!L14,'4.11 Mbalala-Mukono'!L14)</f>
        <v>14</v>
      </c>
      <c r="M14" s="49">
        <f>AVERAGE('29.10 Mbalala-Mukono'!M14,'30.10 Mbalala-Mukono'!M14,'31.10 Mbalala-Mukono'!M14,'3.11 Mbalala-Mukono'!M14,'1.11 Mbalala-Mukono-24h'!M14,'2.11 Mbalala-Mukono-24h'!M14,'4.11 Mbalala-Mukono'!M14)</f>
        <v>116.28571428571429</v>
      </c>
      <c r="N14" s="49">
        <f>AVERAGE('29.10 Mbalala-Mukono'!N14,'30.10 Mbalala-Mukono'!N14,'31.10 Mbalala-Mukono'!N14,'3.11 Mbalala-Mukono'!N14,'1.11 Mbalala-Mukono-24h'!N14,'2.11 Mbalala-Mukono-24h'!N14,'4.11 Mbalala-Mukono'!N14)</f>
        <v>0</v>
      </c>
      <c r="O14" s="15">
        <f t="shared" si="0"/>
        <v>98.142857142857139</v>
      </c>
      <c r="P14" s="15">
        <f t="shared" si="1"/>
        <v>214.42857142857144</v>
      </c>
      <c r="R14" s="1" t="s">
        <v>10</v>
      </c>
      <c r="S14" s="17">
        <f t="shared" ref="S14:AF14" si="6">SUM(C26:C29)</f>
        <v>106.42857142857143</v>
      </c>
      <c r="T14" s="17">
        <f t="shared" si="6"/>
        <v>30.285714285714285</v>
      </c>
      <c r="U14" s="17">
        <f t="shared" si="6"/>
        <v>19.571428571428569</v>
      </c>
      <c r="V14" s="17">
        <f t="shared" si="6"/>
        <v>118.71428571428571</v>
      </c>
      <c r="W14" s="17">
        <f t="shared" si="6"/>
        <v>4.2857142857142856</v>
      </c>
      <c r="X14" s="17">
        <f t="shared" si="6"/>
        <v>2.2857142857142856</v>
      </c>
      <c r="Y14" s="17">
        <f t="shared" si="6"/>
        <v>34.428571428571431</v>
      </c>
      <c r="Z14" s="17">
        <f t="shared" si="6"/>
        <v>27.142857142857146</v>
      </c>
      <c r="AA14" s="17">
        <f t="shared" si="6"/>
        <v>9.7142857142857135</v>
      </c>
      <c r="AB14" s="17">
        <f t="shared" si="6"/>
        <v>40.428571428571423</v>
      </c>
      <c r="AC14" s="17">
        <f t="shared" si="6"/>
        <v>371.42857142857139</v>
      </c>
      <c r="AD14" s="17">
        <f t="shared" si="6"/>
        <v>0</v>
      </c>
      <c r="AE14" s="31">
        <f t="shared" si="6"/>
        <v>393.28571428571433</v>
      </c>
      <c r="AF14" s="31">
        <f t="shared" si="6"/>
        <v>764.71428571428578</v>
      </c>
    </row>
    <row r="15" spans="2:32" ht="23.1" customHeight="1" x14ac:dyDescent="0.25">
      <c r="B15" s="23" t="s">
        <v>42</v>
      </c>
      <c r="C15" s="49">
        <f>AVERAGE('29.10 Mbalala-Mukono'!C15,'30.10 Mbalala-Mukono'!C15,'31.10 Mbalala-Mukono'!C15,'3.11 Mbalala-Mukono'!C15,'1.11 Mbalala-Mukono-24h'!C15,'2.11 Mbalala-Mukono-24h'!C15,'4.11 Mbalala-Mukono'!C15)</f>
        <v>24.714285714285715</v>
      </c>
      <c r="D15" s="49">
        <f>AVERAGE('29.10 Mbalala-Mukono'!D15,'30.10 Mbalala-Mukono'!D15,'31.10 Mbalala-Mukono'!D15,'3.11 Mbalala-Mukono'!D15,'1.11 Mbalala-Mukono-24h'!D15,'2.11 Mbalala-Mukono-24h'!D15,'4.11 Mbalala-Mukono'!D15)</f>
        <v>7.1428571428571432</v>
      </c>
      <c r="E15" s="49">
        <f>AVERAGE('29.10 Mbalala-Mukono'!E15,'30.10 Mbalala-Mukono'!E15,'31.10 Mbalala-Mukono'!E15,'3.11 Mbalala-Mukono'!E15,'1.11 Mbalala-Mukono-24h'!E15,'2.11 Mbalala-Mukono-24h'!E15,'4.11 Mbalala-Mukono'!E15)</f>
        <v>6.1428571428571432</v>
      </c>
      <c r="F15" s="49">
        <f>AVERAGE('29.10 Mbalala-Mukono'!F15,'30.10 Mbalala-Mukono'!F15,'31.10 Mbalala-Mukono'!F15,'3.11 Mbalala-Mukono'!F15,'1.11 Mbalala-Mukono-24h'!F15,'2.11 Mbalala-Mukono-24h'!F15,'4.11 Mbalala-Mukono'!F15)</f>
        <v>32</v>
      </c>
      <c r="G15" s="49">
        <f>AVERAGE('29.10 Mbalala-Mukono'!G15,'30.10 Mbalala-Mukono'!G15,'31.10 Mbalala-Mukono'!G15,'3.11 Mbalala-Mukono'!G15,'1.11 Mbalala-Mukono-24h'!G15,'2.11 Mbalala-Mukono-24h'!G15,'4.11 Mbalala-Mukono'!G15)</f>
        <v>1.5714285714285714</v>
      </c>
      <c r="H15" s="49">
        <f>AVERAGE('29.10 Mbalala-Mukono'!H15,'30.10 Mbalala-Mukono'!H15,'31.10 Mbalala-Mukono'!H15,'3.11 Mbalala-Mukono'!H15,'1.11 Mbalala-Mukono-24h'!H15,'2.11 Mbalala-Mukono-24h'!H15,'4.11 Mbalala-Mukono'!H15)</f>
        <v>0.8571428571428571</v>
      </c>
      <c r="I15" s="49">
        <f>AVERAGE('29.10 Mbalala-Mukono'!I15,'30.10 Mbalala-Mukono'!I15,'31.10 Mbalala-Mukono'!I15,'3.11 Mbalala-Mukono'!I15,'1.11 Mbalala-Mukono-24h'!I15,'2.11 Mbalala-Mukono-24h'!I15,'4.11 Mbalala-Mukono'!I15)</f>
        <v>5</v>
      </c>
      <c r="J15" s="49">
        <f>AVERAGE('29.10 Mbalala-Mukono'!J15,'30.10 Mbalala-Mukono'!J15,'31.10 Mbalala-Mukono'!J15,'3.11 Mbalala-Mukono'!J15,'1.11 Mbalala-Mukono-24h'!J15,'2.11 Mbalala-Mukono-24h'!J15,'4.11 Mbalala-Mukono'!J15)</f>
        <v>4.4285714285714288</v>
      </c>
      <c r="K15" s="49">
        <f>AVERAGE('29.10 Mbalala-Mukono'!K15,'30.10 Mbalala-Mukono'!K15,'31.10 Mbalala-Mukono'!K15,'3.11 Mbalala-Mukono'!K15,'1.11 Mbalala-Mukono-24h'!K15,'2.11 Mbalala-Mukono-24h'!K15,'4.11 Mbalala-Mukono'!K15)</f>
        <v>1.5714285714285714</v>
      </c>
      <c r="L15" s="49">
        <f>AVERAGE('29.10 Mbalala-Mukono'!L15,'30.10 Mbalala-Mukono'!L15,'31.10 Mbalala-Mukono'!L15,'3.11 Mbalala-Mukono'!L15,'1.11 Mbalala-Mukono-24h'!L15,'2.11 Mbalala-Mukono-24h'!L15,'4.11 Mbalala-Mukono'!L15)</f>
        <v>10.285714285714286</v>
      </c>
      <c r="M15" s="49">
        <f>AVERAGE('29.10 Mbalala-Mukono'!M15,'30.10 Mbalala-Mukono'!M15,'31.10 Mbalala-Mukono'!M15,'3.11 Mbalala-Mukono'!M15,'1.11 Mbalala-Mukono-24h'!M15,'2.11 Mbalala-Mukono-24h'!M15,'4.11 Mbalala-Mukono'!M15)</f>
        <v>116.85714285714286</v>
      </c>
      <c r="N15" s="49">
        <f>AVERAGE('29.10 Mbalala-Mukono'!N15,'30.10 Mbalala-Mukono'!N15,'31.10 Mbalala-Mukono'!N15,'3.11 Mbalala-Mukono'!N15,'1.11 Mbalala-Mukono-24h'!N15,'2.11 Mbalala-Mukono-24h'!N15,'4.11 Mbalala-Mukono'!N15)</f>
        <v>0</v>
      </c>
      <c r="O15" s="15">
        <f t="shared" si="0"/>
        <v>93.714285714285722</v>
      </c>
      <c r="P15" s="15">
        <f t="shared" si="1"/>
        <v>210.57142857142858</v>
      </c>
      <c r="R15" s="1" t="s">
        <v>11</v>
      </c>
      <c r="S15" s="17">
        <f t="shared" ref="S15:AF15" si="7">SUM(C30:C33)</f>
        <v>115.57142857142857</v>
      </c>
      <c r="T15" s="17">
        <f t="shared" si="7"/>
        <v>35.142857142857139</v>
      </c>
      <c r="U15" s="17">
        <f t="shared" si="7"/>
        <v>22</v>
      </c>
      <c r="V15" s="17">
        <f t="shared" si="7"/>
        <v>120.42857142857143</v>
      </c>
      <c r="W15" s="17">
        <f t="shared" si="7"/>
        <v>4.2857142857142856</v>
      </c>
      <c r="X15" s="17">
        <f t="shared" si="7"/>
        <v>2.8571428571428568</v>
      </c>
      <c r="Y15" s="17">
        <f t="shared" si="7"/>
        <v>37.571428571428569</v>
      </c>
      <c r="Z15" s="17">
        <f t="shared" si="7"/>
        <v>32.571428571428569</v>
      </c>
      <c r="AA15" s="17">
        <f t="shared" si="7"/>
        <v>11.285714285714285</v>
      </c>
      <c r="AB15" s="17">
        <f t="shared" si="7"/>
        <v>42.571428571428569</v>
      </c>
      <c r="AC15" s="17">
        <f t="shared" si="7"/>
        <v>335.42857142857144</v>
      </c>
      <c r="AD15" s="17">
        <f t="shared" si="7"/>
        <v>0</v>
      </c>
      <c r="AE15" s="31">
        <f t="shared" si="7"/>
        <v>424.28571428571428</v>
      </c>
      <c r="AF15" s="31">
        <f t="shared" si="7"/>
        <v>759.71428571428567</v>
      </c>
    </row>
    <row r="16" spans="2:32" ht="23.1" customHeight="1" x14ac:dyDescent="0.25">
      <c r="B16" s="23" t="s">
        <v>43</v>
      </c>
      <c r="C16" s="49">
        <f>AVERAGE('29.10 Mbalala-Mukono'!C16,'30.10 Mbalala-Mukono'!C16,'31.10 Mbalala-Mukono'!C16,'3.11 Mbalala-Mukono'!C16,'1.11 Mbalala-Mukono-24h'!C16,'2.11 Mbalala-Mukono-24h'!C16,'4.11 Mbalala-Mukono'!C16)</f>
        <v>23.142857142857142</v>
      </c>
      <c r="D16" s="49">
        <f>AVERAGE('29.10 Mbalala-Mukono'!D16,'30.10 Mbalala-Mukono'!D16,'31.10 Mbalala-Mukono'!D16,'3.11 Mbalala-Mukono'!D16,'1.11 Mbalala-Mukono-24h'!D16,'2.11 Mbalala-Mukono-24h'!D16,'4.11 Mbalala-Mukono'!D16)</f>
        <v>6.5714285714285712</v>
      </c>
      <c r="E16" s="49">
        <f>AVERAGE('29.10 Mbalala-Mukono'!E16,'30.10 Mbalala-Mukono'!E16,'31.10 Mbalala-Mukono'!E16,'3.11 Mbalala-Mukono'!E16,'1.11 Mbalala-Mukono-24h'!E16,'2.11 Mbalala-Mukono-24h'!E16,'4.11 Mbalala-Mukono'!E16)</f>
        <v>5.5714285714285712</v>
      </c>
      <c r="F16" s="49">
        <f>AVERAGE('29.10 Mbalala-Mukono'!F16,'30.10 Mbalala-Mukono'!F16,'31.10 Mbalala-Mukono'!F16,'3.11 Mbalala-Mukono'!F16,'1.11 Mbalala-Mukono-24h'!F16,'2.11 Mbalala-Mukono-24h'!F16,'4.11 Mbalala-Mukono'!F16)</f>
        <v>23.857142857142858</v>
      </c>
      <c r="G16" s="49">
        <f>AVERAGE('29.10 Mbalala-Mukono'!G16,'30.10 Mbalala-Mukono'!G16,'31.10 Mbalala-Mukono'!G16,'3.11 Mbalala-Mukono'!G16,'1.11 Mbalala-Mukono-24h'!G16,'2.11 Mbalala-Mukono-24h'!G16,'4.11 Mbalala-Mukono'!G16)</f>
        <v>0.8571428571428571</v>
      </c>
      <c r="H16" s="49">
        <f>AVERAGE('29.10 Mbalala-Mukono'!H16,'30.10 Mbalala-Mukono'!H16,'31.10 Mbalala-Mukono'!H16,'3.11 Mbalala-Mukono'!H16,'1.11 Mbalala-Mukono-24h'!H16,'2.11 Mbalala-Mukono-24h'!H16,'4.11 Mbalala-Mukono'!H16)</f>
        <v>0.8571428571428571</v>
      </c>
      <c r="I16" s="49">
        <f>AVERAGE('29.10 Mbalala-Mukono'!I16,'30.10 Mbalala-Mukono'!I16,'31.10 Mbalala-Mukono'!I16,'3.11 Mbalala-Mukono'!I16,'1.11 Mbalala-Mukono-24h'!I16,'2.11 Mbalala-Mukono-24h'!I16,'4.11 Mbalala-Mukono'!I16)</f>
        <v>5.1428571428571432</v>
      </c>
      <c r="J16" s="49">
        <f>AVERAGE('29.10 Mbalala-Mukono'!J16,'30.10 Mbalala-Mukono'!J16,'31.10 Mbalala-Mukono'!J16,'3.11 Mbalala-Mukono'!J16,'1.11 Mbalala-Mukono-24h'!J16,'2.11 Mbalala-Mukono-24h'!J16,'4.11 Mbalala-Mukono'!J16)</f>
        <v>5.1428571428571432</v>
      </c>
      <c r="K16" s="49">
        <f>AVERAGE('29.10 Mbalala-Mukono'!K16,'30.10 Mbalala-Mukono'!K16,'31.10 Mbalala-Mukono'!K16,'3.11 Mbalala-Mukono'!K16,'1.11 Mbalala-Mukono-24h'!K16,'2.11 Mbalala-Mukono-24h'!K16,'4.11 Mbalala-Mukono'!K16)</f>
        <v>1.4285714285714286</v>
      </c>
      <c r="L16" s="49">
        <f>AVERAGE('29.10 Mbalala-Mukono'!L16,'30.10 Mbalala-Mukono'!L16,'31.10 Mbalala-Mukono'!L16,'3.11 Mbalala-Mukono'!L16,'1.11 Mbalala-Mukono-24h'!L16,'2.11 Mbalala-Mukono-24h'!L16,'4.11 Mbalala-Mukono'!L16)</f>
        <v>10.428571428571429</v>
      </c>
      <c r="M16" s="49">
        <f>AVERAGE('29.10 Mbalala-Mukono'!M16,'30.10 Mbalala-Mukono'!M16,'31.10 Mbalala-Mukono'!M16,'3.11 Mbalala-Mukono'!M16,'1.11 Mbalala-Mukono-24h'!M16,'2.11 Mbalala-Mukono-24h'!M16,'4.11 Mbalala-Mukono'!M16)</f>
        <v>112</v>
      </c>
      <c r="N16" s="49">
        <f>AVERAGE('29.10 Mbalala-Mukono'!N16,'30.10 Mbalala-Mukono'!N16,'31.10 Mbalala-Mukono'!N16,'3.11 Mbalala-Mukono'!N16,'1.11 Mbalala-Mukono-24h'!N16,'2.11 Mbalala-Mukono-24h'!N16,'4.11 Mbalala-Mukono'!N16)</f>
        <v>0</v>
      </c>
      <c r="O16" s="15">
        <f t="shared" si="0"/>
        <v>82.999999999999986</v>
      </c>
      <c r="P16" s="15">
        <f t="shared" si="1"/>
        <v>195</v>
      </c>
      <c r="R16" s="1" t="s">
        <v>12</v>
      </c>
      <c r="S16" s="17">
        <f t="shared" ref="S16:AF16" si="8">SUM(C34:C37)</f>
        <v>116.42857142857142</v>
      </c>
      <c r="T16" s="17">
        <f t="shared" si="8"/>
        <v>32</v>
      </c>
      <c r="U16" s="17">
        <f t="shared" si="8"/>
        <v>29.142857142857146</v>
      </c>
      <c r="V16" s="17">
        <f t="shared" si="8"/>
        <v>121.42857142857142</v>
      </c>
      <c r="W16" s="17">
        <f t="shared" si="8"/>
        <v>2</v>
      </c>
      <c r="X16" s="17">
        <f t="shared" si="8"/>
        <v>2.2857142857142856</v>
      </c>
      <c r="Y16" s="17">
        <f t="shared" si="8"/>
        <v>37.142857142857146</v>
      </c>
      <c r="Z16" s="17">
        <f t="shared" si="8"/>
        <v>25.857142857142854</v>
      </c>
      <c r="AA16" s="17">
        <f t="shared" si="8"/>
        <v>10.428571428571429</v>
      </c>
      <c r="AB16" s="17">
        <f t="shared" si="8"/>
        <v>39.571428571428569</v>
      </c>
      <c r="AC16" s="17">
        <f t="shared" si="8"/>
        <v>335.28571428571428</v>
      </c>
      <c r="AD16" s="17">
        <f t="shared" si="8"/>
        <v>0</v>
      </c>
      <c r="AE16" s="31">
        <f t="shared" si="8"/>
        <v>416.28571428571428</v>
      </c>
      <c r="AF16" s="31">
        <f t="shared" si="8"/>
        <v>751.57142857142856</v>
      </c>
    </row>
    <row r="17" spans="2:32" ht="23.1" customHeight="1" x14ac:dyDescent="0.25">
      <c r="B17" s="23" t="s">
        <v>44</v>
      </c>
      <c r="C17" s="49">
        <f>AVERAGE('29.10 Mbalala-Mukono'!C17,'30.10 Mbalala-Mukono'!C17,'31.10 Mbalala-Mukono'!C17,'3.11 Mbalala-Mukono'!C17,'1.11 Mbalala-Mukono-24h'!C17,'2.11 Mbalala-Mukono-24h'!C17,'4.11 Mbalala-Mukono'!C17)</f>
        <v>26.142857142857142</v>
      </c>
      <c r="D17" s="49">
        <f>AVERAGE('29.10 Mbalala-Mukono'!D17,'30.10 Mbalala-Mukono'!D17,'31.10 Mbalala-Mukono'!D17,'3.11 Mbalala-Mukono'!D17,'1.11 Mbalala-Mukono-24h'!D17,'2.11 Mbalala-Mukono-24h'!D17,'4.11 Mbalala-Mukono'!D17)</f>
        <v>6</v>
      </c>
      <c r="E17" s="49">
        <f>AVERAGE('29.10 Mbalala-Mukono'!E17,'30.10 Mbalala-Mukono'!E17,'31.10 Mbalala-Mukono'!E17,'3.11 Mbalala-Mukono'!E17,'1.11 Mbalala-Mukono-24h'!E17,'2.11 Mbalala-Mukono-24h'!E17,'4.11 Mbalala-Mukono'!E17)</f>
        <v>5.8571428571428568</v>
      </c>
      <c r="F17" s="49">
        <f>AVERAGE('29.10 Mbalala-Mukono'!F17,'30.10 Mbalala-Mukono'!F17,'31.10 Mbalala-Mukono'!F17,'3.11 Mbalala-Mukono'!F17,'1.11 Mbalala-Mukono-24h'!F17,'2.11 Mbalala-Mukono-24h'!F17,'4.11 Mbalala-Mukono'!F17)</f>
        <v>31.285714285714285</v>
      </c>
      <c r="G17" s="49">
        <f>AVERAGE('29.10 Mbalala-Mukono'!G17,'30.10 Mbalala-Mukono'!G17,'31.10 Mbalala-Mukono'!G17,'3.11 Mbalala-Mukono'!G17,'1.11 Mbalala-Mukono-24h'!G17,'2.11 Mbalala-Mukono-24h'!G17,'4.11 Mbalala-Mukono'!G17)</f>
        <v>1.7142857142857142</v>
      </c>
      <c r="H17" s="49">
        <f>AVERAGE('29.10 Mbalala-Mukono'!H17,'30.10 Mbalala-Mukono'!H17,'31.10 Mbalala-Mukono'!H17,'3.11 Mbalala-Mukono'!H17,'1.11 Mbalala-Mukono-24h'!H17,'2.11 Mbalala-Mukono-24h'!H17,'4.11 Mbalala-Mukono'!H17)</f>
        <v>1.2857142857142858</v>
      </c>
      <c r="I17" s="49">
        <f>AVERAGE('29.10 Mbalala-Mukono'!I17,'30.10 Mbalala-Mukono'!I17,'31.10 Mbalala-Mukono'!I17,'3.11 Mbalala-Mukono'!I17,'1.11 Mbalala-Mukono-24h'!I17,'2.11 Mbalala-Mukono-24h'!I17,'4.11 Mbalala-Mukono'!I17)</f>
        <v>5.1428571428571432</v>
      </c>
      <c r="J17" s="49">
        <f>AVERAGE('29.10 Mbalala-Mukono'!J17,'30.10 Mbalala-Mukono'!J17,'31.10 Mbalala-Mukono'!J17,'3.11 Mbalala-Mukono'!J17,'1.11 Mbalala-Mukono-24h'!J17,'2.11 Mbalala-Mukono-24h'!J17,'4.11 Mbalala-Mukono'!J17)</f>
        <v>4.5714285714285712</v>
      </c>
      <c r="K17" s="49">
        <f>AVERAGE('29.10 Mbalala-Mukono'!K17,'30.10 Mbalala-Mukono'!K17,'31.10 Mbalala-Mukono'!K17,'3.11 Mbalala-Mukono'!K17,'1.11 Mbalala-Mukono-24h'!K17,'2.11 Mbalala-Mukono-24h'!K17,'4.11 Mbalala-Mukono'!K17)</f>
        <v>2</v>
      </c>
      <c r="L17" s="49">
        <f>AVERAGE('29.10 Mbalala-Mukono'!L17,'30.10 Mbalala-Mukono'!L17,'31.10 Mbalala-Mukono'!L17,'3.11 Mbalala-Mukono'!L17,'1.11 Mbalala-Mukono-24h'!L17,'2.11 Mbalala-Mukono-24h'!L17,'4.11 Mbalala-Mukono'!L17)</f>
        <v>11.285714285714286</v>
      </c>
      <c r="M17" s="49">
        <f>AVERAGE('29.10 Mbalala-Mukono'!M17,'30.10 Mbalala-Mukono'!M17,'31.10 Mbalala-Mukono'!M17,'3.11 Mbalala-Mukono'!M17,'1.11 Mbalala-Mukono-24h'!M17,'2.11 Mbalala-Mukono-24h'!M17,'4.11 Mbalala-Mukono'!M17)</f>
        <v>114.14285714285714</v>
      </c>
      <c r="N17" s="49">
        <f>AVERAGE('29.10 Mbalala-Mukono'!N17,'30.10 Mbalala-Mukono'!N17,'31.10 Mbalala-Mukono'!N17,'3.11 Mbalala-Mukono'!N17,'1.11 Mbalala-Mukono-24h'!N17,'2.11 Mbalala-Mukono-24h'!N17,'4.11 Mbalala-Mukono'!N17)</f>
        <v>0.14285714285714285</v>
      </c>
      <c r="O17" s="15">
        <f t="shared" si="0"/>
        <v>95.428571428571416</v>
      </c>
      <c r="P17" s="15">
        <f t="shared" si="1"/>
        <v>209.57142857142856</v>
      </c>
      <c r="R17" s="1" t="s">
        <v>13</v>
      </c>
      <c r="S17" s="17">
        <f t="shared" ref="S17:AF17" si="9">SUM(C38:C41)</f>
        <v>123.14285714285714</v>
      </c>
      <c r="T17" s="17">
        <f t="shared" si="9"/>
        <v>40</v>
      </c>
      <c r="U17" s="17">
        <f t="shared" si="9"/>
        <v>27.857142857142854</v>
      </c>
      <c r="V17" s="17">
        <f t="shared" si="9"/>
        <v>120.14285714285715</v>
      </c>
      <c r="W17" s="17">
        <f t="shared" si="9"/>
        <v>4.7142857142857144</v>
      </c>
      <c r="X17" s="17">
        <f t="shared" si="9"/>
        <v>2</v>
      </c>
      <c r="Y17" s="17">
        <f t="shared" si="9"/>
        <v>38.285714285714292</v>
      </c>
      <c r="Z17" s="17">
        <f t="shared" si="9"/>
        <v>30.285714285714285</v>
      </c>
      <c r="AA17" s="17">
        <f t="shared" si="9"/>
        <v>10.285714285714285</v>
      </c>
      <c r="AB17" s="17">
        <f t="shared" si="9"/>
        <v>42.857142857142861</v>
      </c>
      <c r="AC17" s="17">
        <f t="shared" si="9"/>
        <v>270</v>
      </c>
      <c r="AD17" s="17">
        <f t="shared" si="9"/>
        <v>0</v>
      </c>
      <c r="AE17" s="31">
        <f t="shared" si="9"/>
        <v>439.57142857142856</v>
      </c>
      <c r="AF17" s="31">
        <f t="shared" si="9"/>
        <v>709.57142857142844</v>
      </c>
    </row>
    <row r="18" spans="2:32" ht="23.1" customHeight="1" x14ac:dyDescent="0.25">
      <c r="B18" s="23" t="s">
        <v>45</v>
      </c>
      <c r="C18" s="49">
        <f>AVERAGE('29.10 Mbalala-Mukono'!C18,'30.10 Mbalala-Mukono'!C18,'31.10 Mbalala-Mukono'!C18,'3.11 Mbalala-Mukono'!C18,'1.11 Mbalala-Mukono-24h'!C18,'2.11 Mbalala-Mukono-24h'!C18,'4.11 Mbalala-Mukono'!C18)</f>
        <v>29</v>
      </c>
      <c r="D18" s="49">
        <f>AVERAGE('29.10 Mbalala-Mukono'!D18,'30.10 Mbalala-Mukono'!D18,'31.10 Mbalala-Mukono'!D18,'3.11 Mbalala-Mukono'!D18,'1.11 Mbalala-Mukono-24h'!D18,'2.11 Mbalala-Mukono-24h'!D18,'4.11 Mbalala-Mukono'!D18)</f>
        <v>6.2857142857142856</v>
      </c>
      <c r="E18" s="49">
        <f>AVERAGE('29.10 Mbalala-Mukono'!E18,'30.10 Mbalala-Mukono'!E18,'31.10 Mbalala-Mukono'!E18,'3.11 Mbalala-Mukono'!E18,'1.11 Mbalala-Mukono-24h'!E18,'2.11 Mbalala-Mukono-24h'!E18,'4.11 Mbalala-Mukono'!E18)</f>
        <v>4</v>
      </c>
      <c r="F18" s="49">
        <f>AVERAGE('29.10 Mbalala-Mukono'!F18,'30.10 Mbalala-Mukono'!F18,'31.10 Mbalala-Mukono'!F18,'3.11 Mbalala-Mukono'!F18,'1.11 Mbalala-Mukono-24h'!F18,'2.11 Mbalala-Mukono-24h'!F18,'4.11 Mbalala-Mukono'!F18)</f>
        <v>29</v>
      </c>
      <c r="G18" s="49">
        <f>AVERAGE('29.10 Mbalala-Mukono'!G18,'30.10 Mbalala-Mukono'!G18,'31.10 Mbalala-Mukono'!G18,'3.11 Mbalala-Mukono'!G18,'1.11 Mbalala-Mukono-24h'!G18,'2.11 Mbalala-Mukono-24h'!G18,'4.11 Mbalala-Mukono'!G18)</f>
        <v>2.2857142857142856</v>
      </c>
      <c r="H18" s="49">
        <f>AVERAGE('29.10 Mbalala-Mukono'!H18,'30.10 Mbalala-Mukono'!H18,'31.10 Mbalala-Mukono'!H18,'3.11 Mbalala-Mukono'!H18,'1.11 Mbalala-Mukono-24h'!H18,'2.11 Mbalala-Mukono-24h'!H18,'4.11 Mbalala-Mukono'!H18)</f>
        <v>0.5714285714285714</v>
      </c>
      <c r="I18" s="49">
        <f>AVERAGE('29.10 Mbalala-Mukono'!I18,'30.10 Mbalala-Mukono'!I18,'31.10 Mbalala-Mukono'!I18,'3.11 Mbalala-Mukono'!I18,'1.11 Mbalala-Mukono-24h'!I18,'2.11 Mbalala-Mukono-24h'!I18,'4.11 Mbalala-Mukono'!I18)</f>
        <v>7.4285714285714288</v>
      </c>
      <c r="J18" s="49">
        <f>AVERAGE('29.10 Mbalala-Mukono'!J18,'30.10 Mbalala-Mukono'!J18,'31.10 Mbalala-Mukono'!J18,'3.11 Mbalala-Mukono'!J18,'1.11 Mbalala-Mukono-24h'!J18,'2.11 Mbalala-Mukono-24h'!J18,'4.11 Mbalala-Mukono'!J18)</f>
        <v>5.2857142857142856</v>
      </c>
      <c r="K18" s="49">
        <f>AVERAGE('29.10 Mbalala-Mukono'!K18,'30.10 Mbalala-Mukono'!K18,'31.10 Mbalala-Mukono'!K18,'3.11 Mbalala-Mukono'!K18,'1.11 Mbalala-Mukono-24h'!K18,'2.11 Mbalala-Mukono-24h'!K18,'4.11 Mbalala-Mukono'!K18)</f>
        <v>2.8571428571428572</v>
      </c>
      <c r="L18" s="49">
        <f>AVERAGE('29.10 Mbalala-Mukono'!L18,'30.10 Mbalala-Mukono'!L18,'31.10 Mbalala-Mukono'!L18,'3.11 Mbalala-Mukono'!L18,'1.11 Mbalala-Mukono-24h'!L18,'2.11 Mbalala-Mukono-24h'!L18,'4.11 Mbalala-Mukono'!L18)</f>
        <v>9.5714285714285712</v>
      </c>
      <c r="M18" s="49">
        <f>AVERAGE('29.10 Mbalala-Mukono'!M18,'30.10 Mbalala-Mukono'!M18,'31.10 Mbalala-Mukono'!M18,'3.11 Mbalala-Mukono'!M18,'1.11 Mbalala-Mukono-24h'!M18,'2.11 Mbalala-Mukono-24h'!M18,'4.11 Mbalala-Mukono'!M18)</f>
        <v>108.28571428571429</v>
      </c>
      <c r="N18" s="49">
        <f>AVERAGE('29.10 Mbalala-Mukono'!N18,'30.10 Mbalala-Mukono'!N18,'31.10 Mbalala-Mukono'!N18,'3.11 Mbalala-Mukono'!N18,'1.11 Mbalala-Mukono-24h'!N18,'2.11 Mbalala-Mukono-24h'!N18,'4.11 Mbalala-Mukono'!N18)</f>
        <v>0</v>
      </c>
      <c r="O18" s="15">
        <f t="shared" si="0"/>
        <v>96.285714285714292</v>
      </c>
      <c r="P18" s="15">
        <f t="shared" si="1"/>
        <v>204.57142857142858</v>
      </c>
      <c r="R18" s="1" t="s">
        <v>14</v>
      </c>
      <c r="S18" s="17">
        <f t="shared" ref="S18:AF18" si="10">SUM(C42:C45)</f>
        <v>125.57142857142858</v>
      </c>
      <c r="T18" s="17">
        <f t="shared" si="10"/>
        <v>53.428571428571431</v>
      </c>
      <c r="U18" s="17">
        <f t="shared" si="10"/>
        <v>28.142857142857142</v>
      </c>
      <c r="V18" s="17">
        <f t="shared" si="10"/>
        <v>118.14285714285714</v>
      </c>
      <c r="W18" s="17">
        <f t="shared" si="10"/>
        <v>4</v>
      </c>
      <c r="X18" s="17">
        <f t="shared" si="10"/>
        <v>4.4285714285714288</v>
      </c>
      <c r="Y18" s="17">
        <f t="shared" si="10"/>
        <v>33.571428571428569</v>
      </c>
      <c r="Z18" s="17">
        <f t="shared" si="10"/>
        <v>26.571428571428569</v>
      </c>
      <c r="AA18" s="17">
        <f t="shared" si="10"/>
        <v>12.285714285714285</v>
      </c>
      <c r="AB18" s="17">
        <f t="shared" si="10"/>
        <v>37.571428571428569</v>
      </c>
      <c r="AC18" s="17">
        <f t="shared" si="10"/>
        <v>272.42857142857139</v>
      </c>
      <c r="AD18" s="17">
        <f t="shared" si="10"/>
        <v>0</v>
      </c>
      <c r="AE18" s="31">
        <f t="shared" si="10"/>
        <v>443.71428571428572</v>
      </c>
      <c r="AF18" s="31">
        <f t="shared" si="10"/>
        <v>716.14285714285711</v>
      </c>
    </row>
    <row r="19" spans="2:32" ht="23.1" customHeight="1" x14ac:dyDescent="0.25">
      <c r="B19" s="23" t="s">
        <v>46</v>
      </c>
      <c r="C19" s="49">
        <f>AVERAGE('29.10 Mbalala-Mukono'!C19,'30.10 Mbalala-Mukono'!C19,'31.10 Mbalala-Mukono'!C19,'3.11 Mbalala-Mukono'!C19,'1.11 Mbalala-Mukono-24h'!C19,'2.11 Mbalala-Mukono-24h'!C19,'4.11 Mbalala-Mukono'!C19)</f>
        <v>26.142857142857142</v>
      </c>
      <c r="D19" s="49">
        <f>AVERAGE('29.10 Mbalala-Mukono'!D19,'30.10 Mbalala-Mukono'!D19,'31.10 Mbalala-Mukono'!D19,'3.11 Mbalala-Mukono'!D19,'1.11 Mbalala-Mukono-24h'!D19,'2.11 Mbalala-Mukono-24h'!D19,'4.11 Mbalala-Mukono'!D19)</f>
        <v>8.2857142857142865</v>
      </c>
      <c r="E19" s="49">
        <f>AVERAGE('29.10 Mbalala-Mukono'!E19,'30.10 Mbalala-Mukono'!E19,'31.10 Mbalala-Mukono'!E19,'3.11 Mbalala-Mukono'!E19,'1.11 Mbalala-Mukono-24h'!E19,'2.11 Mbalala-Mukono-24h'!E19,'4.11 Mbalala-Mukono'!E19)</f>
        <v>6.1428571428571432</v>
      </c>
      <c r="F19" s="49">
        <f>AVERAGE('29.10 Mbalala-Mukono'!F19,'30.10 Mbalala-Mukono'!F19,'31.10 Mbalala-Mukono'!F19,'3.11 Mbalala-Mukono'!F19,'1.11 Mbalala-Mukono-24h'!F19,'2.11 Mbalala-Mukono-24h'!F19,'4.11 Mbalala-Mukono'!F19)</f>
        <v>33.571428571428569</v>
      </c>
      <c r="G19" s="49">
        <f>AVERAGE('29.10 Mbalala-Mukono'!G19,'30.10 Mbalala-Mukono'!G19,'31.10 Mbalala-Mukono'!G19,'3.11 Mbalala-Mukono'!G19,'1.11 Mbalala-Mukono-24h'!G19,'2.11 Mbalala-Mukono-24h'!G19,'4.11 Mbalala-Mukono'!G19)</f>
        <v>1.1428571428571428</v>
      </c>
      <c r="H19" s="49">
        <f>AVERAGE('29.10 Mbalala-Mukono'!H19,'30.10 Mbalala-Mukono'!H19,'31.10 Mbalala-Mukono'!H19,'3.11 Mbalala-Mukono'!H19,'1.11 Mbalala-Mukono-24h'!H19,'2.11 Mbalala-Mukono-24h'!H19,'4.11 Mbalala-Mukono'!H19)</f>
        <v>1.4285714285714286</v>
      </c>
      <c r="I19" s="49">
        <f>AVERAGE('29.10 Mbalala-Mukono'!I19,'30.10 Mbalala-Mukono'!I19,'31.10 Mbalala-Mukono'!I19,'3.11 Mbalala-Mukono'!I19,'1.11 Mbalala-Mukono-24h'!I19,'2.11 Mbalala-Mukono-24h'!I19,'4.11 Mbalala-Mukono'!I19)</f>
        <v>7.5714285714285712</v>
      </c>
      <c r="J19" s="49">
        <f>AVERAGE('29.10 Mbalala-Mukono'!J19,'30.10 Mbalala-Mukono'!J19,'31.10 Mbalala-Mukono'!J19,'3.11 Mbalala-Mukono'!J19,'1.11 Mbalala-Mukono-24h'!J19,'2.11 Mbalala-Mukono-24h'!J19,'4.11 Mbalala-Mukono'!J19)</f>
        <v>6.4285714285714288</v>
      </c>
      <c r="K19" s="49">
        <f>AVERAGE('29.10 Mbalala-Mukono'!K19,'30.10 Mbalala-Mukono'!K19,'31.10 Mbalala-Mukono'!K19,'3.11 Mbalala-Mukono'!K19,'1.11 Mbalala-Mukono-24h'!K19,'2.11 Mbalala-Mukono-24h'!K19,'4.11 Mbalala-Mukono'!K19)</f>
        <v>3</v>
      </c>
      <c r="L19" s="49">
        <f>AVERAGE('29.10 Mbalala-Mukono'!L19,'30.10 Mbalala-Mukono'!L19,'31.10 Mbalala-Mukono'!L19,'3.11 Mbalala-Mukono'!L19,'1.11 Mbalala-Mukono-24h'!L19,'2.11 Mbalala-Mukono-24h'!L19,'4.11 Mbalala-Mukono'!L19)</f>
        <v>14.428571428571429</v>
      </c>
      <c r="M19" s="49">
        <f>AVERAGE('29.10 Mbalala-Mukono'!M19,'30.10 Mbalala-Mukono'!M19,'31.10 Mbalala-Mukono'!M19,'3.11 Mbalala-Mukono'!M19,'1.11 Mbalala-Mukono-24h'!M19,'2.11 Mbalala-Mukono-24h'!M19,'4.11 Mbalala-Mukono'!M19)</f>
        <v>105.14285714285714</v>
      </c>
      <c r="N19" s="49">
        <f>AVERAGE('29.10 Mbalala-Mukono'!N19,'30.10 Mbalala-Mukono'!N19,'31.10 Mbalala-Mukono'!N19,'3.11 Mbalala-Mukono'!N19,'1.11 Mbalala-Mukono-24h'!N19,'2.11 Mbalala-Mukono-24h'!N19,'4.11 Mbalala-Mukono'!N19)</f>
        <v>0</v>
      </c>
      <c r="O19" s="15">
        <f t="shared" si="0"/>
        <v>108.14285714285714</v>
      </c>
      <c r="P19" s="15">
        <f t="shared" si="1"/>
        <v>213.28571428571428</v>
      </c>
      <c r="R19" s="1" t="s">
        <v>15</v>
      </c>
      <c r="S19" s="17">
        <f t="shared" ref="S19:AF19" si="11">SUM(C46:C49)</f>
        <v>151.14285714285717</v>
      </c>
      <c r="T19" s="17">
        <f t="shared" si="11"/>
        <v>48.285714285714285</v>
      </c>
      <c r="U19" s="17">
        <f t="shared" si="11"/>
        <v>28.142857142857142</v>
      </c>
      <c r="V19" s="17">
        <f t="shared" si="11"/>
        <v>125.42857142857142</v>
      </c>
      <c r="W19" s="17">
        <f t="shared" si="11"/>
        <v>5.8571428571428577</v>
      </c>
      <c r="X19" s="17">
        <f t="shared" si="11"/>
        <v>2.5714285714285712</v>
      </c>
      <c r="Y19" s="17">
        <f t="shared" si="11"/>
        <v>32.714285714285708</v>
      </c>
      <c r="Z19" s="17">
        <f t="shared" si="11"/>
        <v>22.857142857142861</v>
      </c>
      <c r="AA19" s="17">
        <f t="shared" si="11"/>
        <v>9.4285714285714288</v>
      </c>
      <c r="AB19" s="17">
        <f t="shared" si="11"/>
        <v>33.857142857142854</v>
      </c>
      <c r="AC19" s="17">
        <f t="shared" si="11"/>
        <v>306.28571428571428</v>
      </c>
      <c r="AD19" s="17">
        <f t="shared" si="11"/>
        <v>0.42857142857142855</v>
      </c>
      <c r="AE19" s="31">
        <f t="shared" si="11"/>
        <v>460.71428571428567</v>
      </c>
      <c r="AF19" s="31">
        <f t="shared" si="11"/>
        <v>766.99999999999989</v>
      </c>
    </row>
    <row r="20" spans="2:32" ht="23.1" customHeight="1" x14ac:dyDescent="0.25">
      <c r="B20" s="23" t="s">
        <v>47</v>
      </c>
      <c r="C20" s="49">
        <f>AVERAGE('29.10 Mbalala-Mukono'!C20,'30.10 Mbalala-Mukono'!C20,'31.10 Mbalala-Mukono'!C20,'3.11 Mbalala-Mukono'!C20,'1.11 Mbalala-Mukono-24h'!C20,'2.11 Mbalala-Mukono-24h'!C20,'4.11 Mbalala-Mukono'!C20)</f>
        <v>30.285714285714285</v>
      </c>
      <c r="D20" s="49">
        <f>AVERAGE('29.10 Mbalala-Mukono'!D20,'30.10 Mbalala-Mukono'!D20,'31.10 Mbalala-Mukono'!D20,'3.11 Mbalala-Mukono'!D20,'1.11 Mbalala-Mukono-24h'!D20,'2.11 Mbalala-Mukono-24h'!D20,'4.11 Mbalala-Mukono'!D20)</f>
        <v>6</v>
      </c>
      <c r="E20" s="49">
        <f>AVERAGE('29.10 Mbalala-Mukono'!E20,'30.10 Mbalala-Mukono'!E20,'31.10 Mbalala-Mukono'!E20,'3.11 Mbalala-Mukono'!E20,'1.11 Mbalala-Mukono-24h'!E20,'2.11 Mbalala-Mukono-24h'!E20,'4.11 Mbalala-Mukono'!E20)</f>
        <v>4.5714285714285712</v>
      </c>
      <c r="F20" s="49">
        <f>AVERAGE('29.10 Mbalala-Mukono'!F20,'30.10 Mbalala-Mukono'!F20,'31.10 Mbalala-Mukono'!F20,'3.11 Mbalala-Mukono'!F20,'1.11 Mbalala-Mukono-24h'!F20,'2.11 Mbalala-Mukono-24h'!F20,'4.11 Mbalala-Mukono'!F20)</f>
        <v>27.285714285714285</v>
      </c>
      <c r="G20" s="49">
        <f>AVERAGE('29.10 Mbalala-Mukono'!G20,'30.10 Mbalala-Mukono'!G20,'31.10 Mbalala-Mukono'!G20,'3.11 Mbalala-Mukono'!G20,'1.11 Mbalala-Mukono-24h'!G20,'2.11 Mbalala-Mukono-24h'!G20,'4.11 Mbalala-Mukono'!G20)</f>
        <v>1.5714285714285714</v>
      </c>
      <c r="H20" s="49">
        <f>AVERAGE('29.10 Mbalala-Mukono'!H20,'30.10 Mbalala-Mukono'!H20,'31.10 Mbalala-Mukono'!H20,'3.11 Mbalala-Mukono'!H20,'1.11 Mbalala-Mukono-24h'!H20,'2.11 Mbalala-Mukono-24h'!H20,'4.11 Mbalala-Mukono'!H20)</f>
        <v>1.2857142857142858</v>
      </c>
      <c r="I20" s="49">
        <f>AVERAGE('29.10 Mbalala-Mukono'!I20,'30.10 Mbalala-Mukono'!I20,'31.10 Mbalala-Mukono'!I20,'3.11 Mbalala-Mukono'!I20,'1.11 Mbalala-Mukono-24h'!I20,'2.11 Mbalala-Mukono-24h'!I20,'4.11 Mbalala-Mukono'!I20)</f>
        <v>5.4285714285714288</v>
      </c>
      <c r="J20" s="49">
        <f>AVERAGE('29.10 Mbalala-Mukono'!J20,'30.10 Mbalala-Mukono'!J20,'31.10 Mbalala-Mukono'!J20,'3.11 Mbalala-Mukono'!J20,'1.11 Mbalala-Mukono-24h'!J20,'2.11 Mbalala-Mukono-24h'!J20,'4.11 Mbalala-Mukono'!J20)</f>
        <v>5.8571428571428568</v>
      </c>
      <c r="K20" s="49">
        <f>AVERAGE('29.10 Mbalala-Mukono'!K20,'30.10 Mbalala-Mukono'!K20,'31.10 Mbalala-Mukono'!K20,'3.11 Mbalala-Mukono'!K20,'1.11 Mbalala-Mukono-24h'!K20,'2.11 Mbalala-Mukono-24h'!K20,'4.11 Mbalala-Mukono'!K20)</f>
        <v>2.4285714285714284</v>
      </c>
      <c r="L20" s="49">
        <f>AVERAGE('29.10 Mbalala-Mukono'!L20,'30.10 Mbalala-Mukono'!L20,'31.10 Mbalala-Mukono'!L20,'3.11 Mbalala-Mukono'!L20,'1.11 Mbalala-Mukono-24h'!L20,'2.11 Mbalala-Mukono-24h'!L20,'4.11 Mbalala-Mukono'!L20)</f>
        <v>10</v>
      </c>
      <c r="M20" s="49">
        <f>AVERAGE('29.10 Mbalala-Mukono'!M20,'30.10 Mbalala-Mukono'!M20,'31.10 Mbalala-Mukono'!M20,'3.11 Mbalala-Mukono'!M20,'1.11 Mbalala-Mukono-24h'!M20,'2.11 Mbalala-Mukono-24h'!M20,'4.11 Mbalala-Mukono'!M20)</f>
        <v>105.85714285714286</v>
      </c>
      <c r="N20" s="49">
        <f>AVERAGE('29.10 Mbalala-Mukono'!N20,'30.10 Mbalala-Mukono'!N20,'31.10 Mbalala-Mukono'!N20,'3.11 Mbalala-Mukono'!N20,'1.11 Mbalala-Mukono-24h'!N20,'2.11 Mbalala-Mukono-24h'!N20,'4.11 Mbalala-Mukono'!N20)</f>
        <v>0</v>
      </c>
      <c r="O20" s="15">
        <f t="shared" si="0"/>
        <v>94.714285714285722</v>
      </c>
      <c r="P20" s="15">
        <f t="shared" si="1"/>
        <v>200.57142857142858</v>
      </c>
      <c r="R20" s="1" t="s">
        <v>16</v>
      </c>
      <c r="S20" s="17">
        <f t="shared" ref="S20:AF20" si="12">SUM(C50:C53)</f>
        <v>177.71428571428569</v>
      </c>
      <c r="T20" s="17">
        <f t="shared" si="12"/>
        <v>55.285714285714292</v>
      </c>
      <c r="U20" s="17">
        <f t="shared" si="12"/>
        <v>32.428571428571431</v>
      </c>
      <c r="V20" s="17">
        <f t="shared" si="12"/>
        <v>130.71428571428572</v>
      </c>
      <c r="W20" s="17">
        <f t="shared" si="12"/>
        <v>5.4285714285714288</v>
      </c>
      <c r="X20" s="17">
        <f t="shared" si="12"/>
        <v>3.5714285714285716</v>
      </c>
      <c r="Y20" s="17">
        <f t="shared" si="12"/>
        <v>40.428571428571431</v>
      </c>
      <c r="Z20" s="17">
        <f t="shared" si="12"/>
        <v>28</v>
      </c>
      <c r="AA20" s="17">
        <f t="shared" si="12"/>
        <v>11.428571428571427</v>
      </c>
      <c r="AB20" s="17">
        <f t="shared" si="12"/>
        <v>28.571428571428569</v>
      </c>
      <c r="AC20" s="17">
        <f t="shared" si="12"/>
        <v>350</v>
      </c>
      <c r="AD20" s="17">
        <f t="shared" si="12"/>
        <v>0.14285714285714285</v>
      </c>
      <c r="AE20" s="31">
        <f t="shared" si="12"/>
        <v>513.71428571428567</v>
      </c>
      <c r="AF20" s="31">
        <f t="shared" si="12"/>
        <v>863.71428571428567</v>
      </c>
    </row>
    <row r="21" spans="2:32" ht="23.1" customHeight="1" x14ac:dyDescent="0.25">
      <c r="B21" s="23" t="s">
        <v>48</v>
      </c>
      <c r="C21" s="49">
        <f>AVERAGE('29.10 Mbalala-Mukono'!C21,'30.10 Mbalala-Mukono'!C21,'31.10 Mbalala-Mukono'!C21,'3.11 Mbalala-Mukono'!C21,'1.11 Mbalala-Mukono-24h'!C21,'2.11 Mbalala-Mukono-24h'!C21,'4.11 Mbalala-Mukono'!C21)</f>
        <v>25</v>
      </c>
      <c r="D21" s="49">
        <f>AVERAGE('29.10 Mbalala-Mukono'!D21,'30.10 Mbalala-Mukono'!D21,'31.10 Mbalala-Mukono'!D21,'3.11 Mbalala-Mukono'!D21,'1.11 Mbalala-Mukono-24h'!D21,'2.11 Mbalala-Mukono-24h'!D21,'4.11 Mbalala-Mukono'!D21)</f>
        <v>8.2857142857142865</v>
      </c>
      <c r="E21" s="49">
        <f>AVERAGE('29.10 Mbalala-Mukono'!E21,'30.10 Mbalala-Mukono'!E21,'31.10 Mbalala-Mukono'!E21,'3.11 Mbalala-Mukono'!E21,'1.11 Mbalala-Mukono-24h'!E21,'2.11 Mbalala-Mukono-24h'!E21,'4.11 Mbalala-Mukono'!E21)</f>
        <v>4.1428571428571432</v>
      </c>
      <c r="F21" s="49">
        <f>AVERAGE('29.10 Mbalala-Mukono'!F21,'30.10 Mbalala-Mukono'!F21,'31.10 Mbalala-Mukono'!F21,'3.11 Mbalala-Mukono'!F21,'1.11 Mbalala-Mukono-24h'!F21,'2.11 Mbalala-Mukono-24h'!F21,'4.11 Mbalala-Mukono'!F21)</f>
        <v>36.285714285714285</v>
      </c>
      <c r="G21" s="49">
        <f>AVERAGE('29.10 Mbalala-Mukono'!G21,'30.10 Mbalala-Mukono'!G21,'31.10 Mbalala-Mukono'!G21,'3.11 Mbalala-Mukono'!G21,'1.11 Mbalala-Mukono-24h'!G21,'2.11 Mbalala-Mukono-24h'!G21,'4.11 Mbalala-Mukono'!G21)</f>
        <v>2</v>
      </c>
      <c r="H21" s="49">
        <f>AVERAGE('29.10 Mbalala-Mukono'!H21,'30.10 Mbalala-Mukono'!H21,'31.10 Mbalala-Mukono'!H21,'3.11 Mbalala-Mukono'!H21,'1.11 Mbalala-Mukono-24h'!H21,'2.11 Mbalala-Mukono-24h'!H21,'4.11 Mbalala-Mukono'!H21)</f>
        <v>1.2857142857142858</v>
      </c>
      <c r="I21" s="49">
        <f>AVERAGE('29.10 Mbalala-Mukono'!I21,'30.10 Mbalala-Mukono'!I21,'31.10 Mbalala-Mukono'!I21,'3.11 Mbalala-Mukono'!I21,'1.11 Mbalala-Mukono-24h'!I21,'2.11 Mbalala-Mukono-24h'!I21,'4.11 Mbalala-Mukono'!I21)</f>
        <v>7.4285714285714288</v>
      </c>
      <c r="J21" s="49">
        <f>AVERAGE('29.10 Mbalala-Mukono'!J21,'30.10 Mbalala-Mukono'!J21,'31.10 Mbalala-Mukono'!J21,'3.11 Mbalala-Mukono'!J21,'1.11 Mbalala-Mukono-24h'!J21,'2.11 Mbalala-Mukono-24h'!J21,'4.11 Mbalala-Mukono'!J21)</f>
        <v>4.8571428571428568</v>
      </c>
      <c r="K21" s="49">
        <f>AVERAGE('29.10 Mbalala-Mukono'!K21,'30.10 Mbalala-Mukono'!K21,'31.10 Mbalala-Mukono'!K21,'3.11 Mbalala-Mukono'!K21,'1.11 Mbalala-Mukono-24h'!K21,'2.11 Mbalala-Mukono-24h'!K21,'4.11 Mbalala-Mukono'!K21)</f>
        <v>1.2857142857142858</v>
      </c>
      <c r="L21" s="49">
        <f>AVERAGE('29.10 Mbalala-Mukono'!L21,'30.10 Mbalala-Mukono'!L21,'31.10 Mbalala-Mukono'!L21,'3.11 Mbalala-Mukono'!L21,'1.11 Mbalala-Mukono-24h'!L21,'2.11 Mbalala-Mukono-24h'!L21,'4.11 Mbalala-Mukono'!L21)</f>
        <v>12.428571428571429</v>
      </c>
      <c r="M21" s="49">
        <f>AVERAGE('29.10 Mbalala-Mukono'!M21,'30.10 Mbalala-Mukono'!M21,'31.10 Mbalala-Mukono'!M21,'3.11 Mbalala-Mukono'!M21,'1.11 Mbalala-Mukono-24h'!M21,'2.11 Mbalala-Mukono-24h'!M21,'4.11 Mbalala-Mukono'!M21)</f>
        <v>96.142857142857139</v>
      </c>
      <c r="N21" s="49">
        <f>AVERAGE('29.10 Mbalala-Mukono'!N21,'30.10 Mbalala-Mukono'!N21,'31.10 Mbalala-Mukono'!N21,'3.11 Mbalala-Mukono'!N21,'1.11 Mbalala-Mukono-24h'!N21,'2.11 Mbalala-Mukono-24h'!N21,'4.11 Mbalala-Mukono'!N21)</f>
        <v>0</v>
      </c>
      <c r="O21" s="15">
        <f t="shared" si="0"/>
        <v>103.00000000000003</v>
      </c>
      <c r="P21" s="15">
        <f t="shared" si="1"/>
        <v>199.14285714285717</v>
      </c>
      <c r="R21" s="1" t="s">
        <v>20</v>
      </c>
      <c r="S21" s="34">
        <f t="shared" ref="S21:AF21" si="13">SUM(C54:C57)</f>
        <v>186.57142857142856</v>
      </c>
      <c r="T21" s="17">
        <f t="shared" si="13"/>
        <v>52.714285714285715</v>
      </c>
      <c r="U21" s="17">
        <f t="shared" si="13"/>
        <v>39.285714285714285</v>
      </c>
      <c r="V21" s="17">
        <f t="shared" si="13"/>
        <v>151.28571428571428</v>
      </c>
      <c r="W21" s="17">
        <f t="shared" si="13"/>
        <v>10</v>
      </c>
      <c r="X21" s="17">
        <f t="shared" si="13"/>
        <v>4.4285714285714288</v>
      </c>
      <c r="Y21" s="17">
        <f t="shared" si="13"/>
        <v>37.571428571428569</v>
      </c>
      <c r="Z21" s="17">
        <f t="shared" si="13"/>
        <v>27.714285714285715</v>
      </c>
      <c r="AA21" s="17">
        <f t="shared" si="13"/>
        <v>12.428571428571429</v>
      </c>
      <c r="AB21" s="17">
        <f t="shared" si="13"/>
        <v>31.428571428571427</v>
      </c>
      <c r="AC21" s="17">
        <f t="shared" si="13"/>
        <v>401.28571428571428</v>
      </c>
      <c r="AD21" s="17">
        <f t="shared" si="13"/>
        <v>0</v>
      </c>
      <c r="AE21" s="31">
        <f t="shared" si="13"/>
        <v>553.42857142857144</v>
      </c>
      <c r="AF21" s="31">
        <f t="shared" si="13"/>
        <v>954.71428571428555</v>
      </c>
    </row>
    <row r="22" spans="2:32" ht="23.1" customHeight="1" x14ac:dyDescent="0.25">
      <c r="B22" s="23" t="s">
        <v>49</v>
      </c>
      <c r="C22" s="49">
        <f>AVERAGE('29.10 Mbalala-Mukono'!C22,'30.10 Mbalala-Mukono'!C22,'31.10 Mbalala-Mukono'!C22,'3.11 Mbalala-Mukono'!C22,'1.11 Mbalala-Mukono-24h'!C22,'2.11 Mbalala-Mukono-24h'!C22,'4.11 Mbalala-Mukono'!C22)</f>
        <v>23.142857142857142</v>
      </c>
      <c r="D22" s="49">
        <f>AVERAGE('29.10 Mbalala-Mukono'!D22,'30.10 Mbalala-Mukono'!D22,'31.10 Mbalala-Mukono'!D22,'3.11 Mbalala-Mukono'!D22,'1.11 Mbalala-Mukono-24h'!D22,'2.11 Mbalala-Mukono-24h'!D22,'4.11 Mbalala-Mukono'!D22)</f>
        <v>8</v>
      </c>
      <c r="E22" s="49">
        <f>AVERAGE('29.10 Mbalala-Mukono'!E22,'30.10 Mbalala-Mukono'!E22,'31.10 Mbalala-Mukono'!E22,'3.11 Mbalala-Mukono'!E22,'1.11 Mbalala-Mukono-24h'!E22,'2.11 Mbalala-Mukono-24h'!E22,'4.11 Mbalala-Mukono'!E22)</f>
        <v>4</v>
      </c>
      <c r="F22" s="49">
        <f>AVERAGE('29.10 Mbalala-Mukono'!F22,'30.10 Mbalala-Mukono'!F22,'31.10 Mbalala-Mukono'!F22,'3.11 Mbalala-Mukono'!F22,'1.11 Mbalala-Mukono-24h'!F22,'2.11 Mbalala-Mukono-24h'!F22,'4.11 Mbalala-Mukono'!F22)</f>
        <v>28.428571428571427</v>
      </c>
      <c r="G22" s="49">
        <f>AVERAGE('29.10 Mbalala-Mukono'!G22,'30.10 Mbalala-Mukono'!G22,'31.10 Mbalala-Mukono'!G22,'3.11 Mbalala-Mukono'!G22,'1.11 Mbalala-Mukono-24h'!G22,'2.11 Mbalala-Mukono-24h'!G22,'4.11 Mbalala-Mukono'!G22)</f>
        <v>0.7142857142857143</v>
      </c>
      <c r="H22" s="49">
        <f>AVERAGE('29.10 Mbalala-Mukono'!H22,'30.10 Mbalala-Mukono'!H22,'31.10 Mbalala-Mukono'!H22,'3.11 Mbalala-Mukono'!H22,'1.11 Mbalala-Mukono-24h'!H22,'2.11 Mbalala-Mukono-24h'!H22,'4.11 Mbalala-Mukono'!H22)</f>
        <v>0.42857142857142855</v>
      </c>
      <c r="I22" s="49">
        <f>AVERAGE('29.10 Mbalala-Mukono'!I22,'30.10 Mbalala-Mukono'!I22,'31.10 Mbalala-Mukono'!I22,'3.11 Mbalala-Mukono'!I22,'1.11 Mbalala-Mukono-24h'!I22,'2.11 Mbalala-Mukono-24h'!I22,'4.11 Mbalala-Mukono'!I22)</f>
        <v>5.7142857142857144</v>
      </c>
      <c r="J22" s="49">
        <f>AVERAGE('29.10 Mbalala-Mukono'!J22,'30.10 Mbalala-Mukono'!J22,'31.10 Mbalala-Mukono'!J22,'3.11 Mbalala-Mukono'!J22,'1.11 Mbalala-Mukono-24h'!J22,'2.11 Mbalala-Mukono-24h'!J22,'4.11 Mbalala-Mukono'!J22)</f>
        <v>5.8571428571428568</v>
      </c>
      <c r="K22" s="49">
        <f>AVERAGE('29.10 Mbalala-Mukono'!K22,'30.10 Mbalala-Mukono'!K22,'31.10 Mbalala-Mukono'!K22,'3.11 Mbalala-Mukono'!K22,'1.11 Mbalala-Mukono-24h'!K22,'2.11 Mbalala-Mukono-24h'!K22,'4.11 Mbalala-Mukono'!K22)</f>
        <v>2.2857142857142856</v>
      </c>
      <c r="L22" s="49">
        <f>AVERAGE('29.10 Mbalala-Mukono'!L22,'30.10 Mbalala-Mukono'!L22,'31.10 Mbalala-Mukono'!L22,'3.11 Mbalala-Mukono'!L22,'1.11 Mbalala-Mukono-24h'!L22,'2.11 Mbalala-Mukono-24h'!L22,'4.11 Mbalala-Mukono'!L22)</f>
        <v>9.5714285714285712</v>
      </c>
      <c r="M22" s="49">
        <f>AVERAGE('29.10 Mbalala-Mukono'!M22,'30.10 Mbalala-Mukono'!M22,'31.10 Mbalala-Mukono'!M22,'3.11 Mbalala-Mukono'!M22,'1.11 Mbalala-Mukono-24h'!M22,'2.11 Mbalala-Mukono-24h'!M22,'4.11 Mbalala-Mukono'!M22)</f>
        <v>96.285714285714292</v>
      </c>
      <c r="N22" s="49">
        <f>AVERAGE('29.10 Mbalala-Mukono'!N22,'30.10 Mbalala-Mukono'!N22,'31.10 Mbalala-Mukono'!N22,'3.11 Mbalala-Mukono'!N22,'1.11 Mbalala-Mukono-24h'!N22,'2.11 Mbalala-Mukono-24h'!N22,'4.11 Mbalala-Mukono'!N22)</f>
        <v>0</v>
      </c>
      <c r="O22" s="15">
        <f t="shared" si="0"/>
        <v>88.142857142857139</v>
      </c>
      <c r="P22" s="15">
        <f t="shared" si="1"/>
        <v>184.42857142857144</v>
      </c>
      <c r="R22" s="1" t="s">
        <v>146</v>
      </c>
      <c r="S22" s="34">
        <f>SUM(C58:C61)</f>
        <v>145.5</v>
      </c>
      <c r="T22" s="34">
        <f t="shared" ref="T22:AF22" si="14">SUM(D58:D61)</f>
        <v>41.5</v>
      </c>
      <c r="U22" s="34">
        <f t="shared" si="14"/>
        <v>26</v>
      </c>
      <c r="V22" s="34">
        <f t="shared" si="14"/>
        <v>110</v>
      </c>
      <c r="W22" s="34">
        <f t="shared" si="14"/>
        <v>5.5</v>
      </c>
      <c r="X22" s="34">
        <f t="shared" si="14"/>
        <v>4</v>
      </c>
      <c r="Y22" s="34">
        <f t="shared" si="14"/>
        <v>27</v>
      </c>
      <c r="Z22" s="34">
        <f t="shared" si="14"/>
        <v>26</v>
      </c>
      <c r="AA22" s="34">
        <f t="shared" si="14"/>
        <v>12</v>
      </c>
      <c r="AB22" s="34">
        <f t="shared" si="14"/>
        <v>40.5</v>
      </c>
      <c r="AC22" s="34">
        <f t="shared" si="14"/>
        <v>145</v>
      </c>
      <c r="AD22" s="34">
        <f t="shared" si="14"/>
        <v>0</v>
      </c>
      <c r="AE22" s="31">
        <f t="shared" si="14"/>
        <v>438</v>
      </c>
      <c r="AF22" s="31">
        <f t="shared" si="14"/>
        <v>583</v>
      </c>
    </row>
    <row r="23" spans="2:32" ht="23.1" customHeight="1" x14ac:dyDescent="0.25">
      <c r="B23" s="23" t="s">
        <v>50</v>
      </c>
      <c r="C23" s="49">
        <f>AVERAGE('29.10 Mbalala-Mukono'!C23,'30.10 Mbalala-Mukono'!C23,'31.10 Mbalala-Mukono'!C23,'3.11 Mbalala-Mukono'!C23,'1.11 Mbalala-Mukono-24h'!C23,'2.11 Mbalala-Mukono-24h'!C23,'4.11 Mbalala-Mukono'!C23)</f>
        <v>24.285714285714285</v>
      </c>
      <c r="D23" s="49">
        <f>AVERAGE('29.10 Mbalala-Mukono'!D23,'30.10 Mbalala-Mukono'!D23,'31.10 Mbalala-Mukono'!D23,'3.11 Mbalala-Mukono'!D23,'1.11 Mbalala-Mukono-24h'!D23,'2.11 Mbalala-Mukono-24h'!D23,'4.11 Mbalala-Mukono'!D23)</f>
        <v>6.7142857142857144</v>
      </c>
      <c r="E23" s="49">
        <f>AVERAGE('29.10 Mbalala-Mukono'!E23,'30.10 Mbalala-Mukono'!E23,'31.10 Mbalala-Mukono'!E23,'3.11 Mbalala-Mukono'!E23,'1.11 Mbalala-Mukono-24h'!E23,'2.11 Mbalala-Mukono-24h'!E23,'4.11 Mbalala-Mukono'!E23)</f>
        <v>5</v>
      </c>
      <c r="F23" s="49">
        <f>AVERAGE('29.10 Mbalala-Mukono'!F23,'30.10 Mbalala-Mukono'!F23,'31.10 Mbalala-Mukono'!F23,'3.11 Mbalala-Mukono'!F23,'1.11 Mbalala-Mukono-24h'!F23,'2.11 Mbalala-Mukono-24h'!F23,'4.11 Mbalala-Mukono'!F23)</f>
        <v>29.571428571428573</v>
      </c>
      <c r="G23" s="49">
        <f>AVERAGE('29.10 Mbalala-Mukono'!G23,'30.10 Mbalala-Mukono'!G23,'31.10 Mbalala-Mukono'!G23,'3.11 Mbalala-Mukono'!G23,'1.11 Mbalala-Mukono-24h'!G23,'2.11 Mbalala-Mukono-24h'!G23,'4.11 Mbalala-Mukono'!G23)</f>
        <v>1.4285714285714286</v>
      </c>
      <c r="H23" s="49">
        <f>AVERAGE('29.10 Mbalala-Mukono'!H23,'30.10 Mbalala-Mukono'!H23,'31.10 Mbalala-Mukono'!H23,'3.11 Mbalala-Mukono'!H23,'1.11 Mbalala-Mukono-24h'!H23,'2.11 Mbalala-Mukono-24h'!H23,'4.11 Mbalala-Mukono'!H23)</f>
        <v>1.2857142857142858</v>
      </c>
      <c r="I23" s="49">
        <f>AVERAGE('29.10 Mbalala-Mukono'!I23,'30.10 Mbalala-Mukono'!I23,'31.10 Mbalala-Mukono'!I23,'3.11 Mbalala-Mukono'!I23,'1.11 Mbalala-Mukono-24h'!I23,'2.11 Mbalala-Mukono-24h'!I23,'4.11 Mbalala-Mukono'!I23)</f>
        <v>6.8571428571428568</v>
      </c>
      <c r="J23" s="49">
        <f>AVERAGE('29.10 Mbalala-Mukono'!J23,'30.10 Mbalala-Mukono'!J23,'31.10 Mbalala-Mukono'!J23,'3.11 Mbalala-Mukono'!J23,'1.11 Mbalala-Mukono-24h'!J23,'2.11 Mbalala-Mukono-24h'!J23,'4.11 Mbalala-Mukono'!J23)</f>
        <v>5.2857142857142856</v>
      </c>
      <c r="K23" s="49">
        <f>AVERAGE('29.10 Mbalala-Mukono'!K23,'30.10 Mbalala-Mukono'!K23,'31.10 Mbalala-Mukono'!K23,'3.11 Mbalala-Mukono'!K23,'1.11 Mbalala-Mukono-24h'!K23,'2.11 Mbalala-Mukono-24h'!K23,'4.11 Mbalala-Mukono'!K23)</f>
        <v>2.7142857142857144</v>
      </c>
      <c r="L23" s="49">
        <f>AVERAGE('29.10 Mbalala-Mukono'!L23,'30.10 Mbalala-Mukono'!L23,'31.10 Mbalala-Mukono'!L23,'3.11 Mbalala-Mukono'!L23,'1.11 Mbalala-Mukono-24h'!L23,'2.11 Mbalala-Mukono-24h'!L23,'4.11 Mbalala-Mukono'!L23)</f>
        <v>11.428571428571429</v>
      </c>
      <c r="M23" s="49">
        <f>AVERAGE('29.10 Mbalala-Mukono'!M23,'30.10 Mbalala-Mukono'!M23,'31.10 Mbalala-Mukono'!M23,'3.11 Mbalala-Mukono'!M23,'1.11 Mbalala-Mukono-24h'!M23,'2.11 Mbalala-Mukono-24h'!M23,'4.11 Mbalala-Mukono'!M23)</f>
        <v>79.285714285714292</v>
      </c>
      <c r="N23" s="49">
        <f>AVERAGE('29.10 Mbalala-Mukono'!N23,'30.10 Mbalala-Mukono'!N23,'31.10 Mbalala-Mukono'!N23,'3.11 Mbalala-Mukono'!N23,'1.11 Mbalala-Mukono-24h'!N23,'2.11 Mbalala-Mukono-24h'!N23,'4.11 Mbalala-Mukono'!N23)</f>
        <v>0</v>
      </c>
      <c r="O23" s="15">
        <f t="shared" si="0"/>
        <v>94.571428571428584</v>
      </c>
      <c r="P23" s="15">
        <f t="shared" si="1"/>
        <v>173.85714285714289</v>
      </c>
      <c r="R23" s="1" t="s">
        <v>147</v>
      </c>
      <c r="S23" s="34">
        <f>SUM(C62:C65)</f>
        <v>142</v>
      </c>
      <c r="T23" s="34">
        <f t="shared" ref="T23:AF23" si="15">SUM(D62:D65)</f>
        <v>26</v>
      </c>
      <c r="U23" s="34">
        <f t="shared" si="15"/>
        <v>22</v>
      </c>
      <c r="V23" s="34">
        <f t="shared" si="15"/>
        <v>122.5</v>
      </c>
      <c r="W23" s="34">
        <f t="shared" si="15"/>
        <v>9</v>
      </c>
      <c r="X23" s="34">
        <f t="shared" si="15"/>
        <v>2.5</v>
      </c>
      <c r="Y23" s="34">
        <f t="shared" si="15"/>
        <v>31</v>
      </c>
      <c r="Z23" s="34">
        <f t="shared" si="15"/>
        <v>31.5</v>
      </c>
      <c r="AA23" s="34">
        <f t="shared" si="15"/>
        <v>5</v>
      </c>
      <c r="AB23" s="34">
        <f t="shared" si="15"/>
        <v>24.5</v>
      </c>
      <c r="AC23" s="34">
        <f t="shared" si="15"/>
        <v>99</v>
      </c>
      <c r="AD23" s="34">
        <f t="shared" si="15"/>
        <v>0</v>
      </c>
      <c r="AE23" s="31">
        <f t="shared" si="15"/>
        <v>416</v>
      </c>
      <c r="AF23" s="31">
        <f t="shared" si="15"/>
        <v>515</v>
      </c>
    </row>
    <row r="24" spans="2:32" ht="23.1" customHeight="1" x14ac:dyDescent="0.25">
      <c r="B24" s="23" t="s">
        <v>51</v>
      </c>
      <c r="C24" s="49">
        <f>AVERAGE('29.10 Mbalala-Mukono'!C24,'30.10 Mbalala-Mukono'!C24,'31.10 Mbalala-Mukono'!C24,'3.11 Mbalala-Mukono'!C24,'1.11 Mbalala-Mukono-24h'!C24,'2.11 Mbalala-Mukono-24h'!C24,'4.11 Mbalala-Mukono'!C24)</f>
        <v>25.285714285714285</v>
      </c>
      <c r="D24" s="49">
        <f>AVERAGE('29.10 Mbalala-Mukono'!D24,'30.10 Mbalala-Mukono'!D24,'31.10 Mbalala-Mukono'!D24,'3.11 Mbalala-Mukono'!D24,'1.11 Mbalala-Mukono-24h'!D24,'2.11 Mbalala-Mukono-24h'!D24,'4.11 Mbalala-Mukono'!D24)</f>
        <v>8</v>
      </c>
      <c r="E24" s="49">
        <f>AVERAGE('29.10 Mbalala-Mukono'!E24,'30.10 Mbalala-Mukono'!E24,'31.10 Mbalala-Mukono'!E24,'3.11 Mbalala-Mukono'!E24,'1.11 Mbalala-Mukono-24h'!E24,'2.11 Mbalala-Mukono-24h'!E24,'4.11 Mbalala-Mukono'!E24)</f>
        <v>6.7142857142857144</v>
      </c>
      <c r="F24" s="49">
        <f>AVERAGE('29.10 Mbalala-Mukono'!F24,'30.10 Mbalala-Mukono'!F24,'31.10 Mbalala-Mukono'!F24,'3.11 Mbalala-Mukono'!F24,'1.11 Mbalala-Mukono-24h'!F24,'2.11 Mbalala-Mukono-24h'!F24,'4.11 Mbalala-Mukono'!F24)</f>
        <v>32.571428571428569</v>
      </c>
      <c r="G24" s="49">
        <f>AVERAGE('29.10 Mbalala-Mukono'!G24,'30.10 Mbalala-Mukono'!G24,'31.10 Mbalala-Mukono'!G24,'3.11 Mbalala-Mukono'!G24,'1.11 Mbalala-Mukono-24h'!G24,'2.11 Mbalala-Mukono-24h'!G24,'4.11 Mbalala-Mukono'!G24)</f>
        <v>1.8571428571428572</v>
      </c>
      <c r="H24" s="49">
        <f>AVERAGE('29.10 Mbalala-Mukono'!H24,'30.10 Mbalala-Mukono'!H24,'31.10 Mbalala-Mukono'!H24,'3.11 Mbalala-Mukono'!H24,'1.11 Mbalala-Mukono-24h'!H24,'2.11 Mbalala-Mukono-24h'!H24,'4.11 Mbalala-Mukono'!H24)</f>
        <v>0.42857142857142855</v>
      </c>
      <c r="I24" s="49">
        <f>AVERAGE('29.10 Mbalala-Mukono'!I24,'30.10 Mbalala-Mukono'!I24,'31.10 Mbalala-Mukono'!I24,'3.11 Mbalala-Mukono'!I24,'1.11 Mbalala-Mukono-24h'!I24,'2.11 Mbalala-Mukono-24h'!I24,'4.11 Mbalala-Mukono'!I24)</f>
        <v>8.5714285714285712</v>
      </c>
      <c r="J24" s="49">
        <f>AVERAGE('29.10 Mbalala-Mukono'!J24,'30.10 Mbalala-Mukono'!J24,'31.10 Mbalala-Mukono'!J24,'3.11 Mbalala-Mukono'!J24,'1.11 Mbalala-Mukono-24h'!J24,'2.11 Mbalala-Mukono-24h'!J24,'4.11 Mbalala-Mukono'!J24)</f>
        <v>5.7142857142857144</v>
      </c>
      <c r="K24" s="49">
        <f>AVERAGE('29.10 Mbalala-Mukono'!K24,'30.10 Mbalala-Mukono'!K24,'31.10 Mbalala-Mukono'!K24,'3.11 Mbalala-Mukono'!K24,'1.11 Mbalala-Mukono-24h'!K24,'2.11 Mbalala-Mukono-24h'!K24,'4.11 Mbalala-Mukono'!K24)</f>
        <v>2.8571428571428572</v>
      </c>
      <c r="L24" s="49">
        <f>AVERAGE('29.10 Mbalala-Mukono'!L24,'30.10 Mbalala-Mukono'!L24,'31.10 Mbalala-Mukono'!L24,'3.11 Mbalala-Mukono'!L24,'1.11 Mbalala-Mukono-24h'!L24,'2.11 Mbalala-Mukono-24h'!L24,'4.11 Mbalala-Mukono'!L24)</f>
        <v>14.142857142857142</v>
      </c>
      <c r="M24" s="49">
        <f>AVERAGE('29.10 Mbalala-Mukono'!M24,'30.10 Mbalala-Mukono'!M24,'31.10 Mbalala-Mukono'!M24,'3.11 Mbalala-Mukono'!M24,'1.11 Mbalala-Mukono-24h'!M24,'2.11 Mbalala-Mukono-24h'!M24,'4.11 Mbalala-Mukono'!M24)</f>
        <v>89.571428571428569</v>
      </c>
      <c r="N24" s="49">
        <f>AVERAGE('29.10 Mbalala-Mukono'!N24,'30.10 Mbalala-Mukono'!N24,'31.10 Mbalala-Mukono'!N24,'3.11 Mbalala-Mukono'!N24,'1.11 Mbalala-Mukono-24h'!N24,'2.11 Mbalala-Mukono-24h'!N24,'4.11 Mbalala-Mukono'!N24)</f>
        <v>0.14285714285714285</v>
      </c>
      <c r="O24" s="15">
        <f t="shared" si="0"/>
        <v>106.28571428571428</v>
      </c>
      <c r="P24" s="15">
        <f t="shared" si="1"/>
        <v>195.85714285714286</v>
      </c>
      <c r="R24" s="1" t="s">
        <v>148</v>
      </c>
      <c r="S24" s="34">
        <f>SUM(C66:C69)</f>
        <v>102</v>
      </c>
      <c r="T24" s="34">
        <f t="shared" ref="T24:AF24" si="16">SUM(D66:D69)</f>
        <v>16</v>
      </c>
      <c r="U24" s="34">
        <f t="shared" si="16"/>
        <v>14.5</v>
      </c>
      <c r="V24" s="34">
        <f t="shared" si="16"/>
        <v>78.5</v>
      </c>
      <c r="W24" s="34">
        <f t="shared" si="16"/>
        <v>5</v>
      </c>
      <c r="X24" s="34">
        <f t="shared" si="16"/>
        <v>3.5</v>
      </c>
      <c r="Y24" s="34">
        <f t="shared" si="16"/>
        <v>19</v>
      </c>
      <c r="Z24" s="34">
        <f t="shared" si="16"/>
        <v>23.5</v>
      </c>
      <c r="AA24" s="34">
        <f t="shared" si="16"/>
        <v>9</v>
      </c>
      <c r="AB24" s="34">
        <f t="shared" si="16"/>
        <v>27.5</v>
      </c>
      <c r="AC24" s="34">
        <f t="shared" si="16"/>
        <v>74</v>
      </c>
      <c r="AD24" s="34">
        <f t="shared" si="16"/>
        <v>0</v>
      </c>
      <c r="AE24" s="31">
        <f t="shared" si="16"/>
        <v>298.5</v>
      </c>
      <c r="AF24" s="31">
        <f t="shared" si="16"/>
        <v>372.5</v>
      </c>
    </row>
    <row r="25" spans="2:32" ht="23.1" customHeight="1" x14ac:dyDescent="0.25">
      <c r="B25" s="23" t="s">
        <v>52</v>
      </c>
      <c r="C25" s="49">
        <f>AVERAGE('29.10 Mbalala-Mukono'!C25,'30.10 Mbalala-Mukono'!C25,'31.10 Mbalala-Mukono'!C25,'3.11 Mbalala-Mukono'!C25,'1.11 Mbalala-Mukono-24h'!C25,'2.11 Mbalala-Mukono-24h'!C25,'4.11 Mbalala-Mukono'!C25)</f>
        <v>22.857142857142858</v>
      </c>
      <c r="D25" s="49">
        <f>AVERAGE('29.10 Mbalala-Mukono'!D25,'30.10 Mbalala-Mukono'!D25,'31.10 Mbalala-Mukono'!D25,'3.11 Mbalala-Mukono'!D25,'1.11 Mbalala-Mukono-24h'!D25,'2.11 Mbalala-Mukono-24h'!D25,'4.11 Mbalala-Mukono'!D25)</f>
        <v>7.8571428571428568</v>
      </c>
      <c r="E25" s="49">
        <f>AVERAGE('29.10 Mbalala-Mukono'!E25,'30.10 Mbalala-Mukono'!E25,'31.10 Mbalala-Mukono'!E25,'3.11 Mbalala-Mukono'!E25,'1.11 Mbalala-Mukono-24h'!E25,'2.11 Mbalala-Mukono-24h'!E25,'4.11 Mbalala-Mukono'!E25)</f>
        <v>5.5714285714285712</v>
      </c>
      <c r="F25" s="49">
        <f>AVERAGE('29.10 Mbalala-Mukono'!F25,'30.10 Mbalala-Mukono'!F25,'31.10 Mbalala-Mukono'!F25,'3.11 Mbalala-Mukono'!F25,'1.11 Mbalala-Mukono-24h'!F25,'2.11 Mbalala-Mukono-24h'!F25,'4.11 Mbalala-Mukono'!F25)</f>
        <v>31.142857142857142</v>
      </c>
      <c r="G25" s="49">
        <f>AVERAGE('29.10 Mbalala-Mukono'!G25,'30.10 Mbalala-Mukono'!G25,'31.10 Mbalala-Mukono'!G25,'3.11 Mbalala-Mukono'!G25,'1.11 Mbalala-Mukono-24h'!G25,'2.11 Mbalala-Mukono-24h'!G25,'4.11 Mbalala-Mukono'!G25)</f>
        <v>1.4285714285714286</v>
      </c>
      <c r="H25" s="49">
        <f>AVERAGE('29.10 Mbalala-Mukono'!H25,'30.10 Mbalala-Mukono'!H25,'31.10 Mbalala-Mukono'!H25,'3.11 Mbalala-Mukono'!H25,'1.11 Mbalala-Mukono-24h'!H25,'2.11 Mbalala-Mukono-24h'!H25,'4.11 Mbalala-Mukono'!H25)</f>
        <v>0.5714285714285714</v>
      </c>
      <c r="I25" s="49">
        <f>AVERAGE('29.10 Mbalala-Mukono'!I25,'30.10 Mbalala-Mukono'!I25,'31.10 Mbalala-Mukono'!I25,'3.11 Mbalala-Mukono'!I25,'1.11 Mbalala-Mukono-24h'!I25,'2.11 Mbalala-Mukono-24h'!I25,'4.11 Mbalala-Mukono'!I25)</f>
        <v>9.4285714285714288</v>
      </c>
      <c r="J25" s="49">
        <f>AVERAGE('29.10 Mbalala-Mukono'!J25,'30.10 Mbalala-Mukono'!J25,'31.10 Mbalala-Mukono'!J25,'3.11 Mbalala-Mukono'!J25,'1.11 Mbalala-Mukono-24h'!J25,'2.11 Mbalala-Mukono-24h'!J25,'4.11 Mbalala-Mukono'!J25)</f>
        <v>7</v>
      </c>
      <c r="K25" s="49">
        <f>AVERAGE('29.10 Mbalala-Mukono'!K25,'30.10 Mbalala-Mukono'!K25,'31.10 Mbalala-Mukono'!K25,'3.11 Mbalala-Mukono'!K25,'1.11 Mbalala-Mukono-24h'!K25,'2.11 Mbalala-Mukono-24h'!K25,'4.11 Mbalala-Mukono'!K25)</f>
        <v>2.5714285714285716</v>
      </c>
      <c r="L25" s="49">
        <f>AVERAGE('29.10 Mbalala-Mukono'!L25,'30.10 Mbalala-Mukono'!L25,'31.10 Mbalala-Mukono'!L25,'3.11 Mbalala-Mukono'!L25,'1.11 Mbalala-Mukono-24h'!L25,'2.11 Mbalala-Mukono-24h'!L25,'4.11 Mbalala-Mukono'!L25)</f>
        <v>10.428571428571429</v>
      </c>
      <c r="M25" s="49">
        <f>AVERAGE('29.10 Mbalala-Mukono'!M25,'30.10 Mbalala-Mukono'!M25,'31.10 Mbalala-Mukono'!M25,'3.11 Mbalala-Mukono'!M25,'1.11 Mbalala-Mukono-24h'!M25,'2.11 Mbalala-Mukono-24h'!M25,'4.11 Mbalala-Mukono'!M25)</f>
        <v>104.57142857142857</v>
      </c>
      <c r="N25" s="49">
        <f>AVERAGE('29.10 Mbalala-Mukono'!N25,'30.10 Mbalala-Mukono'!N25,'31.10 Mbalala-Mukono'!N25,'3.11 Mbalala-Mukono'!N25,'1.11 Mbalala-Mukono-24h'!N25,'2.11 Mbalala-Mukono-24h'!N25,'4.11 Mbalala-Mukono'!N25)</f>
        <v>0</v>
      </c>
      <c r="O25" s="15">
        <f t="shared" si="0"/>
        <v>98.857142857142861</v>
      </c>
      <c r="P25" s="15">
        <f t="shared" si="1"/>
        <v>203.42857142857144</v>
      </c>
      <c r="R25" s="1" t="s">
        <v>149</v>
      </c>
      <c r="S25" s="34">
        <f>SUM(C70:C73)</f>
        <v>99</v>
      </c>
      <c r="T25" s="34">
        <f t="shared" ref="T25:AF25" si="17">SUM(D70:D73)</f>
        <v>27</v>
      </c>
      <c r="U25" s="34">
        <f t="shared" si="17"/>
        <v>21.5</v>
      </c>
      <c r="V25" s="34">
        <f t="shared" si="17"/>
        <v>99</v>
      </c>
      <c r="W25" s="34">
        <f t="shared" si="17"/>
        <v>7.5</v>
      </c>
      <c r="X25" s="34">
        <f t="shared" si="17"/>
        <v>5</v>
      </c>
      <c r="Y25" s="34">
        <f t="shared" si="17"/>
        <v>27</v>
      </c>
      <c r="Z25" s="34">
        <f t="shared" si="17"/>
        <v>31.5</v>
      </c>
      <c r="AA25" s="34">
        <f t="shared" si="17"/>
        <v>10</v>
      </c>
      <c r="AB25" s="34">
        <f t="shared" si="17"/>
        <v>40.5</v>
      </c>
      <c r="AC25" s="34">
        <f t="shared" si="17"/>
        <v>78</v>
      </c>
      <c r="AD25" s="34">
        <f t="shared" si="17"/>
        <v>0</v>
      </c>
      <c r="AE25" s="31">
        <f t="shared" si="17"/>
        <v>368</v>
      </c>
      <c r="AF25" s="31">
        <f t="shared" si="17"/>
        <v>446</v>
      </c>
    </row>
    <row r="26" spans="2:32" ht="23.1" customHeight="1" x14ac:dyDescent="0.25">
      <c r="B26" s="23" t="s">
        <v>53</v>
      </c>
      <c r="C26" s="49">
        <f>AVERAGE('29.10 Mbalala-Mukono'!C26,'30.10 Mbalala-Mukono'!C26,'31.10 Mbalala-Mukono'!C26,'3.11 Mbalala-Mukono'!C26,'1.11 Mbalala-Mukono-24h'!C26,'2.11 Mbalala-Mukono-24h'!C26,'4.11 Mbalala-Mukono'!C26)</f>
        <v>23.571428571428573</v>
      </c>
      <c r="D26" s="49">
        <f>AVERAGE('29.10 Mbalala-Mukono'!D26,'30.10 Mbalala-Mukono'!D26,'31.10 Mbalala-Mukono'!D26,'3.11 Mbalala-Mukono'!D26,'1.11 Mbalala-Mukono-24h'!D26,'2.11 Mbalala-Mukono-24h'!D26,'4.11 Mbalala-Mukono'!D26)</f>
        <v>8.1428571428571423</v>
      </c>
      <c r="E26" s="49">
        <f>AVERAGE('29.10 Mbalala-Mukono'!E26,'30.10 Mbalala-Mukono'!E26,'31.10 Mbalala-Mukono'!E26,'3.11 Mbalala-Mukono'!E26,'1.11 Mbalala-Mukono-24h'!E26,'2.11 Mbalala-Mukono-24h'!E26,'4.11 Mbalala-Mukono'!E26)</f>
        <v>4</v>
      </c>
      <c r="F26" s="49">
        <f>AVERAGE('29.10 Mbalala-Mukono'!F26,'30.10 Mbalala-Mukono'!F26,'31.10 Mbalala-Mukono'!F26,'3.11 Mbalala-Mukono'!F26,'1.11 Mbalala-Mukono-24h'!F26,'2.11 Mbalala-Mukono-24h'!F26,'4.11 Mbalala-Mukono'!F26)</f>
        <v>27.285714285714285</v>
      </c>
      <c r="G26" s="49">
        <f>AVERAGE('29.10 Mbalala-Mukono'!G26,'30.10 Mbalala-Mukono'!G26,'31.10 Mbalala-Mukono'!G26,'3.11 Mbalala-Mukono'!G26,'1.11 Mbalala-Mukono-24h'!G26,'2.11 Mbalala-Mukono-24h'!G26,'4.11 Mbalala-Mukono'!G26)</f>
        <v>0.8571428571428571</v>
      </c>
      <c r="H26" s="49">
        <f>AVERAGE('29.10 Mbalala-Mukono'!H26,'30.10 Mbalala-Mukono'!H26,'31.10 Mbalala-Mukono'!H26,'3.11 Mbalala-Mukono'!H26,'1.11 Mbalala-Mukono-24h'!H26,'2.11 Mbalala-Mukono-24h'!H26,'4.11 Mbalala-Mukono'!H26)</f>
        <v>1</v>
      </c>
      <c r="I26" s="49">
        <f>AVERAGE('29.10 Mbalala-Mukono'!I26,'30.10 Mbalala-Mukono'!I26,'31.10 Mbalala-Mukono'!I26,'3.11 Mbalala-Mukono'!I26,'1.11 Mbalala-Mukono-24h'!I26,'2.11 Mbalala-Mukono-24h'!I26,'4.11 Mbalala-Mukono'!I26)</f>
        <v>6.2857142857142856</v>
      </c>
      <c r="J26" s="49">
        <f>AVERAGE('29.10 Mbalala-Mukono'!J26,'30.10 Mbalala-Mukono'!J26,'31.10 Mbalala-Mukono'!J26,'3.11 Mbalala-Mukono'!J26,'1.11 Mbalala-Mukono-24h'!J26,'2.11 Mbalala-Mukono-24h'!J26,'4.11 Mbalala-Mukono'!J26)</f>
        <v>7.4285714285714288</v>
      </c>
      <c r="K26" s="49">
        <f>AVERAGE('29.10 Mbalala-Mukono'!K26,'30.10 Mbalala-Mukono'!K26,'31.10 Mbalala-Mukono'!K26,'3.11 Mbalala-Mukono'!K26,'1.11 Mbalala-Mukono-24h'!K26,'2.11 Mbalala-Mukono-24h'!K26,'4.11 Mbalala-Mukono'!K26)</f>
        <v>1.7142857142857142</v>
      </c>
      <c r="L26" s="49">
        <f>AVERAGE('29.10 Mbalala-Mukono'!L26,'30.10 Mbalala-Mukono'!L26,'31.10 Mbalala-Mukono'!L26,'3.11 Mbalala-Mukono'!L26,'1.11 Mbalala-Mukono-24h'!L26,'2.11 Mbalala-Mukono-24h'!L26,'4.11 Mbalala-Mukono'!L26)</f>
        <v>10</v>
      </c>
      <c r="M26" s="49">
        <f>AVERAGE('29.10 Mbalala-Mukono'!M26,'30.10 Mbalala-Mukono'!M26,'31.10 Mbalala-Mukono'!M26,'3.11 Mbalala-Mukono'!M26,'1.11 Mbalala-Mukono-24h'!M26,'2.11 Mbalala-Mukono-24h'!M26,'4.11 Mbalala-Mukono'!M26)</f>
        <v>99.142857142857139</v>
      </c>
      <c r="N26" s="49">
        <f>AVERAGE('29.10 Mbalala-Mukono'!N26,'30.10 Mbalala-Mukono'!N26,'31.10 Mbalala-Mukono'!N26,'3.11 Mbalala-Mukono'!N26,'1.11 Mbalala-Mukono-24h'!N26,'2.11 Mbalala-Mukono-24h'!N26,'4.11 Mbalala-Mukono'!N26)</f>
        <v>0</v>
      </c>
      <c r="O26" s="15">
        <f t="shared" si="0"/>
        <v>90.285714285714292</v>
      </c>
      <c r="P26" s="15">
        <f t="shared" si="1"/>
        <v>189.42857142857144</v>
      </c>
      <c r="R26" s="1" t="s">
        <v>150</v>
      </c>
      <c r="S26" s="34">
        <f>SUM(C74:C77)</f>
        <v>66</v>
      </c>
      <c r="T26" s="34">
        <f t="shared" ref="T26:AF26" si="18">SUM(D74:D77)</f>
        <v>11.5</v>
      </c>
      <c r="U26" s="34">
        <f t="shared" si="18"/>
        <v>12</v>
      </c>
      <c r="V26" s="34">
        <f t="shared" si="18"/>
        <v>63</v>
      </c>
      <c r="W26" s="34">
        <f t="shared" si="18"/>
        <v>6</v>
      </c>
      <c r="X26" s="34">
        <f t="shared" si="18"/>
        <v>4.5</v>
      </c>
      <c r="Y26" s="34">
        <f t="shared" si="18"/>
        <v>23.5</v>
      </c>
      <c r="Z26" s="34">
        <f t="shared" si="18"/>
        <v>29.5</v>
      </c>
      <c r="AA26" s="34">
        <f t="shared" si="18"/>
        <v>9.5</v>
      </c>
      <c r="AB26" s="34">
        <f t="shared" si="18"/>
        <v>37</v>
      </c>
      <c r="AC26" s="34">
        <f t="shared" si="18"/>
        <v>48</v>
      </c>
      <c r="AD26" s="34">
        <f t="shared" si="18"/>
        <v>0</v>
      </c>
      <c r="AE26" s="31">
        <f t="shared" si="18"/>
        <v>262.5</v>
      </c>
      <c r="AF26" s="31">
        <f t="shared" si="18"/>
        <v>310.5</v>
      </c>
    </row>
    <row r="27" spans="2:32" ht="23.1" customHeight="1" x14ac:dyDescent="0.25">
      <c r="B27" s="23" t="s">
        <v>54</v>
      </c>
      <c r="C27" s="49">
        <f>AVERAGE('29.10 Mbalala-Mukono'!C27,'30.10 Mbalala-Mukono'!C27,'31.10 Mbalala-Mukono'!C27,'3.11 Mbalala-Mukono'!C27,'1.11 Mbalala-Mukono-24h'!C27,'2.11 Mbalala-Mukono-24h'!C27,'4.11 Mbalala-Mukono'!C27)</f>
        <v>25.714285714285715</v>
      </c>
      <c r="D27" s="49">
        <f>AVERAGE('29.10 Mbalala-Mukono'!D27,'30.10 Mbalala-Mukono'!D27,'31.10 Mbalala-Mukono'!D27,'3.11 Mbalala-Mukono'!D27,'1.11 Mbalala-Mukono-24h'!D27,'2.11 Mbalala-Mukono-24h'!D27,'4.11 Mbalala-Mukono'!D27)</f>
        <v>6.5714285714285712</v>
      </c>
      <c r="E27" s="49">
        <f>AVERAGE('29.10 Mbalala-Mukono'!E27,'30.10 Mbalala-Mukono'!E27,'31.10 Mbalala-Mukono'!E27,'3.11 Mbalala-Mukono'!E27,'1.11 Mbalala-Mukono-24h'!E27,'2.11 Mbalala-Mukono-24h'!E27,'4.11 Mbalala-Mukono'!E27)</f>
        <v>6.2857142857142856</v>
      </c>
      <c r="F27" s="49">
        <f>AVERAGE('29.10 Mbalala-Mukono'!F27,'30.10 Mbalala-Mukono'!F27,'31.10 Mbalala-Mukono'!F27,'3.11 Mbalala-Mukono'!F27,'1.11 Mbalala-Mukono-24h'!F27,'2.11 Mbalala-Mukono-24h'!F27,'4.11 Mbalala-Mukono'!F27)</f>
        <v>29.428571428571427</v>
      </c>
      <c r="G27" s="49">
        <f>AVERAGE('29.10 Mbalala-Mukono'!G27,'30.10 Mbalala-Mukono'!G27,'31.10 Mbalala-Mukono'!G27,'3.11 Mbalala-Mukono'!G27,'1.11 Mbalala-Mukono-24h'!G27,'2.11 Mbalala-Mukono-24h'!G27,'4.11 Mbalala-Mukono'!G27)</f>
        <v>1.2857142857142858</v>
      </c>
      <c r="H27" s="49">
        <f>AVERAGE('29.10 Mbalala-Mukono'!H27,'30.10 Mbalala-Mukono'!H27,'31.10 Mbalala-Mukono'!H27,'3.11 Mbalala-Mukono'!H27,'1.11 Mbalala-Mukono-24h'!H27,'2.11 Mbalala-Mukono-24h'!H27,'4.11 Mbalala-Mukono'!H27)</f>
        <v>0.42857142857142855</v>
      </c>
      <c r="I27" s="49">
        <f>AVERAGE('29.10 Mbalala-Mukono'!I27,'30.10 Mbalala-Mukono'!I27,'31.10 Mbalala-Mukono'!I27,'3.11 Mbalala-Mukono'!I27,'1.11 Mbalala-Mukono-24h'!I27,'2.11 Mbalala-Mukono-24h'!I27,'4.11 Mbalala-Mukono'!I27)</f>
        <v>9.2857142857142865</v>
      </c>
      <c r="J27" s="49">
        <f>AVERAGE('29.10 Mbalala-Mukono'!J27,'30.10 Mbalala-Mukono'!J27,'31.10 Mbalala-Mukono'!J27,'3.11 Mbalala-Mukono'!J27,'1.11 Mbalala-Mukono-24h'!J27,'2.11 Mbalala-Mukono-24h'!J27,'4.11 Mbalala-Mukono'!J27)</f>
        <v>7</v>
      </c>
      <c r="K27" s="49">
        <f>AVERAGE('29.10 Mbalala-Mukono'!K27,'30.10 Mbalala-Mukono'!K27,'31.10 Mbalala-Mukono'!K27,'3.11 Mbalala-Mukono'!K27,'1.11 Mbalala-Mukono-24h'!K27,'2.11 Mbalala-Mukono-24h'!K27,'4.11 Mbalala-Mukono'!K27)</f>
        <v>2.1428571428571428</v>
      </c>
      <c r="L27" s="49">
        <f>AVERAGE('29.10 Mbalala-Mukono'!L27,'30.10 Mbalala-Mukono'!L27,'31.10 Mbalala-Mukono'!L27,'3.11 Mbalala-Mukono'!L27,'1.11 Mbalala-Mukono-24h'!L27,'2.11 Mbalala-Mukono-24h'!L27,'4.11 Mbalala-Mukono'!L27)</f>
        <v>10.285714285714286</v>
      </c>
      <c r="M27" s="49">
        <f>AVERAGE('29.10 Mbalala-Mukono'!M27,'30.10 Mbalala-Mukono'!M27,'31.10 Mbalala-Mukono'!M27,'3.11 Mbalala-Mukono'!M27,'1.11 Mbalala-Mukono-24h'!M27,'2.11 Mbalala-Mukono-24h'!M27,'4.11 Mbalala-Mukono'!M27)</f>
        <v>99.714285714285708</v>
      </c>
      <c r="N27" s="49">
        <f>AVERAGE('29.10 Mbalala-Mukono'!N27,'30.10 Mbalala-Mukono'!N27,'31.10 Mbalala-Mukono'!N27,'3.11 Mbalala-Mukono'!N27,'1.11 Mbalala-Mukono-24h'!N27,'2.11 Mbalala-Mukono-24h'!N27,'4.11 Mbalala-Mukono'!N27)</f>
        <v>0</v>
      </c>
      <c r="O27" s="15">
        <f t="shared" si="0"/>
        <v>98.428571428571445</v>
      </c>
      <c r="P27" s="15">
        <f t="shared" si="1"/>
        <v>198.14285714285717</v>
      </c>
      <c r="R27" s="1" t="s">
        <v>151</v>
      </c>
      <c r="S27" s="34">
        <f>SUM(C78:C81)</f>
        <v>36</v>
      </c>
      <c r="T27" s="34">
        <f t="shared" ref="T27:AF27" si="19">SUM(D78:D81)</f>
        <v>10.5</v>
      </c>
      <c r="U27" s="34">
        <f t="shared" si="19"/>
        <v>9.5</v>
      </c>
      <c r="V27" s="34">
        <f t="shared" si="19"/>
        <v>29</v>
      </c>
      <c r="W27" s="34">
        <f t="shared" si="19"/>
        <v>4</v>
      </c>
      <c r="X27" s="34">
        <f t="shared" si="19"/>
        <v>4.5</v>
      </c>
      <c r="Y27" s="34">
        <f t="shared" si="19"/>
        <v>19</v>
      </c>
      <c r="Z27" s="34">
        <f t="shared" si="19"/>
        <v>33</v>
      </c>
      <c r="AA27" s="34">
        <f t="shared" si="19"/>
        <v>2.5</v>
      </c>
      <c r="AB27" s="34">
        <f t="shared" si="19"/>
        <v>23</v>
      </c>
      <c r="AC27" s="34">
        <f t="shared" si="19"/>
        <v>13.5</v>
      </c>
      <c r="AD27" s="34">
        <f t="shared" si="19"/>
        <v>0</v>
      </c>
      <c r="AE27" s="31">
        <f t="shared" si="19"/>
        <v>171</v>
      </c>
      <c r="AF27" s="31">
        <f t="shared" si="19"/>
        <v>184.5</v>
      </c>
    </row>
    <row r="28" spans="2:32" ht="23.1" customHeight="1" x14ac:dyDescent="0.25">
      <c r="B28" s="23" t="s">
        <v>55</v>
      </c>
      <c r="C28" s="49">
        <f>AVERAGE('29.10 Mbalala-Mukono'!C28,'30.10 Mbalala-Mukono'!C28,'31.10 Mbalala-Mukono'!C28,'3.11 Mbalala-Mukono'!C28,'1.11 Mbalala-Mukono-24h'!C28,'2.11 Mbalala-Mukono-24h'!C28,'4.11 Mbalala-Mukono'!C28)</f>
        <v>27.714285714285715</v>
      </c>
      <c r="D28" s="49">
        <f>AVERAGE('29.10 Mbalala-Mukono'!D28,'30.10 Mbalala-Mukono'!D28,'31.10 Mbalala-Mukono'!D28,'3.11 Mbalala-Mukono'!D28,'1.11 Mbalala-Mukono-24h'!D28,'2.11 Mbalala-Mukono-24h'!D28,'4.11 Mbalala-Mukono'!D28)</f>
        <v>7.8571428571428568</v>
      </c>
      <c r="E28" s="49">
        <f>AVERAGE('29.10 Mbalala-Mukono'!E28,'30.10 Mbalala-Mukono'!E28,'31.10 Mbalala-Mukono'!E28,'3.11 Mbalala-Mukono'!E28,'1.11 Mbalala-Mukono-24h'!E28,'2.11 Mbalala-Mukono-24h'!E28,'4.11 Mbalala-Mukono'!E28)</f>
        <v>3.8571428571428572</v>
      </c>
      <c r="F28" s="49">
        <f>AVERAGE('29.10 Mbalala-Mukono'!F28,'30.10 Mbalala-Mukono'!F28,'31.10 Mbalala-Mukono'!F28,'3.11 Mbalala-Mukono'!F28,'1.11 Mbalala-Mukono-24h'!F28,'2.11 Mbalala-Mukono-24h'!F28,'4.11 Mbalala-Mukono'!F28)</f>
        <v>30.571428571428573</v>
      </c>
      <c r="G28" s="49">
        <f>AVERAGE('29.10 Mbalala-Mukono'!G28,'30.10 Mbalala-Mukono'!G28,'31.10 Mbalala-Mukono'!G28,'3.11 Mbalala-Mukono'!G28,'1.11 Mbalala-Mukono-24h'!G28,'2.11 Mbalala-Mukono-24h'!G28,'4.11 Mbalala-Mukono'!G28)</f>
        <v>1.8571428571428572</v>
      </c>
      <c r="H28" s="49">
        <f>AVERAGE('29.10 Mbalala-Mukono'!H28,'30.10 Mbalala-Mukono'!H28,'31.10 Mbalala-Mukono'!H28,'3.11 Mbalala-Mukono'!H28,'1.11 Mbalala-Mukono-24h'!H28,'2.11 Mbalala-Mukono-24h'!H28,'4.11 Mbalala-Mukono'!H28)</f>
        <v>0.2857142857142857</v>
      </c>
      <c r="I28" s="49">
        <f>AVERAGE('29.10 Mbalala-Mukono'!I28,'30.10 Mbalala-Mukono'!I28,'31.10 Mbalala-Mukono'!I28,'3.11 Mbalala-Mukono'!I28,'1.11 Mbalala-Mukono-24h'!I28,'2.11 Mbalala-Mukono-24h'!I28,'4.11 Mbalala-Mukono'!I28)</f>
        <v>9.7142857142857135</v>
      </c>
      <c r="J28" s="49">
        <f>AVERAGE('29.10 Mbalala-Mukono'!J28,'30.10 Mbalala-Mukono'!J28,'31.10 Mbalala-Mukono'!J28,'3.11 Mbalala-Mukono'!J28,'1.11 Mbalala-Mukono-24h'!J28,'2.11 Mbalala-Mukono-24h'!J28,'4.11 Mbalala-Mukono'!J28)</f>
        <v>5.2857142857142856</v>
      </c>
      <c r="K28" s="49">
        <f>AVERAGE('29.10 Mbalala-Mukono'!K28,'30.10 Mbalala-Mukono'!K28,'31.10 Mbalala-Mukono'!K28,'3.11 Mbalala-Mukono'!K28,'1.11 Mbalala-Mukono-24h'!K28,'2.11 Mbalala-Mukono-24h'!K28,'4.11 Mbalala-Mukono'!K28)</f>
        <v>2.7142857142857144</v>
      </c>
      <c r="L28" s="49">
        <f>AVERAGE('29.10 Mbalala-Mukono'!L28,'30.10 Mbalala-Mukono'!L28,'31.10 Mbalala-Mukono'!L28,'3.11 Mbalala-Mukono'!L28,'1.11 Mbalala-Mukono-24h'!L28,'2.11 Mbalala-Mukono-24h'!L28,'4.11 Mbalala-Mukono'!L28)</f>
        <v>9.5714285714285712</v>
      </c>
      <c r="M28" s="49">
        <f>AVERAGE('29.10 Mbalala-Mukono'!M28,'30.10 Mbalala-Mukono'!M28,'31.10 Mbalala-Mukono'!M28,'3.11 Mbalala-Mukono'!M28,'1.11 Mbalala-Mukono-24h'!M28,'2.11 Mbalala-Mukono-24h'!M28,'4.11 Mbalala-Mukono'!M28)</f>
        <v>87</v>
      </c>
      <c r="N28" s="49">
        <f>AVERAGE('29.10 Mbalala-Mukono'!N28,'30.10 Mbalala-Mukono'!N28,'31.10 Mbalala-Mukono'!N28,'3.11 Mbalala-Mukono'!N28,'1.11 Mbalala-Mukono-24h'!N28,'2.11 Mbalala-Mukono-24h'!N28,'4.11 Mbalala-Mukono'!N28)</f>
        <v>0</v>
      </c>
      <c r="O28" s="15">
        <f t="shared" si="0"/>
        <v>99.428571428571431</v>
      </c>
      <c r="P28" s="15">
        <f t="shared" si="1"/>
        <v>186.42857142857144</v>
      </c>
      <c r="R28" s="1" t="s">
        <v>152</v>
      </c>
      <c r="S28" s="34">
        <f>SUM(C82:C85)</f>
        <v>8</v>
      </c>
      <c r="T28" s="34">
        <f t="shared" ref="T28:AF28" si="20">SUM(D82:D85)</f>
        <v>3</v>
      </c>
      <c r="U28" s="34">
        <f t="shared" si="20"/>
        <v>5</v>
      </c>
      <c r="V28" s="34">
        <f t="shared" si="20"/>
        <v>8.5</v>
      </c>
      <c r="W28" s="34">
        <f t="shared" si="20"/>
        <v>0.5</v>
      </c>
      <c r="X28" s="34">
        <f t="shared" si="20"/>
        <v>2</v>
      </c>
      <c r="Y28" s="34">
        <f t="shared" si="20"/>
        <v>5.5</v>
      </c>
      <c r="Z28" s="34">
        <f t="shared" si="20"/>
        <v>13.5</v>
      </c>
      <c r="AA28" s="34">
        <f t="shared" si="20"/>
        <v>2.5</v>
      </c>
      <c r="AB28" s="34">
        <f t="shared" si="20"/>
        <v>16</v>
      </c>
      <c r="AC28" s="34">
        <f t="shared" si="20"/>
        <v>2.5</v>
      </c>
      <c r="AD28" s="34">
        <f t="shared" si="20"/>
        <v>0</v>
      </c>
      <c r="AE28" s="31">
        <f t="shared" si="20"/>
        <v>64.5</v>
      </c>
      <c r="AF28" s="31">
        <f t="shared" si="20"/>
        <v>67</v>
      </c>
    </row>
    <row r="29" spans="2:32" ht="23.1" customHeight="1" x14ac:dyDescent="0.25">
      <c r="B29" s="23" t="s">
        <v>56</v>
      </c>
      <c r="C29" s="49">
        <f>AVERAGE('29.10 Mbalala-Mukono'!C29,'30.10 Mbalala-Mukono'!C29,'31.10 Mbalala-Mukono'!C29,'3.11 Mbalala-Mukono'!C29,'1.11 Mbalala-Mukono-24h'!C29,'2.11 Mbalala-Mukono-24h'!C29,'4.11 Mbalala-Mukono'!C29)</f>
        <v>29.428571428571427</v>
      </c>
      <c r="D29" s="49">
        <f>AVERAGE('29.10 Mbalala-Mukono'!D29,'30.10 Mbalala-Mukono'!D29,'31.10 Mbalala-Mukono'!D29,'3.11 Mbalala-Mukono'!D29,'1.11 Mbalala-Mukono-24h'!D29,'2.11 Mbalala-Mukono-24h'!D29,'4.11 Mbalala-Mukono'!D29)</f>
        <v>7.7142857142857144</v>
      </c>
      <c r="E29" s="49">
        <f>AVERAGE('29.10 Mbalala-Mukono'!E29,'30.10 Mbalala-Mukono'!E29,'31.10 Mbalala-Mukono'!E29,'3.11 Mbalala-Mukono'!E29,'1.11 Mbalala-Mukono-24h'!E29,'2.11 Mbalala-Mukono-24h'!E29,'4.11 Mbalala-Mukono'!E29)</f>
        <v>5.4285714285714288</v>
      </c>
      <c r="F29" s="49">
        <f>AVERAGE('29.10 Mbalala-Mukono'!F29,'30.10 Mbalala-Mukono'!F29,'31.10 Mbalala-Mukono'!F29,'3.11 Mbalala-Mukono'!F29,'1.11 Mbalala-Mukono-24h'!F29,'2.11 Mbalala-Mukono-24h'!F29,'4.11 Mbalala-Mukono'!F29)</f>
        <v>31.428571428571427</v>
      </c>
      <c r="G29" s="49">
        <f>AVERAGE('29.10 Mbalala-Mukono'!G29,'30.10 Mbalala-Mukono'!G29,'31.10 Mbalala-Mukono'!G29,'3.11 Mbalala-Mukono'!G29,'1.11 Mbalala-Mukono-24h'!G29,'2.11 Mbalala-Mukono-24h'!G29,'4.11 Mbalala-Mukono'!G29)</f>
        <v>0.2857142857142857</v>
      </c>
      <c r="H29" s="49">
        <f>AVERAGE('29.10 Mbalala-Mukono'!H29,'30.10 Mbalala-Mukono'!H29,'31.10 Mbalala-Mukono'!H29,'3.11 Mbalala-Mukono'!H29,'1.11 Mbalala-Mukono-24h'!H29,'2.11 Mbalala-Mukono-24h'!H29,'4.11 Mbalala-Mukono'!H29)</f>
        <v>0.5714285714285714</v>
      </c>
      <c r="I29" s="49">
        <f>AVERAGE('29.10 Mbalala-Mukono'!I29,'30.10 Mbalala-Mukono'!I29,'31.10 Mbalala-Mukono'!I29,'3.11 Mbalala-Mukono'!I29,'1.11 Mbalala-Mukono-24h'!I29,'2.11 Mbalala-Mukono-24h'!I29,'4.11 Mbalala-Mukono'!I29)</f>
        <v>9.1428571428571423</v>
      </c>
      <c r="J29" s="49">
        <f>AVERAGE('29.10 Mbalala-Mukono'!J29,'30.10 Mbalala-Mukono'!J29,'31.10 Mbalala-Mukono'!J29,'3.11 Mbalala-Mukono'!J29,'1.11 Mbalala-Mukono-24h'!J29,'2.11 Mbalala-Mukono-24h'!J29,'4.11 Mbalala-Mukono'!J29)</f>
        <v>7.4285714285714288</v>
      </c>
      <c r="K29" s="49">
        <f>AVERAGE('29.10 Mbalala-Mukono'!K29,'30.10 Mbalala-Mukono'!K29,'31.10 Mbalala-Mukono'!K29,'3.11 Mbalala-Mukono'!K29,'1.11 Mbalala-Mukono-24h'!K29,'2.11 Mbalala-Mukono-24h'!K29,'4.11 Mbalala-Mukono'!K29)</f>
        <v>3.1428571428571428</v>
      </c>
      <c r="L29" s="49">
        <f>AVERAGE('29.10 Mbalala-Mukono'!L29,'30.10 Mbalala-Mukono'!L29,'31.10 Mbalala-Mukono'!L29,'3.11 Mbalala-Mukono'!L29,'1.11 Mbalala-Mukono-24h'!L29,'2.11 Mbalala-Mukono-24h'!L29,'4.11 Mbalala-Mukono'!L29)</f>
        <v>10.571428571428571</v>
      </c>
      <c r="M29" s="49">
        <f>AVERAGE('29.10 Mbalala-Mukono'!M29,'30.10 Mbalala-Mukono'!M29,'31.10 Mbalala-Mukono'!M29,'3.11 Mbalala-Mukono'!M29,'1.11 Mbalala-Mukono-24h'!M29,'2.11 Mbalala-Mukono-24h'!M29,'4.11 Mbalala-Mukono'!M29)</f>
        <v>85.571428571428569</v>
      </c>
      <c r="N29" s="49">
        <f>AVERAGE('29.10 Mbalala-Mukono'!N29,'30.10 Mbalala-Mukono'!N29,'31.10 Mbalala-Mukono'!N29,'3.11 Mbalala-Mukono'!N29,'1.11 Mbalala-Mukono-24h'!N29,'2.11 Mbalala-Mukono-24h'!N29,'4.11 Mbalala-Mukono'!N29)</f>
        <v>0</v>
      </c>
      <c r="O29" s="15">
        <f t="shared" si="0"/>
        <v>105.14285714285714</v>
      </c>
      <c r="P29" s="15">
        <f t="shared" si="1"/>
        <v>190.71428571428572</v>
      </c>
      <c r="R29" s="1" t="s">
        <v>153</v>
      </c>
      <c r="S29" s="34">
        <f>SUM(C86:C89)</f>
        <v>7</v>
      </c>
      <c r="T29" s="34">
        <f t="shared" ref="T29:AF29" si="21">SUM(D86:D89)</f>
        <v>2.5</v>
      </c>
      <c r="U29" s="34">
        <f t="shared" si="21"/>
        <v>5.5</v>
      </c>
      <c r="V29" s="34">
        <f t="shared" si="21"/>
        <v>5</v>
      </c>
      <c r="W29" s="34">
        <f t="shared" si="21"/>
        <v>1</v>
      </c>
      <c r="X29" s="34">
        <f t="shared" si="21"/>
        <v>1.5</v>
      </c>
      <c r="Y29" s="34">
        <f t="shared" si="21"/>
        <v>5.5</v>
      </c>
      <c r="Z29" s="34">
        <f t="shared" si="21"/>
        <v>6</v>
      </c>
      <c r="AA29" s="34">
        <f t="shared" si="21"/>
        <v>3</v>
      </c>
      <c r="AB29" s="34">
        <f t="shared" si="21"/>
        <v>14.5</v>
      </c>
      <c r="AC29" s="34">
        <f t="shared" si="21"/>
        <v>2.5</v>
      </c>
      <c r="AD29" s="34">
        <f t="shared" si="21"/>
        <v>0</v>
      </c>
      <c r="AE29" s="31">
        <f t="shared" si="21"/>
        <v>51.5</v>
      </c>
      <c r="AF29" s="31">
        <f t="shared" si="21"/>
        <v>54</v>
      </c>
    </row>
    <row r="30" spans="2:32" ht="23.1" customHeight="1" x14ac:dyDescent="0.25">
      <c r="B30" s="23" t="s">
        <v>57</v>
      </c>
      <c r="C30" s="49">
        <f>AVERAGE('29.10 Mbalala-Mukono'!C30,'30.10 Mbalala-Mukono'!C30,'31.10 Mbalala-Mukono'!C30,'3.11 Mbalala-Mukono'!C30,'1.11 Mbalala-Mukono-24h'!C30,'2.11 Mbalala-Mukono-24h'!C30,'4.11 Mbalala-Mukono'!C30)</f>
        <v>26.714285714285715</v>
      </c>
      <c r="D30" s="49">
        <f>AVERAGE('29.10 Mbalala-Mukono'!D30,'30.10 Mbalala-Mukono'!D30,'31.10 Mbalala-Mukono'!D30,'3.11 Mbalala-Mukono'!D30,'1.11 Mbalala-Mukono-24h'!D30,'2.11 Mbalala-Mukono-24h'!D30,'4.11 Mbalala-Mukono'!D30)</f>
        <v>9.5714285714285712</v>
      </c>
      <c r="E30" s="49">
        <f>AVERAGE('29.10 Mbalala-Mukono'!E30,'30.10 Mbalala-Mukono'!E30,'31.10 Mbalala-Mukono'!E30,'3.11 Mbalala-Mukono'!E30,'1.11 Mbalala-Mukono-24h'!E30,'2.11 Mbalala-Mukono-24h'!E30,'4.11 Mbalala-Mukono'!E30)</f>
        <v>5.4285714285714288</v>
      </c>
      <c r="F30" s="49">
        <f>AVERAGE('29.10 Mbalala-Mukono'!F30,'30.10 Mbalala-Mukono'!F30,'31.10 Mbalala-Mukono'!F30,'3.11 Mbalala-Mukono'!F30,'1.11 Mbalala-Mukono-24h'!F30,'2.11 Mbalala-Mukono-24h'!F30,'4.11 Mbalala-Mukono'!F30)</f>
        <v>29.714285714285715</v>
      </c>
      <c r="G30" s="49">
        <f>AVERAGE('29.10 Mbalala-Mukono'!G30,'30.10 Mbalala-Mukono'!G30,'31.10 Mbalala-Mukono'!G30,'3.11 Mbalala-Mukono'!G30,'1.11 Mbalala-Mukono-24h'!G30,'2.11 Mbalala-Mukono-24h'!G30,'4.11 Mbalala-Mukono'!G30)</f>
        <v>1.2857142857142858</v>
      </c>
      <c r="H30" s="49">
        <f>AVERAGE('29.10 Mbalala-Mukono'!H30,'30.10 Mbalala-Mukono'!H30,'31.10 Mbalala-Mukono'!H30,'3.11 Mbalala-Mukono'!H30,'1.11 Mbalala-Mukono-24h'!H30,'2.11 Mbalala-Mukono-24h'!H30,'4.11 Mbalala-Mukono'!H30)</f>
        <v>0.8571428571428571</v>
      </c>
      <c r="I30" s="49">
        <f>AVERAGE('29.10 Mbalala-Mukono'!I30,'30.10 Mbalala-Mukono'!I30,'31.10 Mbalala-Mukono'!I30,'3.11 Mbalala-Mukono'!I30,'1.11 Mbalala-Mukono-24h'!I30,'2.11 Mbalala-Mukono-24h'!I30,'4.11 Mbalala-Mukono'!I30)</f>
        <v>12.142857142857142</v>
      </c>
      <c r="J30" s="49">
        <f>AVERAGE('29.10 Mbalala-Mukono'!J30,'30.10 Mbalala-Mukono'!J30,'31.10 Mbalala-Mukono'!J30,'3.11 Mbalala-Mukono'!J30,'1.11 Mbalala-Mukono-24h'!J30,'2.11 Mbalala-Mukono-24h'!J30,'4.11 Mbalala-Mukono'!J30)</f>
        <v>6.7142857142857144</v>
      </c>
      <c r="K30" s="49">
        <f>AVERAGE('29.10 Mbalala-Mukono'!K30,'30.10 Mbalala-Mukono'!K30,'31.10 Mbalala-Mukono'!K30,'3.11 Mbalala-Mukono'!K30,'1.11 Mbalala-Mukono-24h'!K30,'2.11 Mbalala-Mukono-24h'!K30,'4.11 Mbalala-Mukono'!K30)</f>
        <v>1.5714285714285714</v>
      </c>
      <c r="L30" s="49">
        <f>AVERAGE('29.10 Mbalala-Mukono'!L30,'30.10 Mbalala-Mukono'!L30,'31.10 Mbalala-Mukono'!L30,'3.11 Mbalala-Mukono'!L30,'1.11 Mbalala-Mukono-24h'!L30,'2.11 Mbalala-Mukono-24h'!L30,'4.11 Mbalala-Mukono'!L30)</f>
        <v>10.571428571428571</v>
      </c>
      <c r="M30" s="49">
        <f>AVERAGE('29.10 Mbalala-Mukono'!M30,'30.10 Mbalala-Mukono'!M30,'31.10 Mbalala-Mukono'!M30,'3.11 Mbalala-Mukono'!M30,'1.11 Mbalala-Mukono-24h'!M30,'2.11 Mbalala-Mukono-24h'!M30,'4.11 Mbalala-Mukono'!M30)</f>
        <v>92.142857142857139</v>
      </c>
      <c r="N30" s="49">
        <f>AVERAGE('29.10 Mbalala-Mukono'!N30,'30.10 Mbalala-Mukono'!N30,'31.10 Mbalala-Mukono'!N30,'3.11 Mbalala-Mukono'!N30,'1.11 Mbalala-Mukono-24h'!N30,'2.11 Mbalala-Mukono-24h'!N30,'4.11 Mbalala-Mukono'!N30)</f>
        <v>0</v>
      </c>
      <c r="O30" s="15">
        <f t="shared" si="0"/>
        <v>104.57142857142857</v>
      </c>
      <c r="P30" s="15">
        <f t="shared" si="1"/>
        <v>196.71428571428572</v>
      </c>
      <c r="R30" s="1" t="s">
        <v>154</v>
      </c>
      <c r="S30" s="34">
        <f>SUM(C90:C93)</f>
        <v>6</v>
      </c>
      <c r="T30" s="34">
        <f t="shared" ref="T30:AF30" si="22">SUM(D90:D93)</f>
        <v>2</v>
      </c>
      <c r="U30" s="34">
        <f t="shared" si="22"/>
        <v>2.5</v>
      </c>
      <c r="V30" s="34">
        <f t="shared" si="22"/>
        <v>8</v>
      </c>
      <c r="W30" s="34">
        <f t="shared" si="22"/>
        <v>0</v>
      </c>
      <c r="X30" s="34">
        <f t="shared" si="22"/>
        <v>0.5</v>
      </c>
      <c r="Y30" s="34">
        <f t="shared" si="22"/>
        <v>8</v>
      </c>
      <c r="Z30" s="34">
        <f t="shared" si="22"/>
        <v>13</v>
      </c>
      <c r="AA30" s="34">
        <f t="shared" si="22"/>
        <v>0.5</v>
      </c>
      <c r="AB30" s="34">
        <f t="shared" si="22"/>
        <v>22.5</v>
      </c>
      <c r="AC30" s="34">
        <f t="shared" si="22"/>
        <v>4</v>
      </c>
      <c r="AD30" s="34">
        <f t="shared" si="22"/>
        <v>0</v>
      </c>
      <c r="AE30" s="31">
        <f t="shared" si="22"/>
        <v>63</v>
      </c>
      <c r="AF30" s="31">
        <f t="shared" si="22"/>
        <v>67</v>
      </c>
    </row>
    <row r="31" spans="2:32" ht="23.1" customHeight="1" x14ac:dyDescent="0.25">
      <c r="B31" s="24" t="s">
        <v>58</v>
      </c>
      <c r="C31" s="49">
        <f>AVERAGE('29.10 Mbalala-Mukono'!C31,'30.10 Mbalala-Mukono'!C31,'31.10 Mbalala-Mukono'!C31,'3.11 Mbalala-Mukono'!C31,'1.11 Mbalala-Mukono-24h'!C31,'2.11 Mbalala-Mukono-24h'!C31,'4.11 Mbalala-Mukono'!C31)</f>
        <v>26.714285714285715</v>
      </c>
      <c r="D31" s="49">
        <f>AVERAGE('29.10 Mbalala-Mukono'!D31,'30.10 Mbalala-Mukono'!D31,'31.10 Mbalala-Mukono'!D31,'3.11 Mbalala-Mukono'!D31,'1.11 Mbalala-Mukono-24h'!D31,'2.11 Mbalala-Mukono-24h'!D31,'4.11 Mbalala-Mukono'!D31)</f>
        <v>6.7142857142857144</v>
      </c>
      <c r="E31" s="49">
        <f>AVERAGE('29.10 Mbalala-Mukono'!E31,'30.10 Mbalala-Mukono'!E31,'31.10 Mbalala-Mukono'!E31,'3.11 Mbalala-Mukono'!E31,'1.11 Mbalala-Mukono-24h'!E31,'2.11 Mbalala-Mukono-24h'!E31,'4.11 Mbalala-Mukono'!E31)</f>
        <v>5.4285714285714288</v>
      </c>
      <c r="F31" s="49">
        <f>AVERAGE('29.10 Mbalala-Mukono'!F31,'30.10 Mbalala-Mukono'!F31,'31.10 Mbalala-Mukono'!F31,'3.11 Mbalala-Mukono'!F31,'1.11 Mbalala-Mukono-24h'!F31,'2.11 Mbalala-Mukono-24h'!F31,'4.11 Mbalala-Mukono'!F31)</f>
        <v>29.571428571428573</v>
      </c>
      <c r="G31" s="49">
        <f>AVERAGE('29.10 Mbalala-Mukono'!G31,'30.10 Mbalala-Mukono'!G31,'31.10 Mbalala-Mukono'!G31,'3.11 Mbalala-Mukono'!G31,'1.11 Mbalala-Mukono-24h'!G31,'2.11 Mbalala-Mukono-24h'!G31,'4.11 Mbalala-Mukono'!G31)</f>
        <v>0.14285714285714285</v>
      </c>
      <c r="H31" s="49">
        <f>AVERAGE('29.10 Mbalala-Mukono'!H31,'30.10 Mbalala-Mukono'!H31,'31.10 Mbalala-Mukono'!H31,'3.11 Mbalala-Mukono'!H31,'1.11 Mbalala-Mukono-24h'!H31,'2.11 Mbalala-Mukono-24h'!H31,'4.11 Mbalala-Mukono'!H31)</f>
        <v>0.42857142857142855</v>
      </c>
      <c r="I31" s="49">
        <f>AVERAGE('29.10 Mbalala-Mukono'!I31,'30.10 Mbalala-Mukono'!I31,'31.10 Mbalala-Mukono'!I31,'3.11 Mbalala-Mukono'!I31,'1.11 Mbalala-Mukono-24h'!I31,'2.11 Mbalala-Mukono-24h'!I31,'4.11 Mbalala-Mukono'!I31)</f>
        <v>7.8571428571428568</v>
      </c>
      <c r="J31" s="49">
        <f>AVERAGE('29.10 Mbalala-Mukono'!J31,'30.10 Mbalala-Mukono'!J31,'31.10 Mbalala-Mukono'!J31,'3.11 Mbalala-Mukono'!J31,'1.11 Mbalala-Mukono-24h'!J31,'2.11 Mbalala-Mukono-24h'!J31,'4.11 Mbalala-Mukono'!J31)</f>
        <v>8.7142857142857135</v>
      </c>
      <c r="K31" s="49">
        <f>AVERAGE('29.10 Mbalala-Mukono'!K31,'30.10 Mbalala-Mukono'!K31,'31.10 Mbalala-Mukono'!K31,'3.11 Mbalala-Mukono'!K31,'1.11 Mbalala-Mukono-24h'!K31,'2.11 Mbalala-Mukono-24h'!K31,'4.11 Mbalala-Mukono'!K31)</f>
        <v>2.7142857142857144</v>
      </c>
      <c r="L31" s="49">
        <f>AVERAGE('29.10 Mbalala-Mukono'!L31,'30.10 Mbalala-Mukono'!L31,'31.10 Mbalala-Mukono'!L31,'3.11 Mbalala-Mukono'!L31,'1.11 Mbalala-Mukono-24h'!L31,'2.11 Mbalala-Mukono-24h'!L31,'4.11 Mbalala-Mukono'!L31)</f>
        <v>8.2857142857142865</v>
      </c>
      <c r="M31" s="49">
        <f>AVERAGE('29.10 Mbalala-Mukono'!M31,'30.10 Mbalala-Mukono'!M31,'31.10 Mbalala-Mukono'!M31,'3.11 Mbalala-Mukono'!M31,'1.11 Mbalala-Mukono-24h'!M31,'2.11 Mbalala-Mukono-24h'!M31,'4.11 Mbalala-Mukono'!M31)</f>
        <v>80.428571428571431</v>
      </c>
      <c r="N31" s="49">
        <f>AVERAGE('29.10 Mbalala-Mukono'!N31,'30.10 Mbalala-Mukono'!N31,'31.10 Mbalala-Mukono'!N31,'3.11 Mbalala-Mukono'!N31,'1.11 Mbalala-Mukono-24h'!N31,'2.11 Mbalala-Mukono-24h'!N31,'4.11 Mbalala-Mukono'!N31)</f>
        <v>0</v>
      </c>
      <c r="O31" s="15">
        <f t="shared" si="0"/>
        <v>96.571428571428569</v>
      </c>
      <c r="P31" s="15">
        <f t="shared" si="1"/>
        <v>177</v>
      </c>
      <c r="R31" s="1" t="s">
        <v>155</v>
      </c>
      <c r="S31" s="34">
        <f>SUM(C94:C97)</f>
        <v>8.5</v>
      </c>
      <c r="T31" s="34">
        <f t="shared" ref="T31:AF31" si="23">SUM(D94:D97)</f>
        <v>3</v>
      </c>
      <c r="U31" s="34">
        <f t="shared" si="23"/>
        <v>1</v>
      </c>
      <c r="V31" s="34">
        <f t="shared" si="23"/>
        <v>15</v>
      </c>
      <c r="W31" s="34">
        <f t="shared" si="23"/>
        <v>1</v>
      </c>
      <c r="X31" s="34">
        <f t="shared" si="23"/>
        <v>2</v>
      </c>
      <c r="Y31" s="34">
        <f t="shared" si="23"/>
        <v>2.5</v>
      </c>
      <c r="Z31" s="34">
        <f t="shared" si="23"/>
        <v>12.5</v>
      </c>
      <c r="AA31" s="34">
        <f t="shared" si="23"/>
        <v>5.5</v>
      </c>
      <c r="AB31" s="34">
        <f t="shared" si="23"/>
        <v>24</v>
      </c>
      <c r="AC31" s="34">
        <f t="shared" si="23"/>
        <v>9</v>
      </c>
      <c r="AD31" s="34">
        <f t="shared" si="23"/>
        <v>0</v>
      </c>
      <c r="AE31" s="31">
        <f t="shared" si="23"/>
        <v>75</v>
      </c>
      <c r="AF31" s="31">
        <f t="shared" si="23"/>
        <v>84</v>
      </c>
    </row>
    <row r="32" spans="2:32" ht="23.1" customHeight="1" x14ac:dyDescent="0.25">
      <c r="B32" s="24" t="s">
        <v>59</v>
      </c>
      <c r="C32" s="49">
        <f>AVERAGE('29.10 Mbalala-Mukono'!C32,'30.10 Mbalala-Mukono'!C32,'31.10 Mbalala-Mukono'!C32,'3.11 Mbalala-Mukono'!C32,'1.11 Mbalala-Mukono-24h'!C32,'2.11 Mbalala-Mukono-24h'!C32,'4.11 Mbalala-Mukono'!C32)</f>
        <v>30.571428571428573</v>
      </c>
      <c r="D32" s="49">
        <f>AVERAGE('29.10 Mbalala-Mukono'!D32,'30.10 Mbalala-Mukono'!D32,'31.10 Mbalala-Mukono'!D32,'3.11 Mbalala-Mukono'!D32,'1.11 Mbalala-Mukono-24h'!D32,'2.11 Mbalala-Mukono-24h'!D32,'4.11 Mbalala-Mukono'!D32)</f>
        <v>9.5714285714285712</v>
      </c>
      <c r="E32" s="49">
        <f>AVERAGE('29.10 Mbalala-Mukono'!E32,'30.10 Mbalala-Mukono'!E32,'31.10 Mbalala-Mukono'!E32,'3.11 Mbalala-Mukono'!E32,'1.11 Mbalala-Mukono-24h'!E32,'2.11 Mbalala-Mukono-24h'!E32,'4.11 Mbalala-Mukono'!E32)</f>
        <v>5</v>
      </c>
      <c r="F32" s="49">
        <f>AVERAGE('29.10 Mbalala-Mukono'!F32,'30.10 Mbalala-Mukono'!F32,'31.10 Mbalala-Mukono'!F32,'3.11 Mbalala-Mukono'!F32,'1.11 Mbalala-Mukono-24h'!F32,'2.11 Mbalala-Mukono-24h'!F32,'4.11 Mbalala-Mukono'!F32)</f>
        <v>28.571428571428573</v>
      </c>
      <c r="G32" s="49">
        <f>AVERAGE('29.10 Mbalala-Mukono'!G32,'30.10 Mbalala-Mukono'!G32,'31.10 Mbalala-Mukono'!G32,'3.11 Mbalala-Mukono'!G32,'1.11 Mbalala-Mukono-24h'!G32,'2.11 Mbalala-Mukono-24h'!G32,'4.11 Mbalala-Mukono'!G32)</f>
        <v>2</v>
      </c>
      <c r="H32" s="49">
        <f>AVERAGE('29.10 Mbalala-Mukono'!H32,'30.10 Mbalala-Mukono'!H32,'31.10 Mbalala-Mukono'!H32,'3.11 Mbalala-Mukono'!H32,'1.11 Mbalala-Mukono-24h'!H32,'2.11 Mbalala-Mukono-24h'!H32,'4.11 Mbalala-Mukono'!H32)</f>
        <v>0.42857142857142855</v>
      </c>
      <c r="I32" s="49">
        <f>AVERAGE('29.10 Mbalala-Mukono'!I32,'30.10 Mbalala-Mukono'!I32,'31.10 Mbalala-Mukono'!I32,'3.11 Mbalala-Mukono'!I32,'1.11 Mbalala-Mukono-24h'!I32,'2.11 Mbalala-Mukono-24h'!I32,'4.11 Mbalala-Mukono'!I32)</f>
        <v>8.5714285714285712</v>
      </c>
      <c r="J32" s="49">
        <f>AVERAGE('29.10 Mbalala-Mukono'!J32,'30.10 Mbalala-Mukono'!J32,'31.10 Mbalala-Mukono'!J32,'3.11 Mbalala-Mukono'!J32,'1.11 Mbalala-Mukono-24h'!J32,'2.11 Mbalala-Mukono-24h'!J32,'4.11 Mbalala-Mukono'!J32)</f>
        <v>9.5714285714285712</v>
      </c>
      <c r="K32" s="49">
        <f>AVERAGE('29.10 Mbalala-Mukono'!K32,'30.10 Mbalala-Mukono'!K32,'31.10 Mbalala-Mukono'!K32,'3.11 Mbalala-Mukono'!K32,'1.11 Mbalala-Mukono-24h'!K32,'2.11 Mbalala-Mukono-24h'!K32,'4.11 Mbalala-Mukono'!K32)</f>
        <v>4</v>
      </c>
      <c r="L32" s="49">
        <f>AVERAGE('29.10 Mbalala-Mukono'!L32,'30.10 Mbalala-Mukono'!L32,'31.10 Mbalala-Mukono'!L32,'3.11 Mbalala-Mukono'!L32,'1.11 Mbalala-Mukono-24h'!L32,'2.11 Mbalala-Mukono-24h'!L32,'4.11 Mbalala-Mukono'!L32)</f>
        <v>10.571428571428571</v>
      </c>
      <c r="M32" s="49">
        <f>AVERAGE('29.10 Mbalala-Mukono'!M32,'30.10 Mbalala-Mukono'!M32,'31.10 Mbalala-Mukono'!M32,'3.11 Mbalala-Mukono'!M32,'1.11 Mbalala-Mukono-24h'!M32,'2.11 Mbalala-Mukono-24h'!M32,'4.11 Mbalala-Mukono'!M32)</f>
        <v>80.714285714285708</v>
      </c>
      <c r="N32" s="49">
        <f>AVERAGE('29.10 Mbalala-Mukono'!N32,'30.10 Mbalala-Mukono'!N32,'31.10 Mbalala-Mukono'!N32,'3.11 Mbalala-Mukono'!N32,'1.11 Mbalala-Mukono-24h'!N32,'2.11 Mbalala-Mukono-24h'!N32,'4.11 Mbalala-Mukono'!N32)</f>
        <v>0</v>
      </c>
      <c r="O32" s="15">
        <f t="shared" si="0"/>
        <v>108.85714285714286</v>
      </c>
      <c r="P32" s="15">
        <f t="shared" si="1"/>
        <v>189.57142857142856</v>
      </c>
      <c r="R32" s="1" t="s">
        <v>156</v>
      </c>
      <c r="S32" s="34">
        <f>SUM(C98:C101)</f>
        <v>19</v>
      </c>
      <c r="T32" s="34">
        <f t="shared" ref="T32:AF32" si="24">SUM(D98:D101)</f>
        <v>4.5</v>
      </c>
      <c r="U32" s="34">
        <f t="shared" si="24"/>
        <v>2</v>
      </c>
      <c r="V32" s="34">
        <f t="shared" si="24"/>
        <v>42</v>
      </c>
      <c r="W32" s="34">
        <f t="shared" si="24"/>
        <v>0.5</v>
      </c>
      <c r="X32" s="34">
        <f t="shared" si="24"/>
        <v>3.5</v>
      </c>
      <c r="Y32" s="34">
        <f t="shared" si="24"/>
        <v>3.5</v>
      </c>
      <c r="Z32" s="34">
        <f t="shared" si="24"/>
        <v>20.5</v>
      </c>
      <c r="AA32" s="34">
        <f t="shared" si="24"/>
        <v>3.5</v>
      </c>
      <c r="AB32" s="34">
        <f t="shared" si="24"/>
        <v>53.5</v>
      </c>
      <c r="AC32" s="34">
        <f t="shared" si="24"/>
        <v>21.5</v>
      </c>
      <c r="AD32" s="34">
        <f t="shared" si="24"/>
        <v>0</v>
      </c>
      <c r="AE32" s="31">
        <f t="shared" si="24"/>
        <v>152.5</v>
      </c>
      <c r="AF32" s="31">
        <f t="shared" si="24"/>
        <v>174</v>
      </c>
    </row>
    <row r="33" spans="2:32" ht="23.1" customHeight="1" x14ac:dyDescent="0.25">
      <c r="B33" s="23" t="s">
        <v>60</v>
      </c>
      <c r="C33" s="49">
        <f>AVERAGE('29.10 Mbalala-Mukono'!C33,'30.10 Mbalala-Mukono'!C33,'31.10 Mbalala-Mukono'!C33,'3.11 Mbalala-Mukono'!C33,'1.11 Mbalala-Mukono-24h'!C33,'2.11 Mbalala-Mukono-24h'!C33,'4.11 Mbalala-Mukono'!C33)</f>
        <v>31.571428571428573</v>
      </c>
      <c r="D33" s="49">
        <f>AVERAGE('29.10 Mbalala-Mukono'!D33,'30.10 Mbalala-Mukono'!D33,'31.10 Mbalala-Mukono'!D33,'3.11 Mbalala-Mukono'!D33,'1.11 Mbalala-Mukono-24h'!D33,'2.11 Mbalala-Mukono-24h'!D33,'4.11 Mbalala-Mukono'!D33)</f>
        <v>9.2857142857142865</v>
      </c>
      <c r="E33" s="49">
        <f>AVERAGE('29.10 Mbalala-Mukono'!E33,'30.10 Mbalala-Mukono'!E33,'31.10 Mbalala-Mukono'!E33,'3.11 Mbalala-Mukono'!E33,'1.11 Mbalala-Mukono-24h'!E33,'2.11 Mbalala-Mukono-24h'!E33,'4.11 Mbalala-Mukono'!E33)</f>
        <v>6.1428571428571432</v>
      </c>
      <c r="F33" s="49">
        <f>AVERAGE('29.10 Mbalala-Mukono'!F33,'30.10 Mbalala-Mukono'!F33,'31.10 Mbalala-Mukono'!F33,'3.11 Mbalala-Mukono'!F33,'1.11 Mbalala-Mukono-24h'!F33,'2.11 Mbalala-Mukono-24h'!F33,'4.11 Mbalala-Mukono'!F33)</f>
        <v>32.571428571428569</v>
      </c>
      <c r="G33" s="49">
        <f>AVERAGE('29.10 Mbalala-Mukono'!G33,'30.10 Mbalala-Mukono'!G33,'31.10 Mbalala-Mukono'!G33,'3.11 Mbalala-Mukono'!G33,'1.11 Mbalala-Mukono-24h'!G33,'2.11 Mbalala-Mukono-24h'!G33,'4.11 Mbalala-Mukono'!G33)</f>
        <v>0.8571428571428571</v>
      </c>
      <c r="H33" s="49">
        <f>AVERAGE('29.10 Mbalala-Mukono'!H33,'30.10 Mbalala-Mukono'!H33,'31.10 Mbalala-Mukono'!H33,'3.11 Mbalala-Mukono'!H33,'1.11 Mbalala-Mukono-24h'!H33,'2.11 Mbalala-Mukono-24h'!H33,'4.11 Mbalala-Mukono'!H33)</f>
        <v>1.1428571428571428</v>
      </c>
      <c r="I33" s="49">
        <f>AVERAGE('29.10 Mbalala-Mukono'!I33,'30.10 Mbalala-Mukono'!I33,'31.10 Mbalala-Mukono'!I33,'3.11 Mbalala-Mukono'!I33,'1.11 Mbalala-Mukono-24h'!I33,'2.11 Mbalala-Mukono-24h'!I33,'4.11 Mbalala-Mukono'!I33)</f>
        <v>9</v>
      </c>
      <c r="J33" s="49">
        <f>AVERAGE('29.10 Mbalala-Mukono'!J33,'30.10 Mbalala-Mukono'!J33,'31.10 Mbalala-Mukono'!J33,'3.11 Mbalala-Mukono'!J33,'1.11 Mbalala-Mukono-24h'!J33,'2.11 Mbalala-Mukono-24h'!J33,'4.11 Mbalala-Mukono'!J33)</f>
        <v>7.5714285714285712</v>
      </c>
      <c r="K33" s="49">
        <f>AVERAGE('29.10 Mbalala-Mukono'!K33,'30.10 Mbalala-Mukono'!K33,'31.10 Mbalala-Mukono'!K33,'3.11 Mbalala-Mukono'!K33,'1.11 Mbalala-Mukono-24h'!K33,'2.11 Mbalala-Mukono-24h'!K33,'4.11 Mbalala-Mukono'!K33)</f>
        <v>3</v>
      </c>
      <c r="L33" s="49">
        <f>AVERAGE('29.10 Mbalala-Mukono'!L33,'30.10 Mbalala-Mukono'!L33,'31.10 Mbalala-Mukono'!L33,'3.11 Mbalala-Mukono'!L33,'1.11 Mbalala-Mukono-24h'!L33,'2.11 Mbalala-Mukono-24h'!L33,'4.11 Mbalala-Mukono'!L33)</f>
        <v>13.142857142857142</v>
      </c>
      <c r="M33" s="49">
        <f>AVERAGE('29.10 Mbalala-Mukono'!M33,'30.10 Mbalala-Mukono'!M33,'31.10 Mbalala-Mukono'!M33,'3.11 Mbalala-Mukono'!M33,'1.11 Mbalala-Mukono-24h'!M33,'2.11 Mbalala-Mukono-24h'!M33,'4.11 Mbalala-Mukono'!M33)</f>
        <v>82.142857142857139</v>
      </c>
      <c r="N33" s="49">
        <f>AVERAGE('29.10 Mbalala-Mukono'!N33,'30.10 Mbalala-Mukono'!N33,'31.10 Mbalala-Mukono'!N33,'3.11 Mbalala-Mukono'!N33,'1.11 Mbalala-Mukono-24h'!N33,'2.11 Mbalala-Mukono-24h'!N33,'4.11 Mbalala-Mukono'!N33)</f>
        <v>0</v>
      </c>
      <c r="O33" s="15">
        <f t="shared" si="0"/>
        <v>114.28571428571429</v>
      </c>
      <c r="P33" s="15">
        <f t="shared" si="1"/>
        <v>196.42857142857144</v>
      </c>
      <c r="R33" s="1" t="s">
        <v>157</v>
      </c>
      <c r="S33" s="34">
        <f>SUM(C102:C105)</f>
        <v>36.5</v>
      </c>
      <c r="T33" s="34">
        <f t="shared" ref="T33:AF33" si="25">SUM(D102:D105)</f>
        <v>6.5</v>
      </c>
      <c r="U33" s="34">
        <f t="shared" si="25"/>
        <v>11</v>
      </c>
      <c r="V33" s="34">
        <f t="shared" si="25"/>
        <v>54.5</v>
      </c>
      <c r="W33" s="34">
        <f t="shared" si="25"/>
        <v>2</v>
      </c>
      <c r="X33" s="34">
        <f t="shared" si="25"/>
        <v>3</v>
      </c>
      <c r="Y33" s="34">
        <f t="shared" si="25"/>
        <v>12.5</v>
      </c>
      <c r="Z33" s="34">
        <f t="shared" si="25"/>
        <v>12.5</v>
      </c>
      <c r="AA33" s="34">
        <f t="shared" si="25"/>
        <v>5</v>
      </c>
      <c r="AB33" s="34">
        <f t="shared" si="25"/>
        <v>43</v>
      </c>
      <c r="AC33" s="34">
        <f t="shared" si="25"/>
        <v>62</v>
      </c>
      <c r="AD33" s="34">
        <f t="shared" si="25"/>
        <v>0</v>
      </c>
      <c r="AE33" s="31">
        <f t="shared" si="25"/>
        <v>186.5</v>
      </c>
      <c r="AF33" s="31">
        <f t="shared" si="25"/>
        <v>248.5</v>
      </c>
    </row>
    <row r="34" spans="2:32" ht="23.1" customHeight="1" x14ac:dyDescent="0.25">
      <c r="B34" s="24" t="s">
        <v>61</v>
      </c>
      <c r="C34" s="49">
        <f>AVERAGE('29.10 Mbalala-Mukono'!C34,'30.10 Mbalala-Mukono'!C34,'31.10 Mbalala-Mukono'!C34,'3.11 Mbalala-Mukono'!C34,'1.11 Mbalala-Mukono-24h'!C34,'2.11 Mbalala-Mukono-24h'!C34,'4.11 Mbalala-Mukono'!C34)</f>
        <v>29.142857142857142</v>
      </c>
      <c r="D34" s="49">
        <f>AVERAGE('29.10 Mbalala-Mukono'!D34,'30.10 Mbalala-Mukono'!D34,'31.10 Mbalala-Mukono'!D34,'3.11 Mbalala-Mukono'!D34,'1.11 Mbalala-Mukono-24h'!D34,'2.11 Mbalala-Mukono-24h'!D34,'4.11 Mbalala-Mukono'!D34)</f>
        <v>7.4285714285714288</v>
      </c>
      <c r="E34" s="49">
        <f>AVERAGE('29.10 Mbalala-Mukono'!E34,'30.10 Mbalala-Mukono'!E34,'31.10 Mbalala-Mukono'!E34,'3.11 Mbalala-Mukono'!E34,'1.11 Mbalala-Mukono-24h'!E34,'2.11 Mbalala-Mukono-24h'!E34,'4.11 Mbalala-Mukono'!E34)</f>
        <v>6.4285714285714288</v>
      </c>
      <c r="F34" s="49">
        <f>AVERAGE('29.10 Mbalala-Mukono'!F34,'30.10 Mbalala-Mukono'!F34,'31.10 Mbalala-Mukono'!F34,'3.11 Mbalala-Mukono'!F34,'1.11 Mbalala-Mukono-24h'!F34,'2.11 Mbalala-Mukono-24h'!F34,'4.11 Mbalala-Mukono'!F34)</f>
        <v>32.285714285714285</v>
      </c>
      <c r="G34" s="49">
        <f>AVERAGE('29.10 Mbalala-Mukono'!G34,'30.10 Mbalala-Mukono'!G34,'31.10 Mbalala-Mukono'!G34,'3.11 Mbalala-Mukono'!G34,'1.11 Mbalala-Mukono-24h'!G34,'2.11 Mbalala-Mukono-24h'!G34,'4.11 Mbalala-Mukono'!G34)</f>
        <v>0.7142857142857143</v>
      </c>
      <c r="H34" s="49">
        <f>AVERAGE('29.10 Mbalala-Mukono'!H34,'30.10 Mbalala-Mukono'!H34,'31.10 Mbalala-Mukono'!H34,'3.11 Mbalala-Mukono'!H34,'1.11 Mbalala-Mukono-24h'!H34,'2.11 Mbalala-Mukono-24h'!H34,'4.11 Mbalala-Mukono'!H34)</f>
        <v>0.7142857142857143</v>
      </c>
      <c r="I34" s="49">
        <f>AVERAGE('29.10 Mbalala-Mukono'!I34,'30.10 Mbalala-Mukono'!I34,'31.10 Mbalala-Mukono'!I34,'3.11 Mbalala-Mukono'!I34,'1.11 Mbalala-Mukono-24h'!I34,'2.11 Mbalala-Mukono-24h'!I34,'4.11 Mbalala-Mukono'!I34)</f>
        <v>9.7142857142857135</v>
      </c>
      <c r="J34" s="49">
        <f>AVERAGE('29.10 Mbalala-Mukono'!J34,'30.10 Mbalala-Mukono'!J34,'31.10 Mbalala-Mukono'!J34,'3.11 Mbalala-Mukono'!J34,'1.11 Mbalala-Mukono-24h'!J34,'2.11 Mbalala-Mukono-24h'!J34,'4.11 Mbalala-Mukono'!J34)</f>
        <v>6.8571428571428568</v>
      </c>
      <c r="K34" s="49">
        <f>AVERAGE('29.10 Mbalala-Mukono'!K34,'30.10 Mbalala-Mukono'!K34,'31.10 Mbalala-Mukono'!K34,'3.11 Mbalala-Mukono'!K34,'1.11 Mbalala-Mukono-24h'!K34,'2.11 Mbalala-Mukono-24h'!K34,'4.11 Mbalala-Mukono'!K34)</f>
        <v>3</v>
      </c>
      <c r="L34" s="49">
        <f>AVERAGE('29.10 Mbalala-Mukono'!L34,'30.10 Mbalala-Mukono'!L34,'31.10 Mbalala-Mukono'!L34,'3.11 Mbalala-Mukono'!L34,'1.11 Mbalala-Mukono-24h'!L34,'2.11 Mbalala-Mukono-24h'!L34,'4.11 Mbalala-Mukono'!L34)</f>
        <v>10.571428571428571</v>
      </c>
      <c r="M34" s="49">
        <f>AVERAGE('29.10 Mbalala-Mukono'!M34,'30.10 Mbalala-Mukono'!M34,'31.10 Mbalala-Mukono'!M34,'3.11 Mbalala-Mukono'!M34,'1.11 Mbalala-Mukono-24h'!M34,'2.11 Mbalala-Mukono-24h'!M34,'4.11 Mbalala-Mukono'!M34)</f>
        <v>84.714285714285708</v>
      </c>
      <c r="N34" s="49">
        <f>AVERAGE('29.10 Mbalala-Mukono'!N34,'30.10 Mbalala-Mukono'!N34,'31.10 Mbalala-Mukono'!N34,'3.11 Mbalala-Mukono'!N34,'1.11 Mbalala-Mukono-24h'!N34,'2.11 Mbalala-Mukono-24h'!N34,'4.11 Mbalala-Mukono'!N34)</f>
        <v>0</v>
      </c>
      <c r="O34" s="15">
        <f t="shared" si="0"/>
        <v>106.85714285714283</v>
      </c>
      <c r="P34" s="15">
        <f t="shared" si="1"/>
        <v>191.57142857142856</v>
      </c>
      <c r="R34" s="38" t="s">
        <v>90</v>
      </c>
      <c r="S34" s="39">
        <f t="shared" ref="S34:AF34" si="26">MAX(S10:S12)</f>
        <v>110.42857142857142</v>
      </c>
      <c r="T34" s="39">
        <f t="shared" si="26"/>
        <v>28.857142857142861</v>
      </c>
      <c r="U34" s="39">
        <f t="shared" si="26"/>
        <v>22.714285714285715</v>
      </c>
      <c r="V34" s="39">
        <f t="shared" si="26"/>
        <v>126.14285714285714</v>
      </c>
      <c r="W34" s="39">
        <f t="shared" si="26"/>
        <v>7</v>
      </c>
      <c r="X34" s="39">
        <f t="shared" si="26"/>
        <v>4.5714285714285712</v>
      </c>
      <c r="Y34" s="39">
        <f t="shared" si="26"/>
        <v>27.857142857142861</v>
      </c>
      <c r="Z34" s="39">
        <f t="shared" si="26"/>
        <v>22.428571428571431</v>
      </c>
      <c r="AA34" s="39">
        <f t="shared" si="26"/>
        <v>15.428571428571429</v>
      </c>
      <c r="AB34" s="39">
        <f t="shared" si="26"/>
        <v>65.714285714285708</v>
      </c>
      <c r="AC34" s="39">
        <f t="shared" si="26"/>
        <v>459.28571428571433</v>
      </c>
      <c r="AD34" s="39">
        <f t="shared" si="26"/>
        <v>0.14285714285714285</v>
      </c>
      <c r="AE34" s="40">
        <f t="shared" si="26"/>
        <v>402.14285714285722</v>
      </c>
      <c r="AF34" s="40">
        <f t="shared" si="26"/>
        <v>829.57142857142856</v>
      </c>
    </row>
    <row r="35" spans="2:32" ht="23.1" customHeight="1" x14ac:dyDescent="0.25">
      <c r="B35" s="24" t="s">
        <v>62</v>
      </c>
      <c r="C35" s="49">
        <f>AVERAGE('29.10 Mbalala-Mukono'!C35,'30.10 Mbalala-Mukono'!C35,'31.10 Mbalala-Mukono'!C35,'3.11 Mbalala-Mukono'!C35,'1.11 Mbalala-Mukono-24h'!C35,'2.11 Mbalala-Mukono-24h'!C35,'4.11 Mbalala-Mukono'!C35)</f>
        <v>27.142857142857142</v>
      </c>
      <c r="D35" s="49">
        <f>AVERAGE('29.10 Mbalala-Mukono'!D35,'30.10 Mbalala-Mukono'!D35,'31.10 Mbalala-Mukono'!D35,'3.11 Mbalala-Mukono'!D35,'1.11 Mbalala-Mukono-24h'!D35,'2.11 Mbalala-Mukono-24h'!D35,'4.11 Mbalala-Mukono'!D35)</f>
        <v>7.4285714285714288</v>
      </c>
      <c r="E35" s="49">
        <f>AVERAGE('29.10 Mbalala-Mukono'!E35,'30.10 Mbalala-Mukono'!E35,'31.10 Mbalala-Mukono'!E35,'3.11 Mbalala-Mukono'!E35,'1.11 Mbalala-Mukono-24h'!E35,'2.11 Mbalala-Mukono-24h'!E35,'4.11 Mbalala-Mukono'!E35)</f>
        <v>6.7142857142857144</v>
      </c>
      <c r="F35" s="49">
        <f>AVERAGE('29.10 Mbalala-Mukono'!F35,'30.10 Mbalala-Mukono'!F35,'31.10 Mbalala-Mukono'!F35,'3.11 Mbalala-Mukono'!F35,'1.11 Mbalala-Mukono-24h'!F35,'2.11 Mbalala-Mukono-24h'!F35,'4.11 Mbalala-Mukono'!F35)</f>
        <v>30.285714285714285</v>
      </c>
      <c r="G35" s="49">
        <f>AVERAGE('29.10 Mbalala-Mukono'!G35,'30.10 Mbalala-Mukono'!G35,'31.10 Mbalala-Mukono'!G35,'3.11 Mbalala-Mukono'!G35,'1.11 Mbalala-Mukono-24h'!G35,'2.11 Mbalala-Mukono-24h'!G35,'4.11 Mbalala-Mukono'!G35)</f>
        <v>0.42857142857142855</v>
      </c>
      <c r="H35" s="49">
        <f>AVERAGE('29.10 Mbalala-Mukono'!H35,'30.10 Mbalala-Mukono'!H35,'31.10 Mbalala-Mukono'!H35,'3.11 Mbalala-Mukono'!H35,'1.11 Mbalala-Mukono-24h'!H35,'2.11 Mbalala-Mukono-24h'!H35,'4.11 Mbalala-Mukono'!H35)</f>
        <v>0.42857142857142855</v>
      </c>
      <c r="I35" s="49">
        <f>AVERAGE('29.10 Mbalala-Mukono'!I35,'30.10 Mbalala-Mukono'!I35,'31.10 Mbalala-Mukono'!I35,'3.11 Mbalala-Mukono'!I35,'1.11 Mbalala-Mukono-24h'!I35,'2.11 Mbalala-Mukono-24h'!I35,'4.11 Mbalala-Mukono'!I35)</f>
        <v>10</v>
      </c>
      <c r="J35" s="49">
        <f>AVERAGE('29.10 Mbalala-Mukono'!J35,'30.10 Mbalala-Mukono'!J35,'31.10 Mbalala-Mukono'!J35,'3.11 Mbalala-Mukono'!J35,'1.11 Mbalala-Mukono-24h'!J35,'2.11 Mbalala-Mukono-24h'!J35,'4.11 Mbalala-Mukono'!J35)</f>
        <v>6.1428571428571432</v>
      </c>
      <c r="K35" s="49">
        <f>AVERAGE('29.10 Mbalala-Mukono'!K35,'30.10 Mbalala-Mukono'!K35,'31.10 Mbalala-Mukono'!K35,'3.11 Mbalala-Mukono'!K35,'1.11 Mbalala-Mukono-24h'!K35,'2.11 Mbalala-Mukono-24h'!K35,'4.11 Mbalala-Mukono'!K35)</f>
        <v>3.5714285714285716</v>
      </c>
      <c r="L35" s="49">
        <f>AVERAGE('29.10 Mbalala-Mukono'!L35,'30.10 Mbalala-Mukono'!L35,'31.10 Mbalala-Mukono'!L35,'3.11 Mbalala-Mukono'!L35,'1.11 Mbalala-Mukono-24h'!L35,'2.11 Mbalala-Mukono-24h'!L35,'4.11 Mbalala-Mukono'!L35)</f>
        <v>9.7142857142857135</v>
      </c>
      <c r="M35" s="49">
        <f>AVERAGE('29.10 Mbalala-Mukono'!M35,'30.10 Mbalala-Mukono'!M35,'31.10 Mbalala-Mukono'!M35,'3.11 Mbalala-Mukono'!M35,'1.11 Mbalala-Mukono-24h'!M35,'2.11 Mbalala-Mukono-24h'!M35,'4.11 Mbalala-Mukono'!M35)</f>
        <v>89</v>
      </c>
      <c r="N35" s="49">
        <f>AVERAGE('29.10 Mbalala-Mukono'!N35,'30.10 Mbalala-Mukono'!N35,'31.10 Mbalala-Mukono'!N35,'3.11 Mbalala-Mukono'!N35,'1.11 Mbalala-Mukono-24h'!N35,'2.11 Mbalala-Mukono-24h'!N35,'4.11 Mbalala-Mukono'!N35)</f>
        <v>0</v>
      </c>
      <c r="O35" s="15">
        <f t="shared" si="0"/>
        <v>101.85714285714285</v>
      </c>
      <c r="P35" s="15">
        <f t="shared" si="1"/>
        <v>190.85714285714283</v>
      </c>
      <c r="R35" s="38" t="s">
        <v>91</v>
      </c>
      <c r="S35" s="39">
        <f t="shared" ref="S35:AF35" si="27">MAX(S13:S18)</f>
        <v>125.57142857142858</v>
      </c>
      <c r="T35" s="39">
        <f t="shared" si="27"/>
        <v>53.428571428571431</v>
      </c>
      <c r="U35" s="39">
        <f t="shared" si="27"/>
        <v>29.142857142857146</v>
      </c>
      <c r="V35" s="39">
        <f t="shared" si="27"/>
        <v>121.71428571428571</v>
      </c>
      <c r="W35" s="39">
        <f t="shared" si="27"/>
        <v>5.4285714285714288</v>
      </c>
      <c r="X35" s="39">
        <f t="shared" si="27"/>
        <v>4.4285714285714288</v>
      </c>
      <c r="Y35" s="39">
        <f t="shared" si="27"/>
        <v>38.285714285714292</v>
      </c>
      <c r="Z35" s="39">
        <f t="shared" si="27"/>
        <v>32.571428571428569</v>
      </c>
      <c r="AA35" s="39">
        <f t="shared" si="27"/>
        <v>12.285714285714285</v>
      </c>
      <c r="AB35" s="39">
        <f t="shared" si="27"/>
        <v>45.571428571428569</v>
      </c>
      <c r="AC35" s="39">
        <f t="shared" si="27"/>
        <v>371.42857142857139</v>
      </c>
      <c r="AD35" s="39">
        <f t="shared" si="27"/>
        <v>0.14285714285714285</v>
      </c>
      <c r="AE35" s="40">
        <f t="shared" si="27"/>
        <v>443.71428571428572</v>
      </c>
      <c r="AF35" s="40">
        <f t="shared" si="27"/>
        <v>764.71428571428578</v>
      </c>
    </row>
    <row r="36" spans="2:32" ht="23.1" customHeight="1" x14ac:dyDescent="0.25">
      <c r="B36" s="24" t="s">
        <v>63</v>
      </c>
      <c r="C36" s="49">
        <f>AVERAGE('29.10 Mbalala-Mukono'!C36,'30.10 Mbalala-Mukono'!C36,'31.10 Mbalala-Mukono'!C36,'3.11 Mbalala-Mukono'!C36,'1.11 Mbalala-Mukono-24h'!C36,'2.11 Mbalala-Mukono-24h'!C36,'4.11 Mbalala-Mukono'!C36)</f>
        <v>27</v>
      </c>
      <c r="D36" s="49">
        <f>AVERAGE('29.10 Mbalala-Mukono'!D36,'30.10 Mbalala-Mukono'!D36,'31.10 Mbalala-Mukono'!D36,'3.11 Mbalala-Mukono'!D36,'1.11 Mbalala-Mukono-24h'!D36,'2.11 Mbalala-Mukono-24h'!D36,'4.11 Mbalala-Mukono'!D36)</f>
        <v>8.1428571428571423</v>
      </c>
      <c r="E36" s="49">
        <f>AVERAGE('29.10 Mbalala-Mukono'!E36,'30.10 Mbalala-Mukono'!E36,'31.10 Mbalala-Mukono'!E36,'3.11 Mbalala-Mukono'!E36,'1.11 Mbalala-Mukono-24h'!E36,'2.11 Mbalala-Mukono-24h'!E36,'4.11 Mbalala-Mukono'!E36)</f>
        <v>8.5714285714285712</v>
      </c>
      <c r="F36" s="49">
        <f>AVERAGE('29.10 Mbalala-Mukono'!F36,'30.10 Mbalala-Mukono'!F36,'31.10 Mbalala-Mukono'!F36,'3.11 Mbalala-Mukono'!F36,'1.11 Mbalala-Mukono-24h'!F36,'2.11 Mbalala-Mukono-24h'!F36,'4.11 Mbalala-Mukono'!F36)</f>
        <v>28.142857142857142</v>
      </c>
      <c r="G36" s="49">
        <f>AVERAGE('29.10 Mbalala-Mukono'!G36,'30.10 Mbalala-Mukono'!G36,'31.10 Mbalala-Mukono'!G36,'3.11 Mbalala-Mukono'!G36,'1.11 Mbalala-Mukono-24h'!G36,'2.11 Mbalala-Mukono-24h'!G36,'4.11 Mbalala-Mukono'!G36)</f>
        <v>0.42857142857142855</v>
      </c>
      <c r="H36" s="49">
        <f>AVERAGE('29.10 Mbalala-Mukono'!H36,'30.10 Mbalala-Mukono'!H36,'31.10 Mbalala-Mukono'!H36,'3.11 Mbalala-Mukono'!H36,'1.11 Mbalala-Mukono-24h'!H36,'2.11 Mbalala-Mukono-24h'!H36,'4.11 Mbalala-Mukono'!H36)</f>
        <v>0.7142857142857143</v>
      </c>
      <c r="I36" s="49">
        <f>AVERAGE('29.10 Mbalala-Mukono'!I36,'30.10 Mbalala-Mukono'!I36,'31.10 Mbalala-Mukono'!I36,'3.11 Mbalala-Mukono'!I36,'1.11 Mbalala-Mukono-24h'!I36,'2.11 Mbalala-Mukono-24h'!I36,'4.11 Mbalala-Mukono'!I36)</f>
        <v>8.8571428571428577</v>
      </c>
      <c r="J36" s="49">
        <f>AVERAGE('29.10 Mbalala-Mukono'!J36,'30.10 Mbalala-Mukono'!J36,'31.10 Mbalala-Mukono'!J36,'3.11 Mbalala-Mukono'!J36,'1.11 Mbalala-Mukono-24h'!J36,'2.11 Mbalala-Mukono-24h'!J36,'4.11 Mbalala-Mukono'!J36)</f>
        <v>6.5714285714285712</v>
      </c>
      <c r="K36" s="49">
        <f>AVERAGE('29.10 Mbalala-Mukono'!K36,'30.10 Mbalala-Mukono'!K36,'31.10 Mbalala-Mukono'!K36,'3.11 Mbalala-Mukono'!K36,'1.11 Mbalala-Mukono-24h'!K36,'2.11 Mbalala-Mukono-24h'!K36,'4.11 Mbalala-Mukono'!K36)</f>
        <v>2.8571428571428572</v>
      </c>
      <c r="L36" s="49">
        <f>AVERAGE('29.10 Mbalala-Mukono'!L36,'30.10 Mbalala-Mukono'!L36,'31.10 Mbalala-Mukono'!L36,'3.11 Mbalala-Mukono'!L36,'1.11 Mbalala-Mukono-24h'!L36,'2.11 Mbalala-Mukono-24h'!L36,'4.11 Mbalala-Mukono'!L36)</f>
        <v>10.428571428571429</v>
      </c>
      <c r="M36" s="49">
        <f>AVERAGE('29.10 Mbalala-Mukono'!M36,'30.10 Mbalala-Mukono'!M36,'31.10 Mbalala-Mukono'!M36,'3.11 Mbalala-Mukono'!M36,'1.11 Mbalala-Mukono-24h'!M36,'2.11 Mbalala-Mukono-24h'!M36,'4.11 Mbalala-Mukono'!M36)</f>
        <v>79.857142857142861</v>
      </c>
      <c r="N36" s="49">
        <f>AVERAGE('29.10 Mbalala-Mukono'!N36,'30.10 Mbalala-Mukono'!N36,'31.10 Mbalala-Mukono'!N36,'3.11 Mbalala-Mukono'!N36,'1.11 Mbalala-Mukono-24h'!N36,'2.11 Mbalala-Mukono-24h'!N36,'4.11 Mbalala-Mukono'!N36)</f>
        <v>0</v>
      </c>
      <c r="O36" s="15">
        <f t="shared" si="0"/>
        <v>101.71428571428571</v>
      </c>
      <c r="P36" s="15">
        <f t="shared" si="1"/>
        <v>181.57142857142856</v>
      </c>
      <c r="R36" s="38" t="s">
        <v>92</v>
      </c>
      <c r="S36" s="39">
        <f t="shared" ref="S36:AF36" si="28">MAX(S19:S21)</f>
        <v>186.57142857142856</v>
      </c>
      <c r="T36" s="39">
        <f t="shared" si="28"/>
        <v>55.285714285714292</v>
      </c>
      <c r="U36" s="39">
        <f t="shared" si="28"/>
        <v>39.285714285714285</v>
      </c>
      <c r="V36" s="39">
        <f t="shared" si="28"/>
        <v>151.28571428571428</v>
      </c>
      <c r="W36" s="39">
        <f t="shared" si="28"/>
        <v>10</v>
      </c>
      <c r="X36" s="39">
        <f t="shared" si="28"/>
        <v>4.4285714285714288</v>
      </c>
      <c r="Y36" s="39">
        <f t="shared" si="28"/>
        <v>40.428571428571431</v>
      </c>
      <c r="Z36" s="39">
        <f t="shared" si="28"/>
        <v>28</v>
      </c>
      <c r="AA36" s="39">
        <f t="shared" si="28"/>
        <v>12.428571428571429</v>
      </c>
      <c r="AB36" s="39">
        <f t="shared" si="28"/>
        <v>33.857142857142854</v>
      </c>
      <c r="AC36" s="39">
        <f t="shared" si="28"/>
        <v>401.28571428571428</v>
      </c>
      <c r="AD36" s="39">
        <f t="shared" si="28"/>
        <v>0.42857142857142855</v>
      </c>
      <c r="AE36" s="40">
        <f t="shared" si="28"/>
        <v>553.42857142857144</v>
      </c>
      <c r="AF36" s="40">
        <f t="shared" si="28"/>
        <v>954.71428571428555</v>
      </c>
    </row>
    <row r="37" spans="2:32" ht="23.1" customHeight="1" x14ac:dyDescent="0.25">
      <c r="B37" s="23" t="s">
        <v>64</v>
      </c>
      <c r="C37" s="49">
        <f>AVERAGE('29.10 Mbalala-Mukono'!C37,'30.10 Mbalala-Mukono'!C37,'31.10 Mbalala-Mukono'!C37,'3.11 Mbalala-Mukono'!C37,'1.11 Mbalala-Mukono-24h'!C37,'2.11 Mbalala-Mukono-24h'!C37,'4.11 Mbalala-Mukono'!C37)</f>
        <v>33.142857142857146</v>
      </c>
      <c r="D37" s="49">
        <f>AVERAGE('29.10 Mbalala-Mukono'!D37,'30.10 Mbalala-Mukono'!D37,'31.10 Mbalala-Mukono'!D37,'3.11 Mbalala-Mukono'!D37,'1.11 Mbalala-Mukono-24h'!D37,'2.11 Mbalala-Mukono-24h'!D37,'4.11 Mbalala-Mukono'!D37)</f>
        <v>9</v>
      </c>
      <c r="E37" s="49">
        <f>AVERAGE('29.10 Mbalala-Mukono'!E37,'30.10 Mbalala-Mukono'!E37,'31.10 Mbalala-Mukono'!E37,'3.11 Mbalala-Mukono'!E37,'1.11 Mbalala-Mukono-24h'!E37,'2.11 Mbalala-Mukono-24h'!E37,'4.11 Mbalala-Mukono'!E37)</f>
        <v>7.4285714285714288</v>
      </c>
      <c r="F37" s="49">
        <f>AVERAGE('29.10 Mbalala-Mukono'!F37,'30.10 Mbalala-Mukono'!F37,'31.10 Mbalala-Mukono'!F37,'3.11 Mbalala-Mukono'!F37,'1.11 Mbalala-Mukono-24h'!F37,'2.11 Mbalala-Mukono-24h'!F37,'4.11 Mbalala-Mukono'!F37)</f>
        <v>30.714285714285715</v>
      </c>
      <c r="G37" s="49">
        <f>AVERAGE('29.10 Mbalala-Mukono'!G37,'30.10 Mbalala-Mukono'!G37,'31.10 Mbalala-Mukono'!G37,'3.11 Mbalala-Mukono'!G37,'1.11 Mbalala-Mukono-24h'!G37,'2.11 Mbalala-Mukono-24h'!G37,'4.11 Mbalala-Mukono'!G37)</f>
        <v>0.42857142857142855</v>
      </c>
      <c r="H37" s="49">
        <f>AVERAGE('29.10 Mbalala-Mukono'!H37,'30.10 Mbalala-Mukono'!H37,'31.10 Mbalala-Mukono'!H37,'3.11 Mbalala-Mukono'!H37,'1.11 Mbalala-Mukono-24h'!H37,'2.11 Mbalala-Mukono-24h'!H37,'4.11 Mbalala-Mukono'!H37)</f>
        <v>0.42857142857142855</v>
      </c>
      <c r="I37" s="49">
        <f>AVERAGE('29.10 Mbalala-Mukono'!I37,'30.10 Mbalala-Mukono'!I37,'31.10 Mbalala-Mukono'!I37,'3.11 Mbalala-Mukono'!I37,'1.11 Mbalala-Mukono-24h'!I37,'2.11 Mbalala-Mukono-24h'!I37,'4.11 Mbalala-Mukono'!I37)</f>
        <v>8.5714285714285712</v>
      </c>
      <c r="J37" s="49">
        <f>AVERAGE('29.10 Mbalala-Mukono'!J37,'30.10 Mbalala-Mukono'!J37,'31.10 Mbalala-Mukono'!J37,'3.11 Mbalala-Mukono'!J37,'1.11 Mbalala-Mukono-24h'!J37,'2.11 Mbalala-Mukono-24h'!J37,'4.11 Mbalala-Mukono'!J37)</f>
        <v>6.2857142857142856</v>
      </c>
      <c r="K37" s="49">
        <f>AVERAGE('29.10 Mbalala-Mukono'!K37,'30.10 Mbalala-Mukono'!K37,'31.10 Mbalala-Mukono'!K37,'3.11 Mbalala-Mukono'!K37,'1.11 Mbalala-Mukono-24h'!K37,'2.11 Mbalala-Mukono-24h'!K37,'4.11 Mbalala-Mukono'!K37)</f>
        <v>1</v>
      </c>
      <c r="L37" s="49">
        <f>AVERAGE('29.10 Mbalala-Mukono'!L37,'30.10 Mbalala-Mukono'!L37,'31.10 Mbalala-Mukono'!L37,'3.11 Mbalala-Mukono'!L37,'1.11 Mbalala-Mukono-24h'!L37,'2.11 Mbalala-Mukono-24h'!L37,'4.11 Mbalala-Mukono'!L37)</f>
        <v>8.8571428571428577</v>
      </c>
      <c r="M37" s="49">
        <f>AVERAGE('29.10 Mbalala-Mukono'!M37,'30.10 Mbalala-Mukono'!M37,'31.10 Mbalala-Mukono'!M37,'3.11 Mbalala-Mukono'!M37,'1.11 Mbalala-Mukono-24h'!M37,'2.11 Mbalala-Mukono-24h'!M37,'4.11 Mbalala-Mukono'!M37)</f>
        <v>81.714285714285708</v>
      </c>
      <c r="N37" s="49">
        <f>AVERAGE('29.10 Mbalala-Mukono'!N37,'30.10 Mbalala-Mukono'!N37,'31.10 Mbalala-Mukono'!N37,'3.11 Mbalala-Mukono'!N37,'1.11 Mbalala-Mukono-24h'!N37,'2.11 Mbalala-Mukono-24h'!N37,'4.11 Mbalala-Mukono'!N37)</f>
        <v>0</v>
      </c>
      <c r="O37" s="15">
        <f t="shared" si="0"/>
        <v>105.85714285714288</v>
      </c>
      <c r="P37" s="15">
        <f t="shared" si="1"/>
        <v>187.57142857142858</v>
      </c>
      <c r="R37" s="37" t="s">
        <v>85</v>
      </c>
      <c r="S37" s="35">
        <f t="shared" ref="S37:AF37" si="29">SUM(S10:S12)</f>
        <v>299.42857142857144</v>
      </c>
      <c r="T37" s="16">
        <f t="shared" si="29"/>
        <v>82.714285714285722</v>
      </c>
      <c r="U37" s="16">
        <f t="shared" si="29"/>
        <v>63</v>
      </c>
      <c r="V37" s="16">
        <f t="shared" si="29"/>
        <v>352.57142857142856</v>
      </c>
      <c r="W37" s="16">
        <f t="shared" si="29"/>
        <v>19.285714285714285</v>
      </c>
      <c r="X37" s="16">
        <f t="shared" si="29"/>
        <v>11.571428571428571</v>
      </c>
      <c r="Y37" s="16">
        <f t="shared" si="29"/>
        <v>68.714285714285722</v>
      </c>
      <c r="Z37" s="16">
        <f t="shared" si="29"/>
        <v>60.428571428571431</v>
      </c>
      <c r="AA37" s="16">
        <f t="shared" si="29"/>
        <v>31.714285714285715</v>
      </c>
      <c r="AB37" s="16">
        <f t="shared" si="29"/>
        <v>158.14285714285714</v>
      </c>
      <c r="AC37" s="16">
        <f t="shared" si="29"/>
        <v>1232.7142857142858</v>
      </c>
      <c r="AD37" s="16">
        <f t="shared" si="29"/>
        <v>0.14285714285714285</v>
      </c>
      <c r="AE37" s="32">
        <f t="shared" si="29"/>
        <v>1147.7142857142858</v>
      </c>
      <c r="AF37" s="32">
        <f t="shared" si="29"/>
        <v>2380.4285714285716</v>
      </c>
    </row>
    <row r="38" spans="2:32" ht="23.1" customHeight="1" x14ac:dyDescent="0.25">
      <c r="B38" s="24" t="s">
        <v>65</v>
      </c>
      <c r="C38" s="49">
        <f>AVERAGE('29.10 Mbalala-Mukono'!C38,'30.10 Mbalala-Mukono'!C38,'31.10 Mbalala-Mukono'!C38,'3.11 Mbalala-Mukono'!C38,'1.11 Mbalala-Mukono-24h'!C38,'2.11 Mbalala-Mukono-24h'!C38,'4.11 Mbalala-Mukono'!C38)</f>
        <v>32.571428571428569</v>
      </c>
      <c r="D38" s="49">
        <f>AVERAGE('29.10 Mbalala-Mukono'!D38,'30.10 Mbalala-Mukono'!D38,'31.10 Mbalala-Mukono'!D38,'3.11 Mbalala-Mukono'!D38,'1.11 Mbalala-Mukono-24h'!D38,'2.11 Mbalala-Mukono-24h'!D38,'4.11 Mbalala-Mukono'!D38)</f>
        <v>11.428571428571429</v>
      </c>
      <c r="E38" s="49">
        <f>AVERAGE('29.10 Mbalala-Mukono'!E38,'30.10 Mbalala-Mukono'!E38,'31.10 Mbalala-Mukono'!E38,'3.11 Mbalala-Mukono'!E38,'1.11 Mbalala-Mukono-24h'!E38,'2.11 Mbalala-Mukono-24h'!E38,'4.11 Mbalala-Mukono'!E38)</f>
        <v>6.2857142857142856</v>
      </c>
      <c r="F38" s="49">
        <f>AVERAGE('29.10 Mbalala-Mukono'!F38,'30.10 Mbalala-Mukono'!F38,'31.10 Mbalala-Mukono'!F38,'3.11 Mbalala-Mukono'!F38,'1.11 Mbalala-Mukono-24h'!F38,'2.11 Mbalala-Mukono-24h'!F38,'4.11 Mbalala-Mukono'!F38)</f>
        <v>31.285714285714285</v>
      </c>
      <c r="G38" s="49">
        <f>AVERAGE('29.10 Mbalala-Mukono'!G38,'30.10 Mbalala-Mukono'!G38,'31.10 Mbalala-Mukono'!G38,'3.11 Mbalala-Mukono'!G38,'1.11 Mbalala-Mukono-24h'!G38,'2.11 Mbalala-Mukono-24h'!G38,'4.11 Mbalala-Mukono'!G38)</f>
        <v>0.7142857142857143</v>
      </c>
      <c r="H38" s="49">
        <f>AVERAGE('29.10 Mbalala-Mukono'!H38,'30.10 Mbalala-Mukono'!H38,'31.10 Mbalala-Mukono'!H38,'3.11 Mbalala-Mukono'!H38,'1.11 Mbalala-Mukono-24h'!H38,'2.11 Mbalala-Mukono-24h'!H38,'4.11 Mbalala-Mukono'!H38)</f>
        <v>0.42857142857142855</v>
      </c>
      <c r="I38" s="49">
        <f>AVERAGE('29.10 Mbalala-Mukono'!I38,'30.10 Mbalala-Mukono'!I38,'31.10 Mbalala-Mukono'!I38,'3.11 Mbalala-Mukono'!I38,'1.11 Mbalala-Mukono-24h'!I38,'2.11 Mbalala-Mukono-24h'!I38,'4.11 Mbalala-Mukono'!I38)</f>
        <v>11</v>
      </c>
      <c r="J38" s="49">
        <f>AVERAGE('29.10 Mbalala-Mukono'!J38,'30.10 Mbalala-Mukono'!J38,'31.10 Mbalala-Mukono'!J38,'3.11 Mbalala-Mukono'!J38,'1.11 Mbalala-Mukono-24h'!J38,'2.11 Mbalala-Mukono-24h'!J38,'4.11 Mbalala-Mukono'!J38)</f>
        <v>9.4285714285714288</v>
      </c>
      <c r="K38" s="49">
        <f>AVERAGE('29.10 Mbalala-Mukono'!K38,'30.10 Mbalala-Mukono'!K38,'31.10 Mbalala-Mukono'!K38,'3.11 Mbalala-Mukono'!K38,'1.11 Mbalala-Mukono-24h'!K38,'2.11 Mbalala-Mukono-24h'!K38,'4.11 Mbalala-Mukono'!K38)</f>
        <v>2.8571428571428572</v>
      </c>
      <c r="L38" s="49">
        <f>AVERAGE('29.10 Mbalala-Mukono'!L38,'30.10 Mbalala-Mukono'!L38,'31.10 Mbalala-Mukono'!L38,'3.11 Mbalala-Mukono'!L38,'1.11 Mbalala-Mukono-24h'!L38,'2.11 Mbalala-Mukono-24h'!L38,'4.11 Mbalala-Mukono'!L38)</f>
        <v>12.857142857142858</v>
      </c>
      <c r="M38" s="49">
        <f>AVERAGE('29.10 Mbalala-Mukono'!M38,'30.10 Mbalala-Mukono'!M38,'31.10 Mbalala-Mukono'!M38,'3.11 Mbalala-Mukono'!M38,'1.11 Mbalala-Mukono-24h'!M38,'2.11 Mbalala-Mukono-24h'!M38,'4.11 Mbalala-Mukono'!M38)</f>
        <v>76.857142857142861</v>
      </c>
      <c r="N38" s="49">
        <f>AVERAGE('29.10 Mbalala-Mukono'!N38,'30.10 Mbalala-Mukono'!N38,'31.10 Mbalala-Mukono'!N38,'3.11 Mbalala-Mukono'!N38,'1.11 Mbalala-Mukono-24h'!N38,'2.11 Mbalala-Mukono-24h'!N38,'4.11 Mbalala-Mukono'!N38)</f>
        <v>0</v>
      </c>
      <c r="O38" s="15">
        <f t="shared" si="0"/>
        <v>118.85714285714286</v>
      </c>
      <c r="P38" s="15">
        <f t="shared" si="1"/>
        <v>195.71428571428572</v>
      </c>
      <c r="R38" s="28" t="s">
        <v>86</v>
      </c>
      <c r="S38" s="16">
        <f t="shared" ref="S38:AF38" si="30">SUM(S13:S18)</f>
        <v>682.71428571428567</v>
      </c>
      <c r="T38" s="16">
        <f t="shared" si="30"/>
        <v>221.42857142857144</v>
      </c>
      <c r="U38" s="16">
        <f t="shared" si="30"/>
        <v>148</v>
      </c>
      <c r="V38" s="16">
        <f t="shared" si="30"/>
        <v>720.57142857142844</v>
      </c>
      <c r="W38" s="16">
        <f t="shared" si="30"/>
        <v>24.714285714285715</v>
      </c>
      <c r="X38" s="16">
        <f t="shared" si="30"/>
        <v>16.571428571428569</v>
      </c>
      <c r="Y38" s="16">
        <f t="shared" si="30"/>
        <v>211.57142857142856</v>
      </c>
      <c r="Z38" s="16">
        <f t="shared" si="30"/>
        <v>166.28571428571428</v>
      </c>
      <c r="AA38" s="16">
        <f t="shared" si="30"/>
        <v>64.428571428571416</v>
      </c>
      <c r="AB38" s="16">
        <f t="shared" si="30"/>
        <v>248.57142857142856</v>
      </c>
      <c r="AC38" s="16">
        <f t="shared" si="30"/>
        <v>1954.285714285714</v>
      </c>
      <c r="AD38" s="16">
        <f t="shared" si="30"/>
        <v>0.14285714285714285</v>
      </c>
      <c r="AE38" s="32">
        <f t="shared" si="30"/>
        <v>2505</v>
      </c>
      <c r="AF38" s="32">
        <f t="shared" si="30"/>
        <v>4459.2857142857138</v>
      </c>
    </row>
    <row r="39" spans="2:32" ht="23.1" customHeight="1" x14ac:dyDescent="0.25">
      <c r="B39" s="24" t="s">
        <v>66</v>
      </c>
      <c r="C39" s="49">
        <f>AVERAGE('29.10 Mbalala-Mukono'!C39,'30.10 Mbalala-Mukono'!C39,'31.10 Mbalala-Mukono'!C39,'3.11 Mbalala-Mukono'!C39,'1.11 Mbalala-Mukono-24h'!C39,'2.11 Mbalala-Mukono-24h'!C39,'4.11 Mbalala-Mukono'!C39)</f>
        <v>28.142857142857142</v>
      </c>
      <c r="D39" s="49">
        <f>AVERAGE('29.10 Mbalala-Mukono'!D39,'30.10 Mbalala-Mukono'!D39,'31.10 Mbalala-Mukono'!D39,'3.11 Mbalala-Mukono'!D39,'1.11 Mbalala-Mukono-24h'!D39,'2.11 Mbalala-Mukono-24h'!D39,'4.11 Mbalala-Mukono'!D39)</f>
        <v>8.2857142857142865</v>
      </c>
      <c r="E39" s="49">
        <f>AVERAGE('29.10 Mbalala-Mukono'!E39,'30.10 Mbalala-Mukono'!E39,'31.10 Mbalala-Mukono'!E39,'3.11 Mbalala-Mukono'!E39,'1.11 Mbalala-Mukono-24h'!E39,'2.11 Mbalala-Mukono-24h'!E39,'4.11 Mbalala-Mukono'!E39)</f>
        <v>6.7142857142857144</v>
      </c>
      <c r="F39" s="49">
        <f>AVERAGE('29.10 Mbalala-Mukono'!F39,'30.10 Mbalala-Mukono'!F39,'31.10 Mbalala-Mukono'!F39,'3.11 Mbalala-Mukono'!F39,'1.11 Mbalala-Mukono-24h'!F39,'2.11 Mbalala-Mukono-24h'!F39,'4.11 Mbalala-Mukono'!F39)</f>
        <v>29.142857142857142</v>
      </c>
      <c r="G39" s="49">
        <f>AVERAGE('29.10 Mbalala-Mukono'!G39,'30.10 Mbalala-Mukono'!G39,'31.10 Mbalala-Mukono'!G39,'3.11 Mbalala-Mukono'!G39,'1.11 Mbalala-Mukono-24h'!G39,'2.11 Mbalala-Mukono-24h'!G39,'4.11 Mbalala-Mukono'!G39)</f>
        <v>0.5714285714285714</v>
      </c>
      <c r="H39" s="49">
        <f>AVERAGE('29.10 Mbalala-Mukono'!H39,'30.10 Mbalala-Mukono'!H39,'31.10 Mbalala-Mukono'!H39,'3.11 Mbalala-Mukono'!H39,'1.11 Mbalala-Mukono-24h'!H39,'2.11 Mbalala-Mukono-24h'!H39,'4.11 Mbalala-Mukono'!H39)</f>
        <v>0.5714285714285714</v>
      </c>
      <c r="I39" s="49">
        <f>AVERAGE('29.10 Mbalala-Mukono'!I39,'30.10 Mbalala-Mukono'!I39,'31.10 Mbalala-Mukono'!I39,'3.11 Mbalala-Mukono'!I39,'1.11 Mbalala-Mukono-24h'!I39,'2.11 Mbalala-Mukono-24h'!I39,'4.11 Mbalala-Mukono'!I39)</f>
        <v>8.7142857142857135</v>
      </c>
      <c r="J39" s="49">
        <f>AVERAGE('29.10 Mbalala-Mukono'!J39,'30.10 Mbalala-Mukono'!J39,'31.10 Mbalala-Mukono'!J39,'3.11 Mbalala-Mukono'!J39,'1.11 Mbalala-Mukono-24h'!J39,'2.11 Mbalala-Mukono-24h'!J39,'4.11 Mbalala-Mukono'!J39)</f>
        <v>7.1428571428571432</v>
      </c>
      <c r="K39" s="49">
        <f>AVERAGE('29.10 Mbalala-Mukono'!K39,'30.10 Mbalala-Mukono'!K39,'31.10 Mbalala-Mukono'!K39,'3.11 Mbalala-Mukono'!K39,'1.11 Mbalala-Mukono-24h'!K39,'2.11 Mbalala-Mukono-24h'!K39,'4.11 Mbalala-Mukono'!K39)</f>
        <v>2.2857142857142856</v>
      </c>
      <c r="L39" s="49">
        <f>AVERAGE('29.10 Mbalala-Mukono'!L39,'30.10 Mbalala-Mukono'!L39,'31.10 Mbalala-Mukono'!L39,'3.11 Mbalala-Mukono'!L39,'1.11 Mbalala-Mukono-24h'!L39,'2.11 Mbalala-Mukono-24h'!L39,'4.11 Mbalala-Mukono'!L39)</f>
        <v>9.2857142857142865</v>
      </c>
      <c r="M39" s="49">
        <f>AVERAGE('29.10 Mbalala-Mukono'!M39,'30.10 Mbalala-Mukono'!M39,'31.10 Mbalala-Mukono'!M39,'3.11 Mbalala-Mukono'!M39,'1.11 Mbalala-Mukono-24h'!M39,'2.11 Mbalala-Mukono-24h'!M39,'4.11 Mbalala-Mukono'!M39)</f>
        <v>73</v>
      </c>
      <c r="N39" s="49">
        <f>AVERAGE('29.10 Mbalala-Mukono'!N39,'30.10 Mbalala-Mukono'!N39,'31.10 Mbalala-Mukono'!N39,'3.11 Mbalala-Mukono'!N39,'1.11 Mbalala-Mukono-24h'!N39,'2.11 Mbalala-Mukono-24h'!N39,'4.11 Mbalala-Mukono'!N39)</f>
        <v>0</v>
      </c>
      <c r="O39" s="15">
        <f t="shared" si="0"/>
        <v>100.85714285714286</v>
      </c>
      <c r="P39" s="15">
        <f t="shared" si="1"/>
        <v>173.85714285714286</v>
      </c>
      <c r="R39" s="29" t="s">
        <v>87</v>
      </c>
      <c r="S39" s="16">
        <f t="shared" ref="S39:AF39" si="31">SUM(S19:S21)</f>
        <v>515.42857142857144</v>
      </c>
      <c r="T39" s="16">
        <f t="shared" si="31"/>
        <v>156.28571428571431</v>
      </c>
      <c r="U39" s="16">
        <f t="shared" si="31"/>
        <v>99.857142857142861</v>
      </c>
      <c r="V39" s="16">
        <f t="shared" si="31"/>
        <v>407.42857142857139</v>
      </c>
      <c r="W39" s="16">
        <f t="shared" si="31"/>
        <v>21.285714285714285</v>
      </c>
      <c r="X39" s="16">
        <f t="shared" si="31"/>
        <v>10.571428571428571</v>
      </c>
      <c r="Y39" s="16">
        <f t="shared" si="31"/>
        <v>110.71428571428571</v>
      </c>
      <c r="Z39" s="16">
        <f t="shared" si="31"/>
        <v>78.571428571428584</v>
      </c>
      <c r="AA39" s="16">
        <f t="shared" si="31"/>
        <v>33.285714285714285</v>
      </c>
      <c r="AB39" s="16">
        <f t="shared" si="31"/>
        <v>93.857142857142847</v>
      </c>
      <c r="AC39" s="16">
        <f t="shared" si="31"/>
        <v>1057.5714285714284</v>
      </c>
      <c r="AD39" s="16">
        <f t="shared" si="31"/>
        <v>0.5714285714285714</v>
      </c>
      <c r="AE39" s="32">
        <f t="shared" si="31"/>
        <v>1527.8571428571427</v>
      </c>
      <c r="AF39" s="32">
        <f t="shared" si="31"/>
        <v>2585.4285714285711</v>
      </c>
    </row>
    <row r="40" spans="2:32" ht="23.1" customHeight="1" x14ac:dyDescent="0.25">
      <c r="B40" s="24" t="s">
        <v>67</v>
      </c>
      <c r="C40" s="49">
        <f>AVERAGE('29.10 Mbalala-Mukono'!C40,'30.10 Mbalala-Mukono'!C40,'31.10 Mbalala-Mukono'!C40,'3.11 Mbalala-Mukono'!C40,'1.11 Mbalala-Mukono-24h'!C40,'2.11 Mbalala-Mukono-24h'!C40,'4.11 Mbalala-Mukono'!C40)</f>
        <v>31.714285714285715</v>
      </c>
      <c r="D40" s="49">
        <f>AVERAGE('29.10 Mbalala-Mukono'!D40,'30.10 Mbalala-Mukono'!D40,'31.10 Mbalala-Mukono'!D40,'3.11 Mbalala-Mukono'!D40,'1.11 Mbalala-Mukono-24h'!D40,'2.11 Mbalala-Mukono-24h'!D40,'4.11 Mbalala-Mukono'!D40)</f>
        <v>9</v>
      </c>
      <c r="E40" s="49">
        <f>AVERAGE('29.10 Mbalala-Mukono'!E40,'30.10 Mbalala-Mukono'!E40,'31.10 Mbalala-Mukono'!E40,'3.11 Mbalala-Mukono'!E40,'1.11 Mbalala-Mukono-24h'!E40,'2.11 Mbalala-Mukono-24h'!E40,'4.11 Mbalala-Mukono'!E40)</f>
        <v>6.1428571428571432</v>
      </c>
      <c r="F40" s="49">
        <f>AVERAGE('29.10 Mbalala-Mukono'!F40,'30.10 Mbalala-Mukono'!F40,'31.10 Mbalala-Mukono'!F40,'3.11 Mbalala-Mukono'!F40,'1.11 Mbalala-Mukono-24h'!F40,'2.11 Mbalala-Mukono-24h'!F40,'4.11 Mbalala-Mukono'!F40)</f>
        <v>30.285714285714285</v>
      </c>
      <c r="G40" s="49">
        <f>AVERAGE('29.10 Mbalala-Mukono'!G40,'30.10 Mbalala-Mukono'!G40,'31.10 Mbalala-Mukono'!G40,'3.11 Mbalala-Mukono'!G40,'1.11 Mbalala-Mukono-24h'!G40,'2.11 Mbalala-Mukono-24h'!G40,'4.11 Mbalala-Mukono'!G40)</f>
        <v>2.5714285714285716</v>
      </c>
      <c r="H40" s="49">
        <f>AVERAGE('29.10 Mbalala-Mukono'!H40,'30.10 Mbalala-Mukono'!H40,'31.10 Mbalala-Mukono'!H40,'3.11 Mbalala-Mukono'!H40,'1.11 Mbalala-Mukono-24h'!H40,'2.11 Mbalala-Mukono-24h'!H40,'4.11 Mbalala-Mukono'!H40)</f>
        <v>0.42857142857142855</v>
      </c>
      <c r="I40" s="49">
        <f>AVERAGE('29.10 Mbalala-Mukono'!I40,'30.10 Mbalala-Mukono'!I40,'31.10 Mbalala-Mukono'!I40,'3.11 Mbalala-Mukono'!I40,'1.11 Mbalala-Mukono-24h'!I40,'2.11 Mbalala-Mukono-24h'!I40,'4.11 Mbalala-Mukono'!I40)</f>
        <v>8.7142857142857135</v>
      </c>
      <c r="J40" s="49">
        <f>AVERAGE('29.10 Mbalala-Mukono'!J40,'30.10 Mbalala-Mukono'!J40,'31.10 Mbalala-Mukono'!J40,'3.11 Mbalala-Mukono'!J40,'1.11 Mbalala-Mukono-24h'!J40,'2.11 Mbalala-Mukono-24h'!J40,'4.11 Mbalala-Mukono'!J40)</f>
        <v>7.1428571428571432</v>
      </c>
      <c r="K40" s="49">
        <f>AVERAGE('29.10 Mbalala-Mukono'!K40,'30.10 Mbalala-Mukono'!K40,'31.10 Mbalala-Mukono'!K40,'3.11 Mbalala-Mukono'!K40,'1.11 Mbalala-Mukono-24h'!K40,'2.11 Mbalala-Mukono-24h'!K40,'4.11 Mbalala-Mukono'!K40)</f>
        <v>1.2857142857142858</v>
      </c>
      <c r="L40" s="49">
        <f>AVERAGE('29.10 Mbalala-Mukono'!L40,'30.10 Mbalala-Mukono'!L40,'31.10 Mbalala-Mukono'!L40,'3.11 Mbalala-Mukono'!L40,'1.11 Mbalala-Mukono-24h'!L40,'2.11 Mbalala-Mukono-24h'!L40,'4.11 Mbalala-Mukono'!L40)</f>
        <v>10.714285714285714</v>
      </c>
      <c r="M40" s="49">
        <f>AVERAGE('29.10 Mbalala-Mukono'!M40,'30.10 Mbalala-Mukono'!M40,'31.10 Mbalala-Mukono'!M40,'3.11 Mbalala-Mukono'!M40,'1.11 Mbalala-Mukono-24h'!M40,'2.11 Mbalala-Mukono-24h'!M40,'4.11 Mbalala-Mukono'!M40)</f>
        <v>56.857142857142854</v>
      </c>
      <c r="N40" s="49">
        <f>AVERAGE('29.10 Mbalala-Mukono'!N40,'30.10 Mbalala-Mukono'!N40,'31.10 Mbalala-Mukono'!N40,'3.11 Mbalala-Mukono'!N40,'1.11 Mbalala-Mukono-24h'!N40,'2.11 Mbalala-Mukono-24h'!N40,'4.11 Mbalala-Mukono'!N40)</f>
        <v>0</v>
      </c>
      <c r="O40" s="15">
        <f t="shared" si="0"/>
        <v>107.99999999999999</v>
      </c>
      <c r="P40" s="15">
        <f t="shared" si="1"/>
        <v>164.85714285714283</v>
      </c>
      <c r="R40" s="5" t="s">
        <v>17</v>
      </c>
      <c r="S40" s="16">
        <f t="shared" ref="S40:AF40" si="32">SUM(S10:S21)</f>
        <v>1497.5714285714284</v>
      </c>
      <c r="T40" s="16">
        <f t="shared" si="32"/>
        <v>460.42857142857144</v>
      </c>
      <c r="U40" s="16">
        <f t="shared" si="32"/>
        <v>310.85714285714283</v>
      </c>
      <c r="V40" s="16">
        <f t="shared" si="32"/>
        <v>1480.5714285714284</v>
      </c>
      <c r="W40" s="16">
        <f t="shared" si="32"/>
        <v>65.285714285714292</v>
      </c>
      <c r="X40" s="16">
        <f t="shared" si="32"/>
        <v>38.714285714285708</v>
      </c>
      <c r="Y40" s="16">
        <f t="shared" si="32"/>
        <v>391</v>
      </c>
      <c r="Z40" s="16">
        <f t="shared" si="32"/>
        <v>305.28571428571428</v>
      </c>
      <c r="AA40" s="16">
        <f t="shared" si="32"/>
        <v>129.42857142857142</v>
      </c>
      <c r="AB40" s="16">
        <f t="shared" si="32"/>
        <v>500.5714285714285</v>
      </c>
      <c r="AC40" s="16">
        <f t="shared" si="32"/>
        <v>4244.5714285714284</v>
      </c>
      <c r="AD40" s="16">
        <f t="shared" si="32"/>
        <v>0.85714285714285698</v>
      </c>
      <c r="AE40" s="32">
        <f t="shared" si="32"/>
        <v>5180.5714285714284</v>
      </c>
      <c r="AF40" s="32">
        <f t="shared" si="32"/>
        <v>9425.1428571428569</v>
      </c>
    </row>
    <row r="41" spans="2:32" ht="23.1" customHeight="1" x14ac:dyDescent="0.25">
      <c r="B41" s="23" t="s">
        <v>68</v>
      </c>
      <c r="C41" s="49">
        <f>AVERAGE('29.10 Mbalala-Mukono'!C41,'30.10 Mbalala-Mukono'!C41,'31.10 Mbalala-Mukono'!C41,'3.11 Mbalala-Mukono'!C41,'1.11 Mbalala-Mukono-24h'!C41,'2.11 Mbalala-Mukono-24h'!C41,'4.11 Mbalala-Mukono'!C41)</f>
        <v>30.714285714285715</v>
      </c>
      <c r="D41" s="49">
        <f>AVERAGE('29.10 Mbalala-Mukono'!D41,'30.10 Mbalala-Mukono'!D41,'31.10 Mbalala-Mukono'!D41,'3.11 Mbalala-Mukono'!D41,'1.11 Mbalala-Mukono-24h'!D41,'2.11 Mbalala-Mukono-24h'!D41,'4.11 Mbalala-Mukono'!D41)</f>
        <v>11.285714285714286</v>
      </c>
      <c r="E41" s="49">
        <f>AVERAGE('29.10 Mbalala-Mukono'!E41,'30.10 Mbalala-Mukono'!E41,'31.10 Mbalala-Mukono'!E41,'3.11 Mbalala-Mukono'!E41,'1.11 Mbalala-Mukono-24h'!E41,'2.11 Mbalala-Mukono-24h'!E41,'4.11 Mbalala-Mukono'!E41)</f>
        <v>8.7142857142857135</v>
      </c>
      <c r="F41" s="49">
        <f>AVERAGE('29.10 Mbalala-Mukono'!F41,'30.10 Mbalala-Mukono'!F41,'31.10 Mbalala-Mukono'!F41,'3.11 Mbalala-Mukono'!F41,'1.11 Mbalala-Mukono-24h'!F41,'2.11 Mbalala-Mukono-24h'!F41,'4.11 Mbalala-Mukono'!F41)</f>
        <v>29.428571428571427</v>
      </c>
      <c r="G41" s="49">
        <f>AVERAGE('29.10 Mbalala-Mukono'!G41,'30.10 Mbalala-Mukono'!G41,'31.10 Mbalala-Mukono'!G41,'3.11 Mbalala-Mukono'!G41,'1.11 Mbalala-Mukono-24h'!G41,'2.11 Mbalala-Mukono-24h'!G41,'4.11 Mbalala-Mukono'!G41)</f>
        <v>0.8571428571428571</v>
      </c>
      <c r="H41" s="49">
        <f>AVERAGE('29.10 Mbalala-Mukono'!H41,'30.10 Mbalala-Mukono'!H41,'31.10 Mbalala-Mukono'!H41,'3.11 Mbalala-Mukono'!H41,'1.11 Mbalala-Mukono-24h'!H41,'2.11 Mbalala-Mukono-24h'!H41,'4.11 Mbalala-Mukono'!H41)</f>
        <v>0.5714285714285714</v>
      </c>
      <c r="I41" s="49">
        <f>AVERAGE('29.10 Mbalala-Mukono'!I41,'30.10 Mbalala-Mukono'!I41,'31.10 Mbalala-Mukono'!I41,'3.11 Mbalala-Mukono'!I41,'1.11 Mbalala-Mukono-24h'!I41,'2.11 Mbalala-Mukono-24h'!I41,'4.11 Mbalala-Mukono'!I41)</f>
        <v>9.8571428571428577</v>
      </c>
      <c r="J41" s="49">
        <f>AVERAGE('29.10 Mbalala-Mukono'!J41,'30.10 Mbalala-Mukono'!J41,'31.10 Mbalala-Mukono'!J41,'3.11 Mbalala-Mukono'!J41,'1.11 Mbalala-Mukono-24h'!J41,'2.11 Mbalala-Mukono-24h'!J41,'4.11 Mbalala-Mukono'!J41)</f>
        <v>6.5714285714285712</v>
      </c>
      <c r="K41" s="49">
        <f>AVERAGE('29.10 Mbalala-Mukono'!K41,'30.10 Mbalala-Mukono'!K41,'31.10 Mbalala-Mukono'!K41,'3.11 Mbalala-Mukono'!K41,'1.11 Mbalala-Mukono-24h'!K41,'2.11 Mbalala-Mukono-24h'!K41,'4.11 Mbalala-Mukono'!K41)</f>
        <v>3.8571428571428572</v>
      </c>
      <c r="L41" s="49">
        <f>AVERAGE('29.10 Mbalala-Mukono'!L41,'30.10 Mbalala-Mukono'!L41,'31.10 Mbalala-Mukono'!L41,'3.11 Mbalala-Mukono'!L41,'1.11 Mbalala-Mukono-24h'!L41,'2.11 Mbalala-Mukono-24h'!L41,'4.11 Mbalala-Mukono'!L41)</f>
        <v>10</v>
      </c>
      <c r="M41" s="49">
        <f>AVERAGE('29.10 Mbalala-Mukono'!M41,'30.10 Mbalala-Mukono'!M41,'31.10 Mbalala-Mukono'!M41,'3.11 Mbalala-Mukono'!M41,'1.11 Mbalala-Mukono-24h'!M41,'2.11 Mbalala-Mukono-24h'!M41,'4.11 Mbalala-Mukono'!M41)</f>
        <v>63.285714285714285</v>
      </c>
      <c r="N41" s="49">
        <f>AVERAGE('29.10 Mbalala-Mukono'!N41,'30.10 Mbalala-Mukono'!N41,'31.10 Mbalala-Mukono'!N41,'3.11 Mbalala-Mukono'!N41,'1.11 Mbalala-Mukono-24h'!N41,'2.11 Mbalala-Mukono-24h'!N41,'4.11 Mbalala-Mukono'!N41)</f>
        <v>0</v>
      </c>
      <c r="O41" s="15">
        <f t="shared" si="0"/>
        <v>111.85714285714286</v>
      </c>
      <c r="P41" s="15">
        <f t="shared" si="1"/>
        <v>175.14285714285714</v>
      </c>
      <c r="R41" s="5" t="s">
        <v>185</v>
      </c>
      <c r="S41" s="16">
        <f>SUM(S10:S33)</f>
        <v>2173.0714285714284</v>
      </c>
      <c r="T41" s="16">
        <f t="shared" ref="T41:AD41" si="33">SUM(T10:T33)</f>
        <v>614.42857142857144</v>
      </c>
      <c r="U41" s="16">
        <f t="shared" si="33"/>
        <v>443.35714285714283</v>
      </c>
      <c r="V41" s="16">
        <f t="shared" si="33"/>
        <v>2115.5714285714284</v>
      </c>
      <c r="W41" s="16">
        <f t="shared" si="33"/>
        <v>107.28571428571429</v>
      </c>
      <c r="X41" s="16">
        <f t="shared" si="33"/>
        <v>75.214285714285708</v>
      </c>
      <c r="Y41" s="16">
        <f t="shared" si="33"/>
        <v>575</v>
      </c>
      <c r="Z41" s="16">
        <f t="shared" si="33"/>
        <v>558.28571428571422</v>
      </c>
      <c r="AA41" s="16">
        <f t="shared" si="33"/>
        <v>197.42857142857142</v>
      </c>
      <c r="AB41" s="16">
        <f t="shared" si="33"/>
        <v>867.07142857142844</v>
      </c>
      <c r="AC41" s="16">
        <f t="shared" si="33"/>
        <v>4803.5714285714284</v>
      </c>
      <c r="AD41" s="16">
        <f t="shared" si="33"/>
        <v>0.85714285714285698</v>
      </c>
      <c r="AE41" s="32">
        <f>SUM(AE10:AE33)</f>
        <v>7727.5714285714284</v>
      </c>
      <c r="AF41" s="32">
        <f>SUM(AF10:AF33)</f>
        <v>12531.142857142857</v>
      </c>
    </row>
    <row r="42" spans="2:32" ht="23.1" customHeight="1" x14ac:dyDescent="0.25">
      <c r="B42" s="24" t="s">
        <v>69</v>
      </c>
      <c r="C42" s="49">
        <f>AVERAGE('29.10 Mbalala-Mukono'!C42,'30.10 Mbalala-Mukono'!C42,'31.10 Mbalala-Mukono'!C42,'3.11 Mbalala-Mukono'!C42,'1.11 Mbalala-Mukono-24h'!C42,'2.11 Mbalala-Mukono-24h'!C42,'4.11 Mbalala-Mukono'!C42)</f>
        <v>33.142857142857146</v>
      </c>
      <c r="D42" s="49">
        <f>AVERAGE('29.10 Mbalala-Mukono'!D42,'30.10 Mbalala-Mukono'!D42,'31.10 Mbalala-Mukono'!D42,'3.11 Mbalala-Mukono'!D42,'1.11 Mbalala-Mukono-24h'!D42,'2.11 Mbalala-Mukono-24h'!D42,'4.11 Mbalala-Mukono'!D42)</f>
        <v>10.857142857142858</v>
      </c>
      <c r="E42" s="49">
        <f>AVERAGE('29.10 Mbalala-Mukono'!E42,'30.10 Mbalala-Mukono'!E42,'31.10 Mbalala-Mukono'!E42,'3.11 Mbalala-Mukono'!E42,'1.11 Mbalala-Mukono-24h'!E42,'2.11 Mbalala-Mukono-24h'!E42,'4.11 Mbalala-Mukono'!E42)</f>
        <v>8.1428571428571423</v>
      </c>
      <c r="F42" s="49">
        <f>AVERAGE('29.10 Mbalala-Mukono'!F42,'30.10 Mbalala-Mukono'!F42,'31.10 Mbalala-Mukono'!F42,'3.11 Mbalala-Mukono'!F42,'1.11 Mbalala-Mukono-24h'!F42,'2.11 Mbalala-Mukono-24h'!F42,'4.11 Mbalala-Mukono'!F42)</f>
        <v>33.428571428571431</v>
      </c>
      <c r="G42" s="49">
        <f>AVERAGE('29.10 Mbalala-Mukono'!G42,'30.10 Mbalala-Mukono'!G42,'31.10 Mbalala-Mukono'!G42,'3.11 Mbalala-Mukono'!G42,'1.11 Mbalala-Mukono-24h'!G42,'2.11 Mbalala-Mukono-24h'!G42,'4.11 Mbalala-Mukono'!G42)</f>
        <v>1.2857142857142858</v>
      </c>
      <c r="H42" s="49">
        <f>AVERAGE('29.10 Mbalala-Mukono'!H42,'30.10 Mbalala-Mukono'!H42,'31.10 Mbalala-Mukono'!H42,'3.11 Mbalala-Mukono'!H42,'1.11 Mbalala-Mukono-24h'!H42,'2.11 Mbalala-Mukono-24h'!H42,'4.11 Mbalala-Mukono'!H42)</f>
        <v>0.7142857142857143</v>
      </c>
      <c r="I42" s="49">
        <f>AVERAGE('29.10 Mbalala-Mukono'!I42,'30.10 Mbalala-Mukono'!I42,'31.10 Mbalala-Mukono'!I42,'3.11 Mbalala-Mukono'!I42,'1.11 Mbalala-Mukono-24h'!I42,'2.11 Mbalala-Mukono-24h'!I42,'4.11 Mbalala-Mukono'!I42)</f>
        <v>8.8571428571428577</v>
      </c>
      <c r="J42" s="49">
        <f>AVERAGE('29.10 Mbalala-Mukono'!J42,'30.10 Mbalala-Mukono'!J42,'31.10 Mbalala-Mukono'!J42,'3.11 Mbalala-Mukono'!J42,'1.11 Mbalala-Mukono-24h'!J42,'2.11 Mbalala-Mukono-24h'!J42,'4.11 Mbalala-Mukono'!J42)</f>
        <v>6.5714285714285712</v>
      </c>
      <c r="K42" s="49">
        <f>AVERAGE('29.10 Mbalala-Mukono'!K42,'30.10 Mbalala-Mukono'!K42,'31.10 Mbalala-Mukono'!K42,'3.11 Mbalala-Mukono'!K42,'1.11 Mbalala-Mukono-24h'!K42,'2.11 Mbalala-Mukono-24h'!K42,'4.11 Mbalala-Mukono'!K42)</f>
        <v>2.8571428571428572</v>
      </c>
      <c r="L42" s="49">
        <f>AVERAGE('29.10 Mbalala-Mukono'!L42,'30.10 Mbalala-Mukono'!L42,'31.10 Mbalala-Mukono'!L42,'3.11 Mbalala-Mukono'!L42,'1.11 Mbalala-Mukono-24h'!L42,'2.11 Mbalala-Mukono-24h'!L42,'4.11 Mbalala-Mukono'!L42)</f>
        <v>10.714285714285714</v>
      </c>
      <c r="M42" s="49">
        <f>AVERAGE('29.10 Mbalala-Mukono'!M42,'30.10 Mbalala-Mukono'!M42,'31.10 Mbalala-Mukono'!M42,'3.11 Mbalala-Mukono'!M42,'1.11 Mbalala-Mukono-24h'!M42,'2.11 Mbalala-Mukono-24h'!M42,'4.11 Mbalala-Mukono'!M42)</f>
        <v>61.428571428571431</v>
      </c>
      <c r="N42" s="49">
        <f>AVERAGE('29.10 Mbalala-Mukono'!N42,'30.10 Mbalala-Mukono'!N42,'31.10 Mbalala-Mukono'!N42,'3.11 Mbalala-Mukono'!N42,'1.11 Mbalala-Mukono-24h'!N42,'2.11 Mbalala-Mukono-24h'!N42,'4.11 Mbalala-Mukono'!N42)</f>
        <v>0</v>
      </c>
      <c r="O42" s="15">
        <f t="shared" si="0"/>
        <v>116.57142857142857</v>
      </c>
      <c r="P42" s="15">
        <f t="shared" si="1"/>
        <v>178</v>
      </c>
      <c r="R42" s="5" t="s">
        <v>160</v>
      </c>
      <c r="S42" s="48">
        <f>S41/S40</f>
        <v>1.4510636268243824</v>
      </c>
      <c r="T42" s="48">
        <f t="shared" ref="T42:AF42" si="34">T41/T40</f>
        <v>1.3344709897610922</v>
      </c>
      <c r="U42" s="48">
        <f t="shared" si="34"/>
        <v>1.4262408088235294</v>
      </c>
      <c r="V42" s="48">
        <f t="shared" si="34"/>
        <v>1.4288884600540332</v>
      </c>
      <c r="W42" s="48">
        <f t="shared" si="34"/>
        <v>1.6433260393873084</v>
      </c>
      <c r="X42" s="48">
        <f t="shared" si="34"/>
        <v>1.9428044280442807</v>
      </c>
      <c r="Y42" s="48">
        <f t="shared" si="34"/>
        <v>1.4705882352941178</v>
      </c>
      <c r="Z42" s="48">
        <f t="shared" si="34"/>
        <v>1.8287318671034158</v>
      </c>
      <c r="AA42" s="48">
        <f t="shared" si="34"/>
        <v>1.5253863134657837</v>
      </c>
      <c r="AB42" s="48">
        <f t="shared" si="34"/>
        <v>1.7321632420091324</v>
      </c>
      <c r="AC42" s="48">
        <f t="shared" si="34"/>
        <v>1.1316976305869682</v>
      </c>
      <c r="AD42" s="48">
        <f t="shared" si="34"/>
        <v>1</v>
      </c>
      <c r="AE42" s="51">
        <f t="shared" si="34"/>
        <v>1.4916446062210458</v>
      </c>
      <c r="AF42" s="51">
        <f t="shared" si="34"/>
        <v>1.3295440766339275</v>
      </c>
    </row>
    <row r="43" spans="2:32" ht="23.1" customHeight="1" x14ac:dyDescent="0.25">
      <c r="B43" s="23" t="s">
        <v>70</v>
      </c>
      <c r="C43" s="49">
        <f>AVERAGE('29.10 Mbalala-Mukono'!C43,'30.10 Mbalala-Mukono'!C43,'31.10 Mbalala-Mukono'!C43,'3.11 Mbalala-Mukono'!C43,'1.11 Mbalala-Mukono-24h'!C43,'2.11 Mbalala-Mukono-24h'!C43,'4.11 Mbalala-Mukono'!C43)</f>
        <v>26.857142857142858</v>
      </c>
      <c r="D43" s="49">
        <f>AVERAGE('29.10 Mbalala-Mukono'!D43,'30.10 Mbalala-Mukono'!D43,'31.10 Mbalala-Mukono'!D43,'3.11 Mbalala-Mukono'!D43,'1.11 Mbalala-Mukono-24h'!D43,'2.11 Mbalala-Mukono-24h'!D43,'4.11 Mbalala-Mukono'!D43)</f>
        <v>12.571428571428571</v>
      </c>
      <c r="E43" s="49">
        <f>AVERAGE('29.10 Mbalala-Mukono'!E43,'30.10 Mbalala-Mukono'!E43,'31.10 Mbalala-Mukono'!E43,'3.11 Mbalala-Mukono'!E43,'1.11 Mbalala-Mukono-24h'!E43,'2.11 Mbalala-Mukono-24h'!E43,'4.11 Mbalala-Mukono'!E43)</f>
        <v>6</v>
      </c>
      <c r="F43" s="49">
        <f>AVERAGE('29.10 Mbalala-Mukono'!F43,'30.10 Mbalala-Mukono'!F43,'31.10 Mbalala-Mukono'!F43,'3.11 Mbalala-Mukono'!F43,'1.11 Mbalala-Mukono-24h'!F43,'2.11 Mbalala-Mukono-24h'!F43,'4.11 Mbalala-Mukono'!F43)</f>
        <v>26.285714285714285</v>
      </c>
      <c r="G43" s="49">
        <f>AVERAGE('29.10 Mbalala-Mukono'!G43,'30.10 Mbalala-Mukono'!G43,'31.10 Mbalala-Mukono'!G43,'3.11 Mbalala-Mukono'!G43,'1.11 Mbalala-Mukono-24h'!G43,'2.11 Mbalala-Mukono-24h'!G43,'4.11 Mbalala-Mukono'!G43)</f>
        <v>0.8571428571428571</v>
      </c>
      <c r="H43" s="49">
        <f>AVERAGE('29.10 Mbalala-Mukono'!H43,'30.10 Mbalala-Mukono'!H43,'31.10 Mbalala-Mukono'!H43,'3.11 Mbalala-Mukono'!H43,'1.11 Mbalala-Mukono-24h'!H43,'2.11 Mbalala-Mukono-24h'!H43,'4.11 Mbalala-Mukono'!H43)</f>
        <v>1.5714285714285714</v>
      </c>
      <c r="I43" s="49">
        <f>AVERAGE('29.10 Mbalala-Mukono'!I43,'30.10 Mbalala-Mukono'!I43,'31.10 Mbalala-Mukono'!I43,'3.11 Mbalala-Mukono'!I43,'1.11 Mbalala-Mukono-24h'!I43,'2.11 Mbalala-Mukono-24h'!I43,'4.11 Mbalala-Mukono'!I43)</f>
        <v>7.2857142857142856</v>
      </c>
      <c r="J43" s="49">
        <f>AVERAGE('29.10 Mbalala-Mukono'!J43,'30.10 Mbalala-Mukono'!J43,'31.10 Mbalala-Mukono'!J43,'3.11 Mbalala-Mukono'!J43,'1.11 Mbalala-Mukono-24h'!J43,'2.11 Mbalala-Mukono-24h'!J43,'4.11 Mbalala-Mukono'!J43)</f>
        <v>6.8571428571428568</v>
      </c>
      <c r="K43" s="49">
        <f>AVERAGE('29.10 Mbalala-Mukono'!K43,'30.10 Mbalala-Mukono'!K43,'31.10 Mbalala-Mukono'!K43,'3.11 Mbalala-Mukono'!K43,'1.11 Mbalala-Mukono-24h'!K43,'2.11 Mbalala-Mukono-24h'!K43,'4.11 Mbalala-Mukono'!K43)</f>
        <v>3.1428571428571428</v>
      </c>
      <c r="L43" s="49">
        <f>AVERAGE('29.10 Mbalala-Mukono'!L43,'30.10 Mbalala-Mukono'!L43,'31.10 Mbalala-Mukono'!L43,'3.11 Mbalala-Mukono'!L43,'1.11 Mbalala-Mukono-24h'!L43,'2.11 Mbalala-Mukono-24h'!L43,'4.11 Mbalala-Mukono'!L43)</f>
        <v>7.1428571428571432</v>
      </c>
      <c r="M43" s="49">
        <f>AVERAGE('29.10 Mbalala-Mukono'!M43,'30.10 Mbalala-Mukono'!M43,'31.10 Mbalala-Mukono'!M43,'3.11 Mbalala-Mukono'!M43,'1.11 Mbalala-Mukono-24h'!M43,'2.11 Mbalala-Mukono-24h'!M43,'4.11 Mbalala-Mukono'!M43)</f>
        <v>60.857142857142854</v>
      </c>
      <c r="N43" s="49">
        <f>AVERAGE('29.10 Mbalala-Mukono'!N43,'30.10 Mbalala-Mukono'!N43,'31.10 Mbalala-Mukono'!N43,'3.11 Mbalala-Mukono'!N43,'1.11 Mbalala-Mukono-24h'!N43,'2.11 Mbalala-Mukono-24h'!N43,'4.11 Mbalala-Mukono'!N43)</f>
        <v>0</v>
      </c>
      <c r="O43" s="15">
        <f t="shared" si="0"/>
        <v>98.571428571428584</v>
      </c>
      <c r="P43" s="15">
        <f t="shared" si="1"/>
        <v>159.42857142857144</v>
      </c>
    </row>
    <row r="44" spans="2:32" ht="23.1" customHeight="1" x14ac:dyDescent="0.25">
      <c r="B44" s="25" t="s">
        <v>71</v>
      </c>
      <c r="C44" s="49">
        <f>AVERAGE('29.10 Mbalala-Mukono'!C44,'30.10 Mbalala-Mukono'!C44,'31.10 Mbalala-Mukono'!C44,'3.11 Mbalala-Mukono'!C44,'1.11 Mbalala-Mukono-24h'!C44,'2.11 Mbalala-Mukono-24h'!C44,'4.11 Mbalala-Mukono'!C44)</f>
        <v>33.714285714285715</v>
      </c>
      <c r="D44" s="49">
        <f>AVERAGE('29.10 Mbalala-Mukono'!D44,'30.10 Mbalala-Mukono'!D44,'31.10 Mbalala-Mukono'!D44,'3.11 Mbalala-Mukono'!D44,'1.11 Mbalala-Mukono-24h'!D44,'2.11 Mbalala-Mukono-24h'!D44,'4.11 Mbalala-Mukono'!D44)</f>
        <v>13.285714285714286</v>
      </c>
      <c r="E44" s="49">
        <f>AVERAGE('29.10 Mbalala-Mukono'!E44,'30.10 Mbalala-Mukono'!E44,'31.10 Mbalala-Mukono'!E44,'3.11 Mbalala-Mukono'!E44,'1.11 Mbalala-Mukono-24h'!E44,'2.11 Mbalala-Mukono-24h'!E44,'4.11 Mbalala-Mukono'!E44)</f>
        <v>8.1428571428571423</v>
      </c>
      <c r="F44" s="49">
        <f>AVERAGE('29.10 Mbalala-Mukono'!F44,'30.10 Mbalala-Mukono'!F44,'31.10 Mbalala-Mukono'!F44,'3.11 Mbalala-Mukono'!F44,'1.11 Mbalala-Mukono-24h'!F44,'2.11 Mbalala-Mukono-24h'!F44,'4.11 Mbalala-Mukono'!F44)</f>
        <v>25.142857142857142</v>
      </c>
      <c r="G44" s="49">
        <f>AVERAGE('29.10 Mbalala-Mukono'!G44,'30.10 Mbalala-Mukono'!G44,'31.10 Mbalala-Mukono'!G44,'3.11 Mbalala-Mukono'!G44,'1.11 Mbalala-Mukono-24h'!G44,'2.11 Mbalala-Mukono-24h'!G44,'4.11 Mbalala-Mukono'!G44)</f>
        <v>1</v>
      </c>
      <c r="H44" s="49">
        <f>AVERAGE('29.10 Mbalala-Mukono'!H44,'30.10 Mbalala-Mukono'!H44,'31.10 Mbalala-Mukono'!H44,'3.11 Mbalala-Mukono'!H44,'1.11 Mbalala-Mukono-24h'!H44,'2.11 Mbalala-Mukono-24h'!H44,'4.11 Mbalala-Mukono'!H44)</f>
        <v>1.1428571428571428</v>
      </c>
      <c r="I44" s="49">
        <f>AVERAGE('29.10 Mbalala-Mukono'!I44,'30.10 Mbalala-Mukono'!I44,'31.10 Mbalala-Mukono'!I44,'3.11 Mbalala-Mukono'!I44,'1.11 Mbalala-Mukono-24h'!I44,'2.11 Mbalala-Mukono-24h'!I44,'4.11 Mbalala-Mukono'!I44)</f>
        <v>9.5714285714285712</v>
      </c>
      <c r="J44" s="49">
        <f>AVERAGE('29.10 Mbalala-Mukono'!J44,'30.10 Mbalala-Mukono'!J44,'31.10 Mbalala-Mukono'!J44,'3.11 Mbalala-Mukono'!J44,'1.11 Mbalala-Mukono-24h'!J44,'2.11 Mbalala-Mukono-24h'!J44,'4.11 Mbalala-Mukono'!J44)</f>
        <v>6.8571428571428568</v>
      </c>
      <c r="K44" s="49">
        <f>AVERAGE('29.10 Mbalala-Mukono'!K44,'30.10 Mbalala-Mukono'!K44,'31.10 Mbalala-Mukono'!K44,'3.11 Mbalala-Mukono'!K44,'1.11 Mbalala-Mukono-24h'!K44,'2.11 Mbalala-Mukono-24h'!K44,'4.11 Mbalala-Mukono'!K44)</f>
        <v>3.1428571428571428</v>
      </c>
      <c r="L44" s="49">
        <f>AVERAGE('29.10 Mbalala-Mukono'!L44,'30.10 Mbalala-Mukono'!L44,'31.10 Mbalala-Mukono'!L44,'3.11 Mbalala-Mukono'!L44,'1.11 Mbalala-Mukono-24h'!L44,'2.11 Mbalala-Mukono-24h'!L44,'4.11 Mbalala-Mukono'!L44)</f>
        <v>10</v>
      </c>
      <c r="M44" s="49">
        <f>AVERAGE('29.10 Mbalala-Mukono'!M44,'30.10 Mbalala-Mukono'!M44,'31.10 Mbalala-Mukono'!M44,'3.11 Mbalala-Mukono'!M44,'1.11 Mbalala-Mukono-24h'!M44,'2.11 Mbalala-Mukono-24h'!M44,'4.11 Mbalala-Mukono'!M44)</f>
        <v>77.571428571428569</v>
      </c>
      <c r="N44" s="49">
        <f>AVERAGE('29.10 Mbalala-Mukono'!N44,'30.10 Mbalala-Mukono'!N44,'31.10 Mbalala-Mukono'!N44,'3.11 Mbalala-Mukono'!N44,'1.11 Mbalala-Mukono-24h'!N44,'2.11 Mbalala-Mukono-24h'!N44,'4.11 Mbalala-Mukono'!N44)</f>
        <v>0</v>
      </c>
      <c r="O44" s="15">
        <f t="shared" si="0"/>
        <v>111.99999999999999</v>
      </c>
      <c r="P44" s="15">
        <f t="shared" si="1"/>
        <v>189.57142857142856</v>
      </c>
    </row>
    <row r="45" spans="2:32" ht="23.1" customHeight="1" x14ac:dyDescent="0.25">
      <c r="B45" s="23" t="s">
        <v>72</v>
      </c>
      <c r="C45" s="49">
        <f>AVERAGE('29.10 Mbalala-Mukono'!C45,'30.10 Mbalala-Mukono'!C45,'31.10 Mbalala-Mukono'!C45,'3.11 Mbalala-Mukono'!C45,'1.11 Mbalala-Mukono-24h'!C45,'2.11 Mbalala-Mukono-24h'!C45,'4.11 Mbalala-Mukono'!C45)</f>
        <v>31.857142857142858</v>
      </c>
      <c r="D45" s="49">
        <f>AVERAGE('29.10 Mbalala-Mukono'!D45,'30.10 Mbalala-Mukono'!D45,'31.10 Mbalala-Mukono'!D45,'3.11 Mbalala-Mukono'!D45,'1.11 Mbalala-Mukono-24h'!D45,'2.11 Mbalala-Mukono-24h'!D45,'4.11 Mbalala-Mukono'!D45)</f>
        <v>16.714285714285715</v>
      </c>
      <c r="E45" s="49">
        <f>AVERAGE('29.10 Mbalala-Mukono'!E45,'30.10 Mbalala-Mukono'!E45,'31.10 Mbalala-Mukono'!E45,'3.11 Mbalala-Mukono'!E45,'1.11 Mbalala-Mukono-24h'!E45,'2.11 Mbalala-Mukono-24h'!E45,'4.11 Mbalala-Mukono'!E45)</f>
        <v>5.8571428571428568</v>
      </c>
      <c r="F45" s="49">
        <f>AVERAGE('29.10 Mbalala-Mukono'!F45,'30.10 Mbalala-Mukono'!F45,'31.10 Mbalala-Mukono'!F45,'3.11 Mbalala-Mukono'!F45,'1.11 Mbalala-Mukono-24h'!F45,'2.11 Mbalala-Mukono-24h'!F45,'4.11 Mbalala-Mukono'!F45)</f>
        <v>33.285714285714285</v>
      </c>
      <c r="G45" s="49">
        <f>AVERAGE('29.10 Mbalala-Mukono'!G45,'30.10 Mbalala-Mukono'!G45,'31.10 Mbalala-Mukono'!G45,'3.11 Mbalala-Mukono'!G45,'1.11 Mbalala-Mukono-24h'!G45,'2.11 Mbalala-Mukono-24h'!G45,'4.11 Mbalala-Mukono'!G45)</f>
        <v>0.8571428571428571</v>
      </c>
      <c r="H45" s="49">
        <f>AVERAGE('29.10 Mbalala-Mukono'!H45,'30.10 Mbalala-Mukono'!H45,'31.10 Mbalala-Mukono'!H45,'3.11 Mbalala-Mukono'!H45,'1.11 Mbalala-Mukono-24h'!H45,'2.11 Mbalala-Mukono-24h'!H45,'4.11 Mbalala-Mukono'!H45)</f>
        <v>1</v>
      </c>
      <c r="I45" s="49">
        <f>AVERAGE('29.10 Mbalala-Mukono'!I45,'30.10 Mbalala-Mukono'!I45,'31.10 Mbalala-Mukono'!I45,'3.11 Mbalala-Mukono'!I45,'1.11 Mbalala-Mukono-24h'!I45,'2.11 Mbalala-Mukono-24h'!I45,'4.11 Mbalala-Mukono'!I45)</f>
        <v>7.8571428571428568</v>
      </c>
      <c r="J45" s="49">
        <f>AVERAGE('29.10 Mbalala-Mukono'!J45,'30.10 Mbalala-Mukono'!J45,'31.10 Mbalala-Mukono'!J45,'3.11 Mbalala-Mukono'!J45,'1.11 Mbalala-Mukono-24h'!J45,'2.11 Mbalala-Mukono-24h'!J45,'4.11 Mbalala-Mukono'!J45)</f>
        <v>6.2857142857142856</v>
      </c>
      <c r="K45" s="49">
        <f>AVERAGE('29.10 Mbalala-Mukono'!K45,'30.10 Mbalala-Mukono'!K45,'31.10 Mbalala-Mukono'!K45,'3.11 Mbalala-Mukono'!K45,'1.11 Mbalala-Mukono-24h'!K45,'2.11 Mbalala-Mukono-24h'!K45,'4.11 Mbalala-Mukono'!K45)</f>
        <v>3.1428571428571428</v>
      </c>
      <c r="L45" s="49">
        <f>AVERAGE('29.10 Mbalala-Mukono'!L45,'30.10 Mbalala-Mukono'!L45,'31.10 Mbalala-Mukono'!L45,'3.11 Mbalala-Mukono'!L45,'1.11 Mbalala-Mukono-24h'!L45,'2.11 Mbalala-Mukono-24h'!L45,'4.11 Mbalala-Mukono'!L45)</f>
        <v>9.7142857142857135</v>
      </c>
      <c r="M45" s="49">
        <f>AVERAGE('29.10 Mbalala-Mukono'!M45,'30.10 Mbalala-Mukono'!M45,'31.10 Mbalala-Mukono'!M45,'3.11 Mbalala-Mukono'!M45,'1.11 Mbalala-Mukono-24h'!M45,'2.11 Mbalala-Mukono-24h'!M45,'4.11 Mbalala-Mukono'!M45)</f>
        <v>72.571428571428569</v>
      </c>
      <c r="N45" s="49">
        <f>AVERAGE('29.10 Mbalala-Mukono'!N45,'30.10 Mbalala-Mukono'!N45,'31.10 Mbalala-Mukono'!N45,'3.11 Mbalala-Mukono'!N45,'1.11 Mbalala-Mukono-24h'!N45,'2.11 Mbalala-Mukono-24h'!N45,'4.11 Mbalala-Mukono'!N45)</f>
        <v>0</v>
      </c>
      <c r="O45" s="15">
        <f t="shared" si="0"/>
        <v>116.57142857142857</v>
      </c>
      <c r="P45" s="15">
        <f t="shared" si="1"/>
        <v>189.14285714285714</v>
      </c>
    </row>
    <row r="46" spans="2:32" ht="23.1" customHeight="1" x14ac:dyDescent="0.25">
      <c r="B46" s="24" t="s">
        <v>73</v>
      </c>
      <c r="C46" s="49">
        <f>AVERAGE('29.10 Mbalala-Mukono'!C46,'30.10 Mbalala-Mukono'!C46,'31.10 Mbalala-Mukono'!C46,'3.11 Mbalala-Mukono'!C46,'1.11 Mbalala-Mukono-24h'!C46,'2.11 Mbalala-Mukono-24h'!C46,'4.11 Mbalala-Mukono'!C46)</f>
        <v>32.428571428571431</v>
      </c>
      <c r="D46" s="49">
        <f>AVERAGE('29.10 Mbalala-Mukono'!D46,'30.10 Mbalala-Mukono'!D46,'31.10 Mbalala-Mukono'!D46,'3.11 Mbalala-Mukono'!D46,'1.11 Mbalala-Mukono-24h'!D46,'2.11 Mbalala-Mukono-24h'!D46,'4.11 Mbalala-Mukono'!D46)</f>
        <v>13.428571428571429</v>
      </c>
      <c r="E46" s="49">
        <f>AVERAGE('29.10 Mbalala-Mukono'!E46,'30.10 Mbalala-Mukono'!E46,'31.10 Mbalala-Mukono'!E46,'3.11 Mbalala-Mukono'!E46,'1.11 Mbalala-Mukono-24h'!E46,'2.11 Mbalala-Mukono-24h'!E46,'4.11 Mbalala-Mukono'!E46)</f>
        <v>6.8571428571428568</v>
      </c>
      <c r="F46" s="49">
        <f>AVERAGE('29.10 Mbalala-Mukono'!F46,'30.10 Mbalala-Mukono'!F46,'31.10 Mbalala-Mukono'!F46,'3.11 Mbalala-Mukono'!F46,'1.11 Mbalala-Mukono-24h'!F46,'2.11 Mbalala-Mukono-24h'!F46,'4.11 Mbalala-Mukono'!F46)</f>
        <v>28.857142857142858</v>
      </c>
      <c r="G46" s="49">
        <f>AVERAGE('29.10 Mbalala-Mukono'!G46,'30.10 Mbalala-Mukono'!G46,'31.10 Mbalala-Mukono'!G46,'3.11 Mbalala-Mukono'!G46,'1.11 Mbalala-Mukono-24h'!G46,'2.11 Mbalala-Mukono-24h'!G46,'4.11 Mbalala-Mukono'!G46)</f>
        <v>0.8571428571428571</v>
      </c>
      <c r="H46" s="49">
        <f>AVERAGE('29.10 Mbalala-Mukono'!H46,'30.10 Mbalala-Mukono'!H46,'31.10 Mbalala-Mukono'!H46,'3.11 Mbalala-Mukono'!H46,'1.11 Mbalala-Mukono-24h'!H46,'2.11 Mbalala-Mukono-24h'!H46,'4.11 Mbalala-Mukono'!H46)</f>
        <v>0.5714285714285714</v>
      </c>
      <c r="I46" s="49">
        <f>AVERAGE('29.10 Mbalala-Mukono'!I46,'30.10 Mbalala-Mukono'!I46,'31.10 Mbalala-Mukono'!I46,'3.11 Mbalala-Mukono'!I46,'1.11 Mbalala-Mukono-24h'!I46,'2.11 Mbalala-Mukono-24h'!I46,'4.11 Mbalala-Mukono'!I46)</f>
        <v>8.4285714285714288</v>
      </c>
      <c r="J46" s="49">
        <f>AVERAGE('29.10 Mbalala-Mukono'!J46,'30.10 Mbalala-Mukono'!J46,'31.10 Mbalala-Mukono'!J46,'3.11 Mbalala-Mukono'!J46,'1.11 Mbalala-Mukono-24h'!J46,'2.11 Mbalala-Mukono-24h'!J46,'4.11 Mbalala-Mukono'!J46)</f>
        <v>4.1428571428571432</v>
      </c>
      <c r="K46" s="49">
        <f>AVERAGE('29.10 Mbalala-Mukono'!K46,'30.10 Mbalala-Mukono'!K46,'31.10 Mbalala-Mukono'!K46,'3.11 Mbalala-Mukono'!K46,'1.11 Mbalala-Mukono-24h'!K46,'2.11 Mbalala-Mukono-24h'!K46,'4.11 Mbalala-Mukono'!K46)</f>
        <v>2.7142857142857144</v>
      </c>
      <c r="L46" s="49">
        <f>AVERAGE('29.10 Mbalala-Mukono'!L46,'30.10 Mbalala-Mukono'!L46,'31.10 Mbalala-Mukono'!L46,'3.11 Mbalala-Mukono'!L46,'1.11 Mbalala-Mukono-24h'!L46,'2.11 Mbalala-Mukono-24h'!L46,'4.11 Mbalala-Mukono'!L46)</f>
        <v>7</v>
      </c>
      <c r="M46" s="49">
        <f>AVERAGE('29.10 Mbalala-Mukono'!M46,'30.10 Mbalala-Mukono'!M46,'31.10 Mbalala-Mukono'!M46,'3.11 Mbalala-Mukono'!M46,'1.11 Mbalala-Mukono-24h'!M46,'2.11 Mbalala-Mukono-24h'!M46,'4.11 Mbalala-Mukono'!M46)</f>
        <v>71</v>
      </c>
      <c r="N46" s="49">
        <f>AVERAGE('29.10 Mbalala-Mukono'!N46,'30.10 Mbalala-Mukono'!N46,'31.10 Mbalala-Mukono'!N46,'3.11 Mbalala-Mukono'!N46,'1.11 Mbalala-Mukono-24h'!N46,'2.11 Mbalala-Mukono-24h'!N46,'4.11 Mbalala-Mukono'!N46)</f>
        <v>0.14285714285714285</v>
      </c>
      <c r="O46" s="15">
        <f t="shared" si="0"/>
        <v>105.42857142857142</v>
      </c>
      <c r="P46" s="15">
        <f t="shared" si="1"/>
        <v>176.42857142857142</v>
      </c>
      <c r="R46" s="8"/>
      <c r="T46"/>
    </row>
    <row r="47" spans="2:32" ht="23.1" customHeight="1" x14ac:dyDescent="0.25">
      <c r="B47" s="24" t="s">
        <v>74</v>
      </c>
      <c r="C47" s="49">
        <f>AVERAGE('29.10 Mbalala-Mukono'!C47,'30.10 Mbalala-Mukono'!C47,'31.10 Mbalala-Mukono'!C47,'3.11 Mbalala-Mukono'!C47,'1.11 Mbalala-Mukono-24h'!C47,'2.11 Mbalala-Mukono-24h'!C47,'4.11 Mbalala-Mukono'!C47)</f>
        <v>38.285714285714285</v>
      </c>
      <c r="D47" s="49">
        <f>AVERAGE('29.10 Mbalala-Mukono'!D47,'30.10 Mbalala-Mukono'!D47,'31.10 Mbalala-Mukono'!D47,'3.11 Mbalala-Mukono'!D47,'1.11 Mbalala-Mukono-24h'!D47,'2.11 Mbalala-Mukono-24h'!D47,'4.11 Mbalala-Mukono'!D47)</f>
        <v>11.428571428571429</v>
      </c>
      <c r="E47" s="49">
        <f>AVERAGE('29.10 Mbalala-Mukono'!E47,'30.10 Mbalala-Mukono'!E47,'31.10 Mbalala-Mukono'!E47,'3.11 Mbalala-Mukono'!E47,'1.11 Mbalala-Mukono-24h'!E47,'2.11 Mbalala-Mukono-24h'!E47,'4.11 Mbalala-Mukono'!E47)</f>
        <v>6.4285714285714288</v>
      </c>
      <c r="F47" s="49">
        <f>AVERAGE('29.10 Mbalala-Mukono'!F47,'30.10 Mbalala-Mukono'!F47,'31.10 Mbalala-Mukono'!F47,'3.11 Mbalala-Mukono'!F47,'1.11 Mbalala-Mukono-24h'!F47,'2.11 Mbalala-Mukono-24h'!F47,'4.11 Mbalala-Mukono'!F47)</f>
        <v>30.285714285714285</v>
      </c>
      <c r="G47" s="49">
        <f>AVERAGE('29.10 Mbalala-Mukono'!G47,'30.10 Mbalala-Mukono'!G47,'31.10 Mbalala-Mukono'!G47,'3.11 Mbalala-Mukono'!G47,'1.11 Mbalala-Mukono-24h'!G47,'2.11 Mbalala-Mukono-24h'!G47,'4.11 Mbalala-Mukono'!G47)</f>
        <v>1.2857142857142858</v>
      </c>
      <c r="H47" s="49">
        <f>AVERAGE('29.10 Mbalala-Mukono'!H47,'30.10 Mbalala-Mukono'!H47,'31.10 Mbalala-Mukono'!H47,'3.11 Mbalala-Mukono'!H47,'1.11 Mbalala-Mukono-24h'!H47,'2.11 Mbalala-Mukono-24h'!H47,'4.11 Mbalala-Mukono'!H47)</f>
        <v>0.5714285714285714</v>
      </c>
      <c r="I47" s="49">
        <f>AVERAGE('29.10 Mbalala-Mukono'!I47,'30.10 Mbalala-Mukono'!I47,'31.10 Mbalala-Mukono'!I47,'3.11 Mbalala-Mukono'!I47,'1.11 Mbalala-Mukono-24h'!I47,'2.11 Mbalala-Mukono-24h'!I47,'4.11 Mbalala-Mukono'!I47)</f>
        <v>9.1428571428571423</v>
      </c>
      <c r="J47" s="49">
        <f>AVERAGE('29.10 Mbalala-Mukono'!J47,'30.10 Mbalala-Mukono'!J47,'31.10 Mbalala-Mukono'!J47,'3.11 Mbalala-Mukono'!J47,'1.11 Mbalala-Mukono-24h'!J47,'2.11 Mbalala-Mukono-24h'!J47,'4.11 Mbalala-Mukono'!J47)</f>
        <v>5.4285714285714288</v>
      </c>
      <c r="K47" s="49">
        <f>AVERAGE('29.10 Mbalala-Mukono'!K47,'30.10 Mbalala-Mukono'!K47,'31.10 Mbalala-Mukono'!K47,'3.11 Mbalala-Mukono'!K47,'1.11 Mbalala-Mukono-24h'!K47,'2.11 Mbalala-Mukono-24h'!K47,'4.11 Mbalala-Mukono'!K47)</f>
        <v>2.2857142857142856</v>
      </c>
      <c r="L47" s="49">
        <f>AVERAGE('29.10 Mbalala-Mukono'!L47,'30.10 Mbalala-Mukono'!L47,'31.10 Mbalala-Mukono'!L47,'3.11 Mbalala-Mukono'!L47,'1.11 Mbalala-Mukono-24h'!L47,'2.11 Mbalala-Mukono-24h'!L47,'4.11 Mbalala-Mukono'!L47)</f>
        <v>10</v>
      </c>
      <c r="M47" s="49">
        <f>AVERAGE('29.10 Mbalala-Mukono'!M47,'30.10 Mbalala-Mukono'!M47,'31.10 Mbalala-Mukono'!M47,'3.11 Mbalala-Mukono'!M47,'1.11 Mbalala-Mukono-24h'!M47,'2.11 Mbalala-Mukono-24h'!M47,'4.11 Mbalala-Mukono'!M47)</f>
        <v>69.142857142857139</v>
      </c>
      <c r="N47" s="49">
        <f>AVERAGE('29.10 Mbalala-Mukono'!N47,'30.10 Mbalala-Mukono'!N47,'31.10 Mbalala-Mukono'!N47,'3.11 Mbalala-Mukono'!N47,'1.11 Mbalala-Mukono-24h'!N47,'2.11 Mbalala-Mukono-24h'!N47,'4.11 Mbalala-Mukono'!N47)</f>
        <v>0</v>
      </c>
      <c r="O47" s="15">
        <f t="shared" si="0"/>
        <v>115.14285714285715</v>
      </c>
      <c r="P47" s="15">
        <f t="shared" si="1"/>
        <v>184.28571428571428</v>
      </c>
      <c r="R47" s="8"/>
      <c r="T47"/>
    </row>
    <row r="48" spans="2:32" ht="23.1" customHeight="1" x14ac:dyDescent="0.25">
      <c r="B48" s="24" t="s">
        <v>75</v>
      </c>
      <c r="C48" s="49">
        <f>AVERAGE('29.10 Mbalala-Mukono'!C48,'30.10 Mbalala-Mukono'!C48,'31.10 Mbalala-Mukono'!C48,'3.11 Mbalala-Mukono'!C48,'1.11 Mbalala-Mukono-24h'!C48,'2.11 Mbalala-Mukono-24h'!C48,'4.11 Mbalala-Mukono'!C48)</f>
        <v>41.714285714285715</v>
      </c>
      <c r="D48" s="49">
        <f>AVERAGE('29.10 Mbalala-Mukono'!D48,'30.10 Mbalala-Mukono'!D48,'31.10 Mbalala-Mukono'!D48,'3.11 Mbalala-Mukono'!D48,'1.11 Mbalala-Mukono-24h'!D48,'2.11 Mbalala-Mukono-24h'!D48,'4.11 Mbalala-Mukono'!D48)</f>
        <v>12.142857142857142</v>
      </c>
      <c r="E48" s="49">
        <f>AVERAGE('29.10 Mbalala-Mukono'!E48,'30.10 Mbalala-Mukono'!E48,'31.10 Mbalala-Mukono'!E48,'3.11 Mbalala-Mukono'!E48,'1.11 Mbalala-Mukono-24h'!E48,'2.11 Mbalala-Mukono-24h'!E48,'4.11 Mbalala-Mukono'!E48)</f>
        <v>7</v>
      </c>
      <c r="F48" s="49">
        <f>AVERAGE('29.10 Mbalala-Mukono'!F48,'30.10 Mbalala-Mukono'!F48,'31.10 Mbalala-Mukono'!F48,'3.11 Mbalala-Mukono'!F48,'1.11 Mbalala-Mukono-24h'!F48,'2.11 Mbalala-Mukono-24h'!F48,'4.11 Mbalala-Mukono'!F48)</f>
        <v>33.285714285714285</v>
      </c>
      <c r="G48" s="49">
        <f>AVERAGE('29.10 Mbalala-Mukono'!G48,'30.10 Mbalala-Mukono'!G48,'31.10 Mbalala-Mukono'!G48,'3.11 Mbalala-Mukono'!G48,'1.11 Mbalala-Mukono-24h'!G48,'2.11 Mbalala-Mukono-24h'!G48,'4.11 Mbalala-Mukono'!G48)</f>
        <v>1.5714285714285714</v>
      </c>
      <c r="H48" s="49">
        <f>AVERAGE('29.10 Mbalala-Mukono'!H48,'30.10 Mbalala-Mukono'!H48,'31.10 Mbalala-Mukono'!H48,'3.11 Mbalala-Mukono'!H48,'1.11 Mbalala-Mukono-24h'!H48,'2.11 Mbalala-Mukono-24h'!H48,'4.11 Mbalala-Mukono'!H48)</f>
        <v>0.2857142857142857</v>
      </c>
      <c r="I48" s="49">
        <f>AVERAGE('29.10 Mbalala-Mukono'!I48,'30.10 Mbalala-Mukono'!I48,'31.10 Mbalala-Mukono'!I48,'3.11 Mbalala-Mukono'!I48,'1.11 Mbalala-Mukono-24h'!I48,'2.11 Mbalala-Mukono-24h'!I48,'4.11 Mbalala-Mukono'!I48)</f>
        <v>7</v>
      </c>
      <c r="J48" s="49">
        <f>AVERAGE('29.10 Mbalala-Mukono'!J48,'30.10 Mbalala-Mukono'!J48,'31.10 Mbalala-Mukono'!J48,'3.11 Mbalala-Mukono'!J48,'1.11 Mbalala-Mukono-24h'!J48,'2.11 Mbalala-Mukono-24h'!J48,'4.11 Mbalala-Mukono'!J48)</f>
        <v>6.8571428571428568</v>
      </c>
      <c r="K48" s="49">
        <f>AVERAGE('29.10 Mbalala-Mukono'!K48,'30.10 Mbalala-Mukono'!K48,'31.10 Mbalala-Mukono'!K48,'3.11 Mbalala-Mukono'!K48,'1.11 Mbalala-Mukono-24h'!K48,'2.11 Mbalala-Mukono-24h'!K48,'4.11 Mbalala-Mukono'!K48)</f>
        <v>2.4285714285714284</v>
      </c>
      <c r="L48" s="49">
        <f>AVERAGE('29.10 Mbalala-Mukono'!L48,'30.10 Mbalala-Mukono'!L48,'31.10 Mbalala-Mukono'!L48,'3.11 Mbalala-Mukono'!L48,'1.11 Mbalala-Mukono-24h'!L48,'2.11 Mbalala-Mukono-24h'!L48,'4.11 Mbalala-Mukono'!L48)</f>
        <v>10.571428571428571</v>
      </c>
      <c r="M48" s="49">
        <f>AVERAGE('29.10 Mbalala-Mukono'!M48,'30.10 Mbalala-Mukono'!M48,'31.10 Mbalala-Mukono'!M48,'3.11 Mbalala-Mukono'!M48,'1.11 Mbalala-Mukono-24h'!M48,'2.11 Mbalala-Mukono-24h'!M48,'4.11 Mbalala-Mukono'!M48)</f>
        <v>82.714285714285708</v>
      </c>
      <c r="N48" s="49">
        <f>AVERAGE('29.10 Mbalala-Mukono'!N48,'30.10 Mbalala-Mukono'!N48,'31.10 Mbalala-Mukono'!N48,'3.11 Mbalala-Mukono'!N48,'1.11 Mbalala-Mukono-24h'!N48,'2.11 Mbalala-Mukono-24h'!N48,'4.11 Mbalala-Mukono'!N48)</f>
        <v>0.14285714285714285</v>
      </c>
      <c r="O48" s="15">
        <f t="shared" si="0"/>
        <v>123</v>
      </c>
      <c r="P48" s="15">
        <f t="shared" si="1"/>
        <v>205.71428571428569</v>
      </c>
      <c r="R48" s="8"/>
      <c r="T48"/>
    </row>
    <row r="49" spans="2:20" ht="23.1" customHeight="1" x14ac:dyDescent="0.25">
      <c r="B49" s="23" t="s">
        <v>76</v>
      </c>
      <c r="C49" s="49">
        <f>AVERAGE('29.10 Mbalala-Mukono'!C49,'30.10 Mbalala-Mukono'!C49,'31.10 Mbalala-Mukono'!C49,'3.11 Mbalala-Mukono'!C49,'1.11 Mbalala-Mukono-24h'!C49,'2.11 Mbalala-Mukono-24h'!C49,'4.11 Mbalala-Mukono'!C49)</f>
        <v>38.714285714285715</v>
      </c>
      <c r="D49" s="49">
        <f>AVERAGE('29.10 Mbalala-Mukono'!D49,'30.10 Mbalala-Mukono'!D49,'31.10 Mbalala-Mukono'!D49,'3.11 Mbalala-Mukono'!D49,'1.11 Mbalala-Mukono-24h'!D49,'2.11 Mbalala-Mukono-24h'!D49,'4.11 Mbalala-Mukono'!D49)</f>
        <v>11.285714285714286</v>
      </c>
      <c r="E49" s="49">
        <f>AVERAGE('29.10 Mbalala-Mukono'!E49,'30.10 Mbalala-Mukono'!E49,'31.10 Mbalala-Mukono'!E49,'3.11 Mbalala-Mukono'!E49,'1.11 Mbalala-Mukono-24h'!E49,'2.11 Mbalala-Mukono-24h'!E49,'4.11 Mbalala-Mukono'!E49)</f>
        <v>7.8571428571428568</v>
      </c>
      <c r="F49" s="49">
        <f>AVERAGE('29.10 Mbalala-Mukono'!F49,'30.10 Mbalala-Mukono'!F49,'31.10 Mbalala-Mukono'!F49,'3.11 Mbalala-Mukono'!F49,'1.11 Mbalala-Mukono-24h'!F49,'2.11 Mbalala-Mukono-24h'!F49,'4.11 Mbalala-Mukono'!F49)</f>
        <v>33</v>
      </c>
      <c r="G49" s="49">
        <f>AVERAGE('29.10 Mbalala-Mukono'!G49,'30.10 Mbalala-Mukono'!G49,'31.10 Mbalala-Mukono'!G49,'3.11 Mbalala-Mukono'!G49,'1.11 Mbalala-Mukono-24h'!G49,'2.11 Mbalala-Mukono-24h'!G49,'4.11 Mbalala-Mukono'!G49)</f>
        <v>2.1428571428571428</v>
      </c>
      <c r="H49" s="49">
        <f>AVERAGE('29.10 Mbalala-Mukono'!H49,'30.10 Mbalala-Mukono'!H49,'31.10 Mbalala-Mukono'!H49,'3.11 Mbalala-Mukono'!H49,'1.11 Mbalala-Mukono-24h'!H49,'2.11 Mbalala-Mukono-24h'!H49,'4.11 Mbalala-Mukono'!H49)</f>
        <v>1.1428571428571428</v>
      </c>
      <c r="I49" s="49">
        <f>AVERAGE('29.10 Mbalala-Mukono'!I49,'30.10 Mbalala-Mukono'!I49,'31.10 Mbalala-Mukono'!I49,'3.11 Mbalala-Mukono'!I49,'1.11 Mbalala-Mukono-24h'!I49,'2.11 Mbalala-Mukono-24h'!I49,'4.11 Mbalala-Mukono'!I49)</f>
        <v>8.1428571428571423</v>
      </c>
      <c r="J49" s="49">
        <f>AVERAGE('29.10 Mbalala-Mukono'!J49,'30.10 Mbalala-Mukono'!J49,'31.10 Mbalala-Mukono'!J49,'3.11 Mbalala-Mukono'!J49,'1.11 Mbalala-Mukono-24h'!J49,'2.11 Mbalala-Mukono-24h'!J49,'4.11 Mbalala-Mukono'!J49)</f>
        <v>6.4285714285714288</v>
      </c>
      <c r="K49" s="49">
        <f>AVERAGE('29.10 Mbalala-Mukono'!K49,'30.10 Mbalala-Mukono'!K49,'31.10 Mbalala-Mukono'!K49,'3.11 Mbalala-Mukono'!K49,'1.11 Mbalala-Mukono-24h'!K49,'2.11 Mbalala-Mukono-24h'!K49,'4.11 Mbalala-Mukono'!K49)</f>
        <v>2</v>
      </c>
      <c r="L49" s="49">
        <f>AVERAGE('29.10 Mbalala-Mukono'!L49,'30.10 Mbalala-Mukono'!L49,'31.10 Mbalala-Mukono'!L49,'3.11 Mbalala-Mukono'!L49,'1.11 Mbalala-Mukono-24h'!L49,'2.11 Mbalala-Mukono-24h'!L49,'4.11 Mbalala-Mukono'!L49)</f>
        <v>6.2857142857142856</v>
      </c>
      <c r="M49" s="49">
        <f>AVERAGE('29.10 Mbalala-Mukono'!M49,'30.10 Mbalala-Mukono'!M49,'31.10 Mbalala-Mukono'!M49,'3.11 Mbalala-Mukono'!M49,'1.11 Mbalala-Mukono-24h'!M49,'2.11 Mbalala-Mukono-24h'!M49,'4.11 Mbalala-Mukono'!M49)</f>
        <v>83.428571428571431</v>
      </c>
      <c r="N49" s="49">
        <f>AVERAGE('29.10 Mbalala-Mukono'!N49,'30.10 Mbalala-Mukono'!N49,'31.10 Mbalala-Mukono'!N49,'3.11 Mbalala-Mukono'!N49,'1.11 Mbalala-Mukono-24h'!N49,'2.11 Mbalala-Mukono-24h'!N49,'4.11 Mbalala-Mukono'!N49)</f>
        <v>0.14285714285714285</v>
      </c>
      <c r="O49" s="15">
        <f t="shared" si="0"/>
        <v>117.14285714285714</v>
      </c>
      <c r="P49" s="15">
        <f t="shared" si="1"/>
        <v>200.57142857142858</v>
      </c>
      <c r="R49" s="8"/>
      <c r="T49"/>
    </row>
    <row r="50" spans="2:20" ht="23.1" customHeight="1" x14ac:dyDescent="0.25">
      <c r="B50" s="24" t="s">
        <v>77</v>
      </c>
      <c r="C50" s="49">
        <f>AVERAGE('29.10 Mbalala-Mukono'!C50,'30.10 Mbalala-Mukono'!C50,'31.10 Mbalala-Mukono'!C50,'3.11 Mbalala-Mukono'!C50,'1.11 Mbalala-Mukono-24h'!C50,'2.11 Mbalala-Mukono-24h'!C50,'4.11 Mbalala-Mukono'!C50)</f>
        <v>45.571428571428569</v>
      </c>
      <c r="D50" s="49">
        <f>AVERAGE('29.10 Mbalala-Mukono'!D50,'30.10 Mbalala-Mukono'!D50,'31.10 Mbalala-Mukono'!D50,'3.11 Mbalala-Mukono'!D50,'1.11 Mbalala-Mukono-24h'!D50,'2.11 Mbalala-Mukono-24h'!D50,'4.11 Mbalala-Mukono'!D50)</f>
        <v>14.142857142857142</v>
      </c>
      <c r="E50" s="49">
        <f>AVERAGE('29.10 Mbalala-Mukono'!E50,'30.10 Mbalala-Mukono'!E50,'31.10 Mbalala-Mukono'!E50,'3.11 Mbalala-Mukono'!E50,'1.11 Mbalala-Mukono-24h'!E50,'2.11 Mbalala-Mukono-24h'!E50,'4.11 Mbalala-Mukono'!E50)</f>
        <v>8.1428571428571423</v>
      </c>
      <c r="F50" s="49">
        <f>AVERAGE('29.10 Mbalala-Mukono'!F50,'30.10 Mbalala-Mukono'!F50,'31.10 Mbalala-Mukono'!F50,'3.11 Mbalala-Mukono'!F50,'1.11 Mbalala-Mukono-24h'!F50,'2.11 Mbalala-Mukono-24h'!F50,'4.11 Mbalala-Mukono'!F50)</f>
        <v>35.714285714285715</v>
      </c>
      <c r="G50" s="49">
        <f>AVERAGE('29.10 Mbalala-Mukono'!G50,'30.10 Mbalala-Mukono'!G50,'31.10 Mbalala-Mukono'!G50,'3.11 Mbalala-Mukono'!G50,'1.11 Mbalala-Mukono-24h'!G50,'2.11 Mbalala-Mukono-24h'!G50,'4.11 Mbalala-Mukono'!G50)</f>
        <v>1</v>
      </c>
      <c r="H50" s="49">
        <f>AVERAGE('29.10 Mbalala-Mukono'!H50,'30.10 Mbalala-Mukono'!H50,'31.10 Mbalala-Mukono'!H50,'3.11 Mbalala-Mukono'!H50,'1.11 Mbalala-Mukono-24h'!H50,'2.11 Mbalala-Mukono-24h'!H50,'4.11 Mbalala-Mukono'!H50)</f>
        <v>1.1428571428571428</v>
      </c>
      <c r="I50" s="49">
        <f>AVERAGE('29.10 Mbalala-Mukono'!I50,'30.10 Mbalala-Mukono'!I50,'31.10 Mbalala-Mukono'!I50,'3.11 Mbalala-Mukono'!I50,'1.11 Mbalala-Mukono-24h'!I50,'2.11 Mbalala-Mukono-24h'!I50,'4.11 Mbalala-Mukono'!I50)</f>
        <v>9.7142857142857135</v>
      </c>
      <c r="J50" s="49">
        <f>AVERAGE('29.10 Mbalala-Mukono'!J50,'30.10 Mbalala-Mukono'!J50,'31.10 Mbalala-Mukono'!J50,'3.11 Mbalala-Mukono'!J50,'1.11 Mbalala-Mukono-24h'!J50,'2.11 Mbalala-Mukono-24h'!J50,'4.11 Mbalala-Mukono'!J50)</f>
        <v>8</v>
      </c>
      <c r="K50" s="49">
        <f>AVERAGE('29.10 Mbalala-Mukono'!K50,'30.10 Mbalala-Mukono'!K50,'31.10 Mbalala-Mukono'!K50,'3.11 Mbalala-Mukono'!K50,'1.11 Mbalala-Mukono-24h'!K50,'2.11 Mbalala-Mukono-24h'!K50,'4.11 Mbalala-Mukono'!K50)</f>
        <v>3.8571428571428572</v>
      </c>
      <c r="L50" s="49">
        <f>AVERAGE('29.10 Mbalala-Mukono'!L50,'30.10 Mbalala-Mukono'!L50,'31.10 Mbalala-Mukono'!L50,'3.11 Mbalala-Mukono'!L50,'1.11 Mbalala-Mukono-24h'!L50,'2.11 Mbalala-Mukono-24h'!L50,'4.11 Mbalala-Mukono'!L50)</f>
        <v>8.4285714285714288</v>
      </c>
      <c r="M50" s="49">
        <f>AVERAGE('29.10 Mbalala-Mukono'!M50,'30.10 Mbalala-Mukono'!M50,'31.10 Mbalala-Mukono'!M50,'3.11 Mbalala-Mukono'!M50,'1.11 Mbalala-Mukono-24h'!M50,'2.11 Mbalala-Mukono-24h'!M50,'4.11 Mbalala-Mukono'!M50)</f>
        <v>89.571428571428569</v>
      </c>
      <c r="N50" s="49">
        <f>AVERAGE('29.10 Mbalala-Mukono'!N50,'30.10 Mbalala-Mukono'!N50,'31.10 Mbalala-Mukono'!N50,'3.11 Mbalala-Mukono'!N50,'1.11 Mbalala-Mukono-24h'!N50,'2.11 Mbalala-Mukono-24h'!N50,'4.11 Mbalala-Mukono'!N50)</f>
        <v>0.14285714285714285</v>
      </c>
      <c r="O50" s="15">
        <f t="shared" si="0"/>
        <v>135.85714285714283</v>
      </c>
      <c r="P50" s="15">
        <f t="shared" si="1"/>
        <v>225.42857142857142</v>
      </c>
      <c r="R50" s="8"/>
      <c r="T50"/>
    </row>
    <row r="51" spans="2:20" ht="23.1" customHeight="1" x14ac:dyDescent="0.25">
      <c r="B51" s="24" t="s">
        <v>78</v>
      </c>
      <c r="C51" s="49">
        <f>AVERAGE('29.10 Mbalala-Mukono'!C51,'30.10 Mbalala-Mukono'!C51,'31.10 Mbalala-Mukono'!C51,'3.11 Mbalala-Mukono'!C51,'1.11 Mbalala-Mukono-24h'!C51,'2.11 Mbalala-Mukono-24h'!C51,'4.11 Mbalala-Mukono'!C51)</f>
        <v>41</v>
      </c>
      <c r="D51" s="49">
        <f>AVERAGE('29.10 Mbalala-Mukono'!D51,'30.10 Mbalala-Mukono'!D51,'31.10 Mbalala-Mukono'!D51,'3.11 Mbalala-Mukono'!D51,'1.11 Mbalala-Mukono-24h'!D51,'2.11 Mbalala-Mukono-24h'!D51,'4.11 Mbalala-Mukono'!D51)</f>
        <v>15.571428571428571</v>
      </c>
      <c r="E51" s="49">
        <f>AVERAGE('29.10 Mbalala-Mukono'!E51,'30.10 Mbalala-Mukono'!E51,'31.10 Mbalala-Mukono'!E51,'3.11 Mbalala-Mukono'!E51,'1.11 Mbalala-Mukono-24h'!E51,'2.11 Mbalala-Mukono-24h'!E51,'4.11 Mbalala-Mukono'!E51)</f>
        <v>8.4285714285714288</v>
      </c>
      <c r="F51" s="49">
        <f>AVERAGE('29.10 Mbalala-Mukono'!F51,'30.10 Mbalala-Mukono'!F51,'31.10 Mbalala-Mukono'!F51,'3.11 Mbalala-Mukono'!F51,'1.11 Mbalala-Mukono-24h'!F51,'2.11 Mbalala-Mukono-24h'!F51,'4.11 Mbalala-Mukono'!F51)</f>
        <v>31.857142857142858</v>
      </c>
      <c r="G51" s="49">
        <f>AVERAGE('29.10 Mbalala-Mukono'!G51,'30.10 Mbalala-Mukono'!G51,'31.10 Mbalala-Mukono'!G51,'3.11 Mbalala-Mukono'!G51,'1.11 Mbalala-Mukono-24h'!G51,'2.11 Mbalala-Mukono-24h'!G51,'4.11 Mbalala-Mukono'!G51)</f>
        <v>1.7142857142857142</v>
      </c>
      <c r="H51" s="49">
        <f>AVERAGE('29.10 Mbalala-Mukono'!H51,'30.10 Mbalala-Mukono'!H51,'31.10 Mbalala-Mukono'!H51,'3.11 Mbalala-Mukono'!H51,'1.11 Mbalala-Mukono-24h'!H51,'2.11 Mbalala-Mukono-24h'!H51,'4.11 Mbalala-Mukono'!H51)</f>
        <v>0.7142857142857143</v>
      </c>
      <c r="I51" s="49">
        <f>AVERAGE('29.10 Mbalala-Mukono'!I51,'30.10 Mbalala-Mukono'!I51,'31.10 Mbalala-Mukono'!I51,'3.11 Mbalala-Mukono'!I51,'1.11 Mbalala-Mukono-24h'!I51,'2.11 Mbalala-Mukono-24h'!I51,'4.11 Mbalala-Mukono'!I51)</f>
        <v>10.428571428571429</v>
      </c>
      <c r="J51" s="49">
        <f>AVERAGE('29.10 Mbalala-Mukono'!J51,'30.10 Mbalala-Mukono'!J51,'31.10 Mbalala-Mukono'!J51,'3.11 Mbalala-Mukono'!J51,'1.11 Mbalala-Mukono-24h'!J51,'2.11 Mbalala-Mukono-24h'!J51,'4.11 Mbalala-Mukono'!J51)</f>
        <v>6.5714285714285712</v>
      </c>
      <c r="K51" s="49">
        <f>AVERAGE('29.10 Mbalala-Mukono'!K51,'30.10 Mbalala-Mukono'!K51,'31.10 Mbalala-Mukono'!K51,'3.11 Mbalala-Mukono'!K51,'1.11 Mbalala-Mukono-24h'!K51,'2.11 Mbalala-Mukono-24h'!K51,'4.11 Mbalala-Mukono'!K51)</f>
        <v>3.4285714285714284</v>
      </c>
      <c r="L51" s="49">
        <f>AVERAGE('29.10 Mbalala-Mukono'!L51,'30.10 Mbalala-Mukono'!L51,'31.10 Mbalala-Mukono'!L51,'3.11 Mbalala-Mukono'!L51,'1.11 Mbalala-Mukono-24h'!L51,'2.11 Mbalala-Mukono-24h'!L51,'4.11 Mbalala-Mukono'!L51)</f>
        <v>7.8571428571428568</v>
      </c>
      <c r="M51" s="49">
        <f>AVERAGE('29.10 Mbalala-Mukono'!M51,'30.10 Mbalala-Mukono'!M51,'31.10 Mbalala-Mukono'!M51,'3.11 Mbalala-Mukono'!M51,'1.11 Mbalala-Mukono-24h'!M51,'2.11 Mbalala-Mukono-24h'!M51,'4.11 Mbalala-Mukono'!M51)</f>
        <v>83.142857142857139</v>
      </c>
      <c r="N51" s="49">
        <f>AVERAGE('29.10 Mbalala-Mukono'!N51,'30.10 Mbalala-Mukono'!N51,'31.10 Mbalala-Mukono'!N51,'3.11 Mbalala-Mukono'!N51,'1.11 Mbalala-Mukono-24h'!N51,'2.11 Mbalala-Mukono-24h'!N51,'4.11 Mbalala-Mukono'!N51)</f>
        <v>0</v>
      </c>
      <c r="O51" s="15">
        <f t="shared" si="0"/>
        <v>127.57142857142857</v>
      </c>
      <c r="P51" s="15">
        <f t="shared" si="1"/>
        <v>210.71428571428572</v>
      </c>
      <c r="R51" s="8"/>
      <c r="T51"/>
    </row>
    <row r="52" spans="2:20" ht="23.1" customHeight="1" x14ac:dyDescent="0.25">
      <c r="B52" s="24" t="s">
        <v>79</v>
      </c>
      <c r="C52" s="49">
        <f>AVERAGE('29.10 Mbalala-Mukono'!C52,'30.10 Mbalala-Mukono'!C52,'31.10 Mbalala-Mukono'!C52,'3.11 Mbalala-Mukono'!C52,'1.11 Mbalala-Mukono-24h'!C52,'2.11 Mbalala-Mukono-24h'!C52,'4.11 Mbalala-Mukono'!C52)</f>
        <v>44.857142857142854</v>
      </c>
      <c r="D52" s="49">
        <f>AVERAGE('29.10 Mbalala-Mukono'!D52,'30.10 Mbalala-Mukono'!D52,'31.10 Mbalala-Mukono'!D52,'3.11 Mbalala-Mukono'!D52,'1.11 Mbalala-Mukono-24h'!D52,'2.11 Mbalala-Mukono-24h'!D52,'4.11 Mbalala-Mukono'!D52)</f>
        <v>12.428571428571429</v>
      </c>
      <c r="E52" s="49">
        <f>AVERAGE('29.10 Mbalala-Mukono'!E52,'30.10 Mbalala-Mukono'!E52,'31.10 Mbalala-Mukono'!E52,'3.11 Mbalala-Mukono'!E52,'1.11 Mbalala-Mukono-24h'!E52,'2.11 Mbalala-Mukono-24h'!E52,'4.11 Mbalala-Mukono'!E52)</f>
        <v>7.4285714285714288</v>
      </c>
      <c r="F52" s="49">
        <f>AVERAGE('29.10 Mbalala-Mukono'!F52,'30.10 Mbalala-Mukono'!F52,'31.10 Mbalala-Mukono'!F52,'3.11 Mbalala-Mukono'!F52,'1.11 Mbalala-Mukono-24h'!F52,'2.11 Mbalala-Mukono-24h'!F52,'4.11 Mbalala-Mukono'!F52)</f>
        <v>33.285714285714285</v>
      </c>
      <c r="G52" s="49">
        <f>AVERAGE('29.10 Mbalala-Mukono'!G52,'30.10 Mbalala-Mukono'!G52,'31.10 Mbalala-Mukono'!G52,'3.11 Mbalala-Mukono'!G52,'1.11 Mbalala-Mukono-24h'!G52,'2.11 Mbalala-Mukono-24h'!G52,'4.11 Mbalala-Mukono'!G52)</f>
        <v>1.2857142857142858</v>
      </c>
      <c r="H52" s="49">
        <f>AVERAGE('29.10 Mbalala-Mukono'!H52,'30.10 Mbalala-Mukono'!H52,'31.10 Mbalala-Mukono'!H52,'3.11 Mbalala-Mukono'!H52,'1.11 Mbalala-Mukono-24h'!H52,'2.11 Mbalala-Mukono-24h'!H52,'4.11 Mbalala-Mukono'!H52)</f>
        <v>1</v>
      </c>
      <c r="I52" s="49">
        <f>AVERAGE('29.10 Mbalala-Mukono'!I52,'30.10 Mbalala-Mukono'!I52,'31.10 Mbalala-Mukono'!I52,'3.11 Mbalala-Mukono'!I52,'1.11 Mbalala-Mukono-24h'!I52,'2.11 Mbalala-Mukono-24h'!I52,'4.11 Mbalala-Mukono'!I52)</f>
        <v>9.5714285714285712</v>
      </c>
      <c r="J52" s="49">
        <f>AVERAGE('29.10 Mbalala-Mukono'!J52,'30.10 Mbalala-Mukono'!J52,'31.10 Mbalala-Mukono'!J52,'3.11 Mbalala-Mukono'!J52,'1.11 Mbalala-Mukono-24h'!J52,'2.11 Mbalala-Mukono-24h'!J52,'4.11 Mbalala-Mukono'!J52)</f>
        <v>7.2857142857142856</v>
      </c>
      <c r="K52" s="49">
        <f>AVERAGE('29.10 Mbalala-Mukono'!K52,'30.10 Mbalala-Mukono'!K52,'31.10 Mbalala-Mukono'!K52,'3.11 Mbalala-Mukono'!K52,'1.11 Mbalala-Mukono-24h'!K52,'2.11 Mbalala-Mukono-24h'!K52,'4.11 Mbalala-Mukono'!K52)</f>
        <v>2</v>
      </c>
      <c r="L52" s="49">
        <f>AVERAGE('29.10 Mbalala-Mukono'!L52,'30.10 Mbalala-Mukono'!L52,'31.10 Mbalala-Mukono'!L52,'3.11 Mbalala-Mukono'!L52,'1.11 Mbalala-Mukono-24h'!L52,'2.11 Mbalala-Mukono-24h'!L52,'4.11 Mbalala-Mukono'!L52)</f>
        <v>6.2857142857142856</v>
      </c>
      <c r="M52" s="49">
        <f>AVERAGE('29.10 Mbalala-Mukono'!M52,'30.10 Mbalala-Mukono'!M52,'31.10 Mbalala-Mukono'!M52,'3.11 Mbalala-Mukono'!M52,'1.11 Mbalala-Mukono-24h'!M52,'2.11 Mbalala-Mukono-24h'!M52,'4.11 Mbalala-Mukono'!M52)</f>
        <v>89.571428571428569</v>
      </c>
      <c r="N52" s="49">
        <f>AVERAGE('29.10 Mbalala-Mukono'!N52,'30.10 Mbalala-Mukono'!N52,'31.10 Mbalala-Mukono'!N52,'3.11 Mbalala-Mukono'!N52,'1.11 Mbalala-Mukono-24h'!N52,'2.11 Mbalala-Mukono-24h'!N52,'4.11 Mbalala-Mukono'!N52)</f>
        <v>0</v>
      </c>
      <c r="O52" s="15">
        <f t="shared" si="0"/>
        <v>125.42857142857144</v>
      </c>
      <c r="P52" s="15">
        <f t="shared" si="1"/>
        <v>215</v>
      </c>
      <c r="R52" s="8"/>
      <c r="T52"/>
    </row>
    <row r="53" spans="2:20" ht="23.1" customHeight="1" x14ac:dyDescent="0.25">
      <c r="B53" s="23" t="s">
        <v>80</v>
      </c>
      <c r="C53" s="49">
        <f>AVERAGE('29.10 Mbalala-Mukono'!C53,'30.10 Mbalala-Mukono'!C53,'31.10 Mbalala-Mukono'!C53,'3.11 Mbalala-Mukono'!C53,'1.11 Mbalala-Mukono-24h'!C53,'2.11 Mbalala-Mukono-24h'!C53,'4.11 Mbalala-Mukono'!C53)</f>
        <v>46.285714285714285</v>
      </c>
      <c r="D53" s="49">
        <f>AVERAGE('29.10 Mbalala-Mukono'!D53,'30.10 Mbalala-Mukono'!D53,'31.10 Mbalala-Mukono'!D53,'3.11 Mbalala-Mukono'!D53,'1.11 Mbalala-Mukono-24h'!D53,'2.11 Mbalala-Mukono-24h'!D53,'4.11 Mbalala-Mukono'!D53)</f>
        <v>13.142857142857142</v>
      </c>
      <c r="E53" s="49">
        <f>AVERAGE('29.10 Mbalala-Mukono'!E53,'30.10 Mbalala-Mukono'!E53,'31.10 Mbalala-Mukono'!E53,'3.11 Mbalala-Mukono'!E53,'1.11 Mbalala-Mukono-24h'!E53,'2.11 Mbalala-Mukono-24h'!E53,'4.11 Mbalala-Mukono'!E53)</f>
        <v>8.4285714285714288</v>
      </c>
      <c r="F53" s="49">
        <f>AVERAGE('29.10 Mbalala-Mukono'!F53,'30.10 Mbalala-Mukono'!F53,'31.10 Mbalala-Mukono'!F53,'3.11 Mbalala-Mukono'!F53,'1.11 Mbalala-Mukono-24h'!F53,'2.11 Mbalala-Mukono-24h'!F53,'4.11 Mbalala-Mukono'!F53)</f>
        <v>29.857142857142858</v>
      </c>
      <c r="G53" s="49">
        <f>AVERAGE('29.10 Mbalala-Mukono'!G53,'30.10 Mbalala-Mukono'!G53,'31.10 Mbalala-Mukono'!G53,'3.11 Mbalala-Mukono'!G53,'1.11 Mbalala-Mukono-24h'!G53,'2.11 Mbalala-Mukono-24h'!G53,'4.11 Mbalala-Mukono'!G53)</f>
        <v>1.4285714285714286</v>
      </c>
      <c r="H53" s="49">
        <f>AVERAGE('29.10 Mbalala-Mukono'!H53,'30.10 Mbalala-Mukono'!H53,'31.10 Mbalala-Mukono'!H53,'3.11 Mbalala-Mukono'!H53,'1.11 Mbalala-Mukono-24h'!H53,'2.11 Mbalala-Mukono-24h'!H53,'4.11 Mbalala-Mukono'!H53)</f>
        <v>0.7142857142857143</v>
      </c>
      <c r="I53" s="49">
        <f>AVERAGE('29.10 Mbalala-Mukono'!I53,'30.10 Mbalala-Mukono'!I53,'31.10 Mbalala-Mukono'!I53,'3.11 Mbalala-Mukono'!I53,'1.11 Mbalala-Mukono-24h'!I53,'2.11 Mbalala-Mukono-24h'!I53,'4.11 Mbalala-Mukono'!I53)</f>
        <v>10.714285714285714</v>
      </c>
      <c r="J53" s="49">
        <f>AVERAGE('29.10 Mbalala-Mukono'!J53,'30.10 Mbalala-Mukono'!J53,'31.10 Mbalala-Mukono'!J53,'3.11 Mbalala-Mukono'!J53,'1.11 Mbalala-Mukono-24h'!J53,'2.11 Mbalala-Mukono-24h'!J53,'4.11 Mbalala-Mukono'!J53)</f>
        <v>6.1428571428571432</v>
      </c>
      <c r="K53" s="49">
        <f>AVERAGE('29.10 Mbalala-Mukono'!K53,'30.10 Mbalala-Mukono'!K53,'31.10 Mbalala-Mukono'!K53,'3.11 Mbalala-Mukono'!K53,'1.11 Mbalala-Mukono-24h'!K53,'2.11 Mbalala-Mukono-24h'!K53,'4.11 Mbalala-Mukono'!K53)</f>
        <v>2.1428571428571428</v>
      </c>
      <c r="L53" s="49">
        <f>AVERAGE('29.10 Mbalala-Mukono'!L53,'30.10 Mbalala-Mukono'!L53,'31.10 Mbalala-Mukono'!L53,'3.11 Mbalala-Mukono'!L53,'1.11 Mbalala-Mukono-24h'!L53,'2.11 Mbalala-Mukono-24h'!L53,'4.11 Mbalala-Mukono'!L53)</f>
        <v>6</v>
      </c>
      <c r="M53" s="49">
        <f>AVERAGE('29.10 Mbalala-Mukono'!M53,'30.10 Mbalala-Mukono'!M53,'31.10 Mbalala-Mukono'!M53,'3.11 Mbalala-Mukono'!M53,'1.11 Mbalala-Mukono-24h'!M53,'2.11 Mbalala-Mukono-24h'!M53,'4.11 Mbalala-Mukono'!M53)</f>
        <v>87.714285714285708</v>
      </c>
      <c r="N53" s="49">
        <f>AVERAGE('29.10 Mbalala-Mukono'!N53,'30.10 Mbalala-Mukono'!N53,'31.10 Mbalala-Mukono'!N53,'3.11 Mbalala-Mukono'!N53,'1.11 Mbalala-Mukono-24h'!N53,'2.11 Mbalala-Mukono-24h'!N53,'4.11 Mbalala-Mukono'!N53)</f>
        <v>0</v>
      </c>
      <c r="O53" s="15">
        <f t="shared" si="0"/>
        <v>124.85714285714285</v>
      </c>
      <c r="P53" s="15">
        <f t="shared" si="1"/>
        <v>212.57142857142856</v>
      </c>
      <c r="R53" s="8"/>
      <c r="T53"/>
    </row>
    <row r="54" spans="2:20" ht="23.1" customHeight="1" x14ac:dyDescent="0.25">
      <c r="B54" s="23" t="s">
        <v>81</v>
      </c>
      <c r="C54" s="49">
        <f>AVERAGE('29.10 Mbalala-Mukono'!C54,'30.10 Mbalala-Mukono'!C54,'31.10 Mbalala-Mukono'!C54,'3.11 Mbalala-Mukono'!C54,'1.11 Mbalala-Mukono-24h'!C54,'2.11 Mbalala-Mukono-24h'!C54,'4.11 Mbalala-Mukono'!C54)</f>
        <v>50.428571428571431</v>
      </c>
      <c r="D54" s="49">
        <f>AVERAGE('29.10 Mbalala-Mukono'!D54,'30.10 Mbalala-Mukono'!D54,'31.10 Mbalala-Mukono'!D54,'3.11 Mbalala-Mukono'!D54,'1.11 Mbalala-Mukono-24h'!D54,'2.11 Mbalala-Mukono-24h'!D54,'4.11 Mbalala-Mukono'!D54)</f>
        <v>12.285714285714286</v>
      </c>
      <c r="E54" s="49">
        <f>AVERAGE('29.10 Mbalala-Mukono'!E54,'30.10 Mbalala-Mukono'!E54,'31.10 Mbalala-Mukono'!E54,'3.11 Mbalala-Mukono'!E54,'1.11 Mbalala-Mukono-24h'!E54,'2.11 Mbalala-Mukono-24h'!E54,'4.11 Mbalala-Mukono'!E54)</f>
        <v>7.8571428571428568</v>
      </c>
      <c r="F54" s="49">
        <f>AVERAGE('29.10 Mbalala-Mukono'!F54,'30.10 Mbalala-Mukono'!F54,'31.10 Mbalala-Mukono'!F54,'3.11 Mbalala-Mukono'!F54,'1.11 Mbalala-Mukono-24h'!F54,'2.11 Mbalala-Mukono-24h'!F54,'4.11 Mbalala-Mukono'!F54)</f>
        <v>36.714285714285715</v>
      </c>
      <c r="G54" s="49">
        <f>AVERAGE('29.10 Mbalala-Mukono'!G54,'30.10 Mbalala-Mukono'!G54,'31.10 Mbalala-Mukono'!G54,'3.11 Mbalala-Mukono'!G54,'1.11 Mbalala-Mukono-24h'!G54,'2.11 Mbalala-Mukono-24h'!G54,'4.11 Mbalala-Mukono'!G54)</f>
        <v>2.1428571428571428</v>
      </c>
      <c r="H54" s="49">
        <f>AVERAGE('29.10 Mbalala-Mukono'!H54,'30.10 Mbalala-Mukono'!H54,'31.10 Mbalala-Mukono'!H54,'3.11 Mbalala-Mukono'!H54,'1.11 Mbalala-Mukono-24h'!H54,'2.11 Mbalala-Mukono-24h'!H54,'4.11 Mbalala-Mukono'!H54)</f>
        <v>1.2857142857142858</v>
      </c>
      <c r="I54" s="49">
        <f>AVERAGE('29.10 Mbalala-Mukono'!I54,'30.10 Mbalala-Mukono'!I54,'31.10 Mbalala-Mukono'!I54,'3.11 Mbalala-Mukono'!I54,'1.11 Mbalala-Mukono-24h'!I54,'2.11 Mbalala-Mukono-24h'!I54,'4.11 Mbalala-Mukono'!I54)</f>
        <v>11.714285714285714</v>
      </c>
      <c r="J54" s="49">
        <f>AVERAGE('29.10 Mbalala-Mukono'!J54,'30.10 Mbalala-Mukono'!J54,'31.10 Mbalala-Mukono'!J54,'3.11 Mbalala-Mukono'!J54,'1.11 Mbalala-Mukono-24h'!J54,'2.11 Mbalala-Mukono-24h'!J54,'4.11 Mbalala-Mukono'!J54)</f>
        <v>6.4285714285714288</v>
      </c>
      <c r="K54" s="49">
        <f>AVERAGE('29.10 Mbalala-Mukono'!K54,'30.10 Mbalala-Mukono'!K54,'31.10 Mbalala-Mukono'!K54,'3.11 Mbalala-Mukono'!K54,'1.11 Mbalala-Mukono-24h'!K54,'2.11 Mbalala-Mukono-24h'!K54,'4.11 Mbalala-Mukono'!K54)</f>
        <v>2.7142857142857144</v>
      </c>
      <c r="L54" s="49">
        <f>AVERAGE('29.10 Mbalala-Mukono'!L54,'30.10 Mbalala-Mukono'!L54,'31.10 Mbalala-Mukono'!L54,'3.11 Mbalala-Mukono'!L54,'1.11 Mbalala-Mukono-24h'!L54,'2.11 Mbalala-Mukono-24h'!L54,'4.11 Mbalala-Mukono'!L54)</f>
        <v>6.4285714285714288</v>
      </c>
      <c r="M54" s="49">
        <f>AVERAGE('29.10 Mbalala-Mukono'!M54,'30.10 Mbalala-Mukono'!M54,'31.10 Mbalala-Mukono'!M54,'3.11 Mbalala-Mukono'!M54,'1.11 Mbalala-Mukono-24h'!M54,'2.11 Mbalala-Mukono-24h'!M54,'4.11 Mbalala-Mukono'!M54)</f>
        <v>92.428571428571431</v>
      </c>
      <c r="N54" s="49">
        <f>AVERAGE('29.10 Mbalala-Mukono'!N54,'30.10 Mbalala-Mukono'!N54,'31.10 Mbalala-Mukono'!N54,'3.11 Mbalala-Mukono'!N54,'1.11 Mbalala-Mukono-24h'!N54,'2.11 Mbalala-Mukono-24h'!N54,'4.11 Mbalala-Mukono'!N54)</f>
        <v>0</v>
      </c>
      <c r="O54" s="15">
        <f t="shared" si="0"/>
        <v>137.99999999999997</v>
      </c>
      <c r="P54" s="15">
        <f t="shared" si="1"/>
        <v>230.42857142857139</v>
      </c>
      <c r="R54" s="8"/>
      <c r="T54"/>
    </row>
    <row r="55" spans="2:20" ht="23.1" customHeight="1" x14ac:dyDescent="0.25">
      <c r="B55" s="23" t="s">
        <v>82</v>
      </c>
      <c r="C55" s="49">
        <f>AVERAGE('29.10 Mbalala-Mukono'!C55,'30.10 Mbalala-Mukono'!C55,'31.10 Mbalala-Mukono'!C55,'3.11 Mbalala-Mukono'!C55,'1.11 Mbalala-Mukono-24h'!C55,'2.11 Mbalala-Mukono-24h'!C55,'4.11 Mbalala-Mukono'!C55)</f>
        <v>45.285714285714285</v>
      </c>
      <c r="D55" s="49">
        <f>AVERAGE('29.10 Mbalala-Mukono'!D55,'30.10 Mbalala-Mukono'!D55,'31.10 Mbalala-Mukono'!D55,'3.11 Mbalala-Mukono'!D55,'1.11 Mbalala-Mukono-24h'!D55,'2.11 Mbalala-Mukono-24h'!D55,'4.11 Mbalala-Mukono'!D55)</f>
        <v>13.571428571428571</v>
      </c>
      <c r="E55" s="49">
        <f>AVERAGE('29.10 Mbalala-Mukono'!E55,'30.10 Mbalala-Mukono'!E55,'31.10 Mbalala-Mukono'!E55,'3.11 Mbalala-Mukono'!E55,'1.11 Mbalala-Mukono-24h'!E55,'2.11 Mbalala-Mukono-24h'!E55,'4.11 Mbalala-Mukono'!E55)</f>
        <v>10</v>
      </c>
      <c r="F55" s="49">
        <f>AVERAGE('29.10 Mbalala-Mukono'!F55,'30.10 Mbalala-Mukono'!F55,'31.10 Mbalala-Mukono'!F55,'3.11 Mbalala-Mukono'!F55,'1.11 Mbalala-Mukono-24h'!F55,'2.11 Mbalala-Mukono-24h'!F55,'4.11 Mbalala-Mukono'!F55)</f>
        <v>37.571428571428569</v>
      </c>
      <c r="G55" s="49">
        <f>AVERAGE('29.10 Mbalala-Mukono'!G55,'30.10 Mbalala-Mukono'!G55,'31.10 Mbalala-Mukono'!G55,'3.11 Mbalala-Mukono'!G55,'1.11 Mbalala-Mukono-24h'!G55,'2.11 Mbalala-Mukono-24h'!G55,'4.11 Mbalala-Mukono'!G55)</f>
        <v>3.2857142857142856</v>
      </c>
      <c r="H55" s="49">
        <f>AVERAGE('29.10 Mbalala-Mukono'!H55,'30.10 Mbalala-Mukono'!H55,'31.10 Mbalala-Mukono'!H55,'3.11 Mbalala-Mukono'!H55,'1.11 Mbalala-Mukono-24h'!H55,'2.11 Mbalala-Mukono-24h'!H55,'4.11 Mbalala-Mukono'!H55)</f>
        <v>1</v>
      </c>
      <c r="I55" s="49">
        <f>AVERAGE('29.10 Mbalala-Mukono'!I55,'30.10 Mbalala-Mukono'!I55,'31.10 Mbalala-Mukono'!I55,'3.11 Mbalala-Mukono'!I55,'1.11 Mbalala-Mukono-24h'!I55,'2.11 Mbalala-Mukono-24h'!I55,'4.11 Mbalala-Mukono'!I55)</f>
        <v>8.5714285714285712</v>
      </c>
      <c r="J55" s="49">
        <f>AVERAGE('29.10 Mbalala-Mukono'!J55,'30.10 Mbalala-Mukono'!J55,'31.10 Mbalala-Mukono'!J55,'3.11 Mbalala-Mukono'!J55,'1.11 Mbalala-Mukono-24h'!J55,'2.11 Mbalala-Mukono-24h'!J55,'4.11 Mbalala-Mukono'!J55)</f>
        <v>7</v>
      </c>
      <c r="K55" s="49">
        <f>AVERAGE('29.10 Mbalala-Mukono'!K55,'30.10 Mbalala-Mukono'!K55,'31.10 Mbalala-Mukono'!K55,'3.11 Mbalala-Mukono'!K55,'1.11 Mbalala-Mukono-24h'!K55,'2.11 Mbalala-Mukono-24h'!K55,'4.11 Mbalala-Mukono'!K55)</f>
        <v>2.1428571428571428</v>
      </c>
      <c r="L55" s="49">
        <f>AVERAGE('29.10 Mbalala-Mukono'!L55,'30.10 Mbalala-Mukono'!L55,'31.10 Mbalala-Mukono'!L55,'3.11 Mbalala-Mukono'!L55,'1.11 Mbalala-Mukono-24h'!L55,'2.11 Mbalala-Mukono-24h'!L55,'4.11 Mbalala-Mukono'!L55)</f>
        <v>7.8571428571428568</v>
      </c>
      <c r="M55" s="49">
        <f>AVERAGE('29.10 Mbalala-Mukono'!M55,'30.10 Mbalala-Mukono'!M55,'31.10 Mbalala-Mukono'!M55,'3.11 Mbalala-Mukono'!M55,'1.11 Mbalala-Mukono-24h'!M55,'2.11 Mbalala-Mukono-24h'!M55,'4.11 Mbalala-Mukono'!M55)</f>
        <v>101.85714285714286</v>
      </c>
      <c r="N55" s="49">
        <f>AVERAGE('29.10 Mbalala-Mukono'!N55,'30.10 Mbalala-Mukono'!N55,'31.10 Mbalala-Mukono'!N55,'3.11 Mbalala-Mukono'!N55,'1.11 Mbalala-Mukono-24h'!N55,'2.11 Mbalala-Mukono-24h'!N55,'4.11 Mbalala-Mukono'!N55)</f>
        <v>0</v>
      </c>
      <c r="O55" s="15">
        <f t="shared" si="0"/>
        <v>136.28571428571431</v>
      </c>
      <c r="P55" s="15">
        <f t="shared" si="1"/>
        <v>238.14285714285717</v>
      </c>
      <c r="R55" s="8"/>
      <c r="T55"/>
    </row>
    <row r="56" spans="2:20" ht="23.1" customHeight="1" x14ac:dyDescent="0.25">
      <c r="B56" s="23" t="s">
        <v>83</v>
      </c>
      <c r="C56" s="49">
        <f>AVERAGE('29.10 Mbalala-Mukono'!C56,'30.10 Mbalala-Mukono'!C56,'31.10 Mbalala-Mukono'!C56,'3.11 Mbalala-Mukono'!C56,'1.11 Mbalala-Mukono-24h'!C56,'2.11 Mbalala-Mukono-24h'!C56,'4.11 Mbalala-Mukono'!C56)</f>
        <v>48.285714285714285</v>
      </c>
      <c r="D56" s="49">
        <f>AVERAGE('29.10 Mbalala-Mukono'!D56,'30.10 Mbalala-Mukono'!D56,'31.10 Mbalala-Mukono'!D56,'3.11 Mbalala-Mukono'!D56,'1.11 Mbalala-Mukono-24h'!D56,'2.11 Mbalala-Mukono-24h'!D56,'4.11 Mbalala-Mukono'!D56)</f>
        <v>12.428571428571429</v>
      </c>
      <c r="E56" s="49">
        <f>AVERAGE('29.10 Mbalala-Mukono'!E56,'30.10 Mbalala-Mukono'!E56,'31.10 Mbalala-Mukono'!E56,'3.11 Mbalala-Mukono'!E56,'1.11 Mbalala-Mukono-24h'!E56,'2.11 Mbalala-Mukono-24h'!E56,'4.11 Mbalala-Mukono'!E56)</f>
        <v>9.8571428571428577</v>
      </c>
      <c r="F56" s="49">
        <f>AVERAGE('29.10 Mbalala-Mukono'!F56,'30.10 Mbalala-Mukono'!F56,'31.10 Mbalala-Mukono'!F56,'3.11 Mbalala-Mukono'!F56,'1.11 Mbalala-Mukono-24h'!F56,'2.11 Mbalala-Mukono-24h'!F56,'4.11 Mbalala-Mukono'!F56)</f>
        <v>35.571428571428569</v>
      </c>
      <c r="G56" s="49">
        <f>AVERAGE('29.10 Mbalala-Mukono'!G56,'30.10 Mbalala-Mukono'!G56,'31.10 Mbalala-Mukono'!G56,'3.11 Mbalala-Mukono'!G56,'1.11 Mbalala-Mukono-24h'!G56,'2.11 Mbalala-Mukono-24h'!G56,'4.11 Mbalala-Mukono'!G56)</f>
        <v>1.4285714285714286</v>
      </c>
      <c r="H56" s="49">
        <f>AVERAGE('29.10 Mbalala-Mukono'!H56,'30.10 Mbalala-Mukono'!H56,'31.10 Mbalala-Mukono'!H56,'3.11 Mbalala-Mukono'!H56,'1.11 Mbalala-Mukono-24h'!H56,'2.11 Mbalala-Mukono-24h'!H56,'4.11 Mbalala-Mukono'!H56)</f>
        <v>1.4285714285714286</v>
      </c>
      <c r="I56" s="49">
        <f>AVERAGE('29.10 Mbalala-Mukono'!I56,'30.10 Mbalala-Mukono'!I56,'31.10 Mbalala-Mukono'!I56,'3.11 Mbalala-Mukono'!I56,'1.11 Mbalala-Mukono-24h'!I56,'2.11 Mbalala-Mukono-24h'!I56,'4.11 Mbalala-Mukono'!I56)</f>
        <v>9</v>
      </c>
      <c r="J56" s="49">
        <f>AVERAGE('29.10 Mbalala-Mukono'!J56,'30.10 Mbalala-Mukono'!J56,'31.10 Mbalala-Mukono'!J56,'3.11 Mbalala-Mukono'!J56,'1.11 Mbalala-Mukono-24h'!J56,'2.11 Mbalala-Mukono-24h'!J56,'4.11 Mbalala-Mukono'!J56)</f>
        <v>6.4285714285714288</v>
      </c>
      <c r="K56" s="49">
        <f>AVERAGE('29.10 Mbalala-Mukono'!K56,'30.10 Mbalala-Mukono'!K56,'31.10 Mbalala-Mukono'!K56,'3.11 Mbalala-Mukono'!K56,'1.11 Mbalala-Mukono-24h'!K56,'2.11 Mbalala-Mukono-24h'!K56,'4.11 Mbalala-Mukono'!K56)</f>
        <v>3.5714285714285716</v>
      </c>
      <c r="L56" s="49">
        <f>AVERAGE('29.10 Mbalala-Mukono'!L56,'30.10 Mbalala-Mukono'!L56,'31.10 Mbalala-Mukono'!L56,'3.11 Mbalala-Mukono'!L56,'1.11 Mbalala-Mukono-24h'!L56,'2.11 Mbalala-Mukono-24h'!L56,'4.11 Mbalala-Mukono'!L56)</f>
        <v>9.1428571428571423</v>
      </c>
      <c r="M56" s="49">
        <f>AVERAGE('29.10 Mbalala-Mukono'!M56,'30.10 Mbalala-Mukono'!M56,'31.10 Mbalala-Mukono'!M56,'3.11 Mbalala-Mukono'!M56,'1.11 Mbalala-Mukono-24h'!M56,'2.11 Mbalala-Mukono-24h'!M56,'4.11 Mbalala-Mukono'!M56)</f>
        <v>107.71428571428571</v>
      </c>
      <c r="N56" s="49">
        <f>AVERAGE('29.10 Mbalala-Mukono'!N56,'30.10 Mbalala-Mukono'!N56,'31.10 Mbalala-Mukono'!N56,'3.11 Mbalala-Mukono'!N56,'1.11 Mbalala-Mukono-24h'!N56,'2.11 Mbalala-Mukono-24h'!N56,'4.11 Mbalala-Mukono'!N56)</f>
        <v>0</v>
      </c>
      <c r="O56" s="15">
        <f t="shared" si="0"/>
        <v>137.14285714285714</v>
      </c>
      <c r="P56" s="15">
        <f t="shared" si="1"/>
        <v>244.85714285714283</v>
      </c>
      <c r="R56" s="8"/>
      <c r="T56"/>
    </row>
    <row r="57" spans="2:20" ht="23.1" customHeight="1" x14ac:dyDescent="0.25">
      <c r="B57" s="23" t="s">
        <v>84</v>
      </c>
      <c r="C57" s="49">
        <f>AVERAGE('29.10 Mbalala-Mukono'!C57,'30.10 Mbalala-Mukono'!C57,'31.10 Mbalala-Mukono'!C57,'3.11 Mbalala-Mukono'!C57,'1.11 Mbalala-Mukono-24h'!C57,'2.11 Mbalala-Mukono-24h'!C57,'4.11 Mbalala-Mukono'!C57)</f>
        <v>42.571428571428569</v>
      </c>
      <c r="D57" s="49">
        <f>AVERAGE('29.10 Mbalala-Mukono'!D57,'30.10 Mbalala-Mukono'!D57,'31.10 Mbalala-Mukono'!D57,'3.11 Mbalala-Mukono'!D57,'1.11 Mbalala-Mukono-24h'!D57,'2.11 Mbalala-Mukono-24h'!D57,'4.11 Mbalala-Mukono'!D57)</f>
        <v>14.428571428571429</v>
      </c>
      <c r="E57" s="49">
        <f>AVERAGE('29.10 Mbalala-Mukono'!E57,'30.10 Mbalala-Mukono'!E57,'31.10 Mbalala-Mukono'!E57,'3.11 Mbalala-Mukono'!E57,'1.11 Mbalala-Mukono-24h'!E57,'2.11 Mbalala-Mukono-24h'!E57,'4.11 Mbalala-Mukono'!E57)</f>
        <v>11.571428571428571</v>
      </c>
      <c r="F57" s="49">
        <f>AVERAGE('29.10 Mbalala-Mukono'!F57,'30.10 Mbalala-Mukono'!F57,'31.10 Mbalala-Mukono'!F57,'3.11 Mbalala-Mukono'!F57,'1.11 Mbalala-Mukono-24h'!F57,'2.11 Mbalala-Mukono-24h'!F57,'4.11 Mbalala-Mukono'!F57)</f>
        <v>41.428571428571431</v>
      </c>
      <c r="G57" s="49">
        <f>AVERAGE('29.10 Mbalala-Mukono'!G57,'30.10 Mbalala-Mukono'!G57,'31.10 Mbalala-Mukono'!G57,'3.11 Mbalala-Mukono'!G57,'1.11 Mbalala-Mukono-24h'!G57,'2.11 Mbalala-Mukono-24h'!G57,'4.11 Mbalala-Mukono'!G57)</f>
        <v>3.1428571428571428</v>
      </c>
      <c r="H57" s="49">
        <f>AVERAGE('29.10 Mbalala-Mukono'!H57,'30.10 Mbalala-Mukono'!H57,'31.10 Mbalala-Mukono'!H57,'3.11 Mbalala-Mukono'!H57,'1.11 Mbalala-Mukono-24h'!H57,'2.11 Mbalala-Mukono-24h'!H57,'4.11 Mbalala-Mukono'!H57)</f>
        <v>0.7142857142857143</v>
      </c>
      <c r="I57" s="49">
        <f>AVERAGE('29.10 Mbalala-Mukono'!I57,'30.10 Mbalala-Mukono'!I57,'31.10 Mbalala-Mukono'!I57,'3.11 Mbalala-Mukono'!I57,'1.11 Mbalala-Mukono-24h'!I57,'2.11 Mbalala-Mukono-24h'!I57,'4.11 Mbalala-Mukono'!I57)</f>
        <v>8.2857142857142865</v>
      </c>
      <c r="J57" s="49">
        <f>AVERAGE('29.10 Mbalala-Mukono'!J57,'30.10 Mbalala-Mukono'!J57,'31.10 Mbalala-Mukono'!J57,'3.11 Mbalala-Mukono'!J57,'1.11 Mbalala-Mukono-24h'!J57,'2.11 Mbalala-Mukono-24h'!J57,'4.11 Mbalala-Mukono'!J57)</f>
        <v>7.8571428571428568</v>
      </c>
      <c r="K57" s="49">
        <f>AVERAGE('29.10 Mbalala-Mukono'!K57,'30.10 Mbalala-Mukono'!K57,'31.10 Mbalala-Mukono'!K57,'3.11 Mbalala-Mukono'!K57,'1.11 Mbalala-Mukono-24h'!K57,'2.11 Mbalala-Mukono-24h'!K57,'4.11 Mbalala-Mukono'!K57)</f>
        <v>4</v>
      </c>
      <c r="L57" s="49">
        <f>AVERAGE('29.10 Mbalala-Mukono'!L57,'30.10 Mbalala-Mukono'!L57,'31.10 Mbalala-Mukono'!L57,'3.11 Mbalala-Mukono'!L57,'1.11 Mbalala-Mukono-24h'!L57,'2.11 Mbalala-Mukono-24h'!L57,'4.11 Mbalala-Mukono'!L57)</f>
        <v>8</v>
      </c>
      <c r="M57" s="49">
        <f>AVERAGE('29.10 Mbalala-Mukono'!M57,'30.10 Mbalala-Mukono'!M57,'31.10 Mbalala-Mukono'!M57,'3.11 Mbalala-Mukono'!M57,'1.11 Mbalala-Mukono-24h'!M57,'2.11 Mbalala-Mukono-24h'!M57,'4.11 Mbalala-Mukono'!M57)</f>
        <v>99.285714285714292</v>
      </c>
      <c r="N57" s="49">
        <f>AVERAGE('29.10 Mbalala-Mukono'!N57,'30.10 Mbalala-Mukono'!N57,'31.10 Mbalala-Mukono'!N57,'3.11 Mbalala-Mukono'!N57,'1.11 Mbalala-Mukono-24h'!N57,'2.11 Mbalala-Mukono-24h'!N57,'4.11 Mbalala-Mukono'!N57)</f>
        <v>0</v>
      </c>
      <c r="O57" s="15">
        <f t="shared" si="0"/>
        <v>142</v>
      </c>
      <c r="P57" s="15">
        <f t="shared" si="1"/>
        <v>241.28571428571428</v>
      </c>
      <c r="R57" s="8"/>
      <c r="T57"/>
    </row>
    <row r="58" spans="2:20" ht="23.1" customHeight="1" x14ac:dyDescent="0.25">
      <c r="B58" s="23" t="s">
        <v>99</v>
      </c>
      <c r="C58" s="49">
        <f>AVERAGE('1.11 Mbalala-Mukono-24h'!C58,'2.11 Mbalala-Mukono-24h'!C58)</f>
        <v>36.5</v>
      </c>
      <c r="D58" s="49">
        <f>AVERAGE('1.11 Mbalala-Mukono-24h'!D58,'2.11 Mbalala-Mukono-24h'!D58)</f>
        <v>14</v>
      </c>
      <c r="E58" s="49">
        <f>AVERAGE('1.11 Mbalala-Mukono-24h'!E58,'2.11 Mbalala-Mukono-24h'!E58)</f>
        <v>7.5</v>
      </c>
      <c r="F58" s="49">
        <f>AVERAGE('1.11 Mbalala-Mukono-24h'!F58,'2.11 Mbalala-Mukono-24h'!F58)</f>
        <v>31</v>
      </c>
      <c r="G58" s="49">
        <f>AVERAGE('1.11 Mbalala-Mukono-24h'!G58,'2.11 Mbalala-Mukono-24h'!G58)</f>
        <v>1.5</v>
      </c>
      <c r="H58" s="49">
        <f>AVERAGE('1.11 Mbalala-Mukono-24h'!H58,'2.11 Mbalala-Mukono-24h'!H58)</f>
        <v>1</v>
      </c>
      <c r="I58" s="49">
        <f>AVERAGE('1.11 Mbalala-Mukono-24h'!I58,'2.11 Mbalala-Mukono-24h'!I58)</f>
        <v>4</v>
      </c>
      <c r="J58" s="49">
        <f>AVERAGE('1.11 Mbalala-Mukono-24h'!J58,'2.11 Mbalala-Mukono-24h'!J58)</f>
        <v>6.5</v>
      </c>
      <c r="K58" s="49">
        <f>AVERAGE('1.11 Mbalala-Mukono-24h'!K58,'2.11 Mbalala-Mukono-24h'!K58)</f>
        <v>3.5</v>
      </c>
      <c r="L58" s="49">
        <f>AVERAGE('1.11 Mbalala-Mukono-24h'!L58,'2.11 Mbalala-Mukono-24h'!L58)</f>
        <v>13</v>
      </c>
      <c r="M58" s="49">
        <f>AVERAGE('1.11 Mbalala-Mukono-24h'!M58,'2.11 Mbalala-Mukono-24h'!M58)</f>
        <v>30.5</v>
      </c>
      <c r="N58" s="49">
        <f>AVERAGE('1.11 Mbalala-Mukono-24h'!N58,'2.11 Mbalala-Mukono-24h'!N58)</f>
        <v>0</v>
      </c>
      <c r="O58" s="15">
        <f t="shared" si="0"/>
        <v>118.5</v>
      </c>
      <c r="P58" s="15">
        <f t="shared" si="1"/>
        <v>149</v>
      </c>
      <c r="R58" s="8"/>
      <c r="T58"/>
    </row>
    <row r="59" spans="2:20" ht="23.1" customHeight="1" x14ac:dyDescent="0.25">
      <c r="B59" s="23" t="s">
        <v>100</v>
      </c>
      <c r="C59" s="49">
        <f>AVERAGE('1.11 Mbalala-Mukono-24h'!C59,'2.11 Mbalala-Mukono-24h'!C59)</f>
        <v>33</v>
      </c>
      <c r="D59" s="49">
        <f>AVERAGE('1.11 Mbalala-Mukono-24h'!D59,'2.11 Mbalala-Mukono-24h'!D59)</f>
        <v>12</v>
      </c>
      <c r="E59" s="49">
        <f>AVERAGE('1.11 Mbalala-Mukono-24h'!E59,'2.11 Mbalala-Mukono-24h'!E59)</f>
        <v>8</v>
      </c>
      <c r="F59" s="49">
        <f>AVERAGE('1.11 Mbalala-Mukono-24h'!F59,'2.11 Mbalala-Mukono-24h'!F59)</f>
        <v>25</v>
      </c>
      <c r="G59" s="49">
        <f>AVERAGE('1.11 Mbalala-Mukono-24h'!G59,'2.11 Mbalala-Mukono-24h'!G59)</f>
        <v>0</v>
      </c>
      <c r="H59" s="49">
        <f>AVERAGE('1.11 Mbalala-Mukono-24h'!H59,'2.11 Mbalala-Mukono-24h'!H59)</f>
        <v>0</v>
      </c>
      <c r="I59" s="49">
        <f>AVERAGE('1.11 Mbalala-Mukono-24h'!I59,'2.11 Mbalala-Mukono-24h'!I59)</f>
        <v>4</v>
      </c>
      <c r="J59" s="49">
        <f>AVERAGE('1.11 Mbalala-Mukono-24h'!J59,'2.11 Mbalala-Mukono-24h'!J59)</f>
        <v>5.5</v>
      </c>
      <c r="K59" s="49">
        <f>AVERAGE('1.11 Mbalala-Mukono-24h'!K59,'2.11 Mbalala-Mukono-24h'!K59)</f>
        <v>4</v>
      </c>
      <c r="L59" s="49">
        <f>AVERAGE('1.11 Mbalala-Mukono-24h'!L59,'2.11 Mbalala-Mukono-24h'!L59)</f>
        <v>9</v>
      </c>
      <c r="M59" s="49">
        <f>AVERAGE('1.11 Mbalala-Mukono-24h'!M59,'2.11 Mbalala-Mukono-24h'!M59)</f>
        <v>31</v>
      </c>
      <c r="N59" s="49">
        <f>AVERAGE('1.11 Mbalala-Mukono-24h'!N59,'2.11 Mbalala-Mukono-24h'!N59)</f>
        <v>0</v>
      </c>
      <c r="O59" s="15">
        <f t="shared" si="0"/>
        <v>100.5</v>
      </c>
      <c r="P59" s="15">
        <f t="shared" si="1"/>
        <v>131.5</v>
      </c>
      <c r="R59" s="8"/>
      <c r="T59"/>
    </row>
    <row r="60" spans="2:20" ht="23.1" customHeight="1" x14ac:dyDescent="0.25">
      <c r="B60" s="23" t="s">
        <v>101</v>
      </c>
      <c r="C60" s="49">
        <f>AVERAGE('1.11 Mbalala-Mukono-24h'!C60,'2.11 Mbalala-Mukono-24h'!C60)</f>
        <v>38</v>
      </c>
      <c r="D60" s="49">
        <f>AVERAGE('1.11 Mbalala-Mukono-24h'!D60,'2.11 Mbalala-Mukono-24h'!D60)</f>
        <v>11.5</v>
      </c>
      <c r="E60" s="49">
        <f>AVERAGE('1.11 Mbalala-Mukono-24h'!E60,'2.11 Mbalala-Mukono-24h'!E60)</f>
        <v>5.5</v>
      </c>
      <c r="F60" s="49">
        <f>AVERAGE('1.11 Mbalala-Mukono-24h'!F60,'2.11 Mbalala-Mukono-24h'!F60)</f>
        <v>28.5</v>
      </c>
      <c r="G60" s="49">
        <f>AVERAGE('1.11 Mbalala-Mukono-24h'!G60,'2.11 Mbalala-Mukono-24h'!G60)</f>
        <v>2.5</v>
      </c>
      <c r="H60" s="49">
        <f>AVERAGE('1.11 Mbalala-Mukono-24h'!H60,'2.11 Mbalala-Mukono-24h'!H60)</f>
        <v>2</v>
      </c>
      <c r="I60" s="49">
        <f>AVERAGE('1.11 Mbalala-Mukono-24h'!I60,'2.11 Mbalala-Mukono-24h'!I60)</f>
        <v>11</v>
      </c>
      <c r="J60" s="49">
        <f>AVERAGE('1.11 Mbalala-Mukono-24h'!J60,'2.11 Mbalala-Mukono-24h'!J60)</f>
        <v>9.5</v>
      </c>
      <c r="K60" s="49">
        <f>AVERAGE('1.11 Mbalala-Mukono-24h'!K60,'2.11 Mbalala-Mukono-24h'!K60)</f>
        <v>2.5</v>
      </c>
      <c r="L60" s="49">
        <f>AVERAGE('1.11 Mbalala-Mukono-24h'!L60,'2.11 Mbalala-Mukono-24h'!L60)</f>
        <v>11</v>
      </c>
      <c r="M60" s="49">
        <f>AVERAGE('1.11 Mbalala-Mukono-24h'!M60,'2.11 Mbalala-Mukono-24h'!M60)</f>
        <v>42</v>
      </c>
      <c r="N60" s="49">
        <f>AVERAGE('1.11 Mbalala-Mukono-24h'!N60,'2.11 Mbalala-Mukono-24h'!N60)</f>
        <v>0</v>
      </c>
      <c r="O60" s="15">
        <f t="shared" si="0"/>
        <v>122</v>
      </c>
      <c r="P60" s="15">
        <f t="shared" si="1"/>
        <v>164</v>
      </c>
      <c r="R60" s="8"/>
      <c r="T60"/>
    </row>
    <row r="61" spans="2:20" ht="23.1" customHeight="1" x14ac:dyDescent="0.25">
      <c r="B61" s="23" t="s">
        <v>102</v>
      </c>
      <c r="C61" s="49">
        <f>AVERAGE('1.11 Mbalala-Mukono-24h'!C61,'2.11 Mbalala-Mukono-24h'!C61)</f>
        <v>38</v>
      </c>
      <c r="D61" s="49">
        <f>AVERAGE('1.11 Mbalala-Mukono-24h'!D61,'2.11 Mbalala-Mukono-24h'!D61)</f>
        <v>4</v>
      </c>
      <c r="E61" s="49">
        <f>AVERAGE('1.11 Mbalala-Mukono-24h'!E61,'2.11 Mbalala-Mukono-24h'!E61)</f>
        <v>5</v>
      </c>
      <c r="F61" s="49">
        <f>AVERAGE('1.11 Mbalala-Mukono-24h'!F61,'2.11 Mbalala-Mukono-24h'!F61)</f>
        <v>25.5</v>
      </c>
      <c r="G61" s="49">
        <f>AVERAGE('1.11 Mbalala-Mukono-24h'!G61,'2.11 Mbalala-Mukono-24h'!G61)</f>
        <v>1.5</v>
      </c>
      <c r="H61" s="49">
        <f>AVERAGE('1.11 Mbalala-Mukono-24h'!H61,'2.11 Mbalala-Mukono-24h'!H61)</f>
        <v>1</v>
      </c>
      <c r="I61" s="49">
        <f>AVERAGE('1.11 Mbalala-Mukono-24h'!I61,'2.11 Mbalala-Mukono-24h'!I61)</f>
        <v>8</v>
      </c>
      <c r="J61" s="49">
        <f>AVERAGE('1.11 Mbalala-Mukono-24h'!J61,'2.11 Mbalala-Mukono-24h'!J61)</f>
        <v>4.5</v>
      </c>
      <c r="K61" s="49">
        <f>AVERAGE('1.11 Mbalala-Mukono-24h'!K61,'2.11 Mbalala-Mukono-24h'!K61)</f>
        <v>2</v>
      </c>
      <c r="L61" s="49">
        <f>AVERAGE('1.11 Mbalala-Mukono-24h'!L61,'2.11 Mbalala-Mukono-24h'!L61)</f>
        <v>7.5</v>
      </c>
      <c r="M61" s="49">
        <f>AVERAGE('1.11 Mbalala-Mukono-24h'!M61,'2.11 Mbalala-Mukono-24h'!M61)</f>
        <v>41.5</v>
      </c>
      <c r="N61" s="49">
        <f>AVERAGE('1.11 Mbalala-Mukono-24h'!N61,'2.11 Mbalala-Mukono-24h'!N61)</f>
        <v>0</v>
      </c>
      <c r="O61" s="15">
        <f t="shared" si="0"/>
        <v>97</v>
      </c>
      <c r="P61" s="15">
        <f t="shared" si="1"/>
        <v>138.5</v>
      </c>
      <c r="R61" s="8"/>
      <c r="T61"/>
    </row>
    <row r="62" spans="2:20" ht="23.1" customHeight="1" x14ac:dyDescent="0.25">
      <c r="B62" s="23" t="s">
        <v>107</v>
      </c>
      <c r="C62" s="49">
        <f>AVERAGE('1.11 Mbalala-Mukono-24h'!C62,'2.11 Mbalala-Mukono-24h'!C62)</f>
        <v>32</v>
      </c>
      <c r="D62" s="49">
        <f>AVERAGE('1.11 Mbalala-Mukono-24h'!D62,'2.11 Mbalala-Mukono-24h'!D62)</f>
        <v>9</v>
      </c>
      <c r="E62" s="49">
        <f>AVERAGE('1.11 Mbalala-Mukono-24h'!E62,'2.11 Mbalala-Mukono-24h'!E62)</f>
        <v>6</v>
      </c>
      <c r="F62" s="49">
        <f>AVERAGE('1.11 Mbalala-Mukono-24h'!F62,'2.11 Mbalala-Mukono-24h'!F62)</f>
        <v>27.5</v>
      </c>
      <c r="G62" s="49">
        <f>AVERAGE('1.11 Mbalala-Mukono-24h'!G62,'2.11 Mbalala-Mukono-24h'!G62)</f>
        <v>3.5</v>
      </c>
      <c r="H62" s="49">
        <f>AVERAGE('1.11 Mbalala-Mukono-24h'!H62,'2.11 Mbalala-Mukono-24h'!H62)</f>
        <v>1</v>
      </c>
      <c r="I62" s="49">
        <f>AVERAGE('1.11 Mbalala-Mukono-24h'!I62,'2.11 Mbalala-Mukono-24h'!I62)</f>
        <v>11</v>
      </c>
      <c r="J62" s="49">
        <f>AVERAGE('1.11 Mbalala-Mukono-24h'!J62,'2.11 Mbalala-Mukono-24h'!J62)</f>
        <v>11.5</v>
      </c>
      <c r="K62" s="49">
        <f>AVERAGE('1.11 Mbalala-Mukono-24h'!K62,'2.11 Mbalala-Mukono-24h'!K62)</f>
        <v>1</v>
      </c>
      <c r="L62" s="49">
        <f>AVERAGE('1.11 Mbalala-Mukono-24h'!L62,'2.11 Mbalala-Mukono-24h'!L62)</f>
        <v>8.5</v>
      </c>
      <c r="M62" s="49">
        <f>AVERAGE('1.11 Mbalala-Mukono-24h'!M62,'2.11 Mbalala-Mukono-24h'!M62)</f>
        <v>38.5</v>
      </c>
      <c r="N62" s="49">
        <f>AVERAGE('1.11 Mbalala-Mukono-24h'!N62,'2.11 Mbalala-Mukono-24h'!N62)</f>
        <v>0</v>
      </c>
      <c r="O62" s="15">
        <f t="shared" si="0"/>
        <v>111</v>
      </c>
      <c r="P62" s="15">
        <f t="shared" si="1"/>
        <v>149.5</v>
      </c>
      <c r="R62" s="8"/>
      <c r="T62"/>
    </row>
    <row r="63" spans="2:20" ht="23.1" customHeight="1" x14ac:dyDescent="0.25">
      <c r="B63" s="23" t="s">
        <v>108</v>
      </c>
      <c r="C63" s="49">
        <f>AVERAGE('1.11 Mbalala-Mukono-24h'!C63,'2.11 Mbalala-Mukono-24h'!C63)</f>
        <v>46.5</v>
      </c>
      <c r="D63" s="49">
        <f>AVERAGE('1.11 Mbalala-Mukono-24h'!D63,'2.11 Mbalala-Mukono-24h'!D63)</f>
        <v>4.5</v>
      </c>
      <c r="E63" s="49">
        <f>AVERAGE('1.11 Mbalala-Mukono-24h'!E63,'2.11 Mbalala-Mukono-24h'!E63)</f>
        <v>4.5</v>
      </c>
      <c r="F63" s="49">
        <f>AVERAGE('1.11 Mbalala-Mukono-24h'!F63,'2.11 Mbalala-Mukono-24h'!F63)</f>
        <v>29.5</v>
      </c>
      <c r="G63" s="49">
        <f>AVERAGE('1.11 Mbalala-Mukono-24h'!G63,'2.11 Mbalala-Mukono-24h'!G63)</f>
        <v>2</v>
      </c>
      <c r="H63" s="49">
        <f>AVERAGE('1.11 Mbalala-Mukono-24h'!H63,'2.11 Mbalala-Mukono-24h'!H63)</f>
        <v>0.5</v>
      </c>
      <c r="I63" s="49">
        <f>AVERAGE('1.11 Mbalala-Mukono-24h'!I63,'2.11 Mbalala-Mukono-24h'!I63)</f>
        <v>5</v>
      </c>
      <c r="J63" s="49">
        <f>AVERAGE('1.11 Mbalala-Mukono-24h'!J63,'2.11 Mbalala-Mukono-24h'!J63)</f>
        <v>3</v>
      </c>
      <c r="K63" s="49">
        <f>AVERAGE('1.11 Mbalala-Mukono-24h'!K63,'2.11 Mbalala-Mukono-24h'!K63)</f>
        <v>1</v>
      </c>
      <c r="L63" s="49">
        <f>AVERAGE('1.11 Mbalala-Mukono-24h'!L63,'2.11 Mbalala-Mukono-24h'!L63)</f>
        <v>5.5</v>
      </c>
      <c r="M63" s="49">
        <f>AVERAGE('1.11 Mbalala-Mukono-24h'!M63,'2.11 Mbalala-Mukono-24h'!M63)</f>
        <v>22.5</v>
      </c>
      <c r="N63" s="49">
        <f>AVERAGE('1.11 Mbalala-Mukono-24h'!N63,'2.11 Mbalala-Mukono-24h'!N63)</f>
        <v>0</v>
      </c>
      <c r="O63" s="15">
        <f t="shared" si="0"/>
        <v>102</v>
      </c>
      <c r="P63" s="15">
        <f t="shared" si="1"/>
        <v>124.5</v>
      </c>
      <c r="R63" s="8"/>
      <c r="T63"/>
    </row>
    <row r="64" spans="2:20" ht="23.1" customHeight="1" x14ac:dyDescent="0.25">
      <c r="B64" s="23" t="s">
        <v>109</v>
      </c>
      <c r="C64" s="49">
        <f>AVERAGE('1.11 Mbalala-Mukono-24h'!C64,'2.11 Mbalala-Mukono-24h'!C64)</f>
        <v>38</v>
      </c>
      <c r="D64" s="49">
        <f>AVERAGE('1.11 Mbalala-Mukono-24h'!D64,'2.11 Mbalala-Mukono-24h'!D64)</f>
        <v>8.5</v>
      </c>
      <c r="E64" s="49">
        <f>AVERAGE('1.11 Mbalala-Mukono-24h'!E64,'2.11 Mbalala-Mukono-24h'!E64)</f>
        <v>8.5</v>
      </c>
      <c r="F64" s="49">
        <f>AVERAGE('1.11 Mbalala-Mukono-24h'!F64,'2.11 Mbalala-Mukono-24h'!F64)</f>
        <v>41</v>
      </c>
      <c r="G64" s="49">
        <f>AVERAGE('1.11 Mbalala-Mukono-24h'!G64,'2.11 Mbalala-Mukono-24h'!G64)</f>
        <v>2</v>
      </c>
      <c r="H64" s="49">
        <f>AVERAGE('1.11 Mbalala-Mukono-24h'!H64,'2.11 Mbalala-Mukono-24h'!H64)</f>
        <v>1</v>
      </c>
      <c r="I64" s="49">
        <f>AVERAGE('1.11 Mbalala-Mukono-24h'!I64,'2.11 Mbalala-Mukono-24h'!I64)</f>
        <v>8</v>
      </c>
      <c r="J64" s="49">
        <f>AVERAGE('1.11 Mbalala-Mukono-24h'!J64,'2.11 Mbalala-Mukono-24h'!J64)</f>
        <v>11</v>
      </c>
      <c r="K64" s="49">
        <f>AVERAGE('1.11 Mbalala-Mukono-24h'!K64,'2.11 Mbalala-Mukono-24h'!K64)</f>
        <v>2</v>
      </c>
      <c r="L64" s="49">
        <f>AVERAGE('1.11 Mbalala-Mukono-24h'!L64,'2.11 Mbalala-Mukono-24h'!L64)</f>
        <v>6</v>
      </c>
      <c r="M64" s="49">
        <f>AVERAGE('1.11 Mbalala-Mukono-24h'!M64,'2.11 Mbalala-Mukono-24h'!M64)</f>
        <v>22.5</v>
      </c>
      <c r="N64" s="49">
        <f>AVERAGE('1.11 Mbalala-Mukono-24h'!N64,'2.11 Mbalala-Mukono-24h'!N64)</f>
        <v>0</v>
      </c>
      <c r="O64" s="15">
        <f t="shared" si="0"/>
        <v>126</v>
      </c>
      <c r="P64" s="15">
        <f t="shared" si="1"/>
        <v>148.5</v>
      </c>
      <c r="R64" s="8"/>
      <c r="T64"/>
    </row>
    <row r="65" spans="2:20" ht="23.1" customHeight="1" x14ac:dyDescent="0.25">
      <c r="B65" s="23" t="s">
        <v>158</v>
      </c>
      <c r="C65" s="49">
        <f>AVERAGE('1.11 Mbalala-Mukono-24h'!C65,'2.11 Mbalala-Mukono-24h'!C65)</f>
        <v>25.5</v>
      </c>
      <c r="D65" s="49">
        <f>AVERAGE('1.11 Mbalala-Mukono-24h'!D65,'2.11 Mbalala-Mukono-24h'!D65)</f>
        <v>4</v>
      </c>
      <c r="E65" s="49">
        <f>AVERAGE('1.11 Mbalala-Mukono-24h'!E65,'2.11 Mbalala-Mukono-24h'!E65)</f>
        <v>3</v>
      </c>
      <c r="F65" s="49">
        <f>AVERAGE('1.11 Mbalala-Mukono-24h'!F65,'2.11 Mbalala-Mukono-24h'!F65)</f>
        <v>24.5</v>
      </c>
      <c r="G65" s="49">
        <f>AVERAGE('1.11 Mbalala-Mukono-24h'!G65,'2.11 Mbalala-Mukono-24h'!G65)</f>
        <v>1.5</v>
      </c>
      <c r="H65" s="49">
        <f>AVERAGE('1.11 Mbalala-Mukono-24h'!H65,'2.11 Mbalala-Mukono-24h'!H65)</f>
        <v>0</v>
      </c>
      <c r="I65" s="49">
        <f>AVERAGE('1.11 Mbalala-Mukono-24h'!I65,'2.11 Mbalala-Mukono-24h'!I65)</f>
        <v>7</v>
      </c>
      <c r="J65" s="49">
        <f>AVERAGE('1.11 Mbalala-Mukono-24h'!J65,'2.11 Mbalala-Mukono-24h'!J65)</f>
        <v>6</v>
      </c>
      <c r="K65" s="49">
        <f>AVERAGE('1.11 Mbalala-Mukono-24h'!K65,'2.11 Mbalala-Mukono-24h'!K65)</f>
        <v>1</v>
      </c>
      <c r="L65" s="49">
        <f>AVERAGE('1.11 Mbalala-Mukono-24h'!L65,'2.11 Mbalala-Mukono-24h'!L65)</f>
        <v>4.5</v>
      </c>
      <c r="M65" s="49">
        <f>AVERAGE('1.11 Mbalala-Mukono-24h'!M65,'2.11 Mbalala-Mukono-24h'!M65)</f>
        <v>15.5</v>
      </c>
      <c r="N65" s="49">
        <f>AVERAGE('1.11 Mbalala-Mukono-24h'!N65,'2.11 Mbalala-Mukono-24h'!N65)</f>
        <v>0</v>
      </c>
      <c r="O65" s="15">
        <f t="shared" si="0"/>
        <v>77</v>
      </c>
      <c r="P65" s="15">
        <f t="shared" si="1"/>
        <v>92.5</v>
      </c>
      <c r="R65" s="8"/>
      <c r="T65"/>
    </row>
    <row r="66" spans="2:20" ht="23.1" customHeight="1" x14ac:dyDescent="0.25">
      <c r="B66" s="23" t="s">
        <v>103</v>
      </c>
      <c r="C66" s="49">
        <f>AVERAGE('1.11 Mbalala-Mukono-24h'!C66,'2.11 Mbalala-Mukono-24h'!C66)</f>
        <v>23.5</v>
      </c>
      <c r="D66" s="49">
        <f>AVERAGE('1.11 Mbalala-Mukono-24h'!D66,'2.11 Mbalala-Mukono-24h'!D66)</f>
        <v>7.5</v>
      </c>
      <c r="E66" s="49">
        <f>AVERAGE('1.11 Mbalala-Mukono-24h'!E66,'2.11 Mbalala-Mukono-24h'!E66)</f>
        <v>2.5</v>
      </c>
      <c r="F66" s="49">
        <f>AVERAGE('1.11 Mbalala-Mukono-24h'!F66,'2.11 Mbalala-Mukono-24h'!F66)</f>
        <v>19</v>
      </c>
      <c r="G66" s="49">
        <f>AVERAGE('1.11 Mbalala-Mukono-24h'!G66,'2.11 Mbalala-Mukono-24h'!G66)</f>
        <v>1</v>
      </c>
      <c r="H66" s="49">
        <f>AVERAGE('1.11 Mbalala-Mukono-24h'!H66,'2.11 Mbalala-Mukono-24h'!H66)</f>
        <v>0.5</v>
      </c>
      <c r="I66" s="49">
        <f>AVERAGE('1.11 Mbalala-Mukono-24h'!I66,'2.11 Mbalala-Mukono-24h'!I66)</f>
        <v>4.5</v>
      </c>
      <c r="J66" s="49">
        <f>AVERAGE('1.11 Mbalala-Mukono-24h'!J66,'2.11 Mbalala-Mukono-24h'!J66)</f>
        <v>4.5</v>
      </c>
      <c r="K66" s="49">
        <f>AVERAGE('1.11 Mbalala-Mukono-24h'!K66,'2.11 Mbalala-Mukono-24h'!K66)</f>
        <v>1.5</v>
      </c>
      <c r="L66" s="49">
        <f>AVERAGE('1.11 Mbalala-Mukono-24h'!L66,'2.11 Mbalala-Mukono-24h'!L66)</f>
        <v>4.5</v>
      </c>
      <c r="M66" s="49">
        <f>AVERAGE('1.11 Mbalala-Mukono-24h'!M66,'2.11 Mbalala-Mukono-24h'!M66)</f>
        <v>13</v>
      </c>
      <c r="N66" s="49">
        <f>AVERAGE('1.11 Mbalala-Mukono-24h'!N66,'2.11 Mbalala-Mukono-24h'!N66)</f>
        <v>0</v>
      </c>
      <c r="O66" s="15">
        <f t="shared" si="0"/>
        <v>69</v>
      </c>
      <c r="P66" s="15">
        <f t="shared" si="1"/>
        <v>82</v>
      </c>
      <c r="R66" s="8"/>
      <c r="T66"/>
    </row>
    <row r="67" spans="2:20" ht="23.1" customHeight="1" x14ac:dyDescent="0.25">
      <c r="B67" s="23" t="s">
        <v>104</v>
      </c>
      <c r="C67" s="49">
        <f>AVERAGE('1.11 Mbalala-Mukono-24h'!C67,'2.11 Mbalala-Mukono-24h'!C67)</f>
        <v>31</v>
      </c>
      <c r="D67" s="49">
        <f>AVERAGE('1.11 Mbalala-Mukono-24h'!D67,'2.11 Mbalala-Mukono-24h'!D67)</f>
        <v>3.5</v>
      </c>
      <c r="E67" s="49">
        <f>AVERAGE('1.11 Mbalala-Mukono-24h'!E67,'2.11 Mbalala-Mukono-24h'!E67)</f>
        <v>3.5</v>
      </c>
      <c r="F67" s="49">
        <f>AVERAGE('1.11 Mbalala-Mukono-24h'!F67,'2.11 Mbalala-Mukono-24h'!F67)</f>
        <v>20.5</v>
      </c>
      <c r="G67" s="49">
        <f>AVERAGE('1.11 Mbalala-Mukono-24h'!G67,'2.11 Mbalala-Mukono-24h'!G67)</f>
        <v>2</v>
      </c>
      <c r="H67" s="49">
        <f>AVERAGE('1.11 Mbalala-Mukono-24h'!H67,'2.11 Mbalala-Mukono-24h'!H67)</f>
        <v>0.5</v>
      </c>
      <c r="I67" s="49">
        <f>AVERAGE('1.11 Mbalala-Mukono-24h'!I67,'2.11 Mbalala-Mukono-24h'!I67)</f>
        <v>3</v>
      </c>
      <c r="J67" s="49">
        <f>AVERAGE('1.11 Mbalala-Mukono-24h'!J67,'2.11 Mbalala-Mukono-24h'!J67)</f>
        <v>5.5</v>
      </c>
      <c r="K67" s="49">
        <f>AVERAGE('1.11 Mbalala-Mukono-24h'!K67,'2.11 Mbalala-Mukono-24h'!K67)</f>
        <v>1.5</v>
      </c>
      <c r="L67" s="49">
        <f>AVERAGE('1.11 Mbalala-Mukono-24h'!L67,'2.11 Mbalala-Mukono-24h'!L67)</f>
        <v>6.5</v>
      </c>
      <c r="M67" s="49">
        <f>AVERAGE('1.11 Mbalala-Mukono-24h'!M67,'2.11 Mbalala-Mukono-24h'!M67)</f>
        <v>19.5</v>
      </c>
      <c r="N67" s="49">
        <f>AVERAGE('1.11 Mbalala-Mukono-24h'!N67,'2.11 Mbalala-Mukono-24h'!N67)</f>
        <v>0</v>
      </c>
      <c r="O67" s="15">
        <f t="shared" si="0"/>
        <v>77.5</v>
      </c>
      <c r="P67" s="15">
        <f t="shared" si="1"/>
        <v>97</v>
      </c>
      <c r="R67" s="8"/>
      <c r="T67"/>
    </row>
    <row r="68" spans="2:20" ht="23.1" customHeight="1" x14ac:dyDescent="0.25">
      <c r="B68" s="23" t="s">
        <v>105</v>
      </c>
      <c r="C68" s="49">
        <f>AVERAGE('1.11 Mbalala-Mukono-24h'!C68,'2.11 Mbalala-Mukono-24h'!C68)</f>
        <v>24</v>
      </c>
      <c r="D68" s="49">
        <f>AVERAGE('1.11 Mbalala-Mukono-24h'!D68,'2.11 Mbalala-Mukono-24h'!D68)</f>
        <v>2.5</v>
      </c>
      <c r="E68" s="49">
        <f>AVERAGE('1.11 Mbalala-Mukono-24h'!E68,'2.11 Mbalala-Mukono-24h'!E68)</f>
        <v>3</v>
      </c>
      <c r="F68" s="49">
        <f>AVERAGE('1.11 Mbalala-Mukono-24h'!F68,'2.11 Mbalala-Mukono-24h'!F68)</f>
        <v>18</v>
      </c>
      <c r="G68" s="49">
        <f>AVERAGE('1.11 Mbalala-Mukono-24h'!G68,'2.11 Mbalala-Mukono-24h'!G68)</f>
        <v>1</v>
      </c>
      <c r="H68" s="49">
        <f>AVERAGE('1.11 Mbalala-Mukono-24h'!H68,'2.11 Mbalala-Mukono-24h'!H68)</f>
        <v>1</v>
      </c>
      <c r="I68" s="49">
        <f>AVERAGE('1.11 Mbalala-Mukono-24h'!I68,'2.11 Mbalala-Mukono-24h'!I68)</f>
        <v>5.5</v>
      </c>
      <c r="J68" s="49">
        <f>AVERAGE('1.11 Mbalala-Mukono-24h'!J68,'2.11 Mbalala-Mukono-24h'!J68)</f>
        <v>8</v>
      </c>
      <c r="K68" s="49">
        <f>AVERAGE('1.11 Mbalala-Mukono-24h'!K68,'2.11 Mbalala-Mukono-24h'!K68)</f>
        <v>2.5</v>
      </c>
      <c r="L68" s="49">
        <f>AVERAGE('1.11 Mbalala-Mukono-24h'!L68,'2.11 Mbalala-Mukono-24h'!L68)</f>
        <v>7</v>
      </c>
      <c r="M68" s="49">
        <f>AVERAGE('1.11 Mbalala-Mukono-24h'!M68,'2.11 Mbalala-Mukono-24h'!M68)</f>
        <v>21</v>
      </c>
      <c r="N68" s="49">
        <f>AVERAGE('1.11 Mbalala-Mukono-24h'!N68,'2.11 Mbalala-Mukono-24h'!N68)</f>
        <v>0</v>
      </c>
      <c r="O68" s="15">
        <f t="shared" si="0"/>
        <v>72.5</v>
      </c>
      <c r="P68" s="15">
        <f t="shared" si="1"/>
        <v>93.5</v>
      </c>
      <c r="R68" s="8"/>
      <c r="T68"/>
    </row>
    <row r="69" spans="2:20" ht="23.1" customHeight="1" x14ac:dyDescent="0.25">
      <c r="B69" s="23" t="s">
        <v>106</v>
      </c>
      <c r="C69" s="49">
        <f>AVERAGE('1.11 Mbalala-Mukono-24h'!C69,'2.11 Mbalala-Mukono-24h'!C69)</f>
        <v>23.5</v>
      </c>
      <c r="D69" s="49">
        <f>AVERAGE('1.11 Mbalala-Mukono-24h'!D69,'2.11 Mbalala-Mukono-24h'!D69)</f>
        <v>2.5</v>
      </c>
      <c r="E69" s="49">
        <f>AVERAGE('1.11 Mbalala-Mukono-24h'!E69,'2.11 Mbalala-Mukono-24h'!E69)</f>
        <v>5.5</v>
      </c>
      <c r="F69" s="49">
        <f>AVERAGE('1.11 Mbalala-Mukono-24h'!F69,'2.11 Mbalala-Mukono-24h'!F69)</f>
        <v>21</v>
      </c>
      <c r="G69" s="49">
        <f>AVERAGE('1.11 Mbalala-Mukono-24h'!G69,'2.11 Mbalala-Mukono-24h'!G69)</f>
        <v>1</v>
      </c>
      <c r="H69" s="49">
        <f>AVERAGE('1.11 Mbalala-Mukono-24h'!H69,'2.11 Mbalala-Mukono-24h'!H69)</f>
        <v>1.5</v>
      </c>
      <c r="I69" s="49">
        <f>AVERAGE('1.11 Mbalala-Mukono-24h'!I69,'2.11 Mbalala-Mukono-24h'!I69)</f>
        <v>6</v>
      </c>
      <c r="J69" s="49">
        <f>AVERAGE('1.11 Mbalala-Mukono-24h'!J69,'2.11 Mbalala-Mukono-24h'!J69)</f>
        <v>5.5</v>
      </c>
      <c r="K69" s="49">
        <f>AVERAGE('1.11 Mbalala-Mukono-24h'!K69,'2.11 Mbalala-Mukono-24h'!K69)</f>
        <v>3.5</v>
      </c>
      <c r="L69" s="49">
        <f>AVERAGE('1.11 Mbalala-Mukono-24h'!L69,'2.11 Mbalala-Mukono-24h'!L69)</f>
        <v>9.5</v>
      </c>
      <c r="M69" s="49">
        <f>AVERAGE('1.11 Mbalala-Mukono-24h'!M69,'2.11 Mbalala-Mukono-24h'!M69)</f>
        <v>20.5</v>
      </c>
      <c r="N69" s="49">
        <f>AVERAGE('1.11 Mbalala-Mukono-24h'!N69,'2.11 Mbalala-Mukono-24h'!N69)</f>
        <v>0</v>
      </c>
      <c r="O69" s="15">
        <f t="shared" si="0"/>
        <v>79.5</v>
      </c>
      <c r="P69" s="15">
        <f t="shared" si="1"/>
        <v>100</v>
      </c>
      <c r="R69" s="8"/>
      <c r="T69"/>
    </row>
    <row r="70" spans="2:20" ht="23.1" customHeight="1" x14ac:dyDescent="0.25">
      <c r="B70" s="23" t="s">
        <v>110</v>
      </c>
      <c r="C70" s="49">
        <f>AVERAGE('1.11 Mbalala-Mukono-24h'!C70,'2.11 Mbalala-Mukono-24h'!C70)</f>
        <v>21.5</v>
      </c>
      <c r="D70" s="49">
        <f>AVERAGE('1.11 Mbalala-Mukono-24h'!D70,'2.11 Mbalala-Mukono-24h'!D70)</f>
        <v>9</v>
      </c>
      <c r="E70" s="49">
        <f>AVERAGE('1.11 Mbalala-Mukono-24h'!E70,'2.11 Mbalala-Mukono-24h'!E70)</f>
        <v>6</v>
      </c>
      <c r="F70" s="49">
        <f>AVERAGE('1.11 Mbalala-Mukono-24h'!F70,'2.11 Mbalala-Mukono-24h'!F70)</f>
        <v>22</v>
      </c>
      <c r="G70" s="49">
        <f>AVERAGE('1.11 Mbalala-Mukono-24h'!G70,'2.11 Mbalala-Mukono-24h'!G70)</f>
        <v>1</v>
      </c>
      <c r="H70" s="49">
        <f>AVERAGE('1.11 Mbalala-Mukono-24h'!H70,'2.11 Mbalala-Mukono-24h'!H70)</f>
        <v>0.5</v>
      </c>
      <c r="I70" s="49">
        <f>AVERAGE('1.11 Mbalala-Mukono-24h'!I70,'2.11 Mbalala-Mukono-24h'!I70)</f>
        <v>4</v>
      </c>
      <c r="J70" s="49">
        <f>AVERAGE('1.11 Mbalala-Mukono-24h'!J70,'2.11 Mbalala-Mukono-24h'!J70)</f>
        <v>7</v>
      </c>
      <c r="K70" s="49">
        <f>AVERAGE('1.11 Mbalala-Mukono-24h'!K70,'2.11 Mbalala-Mukono-24h'!K70)</f>
        <v>2</v>
      </c>
      <c r="L70" s="49">
        <f>AVERAGE('1.11 Mbalala-Mukono-24h'!L70,'2.11 Mbalala-Mukono-24h'!L70)</f>
        <v>8.5</v>
      </c>
      <c r="M70" s="49">
        <f>AVERAGE('1.11 Mbalala-Mukono-24h'!M70,'2.11 Mbalala-Mukono-24h'!M70)</f>
        <v>20</v>
      </c>
      <c r="N70" s="49">
        <f>AVERAGE('1.11 Mbalala-Mukono-24h'!N70,'2.11 Mbalala-Mukono-24h'!N70)</f>
        <v>0</v>
      </c>
      <c r="O70" s="15">
        <f t="shared" si="0"/>
        <v>81.5</v>
      </c>
      <c r="P70" s="15">
        <f t="shared" si="1"/>
        <v>101.5</v>
      </c>
      <c r="R70" s="8"/>
      <c r="T70"/>
    </row>
    <row r="71" spans="2:20" ht="23.1" customHeight="1" x14ac:dyDescent="0.25">
      <c r="B71" s="23" t="s">
        <v>111</v>
      </c>
      <c r="C71" s="49">
        <f>AVERAGE('1.11 Mbalala-Mukono-24h'!C71,'2.11 Mbalala-Mukono-24h'!C71)</f>
        <v>21</v>
      </c>
      <c r="D71" s="49">
        <f>AVERAGE('1.11 Mbalala-Mukono-24h'!D71,'2.11 Mbalala-Mukono-24h'!D71)</f>
        <v>4</v>
      </c>
      <c r="E71" s="49">
        <f>AVERAGE('1.11 Mbalala-Mukono-24h'!E71,'2.11 Mbalala-Mukono-24h'!E71)</f>
        <v>3.5</v>
      </c>
      <c r="F71" s="49">
        <f>AVERAGE('1.11 Mbalala-Mukono-24h'!F71,'2.11 Mbalala-Mukono-24h'!F71)</f>
        <v>22</v>
      </c>
      <c r="G71" s="49">
        <f>AVERAGE('1.11 Mbalala-Mukono-24h'!G71,'2.11 Mbalala-Mukono-24h'!G71)</f>
        <v>1.5</v>
      </c>
      <c r="H71" s="49">
        <f>AVERAGE('1.11 Mbalala-Mukono-24h'!H71,'2.11 Mbalala-Mukono-24h'!H71)</f>
        <v>3</v>
      </c>
      <c r="I71" s="49">
        <f>AVERAGE('1.11 Mbalala-Mukono-24h'!I71,'2.11 Mbalala-Mukono-24h'!I71)</f>
        <v>6.5</v>
      </c>
      <c r="J71" s="49">
        <f>AVERAGE('1.11 Mbalala-Mukono-24h'!J71,'2.11 Mbalala-Mukono-24h'!J71)</f>
        <v>6</v>
      </c>
      <c r="K71" s="49">
        <f>AVERAGE('1.11 Mbalala-Mukono-24h'!K71,'2.11 Mbalala-Mukono-24h'!K71)</f>
        <v>3</v>
      </c>
      <c r="L71" s="49">
        <f>AVERAGE('1.11 Mbalala-Mukono-24h'!L71,'2.11 Mbalala-Mukono-24h'!L71)</f>
        <v>10.5</v>
      </c>
      <c r="M71" s="49">
        <f>AVERAGE('1.11 Mbalala-Mukono-24h'!M71,'2.11 Mbalala-Mukono-24h'!M71)</f>
        <v>18.5</v>
      </c>
      <c r="N71" s="49">
        <f>AVERAGE('1.11 Mbalala-Mukono-24h'!N71,'2.11 Mbalala-Mukono-24h'!N71)</f>
        <v>0</v>
      </c>
      <c r="O71" s="15">
        <f t="shared" si="0"/>
        <v>81</v>
      </c>
      <c r="P71" s="15">
        <f t="shared" si="1"/>
        <v>99.5</v>
      </c>
      <c r="R71" s="8"/>
      <c r="T71"/>
    </row>
    <row r="72" spans="2:20" ht="23.1" customHeight="1" x14ac:dyDescent="0.25">
      <c r="B72" s="23" t="s">
        <v>112</v>
      </c>
      <c r="C72" s="49">
        <f>AVERAGE('1.11 Mbalala-Mukono-24h'!C72,'2.11 Mbalala-Mukono-24h'!C72)</f>
        <v>34</v>
      </c>
      <c r="D72" s="49">
        <f>AVERAGE('1.11 Mbalala-Mukono-24h'!D72,'2.11 Mbalala-Mukono-24h'!D72)</f>
        <v>7.5</v>
      </c>
      <c r="E72" s="49">
        <f>AVERAGE('1.11 Mbalala-Mukono-24h'!E72,'2.11 Mbalala-Mukono-24h'!E72)</f>
        <v>6</v>
      </c>
      <c r="F72" s="49">
        <f>AVERAGE('1.11 Mbalala-Mukono-24h'!F72,'2.11 Mbalala-Mukono-24h'!F72)</f>
        <v>32</v>
      </c>
      <c r="G72" s="49">
        <f>AVERAGE('1.11 Mbalala-Mukono-24h'!G72,'2.11 Mbalala-Mukono-24h'!G72)</f>
        <v>4</v>
      </c>
      <c r="H72" s="49">
        <f>AVERAGE('1.11 Mbalala-Mukono-24h'!H72,'2.11 Mbalala-Mukono-24h'!H72)</f>
        <v>1</v>
      </c>
      <c r="I72" s="49">
        <f>AVERAGE('1.11 Mbalala-Mukono-24h'!I72,'2.11 Mbalala-Mukono-24h'!I72)</f>
        <v>9</v>
      </c>
      <c r="J72" s="49">
        <f>AVERAGE('1.11 Mbalala-Mukono-24h'!J72,'2.11 Mbalala-Mukono-24h'!J72)</f>
        <v>9</v>
      </c>
      <c r="K72" s="49">
        <f>AVERAGE('1.11 Mbalala-Mukono-24h'!K72,'2.11 Mbalala-Mukono-24h'!K72)</f>
        <v>2</v>
      </c>
      <c r="L72" s="49">
        <f>AVERAGE('1.11 Mbalala-Mukono-24h'!L72,'2.11 Mbalala-Mukono-24h'!L72)</f>
        <v>9.5</v>
      </c>
      <c r="M72" s="49">
        <f>AVERAGE('1.11 Mbalala-Mukono-24h'!M72,'2.11 Mbalala-Mukono-24h'!M72)</f>
        <v>19.5</v>
      </c>
      <c r="N72" s="49">
        <f>AVERAGE('1.11 Mbalala-Mukono-24h'!N72,'2.11 Mbalala-Mukono-24h'!N72)</f>
        <v>0</v>
      </c>
      <c r="O72" s="15">
        <f t="shared" si="0"/>
        <v>114</v>
      </c>
      <c r="P72" s="15">
        <f t="shared" si="1"/>
        <v>133.5</v>
      </c>
      <c r="R72" s="8"/>
      <c r="T72"/>
    </row>
    <row r="73" spans="2:20" ht="23.1" customHeight="1" x14ac:dyDescent="0.25">
      <c r="B73" s="23" t="s">
        <v>113</v>
      </c>
      <c r="C73" s="49">
        <f>AVERAGE('1.11 Mbalala-Mukono-24h'!C73,'2.11 Mbalala-Mukono-24h'!C73)</f>
        <v>22.5</v>
      </c>
      <c r="D73" s="49">
        <f>AVERAGE('1.11 Mbalala-Mukono-24h'!D73,'2.11 Mbalala-Mukono-24h'!D73)</f>
        <v>6.5</v>
      </c>
      <c r="E73" s="49">
        <f>AVERAGE('1.11 Mbalala-Mukono-24h'!E73,'2.11 Mbalala-Mukono-24h'!E73)</f>
        <v>6</v>
      </c>
      <c r="F73" s="49">
        <f>AVERAGE('1.11 Mbalala-Mukono-24h'!F73,'2.11 Mbalala-Mukono-24h'!F73)</f>
        <v>23</v>
      </c>
      <c r="G73" s="49">
        <f>AVERAGE('1.11 Mbalala-Mukono-24h'!G73,'2.11 Mbalala-Mukono-24h'!G73)</f>
        <v>1</v>
      </c>
      <c r="H73" s="49">
        <f>AVERAGE('1.11 Mbalala-Mukono-24h'!H73,'2.11 Mbalala-Mukono-24h'!H73)</f>
        <v>0.5</v>
      </c>
      <c r="I73" s="49">
        <f>AVERAGE('1.11 Mbalala-Mukono-24h'!I73,'2.11 Mbalala-Mukono-24h'!I73)</f>
        <v>7.5</v>
      </c>
      <c r="J73" s="49">
        <f>AVERAGE('1.11 Mbalala-Mukono-24h'!J73,'2.11 Mbalala-Mukono-24h'!J73)</f>
        <v>9.5</v>
      </c>
      <c r="K73" s="49">
        <f>AVERAGE('1.11 Mbalala-Mukono-24h'!K73,'2.11 Mbalala-Mukono-24h'!K73)</f>
        <v>3</v>
      </c>
      <c r="L73" s="49">
        <f>AVERAGE('1.11 Mbalala-Mukono-24h'!L73,'2.11 Mbalala-Mukono-24h'!L73)</f>
        <v>12</v>
      </c>
      <c r="M73" s="49">
        <f>AVERAGE('1.11 Mbalala-Mukono-24h'!M73,'2.11 Mbalala-Mukono-24h'!M73)</f>
        <v>20</v>
      </c>
      <c r="N73" s="49">
        <f>AVERAGE('1.11 Mbalala-Mukono-24h'!N73,'2.11 Mbalala-Mukono-24h'!N73)</f>
        <v>0</v>
      </c>
      <c r="O73" s="15">
        <f t="shared" si="0"/>
        <v>91.5</v>
      </c>
      <c r="P73" s="15">
        <f t="shared" si="1"/>
        <v>111.5</v>
      </c>
      <c r="R73" s="8"/>
      <c r="T73"/>
    </row>
    <row r="74" spans="2:20" ht="23.1" customHeight="1" x14ac:dyDescent="0.25">
      <c r="B74" s="23" t="s">
        <v>114</v>
      </c>
      <c r="C74" s="49">
        <f>AVERAGE('1.11 Mbalala-Mukono-24h'!C74,'2.11 Mbalala-Mukono-24h'!C74)</f>
        <v>12</v>
      </c>
      <c r="D74" s="49">
        <f>AVERAGE('1.11 Mbalala-Mukono-24h'!D74,'2.11 Mbalala-Mukono-24h'!D74)</f>
        <v>2.5</v>
      </c>
      <c r="E74" s="49">
        <f>AVERAGE('1.11 Mbalala-Mukono-24h'!E74,'2.11 Mbalala-Mukono-24h'!E74)</f>
        <v>3</v>
      </c>
      <c r="F74" s="49">
        <f>AVERAGE('1.11 Mbalala-Mukono-24h'!F74,'2.11 Mbalala-Mukono-24h'!F74)</f>
        <v>18.5</v>
      </c>
      <c r="G74" s="49">
        <f>AVERAGE('1.11 Mbalala-Mukono-24h'!G74,'2.11 Mbalala-Mukono-24h'!G74)</f>
        <v>2.5</v>
      </c>
      <c r="H74" s="49">
        <f>AVERAGE('1.11 Mbalala-Mukono-24h'!H74,'2.11 Mbalala-Mukono-24h'!H74)</f>
        <v>2</v>
      </c>
      <c r="I74" s="49">
        <f>AVERAGE('1.11 Mbalala-Mukono-24h'!I74,'2.11 Mbalala-Mukono-24h'!I74)</f>
        <v>7</v>
      </c>
      <c r="J74" s="49">
        <f>AVERAGE('1.11 Mbalala-Mukono-24h'!J74,'2.11 Mbalala-Mukono-24h'!J74)</f>
        <v>6.5</v>
      </c>
      <c r="K74" s="49">
        <f>AVERAGE('1.11 Mbalala-Mukono-24h'!K74,'2.11 Mbalala-Mukono-24h'!K74)</f>
        <v>2.5</v>
      </c>
      <c r="L74" s="49">
        <f>AVERAGE('1.11 Mbalala-Mukono-24h'!L74,'2.11 Mbalala-Mukono-24h'!L74)</f>
        <v>7</v>
      </c>
      <c r="M74" s="49">
        <f>AVERAGE('1.11 Mbalala-Mukono-24h'!M74,'2.11 Mbalala-Mukono-24h'!M74)</f>
        <v>12.5</v>
      </c>
      <c r="N74" s="49">
        <f>AVERAGE('1.11 Mbalala-Mukono-24h'!N74,'2.11 Mbalala-Mukono-24h'!N74)</f>
        <v>0</v>
      </c>
      <c r="O74" s="15">
        <f t="shared" ref="O74:O104" si="35">SUM(C74:L74,N74)</f>
        <v>63.5</v>
      </c>
      <c r="P74" s="15">
        <f t="shared" ref="P74:P104" si="36">SUM(C74:N74)</f>
        <v>76</v>
      </c>
      <c r="R74" s="8"/>
      <c r="T74"/>
    </row>
    <row r="75" spans="2:20" ht="23.1" customHeight="1" x14ac:dyDescent="0.25">
      <c r="B75" s="23" t="s">
        <v>115</v>
      </c>
      <c r="C75" s="49">
        <f>AVERAGE('1.11 Mbalala-Mukono-24h'!C75,'2.11 Mbalala-Mukono-24h'!C75)</f>
        <v>20</v>
      </c>
      <c r="D75" s="49">
        <f>AVERAGE('1.11 Mbalala-Mukono-24h'!D75,'2.11 Mbalala-Mukono-24h'!D75)</f>
        <v>3</v>
      </c>
      <c r="E75" s="49">
        <f>AVERAGE('1.11 Mbalala-Mukono-24h'!E75,'2.11 Mbalala-Mukono-24h'!E75)</f>
        <v>3.5</v>
      </c>
      <c r="F75" s="49">
        <f>AVERAGE('1.11 Mbalala-Mukono-24h'!F75,'2.11 Mbalala-Mukono-24h'!F75)</f>
        <v>17.5</v>
      </c>
      <c r="G75" s="49">
        <f>AVERAGE('1.11 Mbalala-Mukono-24h'!G75,'2.11 Mbalala-Mukono-24h'!G75)</f>
        <v>0</v>
      </c>
      <c r="H75" s="49">
        <f>AVERAGE('1.11 Mbalala-Mukono-24h'!H75,'2.11 Mbalala-Mukono-24h'!H75)</f>
        <v>0.5</v>
      </c>
      <c r="I75" s="49">
        <f>AVERAGE('1.11 Mbalala-Mukono-24h'!I75,'2.11 Mbalala-Mukono-24h'!I75)</f>
        <v>5</v>
      </c>
      <c r="J75" s="49">
        <f>AVERAGE('1.11 Mbalala-Mukono-24h'!J75,'2.11 Mbalala-Mukono-24h'!J75)</f>
        <v>5</v>
      </c>
      <c r="K75" s="49">
        <f>AVERAGE('1.11 Mbalala-Mukono-24h'!K75,'2.11 Mbalala-Mukono-24h'!K75)</f>
        <v>0.5</v>
      </c>
      <c r="L75" s="49">
        <f>AVERAGE('1.11 Mbalala-Mukono-24h'!L75,'2.11 Mbalala-Mukono-24h'!L75)</f>
        <v>10.5</v>
      </c>
      <c r="M75" s="49">
        <f>AVERAGE('1.11 Mbalala-Mukono-24h'!M75,'2.11 Mbalala-Mukono-24h'!M75)</f>
        <v>14</v>
      </c>
      <c r="N75" s="49">
        <f>AVERAGE('1.11 Mbalala-Mukono-24h'!N75,'2.11 Mbalala-Mukono-24h'!N75)</f>
        <v>0</v>
      </c>
      <c r="O75" s="15">
        <f t="shared" si="35"/>
        <v>65.5</v>
      </c>
      <c r="P75" s="15">
        <f t="shared" si="36"/>
        <v>79.5</v>
      </c>
      <c r="R75" s="8"/>
      <c r="T75"/>
    </row>
    <row r="76" spans="2:20" ht="23.1" customHeight="1" x14ac:dyDescent="0.25">
      <c r="B76" s="23" t="s">
        <v>116</v>
      </c>
      <c r="C76" s="49">
        <f>AVERAGE('1.11 Mbalala-Mukono-24h'!C76,'2.11 Mbalala-Mukono-24h'!C76)</f>
        <v>21</v>
      </c>
      <c r="D76" s="49">
        <f>AVERAGE('1.11 Mbalala-Mukono-24h'!D76,'2.11 Mbalala-Mukono-24h'!D76)</f>
        <v>3</v>
      </c>
      <c r="E76" s="49">
        <f>AVERAGE('1.11 Mbalala-Mukono-24h'!E76,'2.11 Mbalala-Mukono-24h'!E76)</f>
        <v>4.5</v>
      </c>
      <c r="F76" s="49">
        <f>AVERAGE('1.11 Mbalala-Mukono-24h'!F76,'2.11 Mbalala-Mukono-24h'!F76)</f>
        <v>14</v>
      </c>
      <c r="G76" s="49">
        <f>AVERAGE('1.11 Mbalala-Mukono-24h'!G76,'2.11 Mbalala-Mukono-24h'!G76)</f>
        <v>1.5</v>
      </c>
      <c r="H76" s="49">
        <f>AVERAGE('1.11 Mbalala-Mukono-24h'!H76,'2.11 Mbalala-Mukono-24h'!H76)</f>
        <v>0</v>
      </c>
      <c r="I76" s="49">
        <f>AVERAGE('1.11 Mbalala-Mukono-24h'!I76,'2.11 Mbalala-Mukono-24h'!I76)</f>
        <v>7</v>
      </c>
      <c r="J76" s="49">
        <f>AVERAGE('1.11 Mbalala-Mukono-24h'!J76,'2.11 Mbalala-Mukono-24h'!J76)</f>
        <v>9.5</v>
      </c>
      <c r="K76" s="49">
        <f>AVERAGE('1.11 Mbalala-Mukono-24h'!K76,'2.11 Mbalala-Mukono-24h'!K76)</f>
        <v>5</v>
      </c>
      <c r="L76" s="49">
        <f>AVERAGE('1.11 Mbalala-Mukono-24h'!L76,'2.11 Mbalala-Mukono-24h'!L76)</f>
        <v>9</v>
      </c>
      <c r="M76" s="49">
        <f>AVERAGE('1.11 Mbalala-Mukono-24h'!M76,'2.11 Mbalala-Mukono-24h'!M76)</f>
        <v>12</v>
      </c>
      <c r="N76" s="49">
        <f>AVERAGE('1.11 Mbalala-Mukono-24h'!N76,'2.11 Mbalala-Mukono-24h'!N76)</f>
        <v>0</v>
      </c>
      <c r="O76" s="15">
        <f t="shared" si="35"/>
        <v>74.5</v>
      </c>
      <c r="P76" s="15">
        <f t="shared" si="36"/>
        <v>86.5</v>
      </c>
      <c r="R76" s="8"/>
      <c r="T76"/>
    </row>
    <row r="77" spans="2:20" ht="23.1" customHeight="1" x14ac:dyDescent="0.25">
      <c r="B77" s="23" t="s">
        <v>117</v>
      </c>
      <c r="C77" s="49">
        <f>AVERAGE('1.11 Mbalala-Mukono-24h'!C77,'2.11 Mbalala-Mukono-24h'!C77)</f>
        <v>13</v>
      </c>
      <c r="D77" s="49">
        <f>AVERAGE('1.11 Mbalala-Mukono-24h'!D77,'2.11 Mbalala-Mukono-24h'!D77)</f>
        <v>3</v>
      </c>
      <c r="E77" s="49">
        <f>AVERAGE('1.11 Mbalala-Mukono-24h'!E77,'2.11 Mbalala-Mukono-24h'!E77)</f>
        <v>1</v>
      </c>
      <c r="F77" s="49">
        <f>AVERAGE('1.11 Mbalala-Mukono-24h'!F77,'2.11 Mbalala-Mukono-24h'!F77)</f>
        <v>13</v>
      </c>
      <c r="G77" s="49">
        <f>AVERAGE('1.11 Mbalala-Mukono-24h'!G77,'2.11 Mbalala-Mukono-24h'!G77)</f>
        <v>2</v>
      </c>
      <c r="H77" s="49">
        <f>AVERAGE('1.11 Mbalala-Mukono-24h'!H77,'2.11 Mbalala-Mukono-24h'!H77)</f>
        <v>2</v>
      </c>
      <c r="I77" s="49">
        <f>AVERAGE('1.11 Mbalala-Mukono-24h'!I77,'2.11 Mbalala-Mukono-24h'!I77)</f>
        <v>4.5</v>
      </c>
      <c r="J77" s="49">
        <f>AVERAGE('1.11 Mbalala-Mukono-24h'!J77,'2.11 Mbalala-Mukono-24h'!J77)</f>
        <v>8.5</v>
      </c>
      <c r="K77" s="49">
        <f>AVERAGE('1.11 Mbalala-Mukono-24h'!K77,'2.11 Mbalala-Mukono-24h'!K77)</f>
        <v>1.5</v>
      </c>
      <c r="L77" s="49">
        <f>AVERAGE('1.11 Mbalala-Mukono-24h'!L77,'2.11 Mbalala-Mukono-24h'!L77)</f>
        <v>10.5</v>
      </c>
      <c r="M77" s="49">
        <f>AVERAGE('1.11 Mbalala-Mukono-24h'!M77,'2.11 Mbalala-Mukono-24h'!M77)</f>
        <v>9.5</v>
      </c>
      <c r="N77" s="49">
        <f>AVERAGE('1.11 Mbalala-Mukono-24h'!N77,'2.11 Mbalala-Mukono-24h'!N77)</f>
        <v>0</v>
      </c>
      <c r="O77" s="15">
        <f t="shared" si="35"/>
        <v>59</v>
      </c>
      <c r="P77" s="15">
        <f t="shared" si="36"/>
        <v>68.5</v>
      </c>
      <c r="R77" s="8"/>
      <c r="T77"/>
    </row>
    <row r="78" spans="2:20" ht="23.1" customHeight="1" x14ac:dyDescent="0.25">
      <c r="B78" s="24" t="s">
        <v>118</v>
      </c>
      <c r="C78" s="49">
        <f>AVERAGE('1.11 Mbalala-Mukono-24h'!C78,'2.11 Mbalala-Mukono-24h'!C78)</f>
        <v>10</v>
      </c>
      <c r="D78" s="49">
        <f>AVERAGE('1.11 Mbalala-Mukono-24h'!D78,'2.11 Mbalala-Mukono-24h'!D78)</f>
        <v>2</v>
      </c>
      <c r="E78" s="49">
        <f>AVERAGE('1.11 Mbalala-Mukono-24h'!E78,'2.11 Mbalala-Mukono-24h'!E78)</f>
        <v>1.5</v>
      </c>
      <c r="F78" s="49">
        <f>AVERAGE('1.11 Mbalala-Mukono-24h'!F78,'2.11 Mbalala-Mukono-24h'!F78)</f>
        <v>8.5</v>
      </c>
      <c r="G78" s="49">
        <f>AVERAGE('1.11 Mbalala-Mukono-24h'!G78,'2.11 Mbalala-Mukono-24h'!G78)</f>
        <v>0.5</v>
      </c>
      <c r="H78" s="49">
        <f>AVERAGE('1.11 Mbalala-Mukono-24h'!H78,'2.11 Mbalala-Mukono-24h'!H78)</f>
        <v>0.5</v>
      </c>
      <c r="I78" s="49">
        <f>AVERAGE('1.11 Mbalala-Mukono-24h'!I78,'2.11 Mbalala-Mukono-24h'!I78)</f>
        <v>6</v>
      </c>
      <c r="J78" s="49">
        <f>AVERAGE('1.11 Mbalala-Mukono-24h'!J78,'2.11 Mbalala-Mukono-24h'!J78)</f>
        <v>9</v>
      </c>
      <c r="K78" s="49">
        <f>AVERAGE('1.11 Mbalala-Mukono-24h'!K78,'2.11 Mbalala-Mukono-24h'!K78)</f>
        <v>0.5</v>
      </c>
      <c r="L78" s="49">
        <f>AVERAGE('1.11 Mbalala-Mukono-24h'!L78,'2.11 Mbalala-Mukono-24h'!L78)</f>
        <v>6.5</v>
      </c>
      <c r="M78" s="49">
        <f>AVERAGE('1.11 Mbalala-Mukono-24h'!M78,'2.11 Mbalala-Mukono-24h'!M78)</f>
        <v>6</v>
      </c>
      <c r="N78" s="49">
        <f>AVERAGE('1.11 Mbalala-Mukono-24h'!N78,'2.11 Mbalala-Mukono-24h'!N78)</f>
        <v>0</v>
      </c>
      <c r="O78" s="15">
        <f t="shared" si="35"/>
        <v>45</v>
      </c>
      <c r="P78" s="15">
        <f t="shared" si="36"/>
        <v>51</v>
      </c>
      <c r="R78" s="8"/>
      <c r="T78"/>
    </row>
    <row r="79" spans="2:20" ht="23.1" customHeight="1" x14ac:dyDescent="0.25">
      <c r="B79" s="23" t="s">
        <v>119</v>
      </c>
      <c r="C79" s="49">
        <f>AVERAGE('1.11 Mbalala-Mukono-24h'!C79,'2.11 Mbalala-Mukono-24h'!C79)</f>
        <v>11.5</v>
      </c>
      <c r="D79" s="49">
        <f>AVERAGE('1.11 Mbalala-Mukono-24h'!D79,'2.11 Mbalala-Mukono-24h'!D79)</f>
        <v>2</v>
      </c>
      <c r="E79" s="49">
        <f>AVERAGE('1.11 Mbalala-Mukono-24h'!E79,'2.11 Mbalala-Mukono-24h'!E79)</f>
        <v>1.5</v>
      </c>
      <c r="F79" s="49">
        <f>AVERAGE('1.11 Mbalala-Mukono-24h'!F79,'2.11 Mbalala-Mukono-24h'!F79)</f>
        <v>8</v>
      </c>
      <c r="G79" s="49">
        <f>AVERAGE('1.11 Mbalala-Mukono-24h'!G79,'2.11 Mbalala-Mukono-24h'!G79)</f>
        <v>1.5</v>
      </c>
      <c r="H79" s="49">
        <f>AVERAGE('1.11 Mbalala-Mukono-24h'!H79,'2.11 Mbalala-Mukono-24h'!H79)</f>
        <v>2</v>
      </c>
      <c r="I79" s="49">
        <f>AVERAGE('1.11 Mbalala-Mukono-24h'!I79,'2.11 Mbalala-Mukono-24h'!I79)</f>
        <v>4.5</v>
      </c>
      <c r="J79" s="49">
        <f>AVERAGE('1.11 Mbalala-Mukono-24h'!J79,'2.11 Mbalala-Mukono-24h'!J79)</f>
        <v>9.5</v>
      </c>
      <c r="K79" s="49">
        <f>AVERAGE('1.11 Mbalala-Mukono-24h'!K79,'2.11 Mbalala-Mukono-24h'!K79)</f>
        <v>0</v>
      </c>
      <c r="L79" s="49">
        <f>AVERAGE('1.11 Mbalala-Mukono-24h'!L79,'2.11 Mbalala-Mukono-24h'!L79)</f>
        <v>4</v>
      </c>
      <c r="M79" s="49">
        <f>AVERAGE('1.11 Mbalala-Mukono-24h'!M79,'2.11 Mbalala-Mukono-24h'!M79)</f>
        <v>3.5</v>
      </c>
      <c r="N79" s="49">
        <f>AVERAGE('1.11 Mbalala-Mukono-24h'!N79,'2.11 Mbalala-Mukono-24h'!N79)</f>
        <v>0</v>
      </c>
      <c r="O79" s="15">
        <f t="shared" si="35"/>
        <v>44.5</v>
      </c>
      <c r="P79" s="15">
        <f t="shared" si="36"/>
        <v>48</v>
      </c>
      <c r="R79" s="8"/>
      <c r="T79"/>
    </row>
    <row r="80" spans="2:20" ht="23.1" customHeight="1" x14ac:dyDescent="0.25">
      <c r="B80" s="25" t="s">
        <v>120</v>
      </c>
      <c r="C80" s="49">
        <f>AVERAGE('1.11 Mbalala-Mukono-24h'!C80,'2.11 Mbalala-Mukono-24h'!C80)</f>
        <v>9</v>
      </c>
      <c r="D80" s="49">
        <f>AVERAGE('1.11 Mbalala-Mukono-24h'!D80,'2.11 Mbalala-Mukono-24h'!D80)</f>
        <v>4</v>
      </c>
      <c r="E80" s="49">
        <f>AVERAGE('1.11 Mbalala-Mukono-24h'!E80,'2.11 Mbalala-Mukono-24h'!E80)</f>
        <v>2</v>
      </c>
      <c r="F80" s="49">
        <f>AVERAGE('1.11 Mbalala-Mukono-24h'!F80,'2.11 Mbalala-Mukono-24h'!F80)</f>
        <v>6.5</v>
      </c>
      <c r="G80" s="49">
        <f>AVERAGE('1.11 Mbalala-Mukono-24h'!G80,'2.11 Mbalala-Mukono-24h'!G80)</f>
        <v>1</v>
      </c>
      <c r="H80" s="49">
        <f>AVERAGE('1.11 Mbalala-Mukono-24h'!H80,'2.11 Mbalala-Mukono-24h'!H80)</f>
        <v>0.5</v>
      </c>
      <c r="I80" s="49">
        <f>AVERAGE('1.11 Mbalala-Mukono-24h'!I80,'2.11 Mbalala-Mukono-24h'!I80)</f>
        <v>4.5</v>
      </c>
      <c r="J80" s="49">
        <f>AVERAGE('1.11 Mbalala-Mukono-24h'!J80,'2.11 Mbalala-Mukono-24h'!J80)</f>
        <v>7</v>
      </c>
      <c r="K80" s="49">
        <f>AVERAGE('1.11 Mbalala-Mukono-24h'!K80,'2.11 Mbalala-Mukono-24h'!K80)</f>
        <v>1.5</v>
      </c>
      <c r="L80" s="49">
        <f>AVERAGE('1.11 Mbalala-Mukono-24h'!L80,'2.11 Mbalala-Mukono-24h'!L80)</f>
        <v>6</v>
      </c>
      <c r="M80" s="49">
        <f>AVERAGE('1.11 Mbalala-Mukono-24h'!M80,'2.11 Mbalala-Mukono-24h'!M80)</f>
        <v>4</v>
      </c>
      <c r="N80" s="49">
        <f>AVERAGE('1.11 Mbalala-Mukono-24h'!N80,'2.11 Mbalala-Mukono-24h'!N80)</f>
        <v>0</v>
      </c>
      <c r="O80" s="15">
        <f t="shared" si="35"/>
        <v>42</v>
      </c>
      <c r="P80" s="15">
        <f t="shared" si="36"/>
        <v>46</v>
      </c>
      <c r="R80" s="8"/>
      <c r="T80"/>
    </row>
    <row r="81" spans="2:20" ht="23.1" customHeight="1" x14ac:dyDescent="0.25">
      <c r="B81" s="23" t="s">
        <v>121</v>
      </c>
      <c r="C81" s="49">
        <f>AVERAGE('1.11 Mbalala-Mukono-24h'!C81,'2.11 Mbalala-Mukono-24h'!C81)</f>
        <v>5.5</v>
      </c>
      <c r="D81" s="49">
        <f>AVERAGE('1.11 Mbalala-Mukono-24h'!D81,'2.11 Mbalala-Mukono-24h'!D81)</f>
        <v>2.5</v>
      </c>
      <c r="E81" s="49">
        <f>AVERAGE('1.11 Mbalala-Mukono-24h'!E81,'2.11 Mbalala-Mukono-24h'!E81)</f>
        <v>4.5</v>
      </c>
      <c r="F81" s="49">
        <f>AVERAGE('1.11 Mbalala-Mukono-24h'!F81,'2.11 Mbalala-Mukono-24h'!F81)</f>
        <v>6</v>
      </c>
      <c r="G81" s="49">
        <f>AVERAGE('1.11 Mbalala-Mukono-24h'!G81,'2.11 Mbalala-Mukono-24h'!G81)</f>
        <v>1</v>
      </c>
      <c r="H81" s="49">
        <f>AVERAGE('1.11 Mbalala-Mukono-24h'!H81,'2.11 Mbalala-Mukono-24h'!H81)</f>
        <v>1.5</v>
      </c>
      <c r="I81" s="49">
        <f>AVERAGE('1.11 Mbalala-Mukono-24h'!I81,'2.11 Mbalala-Mukono-24h'!I81)</f>
        <v>4</v>
      </c>
      <c r="J81" s="49">
        <f>AVERAGE('1.11 Mbalala-Mukono-24h'!J81,'2.11 Mbalala-Mukono-24h'!J81)</f>
        <v>7.5</v>
      </c>
      <c r="K81" s="49">
        <f>AVERAGE('1.11 Mbalala-Mukono-24h'!K81,'2.11 Mbalala-Mukono-24h'!K81)</f>
        <v>0.5</v>
      </c>
      <c r="L81" s="49">
        <f>AVERAGE('1.11 Mbalala-Mukono-24h'!L81,'2.11 Mbalala-Mukono-24h'!L81)</f>
        <v>6.5</v>
      </c>
      <c r="M81" s="49">
        <f>AVERAGE('1.11 Mbalala-Mukono-24h'!M81,'2.11 Mbalala-Mukono-24h'!M81)</f>
        <v>0</v>
      </c>
      <c r="N81" s="49">
        <f>AVERAGE('1.11 Mbalala-Mukono-24h'!N81,'2.11 Mbalala-Mukono-24h'!N81)</f>
        <v>0</v>
      </c>
      <c r="O81" s="15">
        <f t="shared" si="35"/>
        <v>39.5</v>
      </c>
      <c r="P81" s="15">
        <f t="shared" si="36"/>
        <v>39.5</v>
      </c>
      <c r="R81" s="8"/>
      <c r="T81"/>
    </row>
    <row r="82" spans="2:20" ht="23.1" customHeight="1" x14ac:dyDescent="0.25">
      <c r="B82" s="24" t="s">
        <v>122</v>
      </c>
      <c r="C82" s="49">
        <f>AVERAGE('1.11 Mbalala-Mukono-24h'!C82,'2.11 Mbalala-Mukono-24h'!C82)</f>
        <v>1.5</v>
      </c>
      <c r="D82" s="49">
        <f>AVERAGE('1.11 Mbalala-Mukono-24h'!D82,'2.11 Mbalala-Mukono-24h'!D82)</f>
        <v>1</v>
      </c>
      <c r="E82" s="49">
        <f>AVERAGE('1.11 Mbalala-Mukono-24h'!E82,'2.11 Mbalala-Mukono-24h'!E82)</f>
        <v>1</v>
      </c>
      <c r="F82" s="49">
        <f>AVERAGE('1.11 Mbalala-Mukono-24h'!F82,'2.11 Mbalala-Mukono-24h'!F82)</f>
        <v>2.5</v>
      </c>
      <c r="G82" s="49">
        <f>AVERAGE('1.11 Mbalala-Mukono-24h'!G82,'2.11 Mbalala-Mukono-24h'!G82)</f>
        <v>0</v>
      </c>
      <c r="H82" s="49">
        <f>AVERAGE('1.11 Mbalala-Mukono-24h'!H82,'2.11 Mbalala-Mukono-24h'!H82)</f>
        <v>0.5</v>
      </c>
      <c r="I82" s="49">
        <f>AVERAGE('1.11 Mbalala-Mukono-24h'!I82,'2.11 Mbalala-Mukono-24h'!I82)</f>
        <v>2</v>
      </c>
      <c r="J82" s="49">
        <f>AVERAGE('1.11 Mbalala-Mukono-24h'!J82,'2.11 Mbalala-Mukono-24h'!J82)</f>
        <v>5</v>
      </c>
      <c r="K82" s="49">
        <f>AVERAGE('1.11 Mbalala-Mukono-24h'!K82,'2.11 Mbalala-Mukono-24h'!K82)</f>
        <v>0.5</v>
      </c>
      <c r="L82" s="49">
        <f>AVERAGE('1.11 Mbalala-Mukono-24h'!L82,'2.11 Mbalala-Mukono-24h'!L82)</f>
        <v>3</v>
      </c>
      <c r="M82" s="49">
        <f>AVERAGE('1.11 Mbalala-Mukono-24h'!M82,'2.11 Mbalala-Mukono-24h'!M82)</f>
        <v>0</v>
      </c>
      <c r="N82" s="49">
        <f>AVERAGE('1.11 Mbalala-Mukono-24h'!N82,'2.11 Mbalala-Mukono-24h'!N82)</f>
        <v>0</v>
      </c>
      <c r="O82" s="15">
        <f t="shared" si="35"/>
        <v>17</v>
      </c>
      <c r="P82" s="15">
        <f t="shared" si="36"/>
        <v>17</v>
      </c>
      <c r="R82" s="8"/>
      <c r="T82"/>
    </row>
    <row r="83" spans="2:20" ht="23.1" customHeight="1" x14ac:dyDescent="0.25">
      <c r="B83" s="23" t="s">
        <v>123</v>
      </c>
      <c r="C83" s="49">
        <f>AVERAGE('1.11 Mbalala-Mukono-24h'!C83,'2.11 Mbalala-Mukono-24h'!C83)</f>
        <v>2</v>
      </c>
      <c r="D83" s="49">
        <f>AVERAGE('1.11 Mbalala-Mukono-24h'!D83,'2.11 Mbalala-Mukono-24h'!D83)</f>
        <v>0</v>
      </c>
      <c r="E83" s="49">
        <f>AVERAGE('1.11 Mbalala-Mukono-24h'!E83,'2.11 Mbalala-Mukono-24h'!E83)</f>
        <v>1</v>
      </c>
      <c r="F83" s="49">
        <f>AVERAGE('1.11 Mbalala-Mukono-24h'!F83,'2.11 Mbalala-Mukono-24h'!F83)</f>
        <v>3.5</v>
      </c>
      <c r="G83" s="49">
        <f>AVERAGE('1.11 Mbalala-Mukono-24h'!G83,'2.11 Mbalala-Mukono-24h'!G83)</f>
        <v>0</v>
      </c>
      <c r="H83" s="49">
        <f>AVERAGE('1.11 Mbalala-Mukono-24h'!H83,'2.11 Mbalala-Mukono-24h'!H83)</f>
        <v>0.5</v>
      </c>
      <c r="I83" s="49">
        <f>AVERAGE('1.11 Mbalala-Mukono-24h'!I83,'2.11 Mbalala-Mukono-24h'!I83)</f>
        <v>0</v>
      </c>
      <c r="J83" s="49">
        <f>AVERAGE('1.11 Mbalala-Mukono-24h'!J83,'2.11 Mbalala-Mukono-24h'!J83)</f>
        <v>2.5</v>
      </c>
      <c r="K83" s="49">
        <f>AVERAGE('1.11 Mbalala-Mukono-24h'!K83,'2.11 Mbalala-Mukono-24h'!K83)</f>
        <v>0.5</v>
      </c>
      <c r="L83" s="49">
        <f>AVERAGE('1.11 Mbalala-Mukono-24h'!L83,'2.11 Mbalala-Mukono-24h'!L83)</f>
        <v>5</v>
      </c>
      <c r="M83" s="49">
        <f>AVERAGE('1.11 Mbalala-Mukono-24h'!M83,'2.11 Mbalala-Mukono-24h'!M83)</f>
        <v>1.5</v>
      </c>
      <c r="N83" s="49">
        <f>AVERAGE('1.11 Mbalala-Mukono-24h'!N83,'2.11 Mbalala-Mukono-24h'!N83)</f>
        <v>0</v>
      </c>
      <c r="O83" s="15">
        <f t="shared" si="35"/>
        <v>15</v>
      </c>
      <c r="P83" s="15">
        <f t="shared" si="36"/>
        <v>16.5</v>
      </c>
      <c r="R83" s="8"/>
      <c r="T83"/>
    </row>
    <row r="84" spans="2:20" ht="23.1" customHeight="1" x14ac:dyDescent="0.25">
      <c r="B84" s="25" t="s">
        <v>124</v>
      </c>
      <c r="C84" s="49">
        <f>AVERAGE('1.11 Mbalala-Mukono-24h'!C84,'2.11 Mbalala-Mukono-24h'!C84)</f>
        <v>3.5</v>
      </c>
      <c r="D84" s="49">
        <f>AVERAGE('1.11 Mbalala-Mukono-24h'!D84,'2.11 Mbalala-Mukono-24h'!D84)</f>
        <v>1.5</v>
      </c>
      <c r="E84" s="49">
        <f>AVERAGE('1.11 Mbalala-Mukono-24h'!E84,'2.11 Mbalala-Mukono-24h'!E84)</f>
        <v>0.5</v>
      </c>
      <c r="F84" s="49">
        <f>AVERAGE('1.11 Mbalala-Mukono-24h'!F84,'2.11 Mbalala-Mukono-24h'!F84)</f>
        <v>1.5</v>
      </c>
      <c r="G84" s="49">
        <f>AVERAGE('1.11 Mbalala-Mukono-24h'!G84,'2.11 Mbalala-Mukono-24h'!G84)</f>
        <v>0</v>
      </c>
      <c r="H84" s="49">
        <f>AVERAGE('1.11 Mbalala-Mukono-24h'!H84,'2.11 Mbalala-Mukono-24h'!H84)</f>
        <v>0.5</v>
      </c>
      <c r="I84" s="49">
        <f>AVERAGE('1.11 Mbalala-Mukono-24h'!I84,'2.11 Mbalala-Mukono-24h'!I84)</f>
        <v>2.5</v>
      </c>
      <c r="J84" s="49">
        <f>AVERAGE('1.11 Mbalala-Mukono-24h'!J84,'2.11 Mbalala-Mukono-24h'!J84)</f>
        <v>4</v>
      </c>
      <c r="K84" s="49">
        <f>AVERAGE('1.11 Mbalala-Mukono-24h'!K84,'2.11 Mbalala-Mukono-24h'!K84)</f>
        <v>1.5</v>
      </c>
      <c r="L84" s="49">
        <f>AVERAGE('1.11 Mbalala-Mukono-24h'!L84,'2.11 Mbalala-Mukono-24h'!L84)</f>
        <v>4</v>
      </c>
      <c r="M84" s="49">
        <f>AVERAGE('1.11 Mbalala-Mukono-24h'!M84,'2.11 Mbalala-Mukono-24h'!M84)</f>
        <v>1</v>
      </c>
      <c r="N84" s="49">
        <f>AVERAGE('1.11 Mbalala-Mukono-24h'!N84,'2.11 Mbalala-Mukono-24h'!N84)</f>
        <v>0</v>
      </c>
      <c r="O84" s="15">
        <f t="shared" si="35"/>
        <v>19.5</v>
      </c>
      <c r="P84" s="15">
        <f t="shared" si="36"/>
        <v>20.5</v>
      </c>
      <c r="R84" s="8"/>
      <c r="T84"/>
    </row>
    <row r="85" spans="2:20" ht="23.1" customHeight="1" x14ac:dyDescent="0.25">
      <c r="B85" s="23" t="s">
        <v>125</v>
      </c>
      <c r="C85" s="49">
        <f>AVERAGE('1.11 Mbalala-Mukono-24h'!C85,'2.11 Mbalala-Mukono-24h'!C85)</f>
        <v>1</v>
      </c>
      <c r="D85" s="49">
        <f>AVERAGE('1.11 Mbalala-Mukono-24h'!D85,'2.11 Mbalala-Mukono-24h'!D85)</f>
        <v>0.5</v>
      </c>
      <c r="E85" s="49">
        <f>AVERAGE('1.11 Mbalala-Mukono-24h'!E85,'2.11 Mbalala-Mukono-24h'!E85)</f>
        <v>2.5</v>
      </c>
      <c r="F85" s="49">
        <f>AVERAGE('1.11 Mbalala-Mukono-24h'!F85,'2.11 Mbalala-Mukono-24h'!F85)</f>
        <v>1</v>
      </c>
      <c r="G85" s="49">
        <f>AVERAGE('1.11 Mbalala-Mukono-24h'!G85,'2.11 Mbalala-Mukono-24h'!G85)</f>
        <v>0.5</v>
      </c>
      <c r="H85" s="49">
        <f>AVERAGE('1.11 Mbalala-Mukono-24h'!H85,'2.11 Mbalala-Mukono-24h'!H85)</f>
        <v>0.5</v>
      </c>
      <c r="I85" s="49">
        <f>AVERAGE('1.11 Mbalala-Mukono-24h'!I85,'2.11 Mbalala-Mukono-24h'!I85)</f>
        <v>1</v>
      </c>
      <c r="J85" s="49">
        <f>AVERAGE('1.11 Mbalala-Mukono-24h'!J85,'2.11 Mbalala-Mukono-24h'!J85)</f>
        <v>2</v>
      </c>
      <c r="K85" s="49">
        <f>AVERAGE('1.11 Mbalala-Mukono-24h'!K85,'2.11 Mbalala-Mukono-24h'!K85)</f>
        <v>0</v>
      </c>
      <c r="L85" s="49">
        <f>AVERAGE('1.11 Mbalala-Mukono-24h'!L85,'2.11 Mbalala-Mukono-24h'!L85)</f>
        <v>4</v>
      </c>
      <c r="M85" s="49">
        <f>AVERAGE('1.11 Mbalala-Mukono-24h'!M85,'2.11 Mbalala-Mukono-24h'!M85)</f>
        <v>0</v>
      </c>
      <c r="N85" s="49">
        <f>AVERAGE('1.11 Mbalala-Mukono-24h'!N85,'2.11 Mbalala-Mukono-24h'!N85)</f>
        <v>0</v>
      </c>
      <c r="O85" s="15">
        <f t="shared" si="35"/>
        <v>13</v>
      </c>
      <c r="P85" s="15">
        <f t="shared" si="36"/>
        <v>13</v>
      </c>
      <c r="R85" s="8"/>
      <c r="T85"/>
    </row>
    <row r="86" spans="2:20" ht="23.1" customHeight="1" x14ac:dyDescent="0.25">
      <c r="B86" s="24" t="s">
        <v>126</v>
      </c>
      <c r="C86" s="49">
        <f>AVERAGE('1.11 Mbalala-Mukono-24h'!C86,'2.11 Mbalala-Mukono-24h'!C86)</f>
        <v>3</v>
      </c>
      <c r="D86" s="49">
        <f>AVERAGE('1.11 Mbalala-Mukono-24h'!D86,'2.11 Mbalala-Mukono-24h'!D86)</f>
        <v>0.5</v>
      </c>
      <c r="E86" s="49">
        <f>AVERAGE('1.11 Mbalala-Mukono-24h'!E86,'2.11 Mbalala-Mukono-24h'!E86)</f>
        <v>3</v>
      </c>
      <c r="F86" s="49">
        <f>AVERAGE('1.11 Mbalala-Mukono-24h'!F86,'2.11 Mbalala-Mukono-24h'!F86)</f>
        <v>2</v>
      </c>
      <c r="G86" s="49">
        <f>AVERAGE('1.11 Mbalala-Mukono-24h'!G86,'2.11 Mbalala-Mukono-24h'!G86)</f>
        <v>0</v>
      </c>
      <c r="H86" s="49">
        <f>AVERAGE('1.11 Mbalala-Mukono-24h'!H86,'2.11 Mbalala-Mukono-24h'!H86)</f>
        <v>0</v>
      </c>
      <c r="I86" s="49">
        <f>AVERAGE('1.11 Mbalala-Mukono-24h'!I86,'2.11 Mbalala-Mukono-24h'!I86)</f>
        <v>2.5</v>
      </c>
      <c r="J86" s="49">
        <f>AVERAGE('1.11 Mbalala-Mukono-24h'!J86,'2.11 Mbalala-Mukono-24h'!J86)</f>
        <v>3</v>
      </c>
      <c r="K86" s="49">
        <f>AVERAGE('1.11 Mbalala-Mukono-24h'!K86,'2.11 Mbalala-Mukono-24h'!K86)</f>
        <v>0.5</v>
      </c>
      <c r="L86" s="49">
        <f>AVERAGE('1.11 Mbalala-Mukono-24h'!L86,'2.11 Mbalala-Mukono-24h'!L86)</f>
        <v>3.5</v>
      </c>
      <c r="M86" s="49">
        <f>AVERAGE('1.11 Mbalala-Mukono-24h'!M86,'2.11 Mbalala-Mukono-24h'!M86)</f>
        <v>1.5</v>
      </c>
      <c r="N86" s="49">
        <f>AVERAGE('1.11 Mbalala-Mukono-24h'!N86,'2.11 Mbalala-Mukono-24h'!N86)</f>
        <v>0</v>
      </c>
      <c r="O86" s="15">
        <f t="shared" si="35"/>
        <v>18</v>
      </c>
      <c r="P86" s="15">
        <f t="shared" si="36"/>
        <v>19.5</v>
      </c>
      <c r="R86" s="8"/>
      <c r="T86"/>
    </row>
    <row r="87" spans="2:20" ht="23.1" customHeight="1" x14ac:dyDescent="0.25">
      <c r="B87" s="23" t="s">
        <v>127</v>
      </c>
      <c r="C87" s="49">
        <f>AVERAGE('1.11 Mbalala-Mukono-24h'!C87,'2.11 Mbalala-Mukono-24h'!C87)</f>
        <v>0</v>
      </c>
      <c r="D87" s="49">
        <f>AVERAGE('1.11 Mbalala-Mukono-24h'!D87,'2.11 Mbalala-Mukono-24h'!D87)</f>
        <v>1.5</v>
      </c>
      <c r="E87" s="49">
        <f>AVERAGE('1.11 Mbalala-Mukono-24h'!E87,'2.11 Mbalala-Mukono-24h'!E87)</f>
        <v>1.5</v>
      </c>
      <c r="F87" s="49">
        <f>AVERAGE('1.11 Mbalala-Mukono-24h'!F87,'2.11 Mbalala-Mukono-24h'!F87)</f>
        <v>0.5</v>
      </c>
      <c r="G87" s="49">
        <f>AVERAGE('1.11 Mbalala-Mukono-24h'!G87,'2.11 Mbalala-Mukono-24h'!G87)</f>
        <v>0.5</v>
      </c>
      <c r="H87" s="49">
        <f>AVERAGE('1.11 Mbalala-Mukono-24h'!H87,'2.11 Mbalala-Mukono-24h'!H87)</f>
        <v>1</v>
      </c>
      <c r="I87" s="49">
        <f>AVERAGE('1.11 Mbalala-Mukono-24h'!I87,'2.11 Mbalala-Mukono-24h'!I87)</f>
        <v>0.5</v>
      </c>
      <c r="J87" s="49">
        <f>AVERAGE('1.11 Mbalala-Mukono-24h'!J87,'2.11 Mbalala-Mukono-24h'!J87)</f>
        <v>1.5</v>
      </c>
      <c r="K87" s="49">
        <f>AVERAGE('1.11 Mbalala-Mukono-24h'!K87,'2.11 Mbalala-Mukono-24h'!K87)</f>
        <v>1</v>
      </c>
      <c r="L87" s="49">
        <f>AVERAGE('1.11 Mbalala-Mukono-24h'!L87,'2.11 Mbalala-Mukono-24h'!L87)</f>
        <v>3.5</v>
      </c>
      <c r="M87" s="49">
        <f>AVERAGE('1.11 Mbalala-Mukono-24h'!M87,'2.11 Mbalala-Mukono-24h'!M87)</f>
        <v>0</v>
      </c>
      <c r="N87" s="49">
        <f>AVERAGE('1.11 Mbalala-Mukono-24h'!N87,'2.11 Mbalala-Mukono-24h'!N87)</f>
        <v>0</v>
      </c>
      <c r="O87" s="15">
        <f t="shared" si="35"/>
        <v>11.5</v>
      </c>
      <c r="P87" s="15">
        <f t="shared" si="36"/>
        <v>11.5</v>
      </c>
      <c r="R87" s="8"/>
      <c r="T87"/>
    </row>
    <row r="88" spans="2:20" ht="23.1" customHeight="1" x14ac:dyDescent="0.25">
      <c r="B88" s="25" t="s">
        <v>128</v>
      </c>
      <c r="C88" s="49">
        <f>AVERAGE('1.11 Mbalala-Mukono-24h'!C88,'2.11 Mbalala-Mukono-24h'!C88)</f>
        <v>1.5</v>
      </c>
      <c r="D88" s="49">
        <f>AVERAGE('1.11 Mbalala-Mukono-24h'!D88,'2.11 Mbalala-Mukono-24h'!D88)</f>
        <v>0</v>
      </c>
      <c r="E88" s="49">
        <f>AVERAGE('1.11 Mbalala-Mukono-24h'!E88,'2.11 Mbalala-Mukono-24h'!E88)</f>
        <v>0</v>
      </c>
      <c r="F88" s="49">
        <f>AVERAGE('1.11 Mbalala-Mukono-24h'!F88,'2.11 Mbalala-Mukono-24h'!F88)</f>
        <v>1.5</v>
      </c>
      <c r="G88" s="49">
        <f>AVERAGE('1.11 Mbalala-Mukono-24h'!G88,'2.11 Mbalala-Mukono-24h'!G88)</f>
        <v>0</v>
      </c>
      <c r="H88" s="49">
        <f>AVERAGE('1.11 Mbalala-Mukono-24h'!H88,'2.11 Mbalala-Mukono-24h'!H88)</f>
        <v>0</v>
      </c>
      <c r="I88" s="49">
        <f>AVERAGE('1.11 Mbalala-Mukono-24h'!I88,'2.11 Mbalala-Mukono-24h'!I88)</f>
        <v>2.5</v>
      </c>
      <c r="J88" s="49">
        <f>AVERAGE('1.11 Mbalala-Mukono-24h'!J88,'2.11 Mbalala-Mukono-24h'!J88)</f>
        <v>1</v>
      </c>
      <c r="K88" s="49">
        <f>AVERAGE('1.11 Mbalala-Mukono-24h'!K88,'2.11 Mbalala-Mukono-24h'!K88)</f>
        <v>1</v>
      </c>
      <c r="L88" s="49">
        <f>AVERAGE('1.11 Mbalala-Mukono-24h'!L88,'2.11 Mbalala-Mukono-24h'!L88)</f>
        <v>4</v>
      </c>
      <c r="M88" s="49">
        <f>AVERAGE('1.11 Mbalala-Mukono-24h'!M88,'2.11 Mbalala-Mukono-24h'!M88)</f>
        <v>0.5</v>
      </c>
      <c r="N88" s="49">
        <f>AVERAGE('1.11 Mbalala-Mukono-24h'!N88,'2.11 Mbalala-Mukono-24h'!N88)</f>
        <v>0</v>
      </c>
      <c r="O88" s="15">
        <f t="shared" si="35"/>
        <v>11.5</v>
      </c>
      <c r="P88" s="15">
        <f t="shared" si="36"/>
        <v>12</v>
      </c>
      <c r="R88" s="8"/>
      <c r="T88"/>
    </row>
    <row r="89" spans="2:20" ht="23.1" customHeight="1" x14ac:dyDescent="0.25">
      <c r="B89" s="23" t="s">
        <v>129</v>
      </c>
      <c r="C89" s="49">
        <f>AVERAGE('1.11 Mbalala-Mukono-24h'!C89,'2.11 Mbalala-Mukono-24h'!C89)</f>
        <v>2.5</v>
      </c>
      <c r="D89" s="49">
        <f>AVERAGE('1.11 Mbalala-Mukono-24h'!D89,'2.11 Mbalala-Mukono-24h'!D89)</f>
        <v>0.5</v>
      </c>
      <c r="E89" s="49">
        <f>AVERAGE('1.11 Mbalala-Mukono-24h'!E89,'2.11 Mbalala-Mukono-24h'!E89)</f>
        <v>1</v>
      </c>
      <c r="F89" s="49">
        <f>AVERAGE('1.11 Mbalala-Mukono-24h'!F89,'2.11 Mbalala-Mukono-24h'!F89)</f>
        <v>1</v>
      </c>
      <c r="G89" s="49">
        <f>AVERAGE('1.11 Mbalala-Mukono-24h'!G89,'2.11 Mbalala-Mukono-24h'!G89)</f>
        <v>0.5</v>
      </c>
      <c r="H89" s="49">
        <f>AVERAGE('1.11 Mbalala-Mukono-24h'!H89,'2.11 Mbalala-Mukono-24h'!H89)</f>
        <v>0.5</v>
      </c>
      <c r="I89" s="49">
        <f>AVERAGE('1.11 Mbalala-Mukono-24h'!I89,'2.11 Mbalala-Mukono-24h'!I89)</f>
        <v>0</v>
      </c>
      <c r="J89" s="49">
        <f>AVERAGE('1.11 Mbalala-Mukono-24h'!J89,'2.11 Mbalala-Mukono-24h'!J89)</f>
        <v>0.5</v>
      </c>
      <c r="K89" s="49">
        <f>AVERAGE('1.11 Mbalala-Mukono-24h'!K89,'2.11 Mbalala-Mukono-24h'!K89)</f>
        <v>0.5</v>
      </c>
      <c r="L89" s="49">
        <f>AVERAGE('1.11 Mbalala-Mukono-24h'!L89,'2.11 Mbalala-Mukono-24h'!L89)</f>
        <v>3.5</v>
      </c>
      <c r="M89" s="49">
        <f>AVERAGE('1.11 Mbalala-Mukono-24h'!M89,'2.11 Mbalala-Mukono-24h'!M89)</f>
        <v>0.5</v>
      </c>
      <c r="N89" s="49">
        <f>AVERAGE('1.11 Mbalala-Mukono-24h'!N89,'2.11 Mbalala-Mukono-24h'!N89)</f>
        <v>0</v>
      </c>
      <c r="O89" s="15">
        <f t="shared" si="35"/>
        <v>10.5</v>
      </c>
      <c r="P89" s="15">
        <f t="shared" si="36"/>
        <v>11</v>
      </c>
      <c r="R89" s="8"/>
      <c r="T89"/>
    </row>
    <row r="90" spans="2:20" ht="23.1" customHeight="1" x14ac:dyDescent="0.25">
      <c r="B90" s="24" t="s">
        <v>130</v>
      </c>
      <c r="C90" s="49">
        <f>AVERAGE('1.11 Mbalala-Mukono-24h'!C90,'2.11 Mbalala-Mukono-24h'!C90)</f>
        <v>1.5</v>
      </c>
      <c r="D90" s="49">
        <f>AVERAGE('1.11 Mbalala-Mukono-24h'!D90,'2.11 Mbalala-Mukono-24h'!D90)</f>
        <v>0.5</v>
      </c>
      <c r="E90" s="49">
        <f>AVERAGE('1.11 Mbalala-Mukono-24h'!E90,'2.11 Mbalala-Mukono-24h'!E90)</f>
        <v>0</v>
      </c>
      <c r="F90" s="49">
        <f>AVERAGE('1.11 Mbalala-Mukono-24h'!F90,'2.11 Mbalala-Mukono-24h'!F90)</f>
        <v>1.5</v>
      </c>
      <c r="G90" s="49">
        <f>AVERAGE('1.11 Mbalala-Mukono-24h'!G90,'2.11 Mbalala-Mukono-24h'!G90)</f>
        <v>0</v>
      </c>
      <c r="H90" s="49">
        <f>AVERAGE('1.11 Mbalala-Mukono-24h'!H90,'2.11 Mbalala-Mukono-24h'!H90)</f>
        <v>0</v>
      </c>
      <c r="I90" s="49">
        <f>AVERAGE('1.11 Mbalala-Mukono-24h'!I90,'2.11 Mbalala-Mukono-24h'!I90)</f>
        <v>4.5</v>
      </c>
      <c r="J90" s="49">
        <f>AVERAGE('1.11 Mbalala-Mukono-24h'!J90,'2.11 Mbalala-Mukono-24h'!J90)</f>
        <v>3</v>
      </c>
      <c r="K90" s="49">
        <f>AVERAGE('1.11 Mbalala-Mukono-24h'!K90,'2.11 Mbalala-Mukono-24h'!K90)</f>
        <v>0</v>
      </c>
      <c r="L90" s="49">
        <f>AVERAGE('1.11 Mbalala-Mukono-24h'!L90,'2.11 Mbalala-Mukono-24h'!L90)</f>
        <v>8</v>
      </c>
      <c r="M90" s="49">
        <f>AVERAGE('1.11 Mbalala-Mukono-24h'!M90,'2.11 Mbalala-Mukono-24h'!M90)</f>
        <v>0.5</v>
      </c>
      <c r="N90" s="49">
        <f>AVERAGE('1.11 Mbalala-Mukono-24h'!N90,'2.11 Mbalala-Mukono-24h'!N90)</f>
        <v>0</v>
      </c>
      <c r="O90" s="15">
        <f t="shared" si="35"/>
        <v>19</v>
      </c>
      <c r="P90" s="15">
        <f t="shared" si="36"/>
        <v>19.5</v>
      </c>
      <c r="R90" s="8"/>
      <c r="T90"/>
    </row>
    <row r="91" spans="2:20" ht="23.1" customHeight="1" x14ac:dyDescent="0.25">
      <c r="B91" s="23" t="s">
        <v>131</v>
      </c>
      <c r="C91" s="49">
        <f>AVERAGE('1.11 Mbalala-Mukono-24h'!C91,'2.11 Mbalala-Mukono-24h'!C91)</f>
        <v>2</v>
      </c>
      <c r="D91" s="49">
        <f>AVERAGE('1.11 Mbalala-Mukono-24h'!D91,'2.11 Mbalala-Mukono-24h'!D91)</f>
        <v>0</v>
      </c>
      <c r="E91" s="49">
        <f>AVERAGE('1.11 Mbalala-Mukono-24h'!E91,'2.11 Mbalala-Mukono-24h'!E91)</f>
        <v>1.5</v>
      </c>
      <c r="F91" s="49">
        <f>AVERAGE('1.11 Mbalala-Mukono-24h'!F91,'2.11 Mbalala-Mukono-24h'!F91)</f>
        <v>1</v>
      </c>
      <c r="G91" s="49">
        <f>AVERAGE('1.11 Mbalala-Mukono-24h'!G91,'2.11 Mbalala-Mukono-24h'!G91)</f>
        <v>0</v>
      </c>
      <c r="H91" s="49">
        <f>AVERAGE('1.11 Mbalala-Mukono-24h'!H91,'2.11 Mbalala-Mukono-24h'!H91)</f>
        <v>0.5</v>
      </c>
      <c r="I91" s="49">
        <f>AVERAGE('1.11 Mbalala-Mukono-24h'!I91,'2.11 Mbalala-Mukono-24h'!I91)</f>
        <v>2</v>
      </c>
      <c r="J91" s="49">
        <f>AVERAGE('1.11 Mbalala-Mukono-24h'!J91,'2.11 Mbalala-Mukono-24h'!J91)</f>
        <v>5</v>
      </c>
      <c r="K91" s="49">
        <f>AVERAGE('1.11 Mbalala-Mukono-24h'!K91,'2.11 Mbalala-Mukono-24h'!K91)</f>
        <v>0.5</v>
      </c>
      <c r="L91" s="49">
        <f>AVERAGE('1.11 Mbalala-Mukono-24h'!L91,'2.11 Mbalala-Mukono-24h'!L91)</f>
        <v>5</v>
      </c>
      <c r="M91" s="49">
        <f>AVERAGE('1.11 Mbalala-Mukono-24h'!M91,'2.11 Mbalala-Mukono-24h'!M91)</f>
        <v>1.5</v>
      </c>
      <c r="N91" s="49">
        <f>AVERAGE('1.11 Mbalala-Mukono-24h'!N91,'2.11 Mbalala-Mukono-24h'!N91)</f>
        <v>0</v>
      </c>
      <c r="O91" s="15">
        <f t="shared" si="35"/>
        <v>17.5</v>
      </c>
      <c r="P91" s="15">
        <f t="shared" si="36"/>
        <v>19</v>
      </c>
      <c r="R91" s="8"/>
      <c r="T91"/>
    </row>
    <row r="92" spans="2:20" ht="23.1" customHeight="1" x14ac:dyDescent="0.25">
      <c r="B92" s="25" t="s">
        <v>132</v>
      </c>
      <c r="C92" s="49">
        <f>AVERAGE('1.11 Mbalala-Mukono-24h'!C92,'2.11 Mbalala-Mukono-24h'!C92)</f>
        <v>1</v>
      </c>
      <c r="D92" s="49">
        <f>AVERAGE('1.11 Mbalala-Mukono-24h'!D92,'2.11 Mbalala-Mukono-24h'!D92)</f>
        <v>1.5</v>
      </c>
      <c r="E92" s="49">
        <f>AVERAGE('1.11 Mbalala-Mukono-24h'!E92,'2.11 Mbalala-Mukono-24h'!E92)</f>
        <v>1</v>
      </c>
      <c r="F92" s="49">
        <f>AVERAGE('1.11 Mbalala-Mukono-24h'!F92,'2.11 Mbalala-Mukono-24h'!F92)</f>
        <v>3</v>
      </c>
      <c r="G92" s="49">
        <f>AVERAGE('1.11 Mbalala-Mukono-24h'!G92,'2.11 Mbalala-Mukono-24h'!G92)</f>
        <v>0</v>
      </c>
      <c r="H92" s="49">
        <f>AVERAGE('1.11 Mbalala-Mukono-24h'!H92,'2.11 Mbalala-Mukono-24h'!H92)</f>
        <v>0</v>
      </c>
      <c r="I92" s="49">
        <f>AVERAGE('1.11 Mbalala-Mukono-24h'!I92,'2.11 Mbalala-Mukono-24h'!I92)</f>
        <v>1.5</v>
      </c>
      <c r="J92" s="49">
        <f>AVERAGE('1.11 Mbalala-Mukono-24h'!J92,'2.11 Mbalala-Mukono-24h'!J92)</f>
        <v>1.5</v>
      </c>
      <c r="K92" s="49">
        <f>AVERAGE('1.11 Mbalala-Mukono-24h'!K92,'2.11 Mbalala-Mukono-24h'!K92)</f>
        <v>0</v>
      </c>
      <c r="L92" s="49">
        <f>AVERAGE('1.11 Mbalala-Mukono-24h'!L92,'2.11 Mbalala-Mukono-24h'!L92)</f>
        <v>5</v>
      </c>
      <c r="M92" s="49">
        <f>AVERAGE('1.11 Mbalala-Mukono-24h'!M92,'2.11 Mbalala-Mukono-24h'!M92)</f>
        <v>0</v>
      </c>
      <c r="N92" s="49">
        <f>AVERAGE('1.11 Mbalala-Mukono-24h'!N92,'2.11 Mbalala-Mukono-24h'!N92)</f>
        <v>0</v>
      </c>
      <c r="O92" s="15">
        <f t="shared" si="35"/>
        <v>14.5</v>
      </c>
      <c r="P92" s="15">
        <f t="shared" si="36"/>
        <v>14.5</v>
      </c>
      <c r="R92" s="8"/>
      <c r="T92"/>
    </row>
    <row r="93" spans="2:20" ht="23.1" customHeight="1" x14ac:dyDescent="0.25">
      <c r="B93" s="23" t="s">
        <v>133</v>
      </c>
      <c r="C93" s="49">
        <f>AVERAGE('1.11 Mbalala-Mukono-24h'!C93,'2.11 Mbalala-Mukono-24h'!C93)</f>
        <v>1.5</v>
      </c>
      <c r="D93" s="49">
        <f>AVERAGE('1.11 Mbalala-Mukono-24h'!D93,'2.11 Mbalala-Mukono-24h'!D93)</f>
        <v>0</v>
      </c>
      <c r="E93" s="49">
        <f>AVERAGE('1.11 Mbalala-Mukono-24h'!E93,'2.11 Mbalala-Mukono-24h'!E93)</f>
        <v>0</v>
      </c>
      <c r="F93" s="49">
        <f>AVERAGE('1.11 Mbalala-Mukono-24h'!F93,'2.11 Mbalala-Mukono-24h'!F93)</f>
        <v>2.5</v>
      </c>
      <c r="G93" s="49">
        <f>AVERAGE('1.11 Mbalala-Mukono-24h'!G93,'2.11 Mbalala-Mukono-24h'!G93)</f>
        <v>0</v>
      </c>
      <c r="H93" s="49">
        <f>AVERAGE('1.11 Mbalala-Mukono-24h'!H93,'2.11 Mbalala-Mukono-24h'!H93)</f>
        <v>0</v>
      </c>
      <c r="I93" s="49">
        <f>AVERAGE('1.11 Mbalala-Mukono-24h'!I93,'2.11 Mbalala-Mukono-24h'!I93)</f>
        <v>0</v>
      </c>
      <c r="J93" s="49">
        <f>AVERAGE('1.11 Mbalala-Mukono-24h'!J93,'2.11 Mbalala-Mukono-24h'!J93)</f>
        <v>3.5</v>
      </c>
      <c r="K93" s="49">
        <f>AVERAGE('1.11 Mbalala-Mukono-24h'!K93,'2.11 Mbalala-Mukono-24h'!K93)</f>
        <v>0</v>
      </c>
      <c r="L93" s="49">
        <f>AVERAGE('1.11 Mbalala-Mukono-24h'!L93,'2.11 Mbalala-Mukono-24h'!L93)</f>
        <v>4.5</v>
      </c>
      <c r="M93" s="49">
        <f>AVERAGE('1.11 Mbalala-Mukono-24h'!M93,'2.11 Mbalala-Mukono-24h'!M93)</f>
        <v>2</v>
      </c>
      <c r="N93" s="49">
        <f>AVERAGE('1.11 Mbalala-Mukono-24h'!N93,'2.11 Mbalala-Mukono-24h'!N93)</f>
        <v>0</v>
      </c>
      <c r="O93" s="15">
        <f t="shared" si="35"/>
        <v>12</v>
      </c>
      <c r="P93" s="15">
        <f t="shared" si="36"/>
        <v>14</v>
      </c>
      <c r="R93" s="8"/>
      <c r="T93"/>
    </row>
    <row r="94" spans="2:20" ht="23.1" customHeight="1" x14ac:dyDescent="0.25">
      <c r="B94" s="24" t="s">
        <v>134</v>
      </c>
      <c r="C94" s="49">
        <f>AVERAGE('1.11 Mbalala-Mukono-24h'!C94,'2.11 Mbalala-Mukono-24h'!C94)</f>
        <v>2</v>
      </c>
      <c r="D94" s="49">
        <f>AVERAGE('1.11 Mbalala-Mukono-24h'!D94,'2.11 Mbalala-Mukono-24h'!D94)</f>
        <v>0</v>
      </c>
      <c r="E94" s="49">
        <f>AVERAGE('1.11 Mbalala-Mukono-24h'!E94,'2.11 Mbalala-Mukono-24h'!E94)</f>
        <v>0</v>
      </c>
      <c r="F94" s="49">
        <f>AVERAGE('1.11 Mbalala-Mukono-24h'!F94,'2.11 Mbalala-Mukono-24h'!F94)</f>
        <v>5.5</v>
      </c>
      <c r="G94" s="49">
        <f>AVERAGE('1.11 Mbalala-Mukono-24h'!G94,'2.11 Mbalala-Mukono-24h'!G94)</f>
        <v>0</v>
      </c>
      <c r="H94" s="49">
        <f>AVERAGE('1.11 Mbalala-Mukono-24h'!H94,'2.11 Mbalala-Mukono-24h'!H94)</f>
        <v>0.5</v>
      </c>
      <c r="I94" s="49">
        <f>AVERAGE('1.11 Mbalala-Mukono-24h'!I94,'2.11 Mbalala-Mukono-24h'!I94)</f>
        <v>0.5</v>
      </c>
      <c r="J94" s="49">
        <f>AVERAGE('1.11 Mbalala-Mukono-24h'!J94,'2.11 Mbalala-Mukono-24h'!J94)</f>
        <v>2</v>
      </c>
      <c r="K94" s="49">
        <f>AVERAGE('1.11 Mbalala-Mukono-24h'!K94,'2.11 Mbalala-Mukono-24h'!K94)</f>
        <v>0.5</v>
      </c>
      <c r="L94" s="49">
        <f>AVERAGE('1.11 Mbalala-Mukono-24h'!L94,'2.11 Mbalala-Mukono-24h'!L94)</f>
        <v>4</v>
      </c>
      <c r="M94" s="49">
        <f>AVERAGE('1.11 Mbalala-Mukono-24h'!M94,'2.11 Mbalala-Mukono-24h'!M94)</f>
        <v>2.5</v>
      </c>
      <c r="N94" s="49">
        <f>AVERAGE('1.11 Mbalala-Mukono-24h'!N94,'2.11 Mbalala-Mukono-24h'!N94)</f>
        <v>0</v>
      </c>
      <c r="O94" s="15">
        <f t="shared" si="35"/>
        <v>15</v>
      </c>
      <c r="P94" s="15">
        <f t="shared" si="36"/>
        <v>17.5</v>
      </c>
      <c r="R94" s="8"/>
      <c r="T94"/>
    </row>
    <row r="95" spans="2:20" ht="23.1" customHeight="1" x14ac:dyDescent="0.25">
      <c r="B95" s="23" t="s">
        <v>135</v>
      </c>
      <c r="C95" s="49">
        <f>AVERAGE('1.11 Mbalala-Mukono-24h'!C95,'2.11 Mbalala-Mukono-24h'!C95)</f>
        <v>2.5</v>
      </c>
      <c r="D95" s="49">
        <f>AVERAGE('1.11 Mbalala-Mukono-24h'!D95,'2.11 Mbalala-Mukono-24h'!D95)</f>
        <v>1.5</v>
      </c>
      <c r="E95" s="49">
        <f>AVERAGE('1.11 Mbalala-Mukono-24h'!E95,'2.11 Mbalala-Mukono-24h'!E95)</f>
        <v>0.5</v>
      </c>
      <c r="F95" s="49">
        <f>AVERAGE('1.11 Mbalala-Mukono-24h'!F95,'2.11 Mbalala-Mukono-24h'!F95)</f>
        <v>2</v>
      </c>
      <c r="G95" s="49">
        <f>AVERAGE('1.11 Mbalala-Mukono-24h'!G95,'2.11 Mbalala-Mukono-24h'!G95)</f>
        <v>1</v>
      </c>
      <c r="H95" s="49">
        <f>AVERAGE('1.11 Mbalala-Mukono-24h'!H95,'2.11 Mbalala-Mukono-24h'!H95)</f>
        <v>0.5</v>
      </c>
      <c r="I95" s="49">
        <f>AVERAGE('1.11 Mbalala-Mukono-24h'!I95,'2.11 Mbalala-Mukono-24h'!I95)</f>
        <v>0</v>
      </c>
      <c r="J95" s="49">
        <f>AVERAGE('1.11 Mbalala-Mukono-24h'!J95,'2.11 Mbalala-Mukono-24h'!J95)</f>
        <v>4</v>
      </c>
      <c r="K95" s="49">
        <f>AVERAGE('1.11 Mbalala-Mukono-24h'!K95,'2.11 Mbalala-Mukono-24h'!K95)</f>
        <v>1</v>
      </c>
      <c r="L95" s="49">
        <f>AVERAGE('1.11 Mbalala-Mukono-24h'!L95,'2.11 Mbalala-Mukono-24h'!L95)</f>
        <v>3.5</v>
      </c>
      <c r="M95" s="49">
        <f>AVERAGE('1.11 Mbalala-Mukono-24h'!M95,'2.11 Mbalala-Mukono-24h'!M95)</f>
        <v>2.5</v>
      </c>
      <c r="N95" s="49">
        <f>AVERAGE('1.11 Mbalala-Mukono-24h'!N95,'2.11 Mbalala-Mukono-24h'!N95)</f>
        <v>0</v>
      </c>
      <c r="O95" s="15">
        <f t="shared" si="35"/>
        <v>16.5</v>
      </c>
      <c r="P95" s="15">
        <f t="shared" si="36"/>
        <v>19</v>
      </c>
      <c r="R95" s="8"/>
      <c r="T95"/>
    </row>
    <row r="96" spans="2:20" ht="23.1" customHeight="1" x14ac:dyDescent="0.25">
      <c r="B96" s="25" t="s">
        <v>136</v>
      </c>
      <c r="C96" s="49">
        <f>AVERAGE('1.11 Mbalala-Mukono-24h'!C96,'2.11 Mbalala-Mukono-24h'!C96)</f>
        <v>1</v>
      </c>
      <c r="D96" s="49">
        <f>AVERAGE('1.11 Mbalala-Mukono-24h'!D96,'2.11 Mbalala-Mukono-24h'!D96)</f>
        <v>0</v>
      </c>
      <c r="E96" s="49">
        <f>AVERAGE('1.11 Mbalala-Mukono-24h'!E96,'2.11 Mbalala-Mukono-24h'!E96)</f>
        <v>0.5</v>
      </c>
      <c r="F96" s="49">
        <f>AVERAGE('1.11 Mbalala-Mukono-24h'!F96,'2.11 Mbalala-Mukono-24h'!F96)</f>
        <v>3.5</v>
      </c>
      <c r="G96" s="49">
        <f>AVERAGE('1.11 Mbalala-Mukono-24h'!G96,'2.11 Mbalala-Mukono-24h'!G96)</f>
        <v>0</v>
      </c>
      <c r="H96" s="49">
        <f>AVERAGE('1.11 Mbalala-Mukono-24h'!H96,'2.11 Mbalala-Mukono-24h'!H96)</f>
        <v>0</v>
      </c>
      <c r="I96" s="49">
        <f>AVERAGE('1.11 Mbalala-Mukono-24h'!I96,'2.11 Mbalala-Mukono-24h'!I96)</f>
        <v>0.5</v>
      </c>
      <c r="J96" s="49">
        <f>AVERAGE('1.11 Mbalala-Mukono-24h'!J96,'2.11 Mbalala-Mukono-24h'!J96)</f>
        <v>3.5</v>
      </c>
      <c r="K96" s="49">
        <f>AVERAGE('1.11 Mbalala-Mukono-24h'!K96,'2.11 Mbalala-Mukono-24h'!K96)</f>
        <v>0.5</v>
      </c>
      <c r="L96" s="49">
        <f>AVERAGE('1.11 Mbalala-Mukono-24h'!L96,'2.11 Mbalala-Mukono-24h'!L96)</f>
        <v>6.5</v>
      </c>
      <c r="M96" s="49">
        <f>AVERAGE('1.11 Mbalala-Mukono-24h'!M96,'2.11 Mbalala-Mukono-24h'!M96)</f>
        <v>2.5</v>
      </c>
      <c r="N96" s="49">
        <f>AVERAGE('1.11 Mbalala-Mukono-24h'!N96,'2.11 Mbalala-Mukono-24h'!N96)</f>
        <v>0</v>
      </c>
      <c r="O96" s="15">
        <f t="shared" si="35"/>
        <v>16</v>
      </c>
      <c r="P96" s="15">
        <f t="shared" si="36"/>
        <v>18.5</v>
      </c>
      <c r="R96" s="8"/>
      <c r="T96"/>
    </row>
    <row r="97" spans="2:20" ht="23.1" customHeight="1" x14ac:dyDescent="0.25">
      <c r="B97" s="23" t="s">
        <v>137</v>
      </c>
      <c r="C97" s="49">
        <f>AVERAGE('1.11 Mbalala-Mukono-24h'!C97,'2.11 Mbalala-Mukono-24h'!C97)</f>
        <v>3</v>
      </c>
      <c r="D97" s="49">
        <f>AVERAGE('1.11 Mbalala-Mukono-24h'!D97,'2.11 Mbalala-Mukono-24h'!D97)</f>
        <v>1.5</v>
      </c>
      <c r="E97" s="49">
        <f>AVERAGE('1.11 Mbalala-Mukono-24h'!E97,'2.11 Mbalala-Mukono-24h'!E97)</f>
        <v>0</v>
      </c>
      <c r="F97" s="49">
        <f>AVERAGE('1.11 Mbalala-Mukono-24h'!F97,'2.11 Mbalala-Mukono-24h'!F97)</f>
        <v>4</v>
      </c>
      <c r="G97" s="49">
        <f>AVERAGE('1.11 Mbalala-Mukono-24h'!G97,'2.11 Mbalala-Mukono-24h'!G97)</f>
        <v>0</v>
      </c>
      <c r="H97" s="49">
        <f>AVERAGE('1.11 Mbalala-Mukono-24h'!H97,'2.11 Mbalala-Mukono-24h'!H97)</f>
        <v>1</v>
      </c>
      <c r="I97" s="49">
        <f>AVERAGE('1.11 Mbalala-Mukono-24h'!I97,'2.11 Mbalala-Mukono-24h'!I97)</f>
        <v>1.5</v>
      </c>
      <c r="J97" s="49">
        <f>AVERAGE('1.11 Mbalala-Mukono-24h'!J97,'2.11 Mbalala-Mukono-24h'!J97)</f>
        <v>3</v>
      </c>
      <c r="K97" s="49">
        <f>AVERAGE('1.11 Mbalala-Mukono-24h'!K97,'2.11 Mbalala-Mukono-24h'!K97)</f>
        <v>3.5</v>
      </c>
      <c r="L97" s="49">
        <f>AVERAGE('1.11 Mbalala-Mukono-24h'!L97,'2.11 Mbalala-Mukono-24h'!L97)</f>
        <v>10</v>
      </c>
      <c r="M97" s="49">
        <f>AVERAGE('1.11 Mbalala-Mukono-24h'!M97,'2.11 Mbalala-Mukono-24h'!M97)</f>
        <v>1.5</v>
      </c>
      <c r="N97" s="49">
        <f>AVERAGE('1.11 Mbalala-Mukono-24h'!N97,'2.11 Mbalala-Mukono-24h'!N97)</f>
        <v>0</v>
      </c>
      <c r="O97" s="15">
        <f t="shared" si="35"/>
        <v>27.5</v>
      </c>
      <c r="P97" s="15">
        <f t="shared" si="36"/>
        <v>29</v>
      </c>
      <c r="R97" s="8"/>
      <c r="T97"/>
    </row>
    <row r="98" spans="2:20" ht="23.1" customHeight="1" x14ac:dyDescent="0.25">
      <c r="B98" s="24" t="s">
        <v>138</v>
      </c>
      <c r="C98" s="49">
        <f>AVERAGE('1.11 Mbalala-Mukono-24h'!C98,'2.11 Mbalala-Mukono-24h'!C98)</f>
        <v>2.5</v>
      </c>
      <c r="D98" s="49">
        <f>AVERAGE('1.11 Mbalala-Mukono-24h'!D98,'2.11 Mbalala-Mukono-24h'!D98)</f>
        <v>1</v>
      </c>
      <c r="E98" s="49">
        <f>AVERAGE('1.11 Mbalala-Mukono-24h'!E98,'2.11 Mbalala-Mukono-24h'!E98)</f>
        <v>0.5</v>
      </c>
      <c r="F98" s="49">
        <f>AVERAGE('1.11 Mbalala-Mukono-24h'!F98,'2.11 Mbalala-Mukono-24h'!F98)</f>
        <v>8.5</v>
      </c>
      <c r="G98" s="49">
        <f>AVERAGE('1.11 Mbalala-Mukono-24h'!G98,'2.11 Mbalala-Mukono-24h'!G98)</f>
        <v>0.5</v>
      </c>
      <c r="H98" s="49">
        <f>AVERAGE('1.11 Mbalala-Mukono-24h'!H98,'2.11 Mbalala-Mukono-24h'!H98)</f>
        <v>1.5</v>
      </c>
      <c r="I98" s="49">
        <f>AVERAGE('1.11 Mbalala-Mukono-24h'!I98,'2.11 Mbalala-Mukono-24h'!I98)</f>
        <v>0</v>
      </c>
      <c r="J98" s="49">
        <f>AVERAGE('1.11 Mbalala-Mukono-24h'!J98,'2.11 Mbalala-Mukono-24h'!J98)</f>
        <v>5</v>
      </c>
      <c r="K98" s="49">
        <f>AVERAGE('1.11 Mbalala-Mukono-24h'!K98,'2.11 Mbalala-Mukono-24h'!K98)</f>
        <v>1.5</v>
      </c>
      <c r="L98" s="49">
        <f>AVERAGE('1.11 Mbalala-Mukono-24h'!L98,'2.11 Mbalala-Mukono-24h'!L98)</f>
        <v>14</v>
      </c>
      <c r="M98" s="49">
        <f>AVERAGE('1.11 Mbalala-Mukono-24h'!M98,'2.11 Mbalala-Mukono-24h'!M98)</f>
        <v>3</v>
      </c>
      <c r="N98" s="49">
        <f>AVERAGE('1.11 Mbalala-Mukono-24h'!N98,'2.11 Mbalala-Mukono-24h'!N98)</f>
        <v>0</v>
      </c>
      <c r="O98" s="15">
        <f t="shared" si="35"/>
        <v>35</v>
      </c>
      <c r="P98" s="15">
        <f t="shared" si="36"/>
        <v>38</v>
      </c>
      <c r="R98" s="8"/>
      <c r="T98"/>
    </row>
    <row r="99" spans="2:20" ht="23.1" customHeight="1" x14ac:dyDescent="0.25">
      <c r="B99" s="23" t="s">
        <v>139</v>
      </c>
      <c r="C99" s="49">
        <f>AVERAGE('1.11 Mbalala-Mukono-24h'!C99,'2.11 Mbalala-Mukono-24h'!C99)</f>
        <v>5</v>
      </c>
      <c r="D99" s="49">
        <f>AVERAGE('1.11 Mbalala-Mukono-24h'!D99,'2.11 Mbalala-Mukono-24h'!D99)</f>
        <v>1.5</v>
      </c>
      <c r="E99" s="49">
        <f>AVERAGE('1.11 Mbalala-Mukono-24h'!E99,'2.11 Mbalala-Mukono-24h'!E99)</f>
        <v>0.5</v>
      </c>
      <c r="F99" s="49">
        <f>AVERAGE('1.11 Mbalala-Mukono-24h'!F99,'2.11 Mbalala-Mukono-24h'!F99)</f>
        <v>12</v>
      </c>
      <c r="G99" s="49">
        <f>AVERAGE('1.11 Mbalala-Mukono-24h'!G99,'2.11 Mbalala-Mukono-24h'!G99)</f>
        <v>0</v>
      </c>
      <c r="H99" s="49">
        <f>AVERAGE('1.11 Mbalala-Mukono-24h'!H99,'2.11 Mbalala-Mukono-24h'!H99)</f>
        <v>0.5</v>
      </c>
      <c r="I99" s="49">
        <f>AVERAGE('1.11 Mbalala-Mukono-24h'!I99,'2.11 Mbalala-Mukono-24h'!I99)</f>
        <v>0.5</v>
      </c>
      <c r="J99" s="49">
        <f>AVERAGE('1.11 Mbalala-Mukono-24h'!J99,'2.11 Mbalala-Mukono-24h'!J99)</f>
        <v>4.5</v>
      </c>
      <c r="K99" s="49">
        <f>AVERAGE('1.11 Mbalala-Mukono-24h'!K99,'2.11 Mbalala-Mukono-24h'!K99)</f>
        <v>1.5</v>
      </c>
      <c r="L99" s="49">
        <f>AVERAGE('1.11 Mbalala-Mukono-24h'!L99,'2.11 Mbalala-Mukono-24h'!L99)</f>
        <v>14.5</v>
      </c>
      <c r="M99" s="49">
        <f>AVERAGE('1.11 Mbalala-Mukono-24h'!M99,'2.11 Mbalala-Mukono-24h'!M99)</f>
        <v>5</v>
      </c>
      <c r="N99" s="49">
        <f>AVERAGE('1.11 Mbalala-Mukono-24h'!N99,'2.11 Mbalala-Mukono-24h'!N99)</f>
        <v>0</v>
      </c>
      <c r="O99" s="15">
        <f t="shared" si="35"/>
        <v>40.5</v>
      </c>
      <c r="P99" s="15">
        <f t="shared" si="36"/>
        <v>45.5</v>
      </c>
      <c r="R99" s="8"/>
      <c r="T99"/>
    </row>
    <row r="100" spans="2:20" ht="23.1" customHeight="1" x14ac:dyDescent="0.25">
      <c r="B100" s="25" t="s">
        <v>140</v>
      </c>
      <c r="C100" s="49">
        <f>AVERAGE('1.11 Mbalala-Mukono-24h'!C100,'2.11 Mbalala-Mukono-24h'!C100)</f>
        <v>8</v>
      </c>
      <c r="D100" s="49">
        <f>AVERAGE('1.11 Mbalala-Mukono-24h'!D100,'2.11 Mbalala-Mukono-24h'!D100)</f>
        <v>0.5</v>
      </c>
      <c r="E100" s="49">
        <f>AVERAGE('1.11 Mbalala-Mukono-24h'!E100,'2.11 Mbalala-Mukono-24h'!E100)</f>
        <v>0</v>
      </c>
      <c r="F100" s="49">
        <f>AVERAGE('1.11 Mbalala-Mukono-24h'!F100,'2.11 Mbalala-Mukono-24h'!F100)</f>
        <v>12.5</v>
      </c>
      <c r="G100" s="49">
        <f>AVERAGE('1.11 Mbalala-Mukono-24h'!G100,'2.11 Mbalala-Mukono-24h'!G100)</f>
        <v>0</v>
      </c>
      <c r="H100" s="49">
        <f>AVERAGE('1.11 Mbalala-Mukono-24h'!H100,'2.11 Mbalala-Mukono-24h'!H100)</f>
        <v>1.5</v>
      </c>
      <c r="I100" s="49">
        <f>AVERAGE('1.11 Mbalala-Mukono-24h'!I100,'2.11 Mbalala-Mukono-24h'!I100)</f>
        <v>1</v>
      </c>
      <c r="J100" s="49">
        <f>AVERAGE('1.11 Mbalala-Mukono-24h'!J100,'2.11 Mbalala-Mukono-24h'!J100)</f>
        <v>6</v>
      </c>
      <c r="K100" s="49">
        <f>AVERAGE('1.11 Mbalala-Mukono-24h'!K100,'2.11 Mbalala-Mukono-24h'!K100)</f>
        <v>0</v>
      </c>
      <c r="L100" s="49">
        <f>AVERAGE('1.11 Mbalala-Mukono-24h'!L100,'2.11 Mbalala-Mukono-24h'!L100)</f>
        <v>15</v>
      </c>
      <c r="M100" s="49">
        <f>AVERAGE('1.11 Mbalala-Mukono-24h'!M100,'2.11 Mbalala-Mukono-24h'!M100)</f>
        <v>8</v>
      </c>
      <c r="N100" s="49">
        <f>AVERAGE('1.11 Mbalala-Mukono-24h'!N100,'2.11 Mbalala-Mukono-24h'!N100)</f>
        <v>0</v>
      </c>
      <c r="O100" s="15">
        <f t="shared" si="35"/>
        <v>44.5</v>
      </c>
      <c r="P100" s="15">
        <f t="shared" si="36"/>
        <v>52.5</v>
      </c>
      <c r="R100" s="8"/>
      <c r="T100"/>
    </row>
    <row r="101" spans="2:20" ht="23.1" customHeight="1" x14ac:dyDescent="0.25">
      <c r="B101" s="23" t="s">
        <v>141</v>
      </c>
      <c r="C101" s="49">
        <f>AVERAGE('1.11 Mbalala-Mukono-24h'!C101,'2.11 Mbalala-Mukono-24h'!C101)</f>
        <v>3.5</v>
      </c>
      <c r="D101" s="49">
        <f>AVERAGE('1.11 Mbalala-Mukono-24h'!D101,'2.11 Mbalala-Mukono-24h'!D101)</f>
        <v>1.5</v>
      </c>
      <c r="E101" s="49">
        <f>AVERAGE('1.11 Mbalala-Mukono-24h'!E101,'2.11 Mbalala-Mukono-24h'!E101)</f>
        <v>1</v>
      </c>
      <c r="F101" s="49">
        <f>AVERAGE('1.11 Mbalala-Mukono-24h'!F101,'2.11 Mbalala-Mukono-24h'!F101)</f>
        <v>9</v>
      </c>
      <c r="G101" s="49">
        <f>AVERAGE('1.11 Mbalala-Mukono-24h'!G101,'2.11 Mbalala-Mukono-24h'!G101)</f>
        <v>0</v>
      </c>
      <c r="H101" s="49">
        <f>AVERAGE('1.11 Mbalala-Mukono-24h'!H101,'2.11 Mbalala-Mukono-24h'!H101)</f>
        <v>0</v>
      </c>
      <c r="I101" s="49">
        <f>AVERAGE('1.11 Mbalala-Mukono-24h'!I101,'2.11 Mbalala-Mukono-24h'!I101)</f>
        <v>2</v>
      </c>
      <c r="J101" s="49">
        <f>AVERAGE('1.11 Mbalala-Mukono-24h'!J101,'2.11 Mbalala-Mukono-24h'!J101)</f>
        <v>5</v>
      </c>
      <c r="K101" s="49">
        <f>AVERAGE('1.11 Mbalala-Mukono-24h'!K101,'2.11 Mbalala-Mukono-24h'!K101)</f>
        <v>0.5</v>
      </c>
      <c r="L101" s="49">
        <f>AVERAGE('1.11 Mbalala-Mukono-24h'!L101,'2.11 Mbalala-Mukono-24h'!L101)</f>
        <v>10</v>
      </c>
      <c r="M101" s="49">
        <f>AVERAGE('1.11 Mbalala-Mukono-24h'!M101,'2.11 Mbalala-Mukono-24h'!M101)</f>
        <v>5.5</v>
      </c>
      <c r="N101" s="49">
        <f>AVERAGE('1.11 Mbalala-Mukono-24h'!N101,'2.11 Mbalala-Mukono-24h'!N101)</f>
        <v>0</v>
      </c>
      <c r="O101" s="15">
        <f t="shared" si="35"/>
        <v>32.5</v>
      </c>
      <c r="P101" s="15">
        <f t="shared" si="36"/>
        <v>38</v>
      </c>
      <c r="R101" s="8"/>
      <c r="T101"/>
    </row>
    <row r="102" spans="2:20" ht="23.1" customHeight="1" x14ac:dyDescent="0.25">
      <c r="B102" s="24" t="s">
        <v>142</v>
      </c>
      <c r="C102" s="49">
        <f>AVERAGE('1.11 Mbalala-Mukono-24h'!C102,'2.11 Mbalala-Mukono-24h'!C102)</f>
        <v>10</v>
      </c>
      <c r="D102" s="49">
        <f>AVERAGE('1.11 Mbalala-Mukono-24h'!D102,'2.11 Mbalala-Mukono-24h'!D102)</f>
        <v>1</v>
      </c>
      <c r="E102" s="49">
        <f>AVERAGE('1.11 Mbalala-Mukono-24h'!E102,'2.11 Mbalala-Mukono-24h'!E102)</f>
        <v>2</v>
      </c>
      <c r="F102" s="49">
        <f>AVERAGE('1.11 Mbalala-Mukono-24h'!F102,'2.11 Mbalala-Mukono-24h'!F102)</f>
        <v>18.5</v>
      </c>
      <c r="G102" s="49">
        <f>AVERAGE('1.11 Mbalala-Mukono-24h'!G102,'2.11 Mbalala-Mukono-24h'!G102)</f>
        <v>0</v>
      </c>
      <c r="H102" s="49">
        <f>AVERAGE('1.11 Mbalala-Mukono-24h'!H102,'2.11 Mbalala-Mukono-24h'!H102)</f>
        <v>0.5</v>
      </c>
      <c r="I102" s="49">
        <f>AVERAGE('1.11 Mbalala-Mukono-24h'!I102,'2.11 Mbalala-Mukono-24h'!I102)</f>
        <v>2</v>
      </c>
      <c r="J102" s="49">
        <f>AVERAGE('1.11 Mbalala-Mukono-24h'!J102,'2.11 Mbalala-Mukono-24h'!J102)</f>
        <v>3.5</v>
      </c>
      <c r="K102" s="49">
        <f>AVERAGE('1.11 Mbalala-Mukono-24h'!K102,'2.11 Mbalala-Mukono-24h'!K102)</f>
        <v>1.5</v>
      </c>
      <c r="L102" s="49">
        <f>AVERAGE('1.11 Mbalala-Mukono-24h'!L102,'2.11 Mbalala-Mukono-24h'!L102)</f>
        <v>16</v>
      </c>
      <c r="M102" s="49">
        <f>AVERAGE('1.11 Mbalala-Mukono-24h'!M102,'2.11 Mbalala-Mukono-24h'!M102)</f>
        <v>8</v>
      </c>
      <c r="N102" s="49">
        <f>AVERAGE('1.11 Mbalala-Mukono-24h'!N102,'2.11 Mbalala-Mukono-24h'!N102)</f>
        <v>0</v>
      </c>
      <c r="O102" s="15">
        <f t="shared" si="35"/>
        <v>55</v>
      </c>
      <c r="P102" s="15">
        <f t="shared" si="36"/>
        <v>63</v>
      </c>
      <c r="R102" s="8"/>
      <c r="T102"/>
    </row>
    <row r="103" spans="2:20" ht="23.1" customHeight="1" x14ac:dyDescent="0.25">
      <c r="B103" s="23" t="s">
        <v>143</v>
      </c>
      <c r="C103" s="49">
        <f>AVERAGE('1.11 Mbalala-Mukono-24h'!C103,'2.11 Mbalala-Mukono-24h'!C103)</f>
        <v>8.5</v>
      </c>
      <c r="D103" s="49">
        <f>AVERAGE('1.11 Mbalala-Mukono-24h'!D103,'2.11 Mbalala-Mukono-24h'!D103)</f>
        <v>2</v>
      </c>
      <c r="E103" s="49">
        <f>AVERAGE('1.11 Mbalala-Mukono-24h'!E103,'2.11 Mbalala-Mukono-24h'!E103)</f>
        <v>1</v>
      </c>
      <c r="F103" s="49">
        <f>AVERAGE('1.11 Mbalala-Mukono-24h'!F103,'2.11 Mbalala-Mukono-24h'!F103)</f>
        <v>9</v>
      </c>
      <c r="G103" s="49">
        <f>AVERAGE('1.11 Mbalala-Mukono-24h'!G103,'2.11 Mbalala-Mukono-24h'!G103)</f>
        <v>0.5</v>
      </c>
      <c r="H103" s="49">
        <f>AVERAGE('1.11 Mbalala-Mukono-24h'!H103,'2.11 Mbalala-Mukono-24h'!H103)</f>
        <v>0</v>
      </c>
      <c r="I103" s="49">
        <f>AVERAGE('1.11 Mbalala-Mukono-24h'!I103,'2.11 Mbalala-Mukono-24h'!I103)</f>
        <v>2</v>
      </c>
      <c r="J103" s="49">
        <f>AVERAGE('1.11 Mbalala-Mukono-24h'!J103,'2.11 Mbalala-Mukono-24h'!J103)</f>
        <v>2</v>
      </c>
      <c r="K103" s="49">
        <f>AVERAGE('1.11 Mbalala-Mukono-24h'!K103,'2.11 Mbalala-Mukono-24h'!K103)</f>
        <v>1</v>
      </c>
      <c r="L103" s="49">
        <f>AVERAGE('1.11 Mbalala-Mukono-24h'!L103,'2.11 Mbalala-Mukono-24h'!L103)</f>
        <v>7.5</v>
      </c>
      <c r="M103" s="49">
        <f>AVERAGE('1.11 Mbalala-Mukono-24h'!M103,'2.11 Mbalala-Mukono-24h'!M103)</f>
        <v>14</v>
      </c>
      <c r="N103" s="49">
        <f>AVERAGE('1.11 Mbalala-Mukono-24h'!N103,'2.11 Mbalala-Mukono-24h'!N103)</f>
        <v>0</v>
      </c>
      <c r="O103" s="15">
        <f t="shared" si="35"/>
        <v>33.5</v>
      </c>
      <c r="P103" s="15">
        <f t="shared" si="36"/>
        <v>47.5</v>
      </c>
      <c r="R103" s="8"/>
      <c r="T103"/>
    </row>
    <row r="104" spans="2:20" ht="23.1" customHeight="1" x14ac:dyDescent="0.25">
      <c r="B104" s="25" t="s">
        <v>144</v>
      </c>
      <c r="C104" s="49">
        <f>AVERAGE('1.11 Mbalala-Mukono-24h'!C104,'2.11 Mbalala-Mukono-24h'!C104)</f>
        <v>8.5</v>
      </c>
      <c r="D104" s="49">
        <f>AVERAGE('1.11 Mbalala-Mukono-24h'!D104,'2.11 Mbalala-Mukono-24h'!D104)</f>
        <v>2</v>
      </c>
      <c r="E104" s="49">
        <f>AVERAGE('1.11 Mbalala-Mukono-24h'!E104,'2.11 Mbalala-Mukono-24h'!E104)</f>
        <v>4.5</v>
      </c>
      <c r="F104" s="49">
        <f>AVERAGE('1.11 Mbalala-Mukono-24h'!F104,'2.11 Mbalala-Mukono-24h'!F104)</f>
        <v>11.5</v>
      </c>
      <c r="G104" s="49">
        <f>AVERAGE('1.11 Mbalala-Mukono-24h'!G104,'2.11 Mbalala-Mukono-24h'!G104)</f>
        <v>1</v>
      </c>
      <c r="H104" s="49">
        <f>AVERAGE('1.11 Mbalala-Mukono-24h'!H104,'2.11 Mbalala-Mukono-24h'!H104)</f>
        <v>1.5</v>
      </c>
      <c r="I104" s="49">
        <f>AVERAGE('1.11 Mbalala-Mukono-24h'!I104,'2.11 Mbalala-Mukono-24h'!I104)</f>
        <v>4</v>
      </c>
      <c r="J104" s="49">
        <f>AVERAGE('1.11 Mbalala-Mukono-24h'!J104,'2.11 Mbalala-Mukono-24h'!J104)</f>
        <v>3.5</v>
      </c>
      <c r="K104" s="49">
        <f>AVERAGE('1.11 Mbalala-Mukono-24h'!K104,'2.11 Mbalala-Mukono-24h'!K104)</f>
        <v>2</v>
      </c>
      <c r="L104" s="49">
        <f>AVERAGE('1.11 Mbalala-Mukono-24h'!L104,'2.11 Mbalala-Mukono-24h'!L104)</f>
        <v>8.5</v>
      </c>
      <c r="M104" s="49">
        <f>AVERAGE('1.11 Mbalala-Mukono-24h'!M104,'2.11 Mbalala-Mukono-24h'!M104)</f>
        <v>15</v>
      </c>
      <c r="N104" s="49">
        <f>AVERAGE('1.11 Mbalala-Mukono-24h'!N104,'2.11 Mbalala-Mukono-24h'!N104)</f>
        <v>0</v>
      </c>
      <c r="O104" s="15">
        <f t="shared" si="35"/>
        <v>47</v>
      </c>
      <c r="P104" s="15">
        <f t="shared" si="36"/>
        <v>62</v>
      </c>
      <c r="R104" s="8"/>
      <c r="T104"/>
    </row>
    <row r="105" spans="2:20" ht="23.1" customHeight="1" x14ac:dyDescent="0.25">
      <c r="B105" s="23" t="s">
        <v>145</v>
      </c>
      <c r="C105" s="49">
        <f>AVERAGE('1.11 Mbalala-Mukono-24h'!C105,'2.11 Mbalala-Mukono-24h'!C105)</f>
        <v>9.5</v>
      </c>
      <c r="D105" s="49">
        <f>AVERAGE('1.11 Mbalala-Mukono-24h'!D105,'2.11 Mbalala-Mukono-24h'!D105)</f>
        <v>1.5</v>
      </c>
      <c r="E105" s="49">
        <f>AVERAGE('1.11 Mbalala-Mukono-24h'!E105,'2.11 Mbalala-Mukono-24h'!E105)</f>
        <v>3.5</v>
      </c>
      <c r="F105" s="49">
        <f>AVERAGE('1.11 Mbalala-Mukono-24h'!F105,'2.11 Mbalala-Mukono-24h'!F105)</f>
        <v>15.5</v>
      </c>
      <c r="G105" s="49">
        <f>AVERAGE('1.11 Mbalala-Mukono-24h'!G105,'2.11 Mbalala-Mukono-24h'!G105)</f>
        <v>0.5</v>
      </c>
      <c r="H105" s="49">
        <f>AVERAGE('1.11 Mbalala-Mukono-24h'!H105,'2.11 Mbalala-Mukono-24h'!H105)</f>
        <v>1</v>
      </c>
      <c r="I105" s="49">
        <f>AVERAGE('1.11 Mbalala-Mukono-24h'!I105,'2.11 Mbalala-Mukono-24h'!I105)</f>
        <v>4.5</v>
      </c>
      <c r="J105" s="49">
        <f>AVERAGE('1.11 Mbalala-Mukono-24h'!J105,'2.11 Mbalala-Mukono-24h'!J105)</f>
        <v>3.5</v>
      </c>
      <c r="K105" s="49">
        <f>AVERAGE('1.11 Mbalala-Mukono-24h'!K105,'2.11 Mbalala-Mukono-24h'!K105)</f>
        <v>0.5</v>
      </c>
      <c r="L105" s="49">
        <f>AVERAGE('1.11 Mbalala-Mukono-24h'!L105,'2.11 Mbalala-Mukono-24h'!L105)</f>
        <v>11</v>
      </c>
      <c r="M105" s="49">
        <f>AVERAGE('1.11 Mbalala-Mukono-24h'!M105,'2.11 Mbalala-Mukono-24h'!M105)</f>
        <v>25</v>
      </c>
      <c r="N105" s="49">
        <f>AVERAGE('1.11 Mbalala-Mukono-24h'!N105,'2.11 Mbalala-Mukono-24h'!N105)</f>
        <v>0</v>
      </c>
      <c r="O105" s="15">
        <f>SUM(C105:L105,N105)</f>
        <v>51</v>
      </c>
      <c r="P105" s="15">
        <f>SUM(C105:N105)</f>
        <v>76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2173.0714285714284</v>
      </c>
      <c r="D106" s="16">
        <f t="shared" ref="D106:P106" si="37">SUM(D10:D105)</f>
        <v>614.42857142857156</v>
      </c>
      <c r="E106" s="16">
        <f t="shared" si="37"/>
        <v>443.35714285714278</v>
      </c>
      <c r="F106" s="16">
        <f t="shared" si="37"/>
        <v>2115.5714285714284</v>
      </c>
      <c r="G106" s="16">
        <f t="shared" si="37"/>
        <v>107.28571428571428</v>
      </c>
      <c r="H106" s="16">
        <f t="shared" si="37"/>
        <v>75.214285714285722</v>
      </c>
      <c r="I106" s="16">
        <f t="shared" si="37"/>
        <v>575.00000000000011</v>
      </c>
      <c r="J106" s="16">
        <f t="shared" si="37"/>
        <v>558.28571428571422</v>
      </c>
      <c r="K106" s="16">
        <f t="shared" si="37"/>
        <v>197.42857142857144</v>
      </c>
      <c r="L106" s="16">
        <f t="shared" si="37"/>
        <v>867.07142857142856</v>
      </c>
      <c r="M106" s="16">
        <f t="shared" si="37"/>
        <v>4803.5714285714294</v>
      </c>
      <c r="N106" s="16">
        <f t="shared" si="37"/>
        <v>0.85714285714285698</v>
      </c>
      <c r="O106" s="16">
        <f t="shared" si="37"/>
        <v>7727.5714285714275</v>
      </c>
      <c r="P106" s="16">
        <f t="shared" si="37"/>
        <v>12531.142857142857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0.17341366652226453</v>
      </c>
      <c r="D107" s="43">
        <f t="shared" si="38"/>
        <v>4.903212567546001E-2</v>
      </c>
      <c r="E107" s="43">
        <f t="shared" si="38"/>
        <v>3.5380423630269719E-2</v>
      </c>
      <c r="F107" s="43">
        <f t="shared" si="38"/>
        <v>0.16882509861145945</v>
      </c>
      <c r="G107" s="43">
        <f t="shared" si="38"/>
        <v>8.5615267105953168E-3</v>
      </c>
      <c r="H107" s="43">
        <f t="shared" si="38"/>
        <v>6.0021888323947203E-3</v>
      </c>
      <c r="I107" s="43">
        <f t="shared" si="38"/>
        <v>4.588567910805081E-2</v>
      </c>
      <c r="J107" s="43">
        <f t="shared" si="38"/>
        <v>4.4551859367518633E-2</v>
      </c>
      <c r="K107" s="43">
        <f t="shared" si="38"/>
        <v>1.5755033174490986E-2</v>
      </c>
      <c r="L107" s="43">
        <f t="shared" si="38"/>
        <v>6.9193324061196104E-2</v>
      </c>
      <c r="M107" s="43">
        <f t="shared" si="38"/>
        <v>0.38333067329396481</v>
      </c>
      <c r="N107" s="43">
        <f t="shared" si="38"/>
        <v>6.8401012334982548E-5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0.28121013809550222</v>
      </c>
      <c r="D108" s="44">
        <f t="shared" ref="D108:N108" si="39">D106/$O$106</f>
        <v>7.9511212171630374E-2</v>
      </c>
      <c r="E108" s="44">
        <f t="shared" si="39"/>
        <v>5.7373412456325212E-2</v>
      </c>
      <c r="F108" s="44">
        <f t="shared" si="39"/>
        <v>0.27376924925591112</v>
      </c>
      <c r="G108" s="44">
        <f t="shared" si="39"/>
        <v>1.3883496940454404E-2</v>
      </c>
      <c r="H108" s="44">
        <f t="shared" si="39"/>
        <v>9.7332372025955328E-3</v>
      </c>
      <c r="I108" s="44">
        <f t="shared" si="39"/>
        <v>7.4408888395910769E-2</v>
      </c>
      <c r="J108" s="44">
        <f t="shared" si="39"/>
        <v>7.2245946795333957E-2</v>
      </c>
      <c r="K108" s="44">
        <f t="shared" si="39"/>
        <v>2.5548592239291595E-2</v>
      </c>
      <c r="L108" s="44">
        <f t="shared" si="39"/>
        <v>0.11220490636496405</v>
      </c>
      <c r="M108" s="44"/>
      <c r="N108" s="44">
        <f t="shared" si="39"/>
        <v>1.1092008208086073E-4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L34" zoomScale="60" workbookViewId="0">
      <selection activeCell="AA93" sqref="AA9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'4.11 Mbalala-Mukono'!C3:G3</f>
        <v>MCC - C2 - STN76 - KAMPALA-JINJA HIGHWAY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'Avg Week Mbalala-Mukono'!G5:H5</f>
        <v>Perfect tents</v>
      </c>
      <c r="H5" s="62"/>
      <c r="I5" s="14"/>
      <c r="J5" s="2" t="s">
        <v>5</v>
      </c>
      <c r="K5" s="61" t="s">
        <v>184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5" t="s">
        <v>161</v>
      </c>
      <c r="E6" s="66"/>
      <c r="F6" s="2" t="s">
        <v>2</v>
      </c>
      <c r="G6" s="65" t="s">
        <v>161</v>
      </c>
      <c r="H6" s="66"/>
      <c r="J6" s="2" t="s">
        <v>21</v>
      </c>
      <c r="K6" s="61" t="str">
        <f>'Avg Week Mbalala-Mukono'!K6:L6</f>
        <v>Victor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Mukono-Mbalala'!C10+'Avg Week Mbalala-Mukono'!C10</f>
        <v>60.142857142857139</v>
      </c>
      <c r="D10" s="49">
        <f>'Avg Week Mukono-Mbalala'!D10+'Avg Week Mbalala-Mukono'!D10</f>
        <v>23.428571428571431</v>
      </c>
      <c r="E10" s="49">
        <f>'Avg Week Mukono-Mbalala'!E10+'Avg Week Mbalala-Mukono'!E10</f>
        <v>12</v>
      </c>
      <c r="F10" s="49">
        <f>'Avg Week Mukono-Mbalala'!F10+'Avg Week Mbalala-Mukono'!F10</f>
        <v>57.428571428571431</v>
      </c>
      <c r="G10" s="49">
        <f>'Avg Week Mukono-Mbalala'!G10+'Avg Week Mbalala-Mukono'!G10</f>
        <v>3.8571428571428577</v>
      </c>
      <c r="H10" s="49">
        <f>'Avg Week Mukono-Mbalala'!H10+'Avg Week Mbalala-Mukono'!H10</f>
        <v>1.8571428571428572</v>
      </c>
      <c r="I10" s="49">
        <f>'Avg Week Mukono-Mbalala'!I10+'Avg Week Mbalala-Mukono'!I10</f>
        <v>15.857142857142858</v>
      </c>
      <c r="J10" s="49">
        <f>'Avg Week Mukono-Mbalala'!J10+'Avg Week Mbalala-Mukono'!J10</f>
        <v>11.714285714285714</v>
      </c>
      <c r="K10" s="49">
        <f>'Avg Week Mukono-Mbalala'!K10+'Avg Week Mbalala-Mukono'!K10</f>
        <v>8.1428571428571423</v>
      </c>
      <c r="L10" s="49">
        <f>'Avg Week Mukono-Mbalala'!L10+'Avg Week Mbalala-Mukono'!L10</f>
        <v>21.571428571428573</v>
      </c>
      <c r="M10" s="49">
        <f>'Avg Week Mukono-Mbalala'!M10+'Avg Week Mbalala-Mukono'!M10</f>
        <v>161.85714285714286</v>
      </c>
      <c r="N10" s="49">
        <f>'Avg Week Mukono-Mbalala'!N10+'Avg Week Mbalala-Mukono'!N10</f>
        <v>0</v>
      </c>
      <c r="O10" s="15">
        <f t="shared" ref="O10:O73" si="0">SUM(C10:L10,N10)</f>
        <v>216.00000000000003</v>
      </c>
      <c r="P10" s="15">
        <f t="shared" ref="P10:P73" si="1">SUM(C10:N10)</f>
        <v>377.85714285714289</v>
      </c>
      <c r="R10" s="1" t="s">
        <v>6</v>
      </c>
      <c r="S10" s="17">
        <f t="shared" ref="S10:AF10" si="2">SUM(C10:C13)</f>
        <v>249.99999999999997</v>
      </c>
      <c r="T10" s="17">
        <f t="shared" si="2"/>
        <v>71.571428571428569</v>
      </c>
      <c r="U10" s="17">
        <f t="shared" si="2"/>
        <v>52</v>
      </c>
      <c r="V10" s="17">
        <f t="shared" si="2"/>
        <v>238.42857142857142</v>
      </c>
      <c r="W10" s="17">
        <f t="shared" si="2"/>
        <v>16.571428571428573</v>
      </c>
      <c r="X10" s="17">
        <f t="shared" si="2"/>
        <v>8.8571428571428577</v>
      </c>
      <c r="Y10" s="17">
        <f t="shared" si="2"/>
        <v>55.714285714285708</v>
      </c>
      <c r="Z10" s="17">
        <f t="shared" si="2"/>
        <v>39.428571428571431</v>
      </c>
      <c r="AA10" s="17">
        <f t="shared" si="2"/>
        <v>30.571428571428569</v>
      </c>
      <c r="AB10" s="17">
        <f t="shared" si="2"/>
        <v>109.57142857142858</v>
      </c>
      <c r="AC10" s="17">
        <f t="shared" si="2"/>
        <v>674.71428571428578</v>
      </c>
      <c r="AD10" s="17">
        <f t="shared" si="2"/>
        <v>0</v>
      </c>
      <c r="AE10" s="31">
        <f t="shared" si="2"/>
        <v>872.71428571428578</v>
      </c>
      <c r="AF10" s="31">
        <f t="shared" si="2"/>
        <v>1547.4285714285716</v>
      </c>
    </row>
    <row r="11" spans="2:32" s="6" customFormat="1" ht="23.1" customHeight="1" x14ac:dyDescent="0.25">
      <c r="B11" s="23" t="s">
        <v>38</v>
      </c>
      <c r="C11" s="49">
        <f>'Avg Week Mukono-Mbalala'!C11+'Avg Week Mbalala-Mukono'!C11</f>
        <v>58.571428571428569</v>
      </c>
      <c r="D11" s="49">
        <f>'Avg Week Mukono-Mbalala'!D11+'Avg Week Mbalala-Mukono'!D11</f>
        <v>17.285714285714285</v>
      </c>
      <c r="E11" s="49">
        <f>'Avg Week Mukono-Mbalala'!E11+'Avg Week Mbalala-Mukono'!E11</f>
        <v>14</v>
      </c>
      <c r="F11" s="49">
        <f>'Avg Week Mukono-Mbalala'!F11+'Avg Week Mbalala-Mukono'!F11</f>
        <v>58.714285714285715</v>
      </c>
      <c r="G11" s="49">
        <f>'Avg Week Mukono-Mbalala'!G11+'Avg Week Mbalala-Mukono'!G11</f>
        <v>4.7142857142857144</v>
      </c>
      <c r="H11" s="49">
        <f>'Avg Week Mukono-Mbalala'!H11+'Avg Week Mbalala-Mukono'!H11</f>
        <v>2.5714285714285712</v>
      </c>
      <c r="I11" s="49">
        <f>'Avg Week Mukono-Mbalala'!I11+'Avg Week Mbalala-Mukono'!I11</f>
        <v>14.142857142857142</v>
      </c>
      <c r="J11" s="49">
        <f>'Avg Week Mukono-Mbalala'!J11+'Avg Week Mbalala-Mukono'!J11</f>
        <v>9</v>
      </c>
      <c r="K11" s="49">
        <f>'Avg Week Mukono-Mbalala'!K11+'Avg Week Mbalala-Mukono'!K11</f>
        <v>11.142857142857142</v>
      </c>
      <c r="L11" s="49">
        <f>'Avg Week Mukono-Mbalala'!L11+'Avg Week Mbalala-Mukono'!L11</f>
        <v>36.714285714285715</v>
      </c>
      <c r="M11" s="49">
        <f>'Avg Week Mukono-Mbalala'!M11+'Avg Week Mbalala-Mukono'!M11</f>
        <v>142.85714285714283</v>
      </c>
      <c r="N11" s="49">
        <f>'Avg Week Mukono-Mbalala'!N11+'Avg Week Mbalala-Mukono'!N11</f>
        <v>0</v>
      </c>
      <c r="O11" s="15">
        <f t="shared" si="0"/>
        <v>226.85714285714289</v>
      </c>
      <c r="P11" s="15">
        <f t="shared" si="1"/>
        <v>369.71428571428572</v>
      </c>
      <c r="R11" s="1" t="s">
        <v>7</v>
      </c>
      <c r="S11" s="17">
        <f t="shared" ref="S11:AF11" si="3">SUM(C14:C17)</f>
        <v>272.85714285714283</v>
      </c>
      <c r="T11" s="17">
        <f t="shared" si="3"/>
        <v>68.571428571428569</v>
      </c>
      <c r="U11" s="17">
        <f t="shared" si="3"/>
        <v>55.428571428571431</v>
      </c>
      <c r="V11" s="17">
        <f t="shared" si="3"/>
        <v>263.71428571428578</v>
      </c>
      <c r="W11" s="17">
        <f t="shared" si="3"/>
        <v>12</v>
      </c>
      <c r="X11" s="17">
        <f t="shared" si="3"/>
        <v>9.7142857142857153</v>
      </c>
      <c r="Y11" s="17">
        <f t="shared" si="3"/>
        <v>52.571428571428569</v>
      </c>
      <c r="Z11" s="17">
        <f t="shared" si="3"/>
        <v>37.428571428571431</v>
      </c>
      <c r="AA11" s="17">
        <f t="shared" si="3"/>
        <v>19.285714285714285</v>
      </c>
      <c r="AB11" s="17">
        <f t="shared" si="3"/>
        <v>75.999999999999986</v>
      </c>
      <c r="AC11" s="17">
        <f t="shared" si="3"/>
        <v>856</v>
      </c>
      <c r="AD11" s="17">
        <f t="shared" si="3"/>
        <v>0.2857142857142857</v>
      </c>
      <c r="AE11" s="31">
        <f t="shared" si="3"/>
        <v>867.85714285714289</v>
      </c>
      <c r="AF11" s="31">
        <f t="shared" si="3"/>
        <v>1723.8571428571429</v>
      </c>
    </row>
    <row r="12" spans="2:32" ht="23.1" customHeight="1" x14ac:dyDescent="0.25">
      <c r="B12" s="23" t="s">
        <v>39</v>
      </c>
      <c r="C12" s="49">
        <f>'Avg Week Mukono-Mbalala'!C12+'Avg Week Mbalala-Mukono'!C12</f>
        <v>66.142857142857139</v>
      </c>
      <c r="D12" s="49">
        <f>'Avg Week Mukono-Mbalala'!D12+'Avg Week Mbalala-Mukono'!D12</f>
        <v>14</v>
      </c>
      <c r="E12" s="49">
        <f>'Avg Week Mukono-Mbalala'!E12+'Avg Week Mbalala-Mukono'!E12</f>
        <v>12.714285714285715</v>
      </c>
      <c r="F12" s="49">
        <f>'Avg Week Mukono-Mbalala'!F12+'Avg Week Mbalala-Mukono'!F12</f>
        <v>66.285714285714278</v>
      </c>
      <c r="G12" s="49">
        <f>'Avg Week Mukono-Mbalala'!G12+'Avg Week Mbalala-Mukono'!G12</f>
        <v>3</v>
      </c>
      <c r="H12" s="49">
        <f>'Avg Week Mukono-Mbalala'!H12+'Avg Week Mbalala-Mukono'!H12</f>
        <v>2</v>
      </c>
      <c r="I12" s="49">
        <f>'Avg Week Mukono-Mbalala'!I12+'Avg Week Mbalala-Mukono'!I12</f>
        <v>12.571428571428571</v>
      </c>
      <c r="J12" s="49">
        <f>'Avg Week Mukono-Mbalala'!J12+'Avg Week Mbalala-Mukono'!J12</f>
        <v>11</v>
      </c>
      <c r="K12" s="49">
        <f>'Avg Week Mukono-Mbalala'!K12+'Avg Week Mbalala-Mukono'!K12</f>
        <v>7</v>
      </c>
      <c r="L12" s="49">
        <f>'Avg Week Mukono-Mbalala'!L12+'Avg Week Mbalala-Mukono'!L12</f>
        <v>28.857142857142858</v>
      </c>
      <c r="M12" s="49">
        <f>'Avg Week Mukono-Mbalala'!M12+'Avg Week Mbalala-Mukono'!M12</f>
        <v>180.85714285714286</v>
      </c>
      <c r="N12" s="49">
        <f>'Avg Week Mukono-Mbalala'!N12+'Avg Week Mbalala-Mukono'!N12</f>
        <v>0</v>
      </c>
      <c r="O12" s="15">
        <f t="shared" si="0"/>
        <v>223.57142857142858</v>
      </c>
      <c r="P12" s="15">
        <f t="shared" si="1"/>
        <v>404.42857142857144</v>
      </c>
      <c r="R12" s="1" t="s">
        <v>8</v>
      </c>
      <c r="S12" s="17">
        <f t="shared" ref="S12:AF12" si="4">SUM(C18:C21)</f>
        <v>263</v>
      </c>
      <c r="T12" s="17">
        <f t="shared" si="4"/>
        <v>61.571428571428569</v>
      </c>
      <c r="U12" s="17">
        <f t="shared" si="4"/>
        <v>51</v>
      </c>
      <c r="V12" s="17">
        <f t="shared" si="4"/>
        <v>290.28571428571428</v>
      </c>
      <c r="W12" s="17">
        <f t="shared" si="4"/>
        <v>12.857142857142858</v>
      </c>
      <c r="X12" s="17">
        <f t="shared" si="4"/>
        <v>5.8571428571428577</v>
      </c>
      <c r="Y12" s="17">
        <f t="shared" si="4"/>
        <v>67.142857142857139</v>
      </c>
      <c r="Z12" s="17">
        <f t="shared" si="4"/>
        <v>38.428571428571431</v>
      </c>
      <c r="AA12" s="17">
        <f t="shared" si="4"/>
        <v>21.285714285714285</v>
      </c>
      <c r="AB12" s="17">
        <f t="shared" si="4"/>
        <v>73.714285714285722</v>
      </c>
      <c r="AC12" s="17">
        <f t="shared" si="4"/>
        <v>807.57142857142856</v>
      </c>
      <c r="AD12" s="17">
        <f t="shared" si="4"/>
        <v>0</v>
      </c>
      <c r="AE12" s="31">
        <f t="shared" si="4"/>
        <v>885.14285714285711</v>
      </c>
      <c r="AF12" s="31">
        <f t="shared" si="4"/>
        <v>1692.7142857142858</v>
      </c>
    </row>
    <row r="13" spans="2:32" ht="23.1" customHeight="1" x14ac:dyDescent="0.25">
      <c r="B13" s="23" t="s">
        <v>40</v>
      </c>
      <c r="C13" s="49">
        <f>'Avg Week Mukono-Mbalala'!C13+'Avg Week Mbalala-Mukono'!C13</f>
        <v>65.142857142857139</v>
      </c>
      <c r="D13" s="49">
        <f>'Avg Week Mukono-Mbalala'!D13+'Avg Week Mbalala-Mukono'!D13</f>
        <v>16.857142857142858</v>
      </c>
      <c r="E13" s="49">
        <f>'Avg Week Mukono-Mbalala'!E13+'Avg Week Mbalala-Mukono'!E13</f>
        <v>13.285714285714285</v>
      </c>
      <c r="F13" s="49">
        <f>'Avg Week Mukono-Mbalala'!F13+'Avg Week Mbalala-Mukono'!F13</f>
        <v>56</v>
      </c>
      <c r="G13" s="49">
        <f>'Avg Week Mukono-Mbalala'!G13+'Avg Week Mbalala-Mukono'!G13</f>
        <v>5</v>
      </c>
      <c r="H13" s="49">
        <f>'Avg Week Mukono-Mbalala'!H13+'Avg Week Mbalala-Mukono'!H13</f>
        <v>2.4285714285714284</v>
      </c>
      <c r="I13" s="49">
        <f>'Avg Week Mukono-Mbalala'!I13+'Avg Week Mbalala-Mukono'!I13</f>
        <v>13.142857142857142</v>
      </c>
      <c r="J13" s="49">
        <f>'Avg Week Mukono-Mbalala'!J13+'Avg Week Mbalala-Mukono'!J13</f>
        <v>7.7142857142857135</v>
      </c>
      <c r="K13" s="49">
        <f>'Avg Week Mukono-Mbalala'!K13+'Avg Week Mbalala-Mukono'!K13</f>
        <v>4.2857142857142856</v>
      </c>
      <c r="L13" s="49">
        <f>'Avg Week Mukono-Mbalala'!L13+'Avg Week Mbalala-Mukono'!L13</f>
        <v>22.428571428571431</v>
      </c>
      <c r="M13" s="49">
        <f>'Avg Week Mukono-Mbalala'!M13+'Avg Week Mbalala-Mukono'!M13</f>
        <v>189.14285714285717</v>
      </c>
      <c r="N13" s="49">
        <f>'Avg Week Mukono-Mbalala'!N13+'Avg Week Mbalala-Mukono'!N13</f>
        <v>0</v>
      </c>
      <c r="O13" s="15">
        <f t="shared" si="0"/>
        <v>206.28571428571428</v>
      </c>
      <c r="P13" s="15">
        <f t="shared" si="1"/>
        <v>395.42857142857144</v>
      </c>
      <c r="R13" s="1" t="s">
        <v>9</v>
      </c>
      <c r="S13" s="17">
        <f t="shared" ref="S13:AF13" si="5">SUM(C22:C25)</f>
        <v>301.71428571428572</v>
      </c>
      <c r="T13" s="17">
        <f t="shared" si="5"/>
        <v>80.571428571428569</v>
      </c>
      <c r="U13" s="17">
        <f t="shared" si="5"/>
        <v>56.285714285714285</v>
      </c>
      <c r="V13" s="17">
        <f t="shared" si="5"/>
        <v>303.57142857142856</v>
      </c>
      <c r="W13" s="17">
        <f t="shared" si="5"/>
        <v>25.428571428571431</v>
      </c>
      <c r="X13" s="17">
        <f t="shared" si="5"/>
        <v>7.5714285714285712</v>
      </c>
      <c r="Y13" s="17">
        <f t="shared" si="5"/>
        <v>68.571428571428569</v>
      </c>
      <c r="Z13" s="17">
        <f t="shared" si="5"/>
        <v>48.428571428571431</v>
      </c>
      <c r="AA13" s="17">
        <f t="shared" si="5"/>
        <v>28.142857142857142</v>
      </c>
      <c r="AB13" s="17">
        <f t="shared" si="5"/>
        <v>89</v>
      </c>
      <c r="AC13" s="17">
        <f t="shared" si="5"/>
        <v>818.85714285714289</v>
      </c>
      <c r="AD13" s="17">
        <f t="shared" si="5"/>
        <v>0.14285714285714285</v>
      </c>
      <c r="AE13" s="31">
        <f t="shared" si="5"/>
        <v>1009.4285714285714</v>
      </c>
      <c r="AF13" s="31">
        <f t="shared" si="5"/>
        <v>1828.2857142857142</v>
      </c>
    </row>
    <row r="14" spans="2:32" ht="23.1" customHeight="1" x14ac:dyDescent="0.25">
      <c r="B14" s="23" t="s">
        <v>41</v>
      </c>
      <c r="C14" s="49">
        <f>'Avg Week Mukono-Mbalala'!C14+'Avg Week Mbalala-Mukono'!C14</f>
        <v>72</v>
      </c>
      <c r="D14" s="49">
        <f>'Avg Week Mukono-Mbalala'!D14+'Avg Week Mbalala-Mukono'!D14</f>
        <v>21.428571428571431</v>
      </c>
      <c r="E14" s="49">
        <f>'Avg Week Mukono-Mbalala'!E14+'Avg Week Mbalala-Mukono'!E14</f>
        <v>14.142857142857142</v>
      </c>
      <c r="F14" s="49">
        <f>'Avg Week Mukono-Mbalala'!F14+'Avg Week Mbalala-Mukono'!F14</f>
        <v>71.428571428571431</v>
      </c>
      <c r="G14" s="49">
        <f>'Avg Week Mukono-Mbalala'!G14+'Avg Week Mbalala-Mukono'!G14</f>
        <v>4.5714285714285712</v>
      </c>
      <c r="H14" s="49">
        <f>'Avg Week Mukono-Mbalala'!H14+'Avg Week Mbalala-Mukono'!H14</f>
        <v>2.4285714285714288</v>
      </c>
      <c r="I14" s="49">
        <f>'Avg Week Mukono-Mbalala'!I14+'Avg Week Mbalala-Mukono'!I14</f>
        <v>16.142857142857142</v>
      </c>
      <c r="J14" s="49">
        <f>'Avg Week Mukono-Mbalala'!J14+'Avg Week Mbalala-Mukono'!J14</f>
        <v>12</v>
      </c>
      <c r="K14" s="49">
        <f>'Avg Week Mukono-Mbalala'!K14+'Avg Week Mbalala-Mukono'!K14</f>
        <v>5</v>
      </c>
      <c r="L14" s="49">
        <f>'Avg Week Mukono-Mbalala'!L14+'Avg Week Mbalala-Mukono'!L14</f>
        <v>23.571428571428569</v>
      </c>
      <c r="M14" s="49">
        <f>'Avg Week Mukono-Mbalala'!M14+'Avg Week Mbalala-Mukono'!M14</f>
        <v>212.42857142857144</v>
      </c>
      <c r="N14" s="49">
        <f>'Avg Week Mukono-Mbalala'!N14+'Avg Week Mbalala-Mukono'!N14</f>
        <v>0</v>
      </c>
      <c r="O14" s="15">
        <f t="shared" si="0"/>
        <v>242.71428571428572</v>
      </c>
      <c r="P14" s="15">
        <f t="shared" si="1"/>
        <v>455.14285714285717</v>
      </c>
      <c r="R14" s="1" t="s">
        <v>10</v>
      </c>
      <c r="S14" s="17">
        <f t="shared" ref="S14:AF14" si="6">SUM(C26:C29)</f>
        <v>292.14285714285711</v>
      </c>
      <c r="T14" s="17">
        <f t="shared" si="6"/>
        <v>61.285714285714285</v>
      </c>
      <c r="U14" s="17">
        <f t="shared" si="6"/>
        <v>52.857142857142854</v>
      </c>
      <c r="V14" s="17">
        <f t="shared" si="6"/>
        <v>262.42857142857144</v>
      </c>
      <c r="W14" s="17">
        <f t="shared" si="6"/>
        <v>11.428571428571429</v>
      </c>
      <c r="X14" s="17">
        <f t="shared" si="6"/>
        <v>6.5714285714285721</v>
      </c>
      <c r="Y14" s="17">
        <f t="shared" si="6"/>
        <v>76.857142857142861</v>
      </c>
      <c r="Z14" s="17">
        <f t="shared" si="6"/>
        <v>50.142857142857139</v>
      </c>
      <c r="AA14" s="17">
        <f t="shared" si="6"/>
        <v>23.285714285714285</v>
      </c>
      <c r="AB14" s="17">
        <f t="shared" si="6"/>
        <v>95.142857142857139</v>
      </c>
      <c r="AC14" s="17">
        <f t="shared" si="6"/>
        <v>746</v>
      </c>
      <c r="AD14" s="17">
        <f t="shared" si="6"/>
        <v>0</v>
      </c>
      <c r="AE14" s="31">
        <f t="shared" si="6"/>
        <v>932.142857142857</v>
      </c>
      <c r="AF14" s="31">
        <f t="shared" si="6"/>
        <v>1678.1428571428569</v>
      </c>
    </row>
    <row r="15" spans="2:32" ht="23.1" customHeight="1" x14ac:dyDescent="0.25">
      <c r="B15" s="23" t="s">
        <v>42</v>
      </c>
      <c r="C15" s="49">
        <f>'Avg Week Mukono-Mbalala'!C15+'Avg Week Mbalala-Mukono'!C15</f>
        <v>61</v>
      </c>
      <c r="D15" s="49">
        <f>'Avg Week Mukono-Mbalala'!D15+'Avg Week Mbalala-Mukono'!D15</f>
        <v>16.285714285714285</v>
      </c>
      <c r="E15" s="49">
        <f>'Avg Week Mukono-Mbalala'!E15+'Avg Week Mbalala-Mukono'!E15</f>
        <v>12.428571428571429</v>
      </c>
      <c r="F15" s="49">
        <f>'Avg Week Mukono-Mbalala'!F15+'Avg Week Mbalala-Mukono'!F15</f>
        <v>69.714285714285722</v>
      </c>
      <c r="G15" s="49">
        <f>'Avg Week Mukono-Mbalala'!G15+'Avg Week Mbalala-Mukono'!G15</f>
        <v>2.8571428571428572</v>
      </c>
      <c r="H15" s="49">
        <f>'Avg Week Mukono-Mbalala'!H15+'Avg Week Mbalala-Mukono'!H15</f>
        <v>2.2857142857142856</v>
      </c>
      <c r="I15" s="49">
        <f>'Avg Week Mukono-Mbalala'!I15+'Avg Week Mbalala-Mukono'!I15</f>
        <v>11.571428571428571</v>
      </c>
      <c r="J15" s="49">
        <f>'Avg Week Mukono-Mbalala'!J15+'Avg Week Mbalala-Mukono'!J15</f>
        <v>9</v>
      </c>
      <c r="K15" s="49">
        <f>'Avg Week Mukono-Mbalala'!K15+'Avg Week Mbalala-Mukono'!K15</f>
        <v>3.2857142857142856</v>
      </c>
      <c r="L15" s="49">
        <f>'Avg Week Mukono-Mbalala'!L15+'Avg Week Mbalala-Mukono'!L15</f>
        <v>18.142857142857142</v>
      </c>
      <c r="M15" s="49">
        <f>'Avg Week Mukono-Mbalala'!M15+'Avg Week Mbalala-Mukono'!M15</f>
        <v>206.71428571428572</v>
      </c>
      <c r="N15" s="49">
        <f>'Avg Week Mukono-Mbalala'!N15+'Avg Week Mbalala-Mukono'!N15</f>
        <v>0.14285714285714285</v>
      </c>
      <c r="O15" s="15">
        <f t="shared" si="0"/>
        <v>206.71428571428572</v>
      </c>
      <c r="P15" s="15">
        <f t="shared" si="1"/>
        <v>413.4285714285715</v>
      </c>
      <c r="R15" s="1" t="s">
        <v>11</v>
      </c>
      <c r="S15" s="17">
        <f t="shared" ref="S15:AF15" si="7">SUM(C30:C33)</f>
        <v>327.14285714285717</v>
      </c>
      <c r="T15" s="17">
        <f t="shared" si="7"/>
        <v>75.571428571428584</v>
      </c>
      <c r="U15" s="17">
        <f t="shared" si="7"/>
        <v>48.714285714285715</v>
      </c>
      <c r="V15" s="17">
        <f t="shared" si="7"/>
        <v>317.28571428571433</v>
      </c>
      <c r="W15" s="17">
        <f t="shared" si="7"/>
        <v>10.285714285714286</v>
      </c>
      <c r="X15" s="17">
        <f t="shared" si="7"/>
        <v>6.2857142857142856</v>
      </c>
      <c r="Y15" s="17">
        <f t="shared" si="7"/>
        <v>84.714285714285722</v>
      </c>
      <c r="Z15" s="17">
        <f t="shared" si="7"/>
        <v>63.571428571428569</v>
      </c>
      <c r="AA15" s="17">
        <f t="shared" si="7"/>
        <v>32.285714285714285</v>
      </c>
      <c r="AB15" s="17">
        <f t="shared" si="7"/>
        <v>109.57142857142857</v>
      </c>
      <c r="AC15" s="17">
        <f t="shared" si="7"/>
        <v>764.71428571428578</v>
      </c>
      <c r="AD15" s="17">
        <f t="shared" si="7"/>
        <v>0</v>
      </c>
      <c r="AE15" s="31">
        <f t="shared" si="7"/>
        <v>1075.4285714285716</v>
      </c>
      <c r="AF15" s="31">
        <f t="shared" si="7"/>
        <v>1840.1428571428573</v>
      </c>
    </row>
    <row r="16" spans="2:32" ht="23.1" customHeight="1" x14ac:dyDescent="0.25">
      <c r="B16" s="23" t="s">
        <v>43</v>
      </c>
      <c r="C16" s="49">
        <f>'Avg Week Mukono-Mbalala'!C16+'Avg Week Mbalala-Mukono'!C16</f>
        <v>69.142857142857139</v>
      </c>
      <c r="D16" s="49">
        <f>'Avg Week Mukono-Mbalala'!D16+'Avg Week Mbalala-Mukono'!D16</f>
        <v>16</v>
      </c>
      <c r="E16" s="49">
        <f>'Avg Week Mukono-Mbalala'!E16+'Avg Week Mbalala-Mukono'!E16</f>
        <v>14</v>
      </c>
      <c r="F16" s="49">
        <f>'Avg Week Mukono-Mbalala'!F16+'Avg Week Mbalala-Mukono'!F16</f>
        <v>56.857142857142861</v>
      </c>
      <c r="G16" s="49">
        <f>'Avg Week Mukono-Mbalala'!G16+'Avg Week Mbalala-Mukono'!G16</f>
        <v>2</v>
      </c>
      <c r="H16" s="49">
        <f>'Avg Week Mukono-Mbalala'!H16+'Avg Week Mbalala-Mukono'!H16</f>
        <v>3</v>
      </c>
      <c r="I16" s="49">
        <f>'Avg Week Mukono-Mbalala'!I16+'Avg Week Mbalala-Mukono'!I16</f>
        <v>13.857142857142858</v>
      </c>
      <c r="J16" s="49">
        <f>'Avg Week Mukono-Mbalala'!J16+'Avg Week Mbalala-Mukono'!J16</f>
        <v>7.7142857142857153</v>
      </c>
      <c r="K16" s="49">
        <f>'Avg Week Mukono-Mbalala'!K16+'Avg Week Mbalala-Mukono'!K16</f>
        <v>4.5714285714285712</v>
      </c>
      <c r="L16" s="49">
        <f>'Avg Week Mukono-Mbalala'!L16+'Avg Week Mbalala-Mukono'!L16</f>
        <v>18.142857142857142</v>
      </c>
      <c r="M16" s="49">
        <f>'Avg Week Mukono-Mbalala'!M16+'Avg Week Mbalala-Mukono'!M16</f>
        <v>237.14285714285714</v>
      </c>
      <c r="N16" s="49">
        <f>'Avg Week Mukono-Mbalala'!N16+'Avg Week Mbalala-Mukono'!N16</f>
        <v>0</v>
      </c>
      <c r="O16" s="15">
        <f t="shared" si="0"/>
        <v>205.28571428571431</v>
      </c>
      <c r="P16" s="15">
        <f t="shared" si="1"/>
        <v>442.42857142857144</v>
      </c>
      <c r="R16" s="1" t="s">
        <v>12</v>
      </c>
      <c r="S16" s="17">
        <f t="shared" ref="S16:AF16" si="8">SUM(C34:C37)</f>
        <v>280.42857142857144</v>
      </c>
      <c r="T16" s="17">
        <f t="shared" si="8"/>
        <v>78.428571428571431</v>
      </c>
      <c r="U16" s="17">
        <f t="shared" si="8"/>
        <v>51</v>
      </c>
      <c r="V16" s="17">
        <f t="shared" si="8"/>
        <v>277.71428571428572</v>
      </c>
      <c r="W16" s="17">
        <f t="shared" si="8"/>
        <v>11.285714285714285</v>
      </c>
      <c r="X16" s="17">
        <f t="shared" si="8"/>
        <v>7.4285714285714288</v>
      </c>
      <c r="Y16" s="17">
        <f t="shared" si="8"/>
        <v>83.714285714285722</v>
      </c>
      <c r="Z16" s="17">
        <f t="shared" si="8"/>
        <v>58.714285714285722</v>
      </c>
      <c r="AA16" s="17">
        <f t="shared" si="8"/>
        <v>27.857142857142861</v>
      </c>
      <c r="AB16" s="17">
        <f t="shared" si="8"/>
        <v>100.14285714285714</v>
      </c>
      <c r="AC16" s="17">
        <f t="shared" si="8"/>
        <v>769.57142857142856</v>
      </c>
      <c r="AD16" s="17">
        <f t="shared" si="8"/>
        <v>0</v>
      </c>
      <c r="AE16" s="31">
        <f t="shared" si="8"/>
        <v>976.71428571428578</v>
      </c>
      <c r="AF16" s="31">
        <f t="shared" si="8"/>
        <v>1746.2857142857144</v>
      </c>
    </row>
    <row r="17" spans="2:32" ht="23.1" customHeight="1" x14ac:dyDescent="0.25">
      <c r="B17" s="23" t="s">
        <v>44</v>
      </c>
      <c r="C17" s="49">
        <f>'Avg Week Mukono-Mbalala'!C17+'Avg Week Mbalala-Mukono'!C17</f>
        <v>70.714285714285708</v>
      </c>
      <c r="D17" s="49">
        <f>'Avg Week Mukono-Mbalala'!D17+'Avg Week Mbalala-Mukono'!D17</f>
        <v>14.857142857142858</v>
      </c>
      <c r="E17" s="49">
        <f>'Avg Week Mukono-Mbalala'!E17+'Avg Week Mbalala-Mukono'!E17</f>
        <v>14.857142857142858</v>
      </c>
      <c r="F17" s="49">
        <f>'Avg Week Mukono-Mbalala'!F17+'Avg Week Mbalala-Mukono'!F17</f>
        <v>65.714285714285722</v>
      </c>
      <c r="G17" s="49">
        <f>'Avg Week Mukono-Mbalala'!G17+'Avg Week Mbalala-Mukono'!G17</f>
        <v>2.5714285714285712</v>
      </c>
      <c r="H17" s="49">
        <f>'Avg Week Mukono-Mbalala'!H17+'Avg Week Mbalala-Mukono'!H17</f>
        <v>2</v>
      </c>
      <c r="I17" s="49">
        <f>'Avg Week Mukono-Mbalala'!I17+'Avg Week Mbalala-Mukono'!I17</f>
        <v>11</v>
      </c>
      <c r="J17" s="49">
        <f>'Avg Week Mukono-Mbalala'!J17+'Avg Week Mbalala-Mukono'!J17</f>
        <v>8.7142857142857153</v>
      </c>
      <c r="K17" s="49">
        <f>'Avg Week Mukono-Mbalala'!K17+'Avg Week Mbalala-Mukono'!K17</f>
        <v>6.4285714285714288</v>
      </c>
      <c r="L17" s="49">
        <f>'Avg Week Mukono-Mbalala'!L17+'Avg Week Mbalala-Mukono'!L17</f>
        <v>16.142857142857142</v>
      </c>
      <c r="M17" s="49">
        <f>'Avg Week Mukono-Mbalala'!M17+'Avg Week Mbalala-Mukono'!M17</f>
        <v>199.71428571428572</v>
      </c>
      <c r="N17" s="49">
        <f>'Avg Week Mukono-Mbalala'!N17+'Avg Week Mbalala-Mukono'!N17</f>
        <v>0.14285714285714285</v>
      </c>
      <c r="O17" s="15">
        <f t="shared" si="0"/>
        <v>213.14285714285717</v>
      </c>
      <c r="P17" s="15">
        <f t="shared" si="1"/>
        <v>412.85714285714295</v>
      </c>
      <c r="R17" s="1" t="s">
        <v>13</v>
      </c>
      <c r="S17" s="17">
        <f t="shared" ref="S17:AF17" si="9">SUM(C38:C41)</f>
        <v>283</v>
      </c>
      <c r="T17" s="17">
        <f t="shared" si="9"/>
        <v>76.285714285714292</v>
      </c>
      <c r="U17" s="17">
        <f t="shared" si="9"/>
        <v>53.571428571428569</v>
      </c>
      <c r="V17" s="17">
        <f t="shared" si="9"/>
        <v>308.42857142857144</v>
      </c>
      <c r="W17" s="17">
        <f t="shared" si="9"/>
        <v>14.285714285714286</v>
      </c>
      <c r="X17" s="17">
        <f t="shared" si="9"/>
        <v>7</v>
      </c>
      <c r="Y17" s="17">
        <f t="shared" si="9"/>
        <v>72</v>
      </c>
      <c r="Z17" s="17">
        <f t="shared" si="9"/>
        <v>63.571428571428569</v>
      </c>
      <c r="AA17" s="17">
        <f t="shared" si="9"/>
        <v>29.857142857142858</v>
      </c>
      <c r="AB17" s="17">
        <f t="shared" si="9"/>
        <v>114.57142857142857</v>
      </c>
      <c r="AC17" s="17">
        <f t="shared" si="9"/>
        <v>588.14285714285711</v>
      </c>
      <c r="AD17" s="17">
        <f t="shared" si="9"/>
        <v>0</v>
      </c>
      <c r="AE17" s="31">
        <f t="shared" si="9"/>
        <v>1022.5714285714284</v>
      </c>
      <c r="AF17" s="31">
        <f t="shared" si="9"/>
        <v>1610.7142857142858</v>
      </c>
    </row>
    <row r="18" spans="2:32" ht="23.1" customHeight="1" x14ac:dyDescent="0.25">
      <c r="B18" s="23" t="s">
        <v>45</v>
      </c>
      <c r="C18" s="49">
        <f>'Avg Week Mukono-Mbalala'!C18+'Avg Week Mbalala-Mukono'!C18</f>
        <v>69.714285714285722</v>
      </c>
      <c r="D18" s="49">
        <f>'Avg Week Mukono-Mbalala'!D18+'Avg Week Mbalala-Mukono'!D18</f>
        <v>16.857142857142858</v>
      </c>
      <c r="E18" s="49">
        <f>'Avg Week Mukono-Mbalala'!E18+'Avg Week Mbalala-Mukono'!E18</f>
        <v>12.571428571428571</v>
      </c>
      <c r="F18" s="49">
        <f>'Avg Week Mukono-Mbalala'!F18+'Avg Week Mbalala-Mukono'!F18</f>
        <v>77</v>
      </c>
      <c r="G18" s="49">
        <f>'Avg Week Mukono-Mbalala'!G18+'Avg Week Mbalala-Mukono'!G18</f>
        <v>4</v>
      </c>
      <c r="H18" s="49">
        <f>'Avg Week Mukono-Mbalala'!H18+'Avg Week Mbalala-Mukono'!H18</f>
        <v>0.8571428571428571</v>
      </c>
      <c r="I18" s="49">
        <f>'Avg Week Mukono-Mbalala'!I18+'Avg Week Mbalala-Mukono'!I18</f>
        <v>18.571428571428569</v>
      </c>
      <c r="J18" s="49">
        <f>'Avg Week Mukono-Mbalala'!J18+'Avg Week Mbalala-Mukono'!J18</f>
        <v>10.142857142857142</v>
      </c>
      <c r="K18" s="49">
        <f>'Avg Week Mukono-Mbalala'!K18+'Avg Week Mbalala-Mukono'!K18</f>
        <v>6.5714285714285712</v>
      </c>
      <c r="L18" s="49">
        <f>'Avg Week Mukono-Mbalala'!L18+'Avg Week Mbalala-Mukono'!L18</f>
        <v>18.857142857142858</v>
      </c>
      <c r="M18" s="49">
        <f>'Avg Week Mukono-Mbalala'!M18+'Avg Week Mbalala-Mukono'!M18</f>
        <v>214.28571428571428</v>
      </c>
      <c r="N18" s="49">
        <f>'Avg Week Mukono-Mbalala'!N18+'Avg Week Mbalala-Mukono'!N18</f>
        <v>0</v>
      </c>
      <c r="O18" s="15">
        <f t="shared" si="0"/>
        <v>235.1428571428572</v>
      </c>
      <c r="P18" s="15">
        <f t="shared" si="1"/>
        <v>449.42857142857144</v>
      </c>
      <c r="R18" s="1" t="s">
        <v>14</v>
      </c>
      <c r="S18" s="17">
        <f t="shared" ref="S18:AF18" si="10">SUM(C42:C45)</f>
        <v>267</v>
      </c>
      <c r="T18" s="17">
        <f t="shared" si="10"/>
        <v>82.285714285714278</v>
      </c>
      <c r="U18" s="17">
        <f t="shared" si="10"/>
        <v>49.428571428571431</v>
      </c>
      <c r="V18" s="17">
        <f t="shared" si="10"/>
        <v>249.28571428571428</v>
      </c>
      <c r="W18" s="17">
        <f t="shared" si="10"/>
        <v>9.7142857142857153</v>
      </c>
      <c r="X18" s="17">
        <f t="shared" si="10"/>
        <v>9.7142857142857153</v>
      </c>
      <c r="Y18" s="17">
        <f t="shared" si="10"/>
        <v>65.285714285714292</v>
      </c>
      <c r="Z18" s="17">
        <f t="shared" si="10"/>
        <v>47.428571428571431</v>
      </c>
      <c r="AA18" s="17">
        <f t="shared" si="10"/>
        <v>26.142857142857142</v>
      </c>
      <c r="AB18" s="17">
        <f t="shared" si="10"/>
        <v>105.28571428571431</v>
      </c>
      <c r="AC18" s="17">
        <f t="shared" si="10"/>
        <v>579.85714285714289</v>
      </c>
      <c r="AD18" s="17">
        <f t="shared" si="10"/>
        <v>0</v>
      </c>
      <c r="AE18" s="31">
        <f t="shared" si="10"/>
        <v>911.57142857142856</v>
      </c>
      <c r="AF18" s="31">
        <f t="shared" si="10"/>
        <v>1491.4285714285713</v>
      </c>
    </row>
    <row r="19" spans="2:32" ht="23.1" customHeight="1" x14ac:dyDescent="0.25">
      <c r="B19" s="23" t="s">
        <v>46</v>
      </c>
      <c r="C19" s="49">
        <f>'Avg Week Mukono-Mbalala'!C19+'Avg Week Mbalala-Mukono'!C19</f>
        <v>58.714285714285708</v>
      </c>
      <c r="D19" s="49">
        <f>'Avg Week Mukono-Mbalala'!D19+'Avg Week Mbalala-Mukono'!D19</f>
        <v>15.571428571428573</v>
      </c>
      <c r="E19" s="49">
        <f>'Avg Week Mukono-Mbalala'!E19+'Avg Week Mbalala-Mukono'!E19</f>
        <v>14.428571428571431</v>
      </c>
      <c r="F19" s="49">
        <f>'Avg Week Mukono-Mbalala'!F19+'Avg Week Mbalala-Mukono'!F19</f>
        <v>68.857142857142861</v>
      </c>
      <c r="G19" s="49">
        <f>'Avg Week Mukono-Mbalala'!G19+'Avg Week Mbalala-Mukono'!G19</f>
        <v>2.4285714285714288</v>
      </c>
      <c r="H19" s="49">
        <f>'Avg Week Mukono-Mbalala'!H19+'Avg Week Mbalala-Mukono'!H19</f>
        <v>1.8571428571428572</v>
      </c>
      <c r="I19" s="49">
        <f>'Avg Week Mukono-Mbalala'!I19+'Avg Week Mbalala-Mukono'!I19</f>
        <v>16.714285714285715</v>
      </c>
      <c r="J19" s="49">
        <f>'Avg Week Mukono-Mbalala'!J19+'Avg Week Mbalala-Mukono'!J19</f>
        <v>9.5714285714285712</v>
      </c>
      <c r="K19" s="49">
        <f>'Avg Week Mukono-Mbalala'!K19+'Avg Week Mbalala-Mukono'!K19</f>
        <v>6.2857142857142856</v>
      </c>
      <c r="L19" s="49">
        <f>'Avg Week Mukono-Mbalala'!L19+'Avg Week Mbalala-Mukono'!L19</f>
        <v>20.428571428571431</v>
      </c>
      <c r="M19" s="49">
        <f>'Avg Week Mukono-Mbalala'!M19+'Avg Week Mbalala-Mukono'!M19</f>
        <v>195.28571428571428</v>
      </c>
      <c r="N19" s="49">
        <f>'Avg Week Mukono-Mbalala'!N19+'Avg Week Mbalala-Mukono'!N19</f>
        <v>0</v>
      </c>
      <c r="O19" s="15">
        <f t="shared" si="0"/>
        <v>214.85714285714283</v>
      </c>
      <c r="P19" s="15">
        <f t="shared" si="1"/>
        <v>410.14285714285711</v>
      </c>
      <c r="R19" s="1" t="s">
        <v>15</v>
      </c>
      <c r="S19" s="17">
        <f t="shared" ref="S19:AF19" si="11">SUM(C46:C49)</f>
        <v>310.42857142857144</v>
      </c>
      <c r="T19" s="17">
        <f t="shared" si="11"/>
        <v>81</v>
      </c>
      <c r="U19" s="17">
        <f t="shared" si="11"/>
        <v>52.714285714285708</v>
      </c>
      <c r="V19" s="17">
        <f t="shared" si="11"/>
        <v>280.85714285714289</v>
      </c>
      <c r="W19" s="17">
        <f t="shared" si="11"/>
        <v>11.857142857142858</v>
      </c>
      <c r="X19" s="17">
        <f t="shared" si="11"/>
        <v>6</v>
      </c>
      <c r="Y19" s="17">
        <f t="shared" si="11"/>
        <v>77.142857142857139</v>
      </c>
      <c r="Z19" s="17">
        <f t="shared" si="11"/>
        <v>45</v>
      </c>
      <c r="AA19" s="17">
        <f t="shared" si="11"/>
        <v>27.428571428571431</v>
      </c>
      <c r="AB19" s="17">
        <f t="shared" si="11"/>
        <v>133.14285714285714</v>
      </c>
      <c r="AC19" s="17">
        <f t="shared" si="11"/>
        <v>670.71428571428578</v>
      </c>
      <c r="AD19" s="17">
        <f t="shared" si="11"/>
        <v>0.42857142857142855</v>
      </c>
      <c r="AE19" s="31">
        <f t="shared" si="11"/>
        <v>1026</v>
      </c>
      <c r="AF19" s="31">
        <f t="shared" si="11"/>
        <v>1696.7142857142858</v>
      </c>
    </row>
    <row r="20" spans="2:32" ht="23.1" customHeight="1" x14ac:dyDescent="0.25">
      <c r="B20" s="23" t="s">
        <v>47</v>
      </c>
      <c r="C20" s="49">
        <f>'Avg Week Mukono-Mbalala'!C20+'Avg Week Mbalala-Mukono'!C20</f>
        <v>62</v>
      </c>
      <c r="D20" s="49">
        <f>'Avg Week Mukono-Mbalala'!D20+'Avg Week Mbalala-Mukono'!D20</f>
        <v>13.142857142857142</v>
      </c>
      <c r="E20" s="49">
        <f>'Avg Week Mukono-Mbalala'!E20+'Avg Week Mbalala-Mukono'!E20</f>
        <v>12.142857142857142</v>
      </c>
      <c r="F20" s="49">
        <f>'Avg Week Mukono-Mbalala'!F20+'Avg Week Mbalala-Mukono'!F20</f>
        <v>65.857142857142861</v>
      </c>
      <c r="G20" s="49">
        <f>'Avg Week Mukono-Mbalala'!G20+'Avg Week Mbalala-Mukono'!G20</f>
        <v>2.7142857142857144</v>
      </c>
      <c r="H20" s="49">
        <f>'Avg Week Mukono-Mbalala'!H20+'Avg Week Mbalala-Mukono'!H20</f>
        <v>1.5714285714285716</v>
      </c>
      <c r="I20" s="49">
        <f>'Avg Week Mukono-Mbalala'!I20+'Avg Week Mbalala-Mukono'!I20</f>
        <v>16.571428571428569</v>
      </c>
      <c r="J20" s="49">
        <f>'Avg Week Mukono-Mbalala'!J20+'Avg Week Mbalala-Mukono'!J20</f>
        <v>9.8571428571428577</v>
      </c>
      <c r="K20" s="49">
        <f>'Avg Week Mukono-Mbalala'!K20+'Avg Week Mbalala-Mukono'!K20</f>
        <v>4.8571428571428568</v>
      </c>
      <c r="L20" s="49">
        <f>'Avg Week Mukono-Mbalala'!L20+'Avg Week Mbalala-Mukono'!L20</f>
        <v>16.285714285714285</v>
      </c>
      <c r="M20" s="49">
        <f>'Avg Week Mukono-Mbalala'!M20+'Avg Week Mbalala-Mukono'!M20</f>
        <v>191.42857142857144</v>
      </c>
      <c r="N20" s="49">
        <f>'Avg Week Mukono-Mbalala'!N20+'Avg Week Mbalala-Mukono'!N20</f>
        <v>0</v>
      </c>
      <c r="O20" s="15">
        <f t="shared" si="0"/>
        <v>205</v>
      </c>
      <c r="P20" s="15">
        <f t="shared" si="1"/>
        <v>396.42857142857144</v>
      </c>
      <c r="R20" s="1" t="s">
        <v>16</v>
      </c>
      <c r="S20" s="17">
        <f t="shared" ref="S20:AF20" si="12">SUM(C50:C53)</f>
        <v>320.42857142857144</v>
      </c>
      <c r="T20" s="17">
        <f t="shared" si="12"/>
        <v>85</v>
      </c>
      <c r="U20" s="17">
        <f t="shared" si="12"/>
        <v>57.428571428571431</v>
      </c>
      <c r="V20" s="17">
        <f t="shared" si="12"/>
        <v>258.71428571428572</v>
      </c>
      <c r="W20" s="17">
        <f t="shared" si="12"/>
        <v>10.428571428571429</v>
      </c>
      <c r="X20" s="17">
        <f t="shared" si="12"/>
        <v>8.1428571428571423</v>
      </c>
      <c r="Y20" s="17">
        <f t="shared" si="12"/>
        <v>70.285714285714278</v>
      </c>
      <c r="Z20" s="17">
        <f t="shared" si="12"/>
        <v>49.571428571428569</v>
      </c>
      <c r="AA20" s="17">
        <f t="shared" si="12"/>
        <v>28.857142857142854</v>
      </c>
      <c r="AB20" s="17">
        <f t="shared" si="12"/>
        <v>92.142857142857139</v>
      </c>
      <c r="AC20" s="17">
        <f t="shared" si="12"/>
        <v>733.42857142857144</v>
      </c>
      <c r="AD20" s="17">
        <f t="shared" si="12"/>
        <v>0.14285714285714285</v>
      </c>
      <c r="AE20" s="31">
        <f t="shared" si="12"/>
        <v>981.14285714285711</v>
      </c>
      <c r="AF20" s="31">
        <f t="shared" si="12"/>
        <v>1714.5714285714284</v>
      </c>
    </row>
    <row r="21" spans="2:32" ht="23.1" customHeight="1" x14ac:dyDescent="0.25">
      <c r="B21" s="23" t="s">
        <v>48</v>
      </c>
      <c r="C21" s="49">
        <f>'Avg Week Mukono-Mbalala'!C21+'Avg Week Mbalala-Mukono'!C21</f>
        <v>72.571428571428569</v>
      </c>
      <c r="D21" s="49">
        <f>'Avg Week Mukono-Mbalala'!D21+'Avg Week Mbalala-Mukono'!D21</f>
        <v>16</v>
      </c>
      <c r="E21" s="49">
        <f>'Avg Week Mukono-Mbalala'!E21+'Avg Week Mbalala-Mukono'!E21</f>
        <v>11.857142857142858</v>
      </c>
      <c r="F21" s="49">
        <f>'Avg Week Mukono-Mbalala'!F21+'Avg Week Mbalala-Mukono'!F21</f>
        <v>78.571428571428569</v>
      </c>
      <c r="G21" s="49">
        <f>'Avg Week Mukono-Mbalala'!G21+'Avg Week Mbalala-Mukono'!G21</f>
        <v>3.7142857142857144</v>
      </c>
      <c r="H21" s="49">
        <f>'Avg Week Mukono-Mbalala'!H21+'Avg Week Mbalala-Mukono'!H21</f>
        <v>1.5714285714285716</v>
      </c>
      <c r="I21" s="49">
        <f>'Avg Week Mukono-Mbalala'!I21+'Avg Week Mbalala-Mukono'!I21</f>
        <v>15.285714285714285</v>
      </c>
      <c r="J21" s="49">
        <f>'Avg Week Mukono-Mbalala'!J21+'Avg Week Mbalala-Mukono'!J21</f>
        <v>8.8571428571428577</v>
      </c>
      <c r="K21" s="49">
        <f>'Avg Week Mukono-Mbalala'!K21+'Avg Week Mbalala-Mukono'!K21</f>
        <v>3.5714285714285712</v>
      </c>
      <c r="L21" s="49">
        <f>'Avg Week Mukono-Mbalala'!L21+'Avg Week Mbalala-Mukono'!L21</f>
        <v>18.142857142857142</v>
      </c>
      <c r="M21" s="49">
        <f>'Avg Week Mukono-Mbalala'!M21+'Avg Week Mbalala-Mukono'!M21</f>
        <v>206.57142857142856</v>
      </c>
      <c r="N21" s="49">
        <f>'Avg Week Mukono-Mbalala'!N21+'Avg Week Mbalala-Mukono'!N21</f>
        <v>0</v>
      </c>
      <c r="O21" s="15">
        <f t="shared" si="0"/>
        <v>230.14285714285717</v>
      </c>
      <c r="P21" s="15">
        <f t="shared" si="1"/>
        <v>436.71428571428572</v>
      </c>
      <c r="R21" s="1" t="s">
        <v>20</v>
      </c>
      <c r="S21" s="34">
        <f t="shared" ref="S21:AF21" si="13">SUM(C54:C57)</f>
        <v>345.85714285714283</v>
      </c>
      <c r="T21" s="17">
        <f t="shared" si="13"/>
        <v>81.857142857142847</v>
      </c>
      <c r="U21" s="17">
        <f t="shared" si="13"/>
        <v>64.571428571428569</v>
      </c>
      <c r="V21" s="17">
        <f t="shared" si="13"/>
        <v>294.57142857142856</v>
      </c>
      <c r="W21" s="17">
        <f t="shared" si="13"/>
        <v>20.285714285714285</v>
      </c>
      <c r="X21" s="17">
        <f t="shared" si="13"/>
        <v>9.2857142857142847</v>
      </c>
      <c r="Y21" s="17">
        <f t="shared" si="13"/>
        <v>72.142857142857153</v>
      </c>
      <c r="Z21" s="17">
        <f t="shared" si="13"/>
        <v>51.714285714285715</v>
      </c>
      <c r="AA21" s="17">
        <f t="shared" si="13"/>
        <v>28.857142857142858</v>
      </c>
      <c r="AB21" s="17">
        <f t="shared" si="13"/>
        <v>107.28571428571429</v>
      </c>
      <c r="AC21" s="17">
        <f t="shared" si="13"/>
        <v>913.71428571428578</v>
      </c>
      <c r="AD21" s="17">
        <f t="shared" si="13"/>
        <v>0</v>
      </c>
      <c r="AE21" s="31">
        <f t="shared" si="13"/>
        <v>1076.4285714285713</v>
      </c>
      <c r="AF21" s="31">
        <f t="shared" si="13"/>
        <v>1990.1428571428573</v>
      </c>
    </row>
    <row r="22" spans="2:32" ht="23.1" customHeight="1" x14ac:dyDescent="0.25">
      <c r="B22" s="23" t="s">
        <v>49</v>
      </c>
      <c r="C22" s="49">
        <f>'Avg Week Mukono-Mbalala'!C22+'Avg Week Mbalala-Mukono'!C22</f>
        <v>75.571428571428569</v>
      </c>
      <c r="D22" s="49">
        <f>'Avg Week Mukono-Mbalala'!D22+'Avg Week Mbalala-Mukono'!D22</f>
        <v>21</v>
      </c>
      <c r="E22" s="49">
        <f>'Avg Week Mukono-Mbalala'!E22+'Avg Week Mbalala-Mukono'!E22</f>
        <v>10.714285714285715</v>
      </c>
      <c r="F22" s="49">
        <f>'Avg Week Mukono-Mbalala'!F22+'Avg Week Mbalala-Mukono'!F22</f>
        <v>80.428571428571431</v>
      </c>
      <c r="G22" s="49">
        <f>'Avg Week Mukono-Mbalala'!G22+'Avg Week Mbalala-Mukono'!G22</f>
        <v>2.5714285714285716</v>
      </c>
      <c r="H22" s="49">
        <f>'Avg Week Mukono-Mbalala'!H22+'Avg Week Mbalala-Mukono'!H22</f>
        <v>1</v>
      </c>
      <c r="I22" s="49">
        <f>'Avg Week Mukono-Mbalala'!I22+'Avg Week Mbalala-Mukono'!I22</f>
        <v>17.142857142857142</v>
      </c>
      <c r="J22" s="49">
        <f>'Avg Week Mukono-Mbalala'!J22+'Avg Week Mbalala-Mukono'!J22</f>
        <v>10.714285714285714</v>
      </c>
      <c r="K22" s="49">
        <f>'Avg Week Mukono-Mbalala'!K22+'Avg Week Mbalala-Mukono'!K22</f>
        <v>7.5714285714285712</v>
      </c>
      <c r="L22" s="49">
        <f>'Avg Week Mukono-Mbalala'!L22+'Avg Week Mbalala-Mukono'!L22</f>
        <v>18.428571428571431</v>
      </c>
      <c r="M22" s="49">
        <f>'Avg Week Mukono-Mbalala'!M22+'Avg Week Mbalala-Mukono'!M22</f>
        <v>210.28571428571428</v>
      </c>
      <c r="N22" s="49">
        <f>'Avg Week Mukono-Mbalala'!N22+'Avg Week Mbalala-Mukono'!N22</f>
        <v>0</v>
      </c>
      <c r="O22" s="15">
        <f t="shared" si="0"/>
        <v>245.14285714285717</v>
      </c>
      <c r="P22" s="15">
        <f t="shared" si="1"/>
        <v>455.42857142857144</v>
      </c>
      <c r="R22" s="1" t="s">
        <v>146</v>
      </c>
      <c r="S22" s="34">
        <f>SUM(C58:C61)</f>
        <v>312.5</v>
      </c>
      <c r="T22" s="34">
        <f t="shared" ref="T22:AF22" si="14">SUM(D58:D61)</f>
        <v>72</v>
      </c>
      <c r="U22" s="34">
        <f t="shared" si="14"/>
        <v>50.5</v>
      </c>
      <c r="V22" s="34">
        <f t="shared" si="14"/>
        <v>252.5</v>
      </c>
      <c r="W22" s="34">
        <f t="shared" si="14"/>
        <v>18</v>
      </c>
      <c r="X22" s="34">
        <f t="shared" si="14"/>
        <v>21.5</v>
      </c>
      <c r="Y22" s="34">
        <f t="shared" si="14"/>
        <v>60.5</v>
      </c>
      <c r="Z22" s="34">
        <f t="shared" si="14"/>
        <v>55.5</v>
      </c>
      <c r="AA22" s="34">
        <f t="shared" si="14"/>
        <v>31</v>
      </c>
      <c r="AB22" s="34">
        <f t="shared" si="14"/>
        <v>109</v>
      </c>
      <c r="AC22" s="34">
        <f t="shared" si="14"/>
        <v>348.5</v>
      </c>
      <c r="AD22" s="34">
        <f t="shared" si="14"/>
        <v>0</v>
      </c>
      <c r="AE22" s="31">
        <f t="shared" si="14"/>
        <v>983</v>
      </c>
      <c r="AF22" s="31">
        <f t="shared" si="14"/>
        <v>1331.5</v>
      </c>
    </row>
    <row r="23" spans="2:32" ht="23.1" customHeight="1" x14ac:dyDescent="0.25">
      <c r="B23" s="23" t="s">
        <v>50</v>
      </c>
      <c r="C23" s="49">
        <f>'Avg Week Mukono-Mbalala'!C23+'Avg Week Mbalala-Mukono'!C23</f>
        <v>72</v>
      </c>
      <c r="D23" s="49">
        <f>'Avg Week Mukono-Mbalala'!D23+'Avg Week Mbalala-Mukono'!D23</f>
        <v>19.714285714285715</v>
      </c>
      <c r="E23" s="49">
        <f>'Avg Week Mukono-Mbalala'!E23+'Avg Week Mbalala-Mukono'!E23</f>
        <v>15</v>
      </c>
      <c r="F23" s="49">
        <f>'Avg Week Mukono-Mbalala'!F23+'Avg Week Mbalala-Mukono'!F23</f>
        <v>74.571428571428569</v>
      </c>
      <c r="G23" s="49">
        <f>'Avg Week Mukono-Mbalala'!G23+'Avg Week Mbalala-Mukono'!G23</f>
        <v>13</v>
      </c>
      <c r="H23" s="49">
        <f>'Avg Week Mukono-Mbalala'!H23+'Avg Week Mbalala-Mukono'!H23</f>
        <v>2.7142857142857144</v>
      </c>
      <c r="I23" s="49">
        <f>'Avg Week Mukono-Mbalala'!I23+'Avg Week Mbalala-Mukono'!I23</f>
        <v>13.714285714285714</v>
      </c>
      <c r="J23" s="49">
        <f>'Avg Week Mukono-Mbalala'!J23+'Avg Week Mbalala-Mukono'!J23</f>
        <v>10.857142857142858</v>
      </c>
      <c r="K23" s="49">
        <f>'Avg Week Mukono-Mbalala'!K23+'Avg Week Mbalala-Mukono'!K23</f>
        <v>6.2857142857142865</v>
      </c>
      <c r="L23" s="49">
        <f>'Avg Week Mukono-Mbalala'!L23+'Avg Week Mbalala-Mukono'!L23</f>
        <v>22.571428571428569</v>
      </c>
      <c r="M23" s="49">
        <f>'Avg Week Mukono-Mbalala'!M23+'Avg Week Mbalala-Mukono'!M23</f>
        <v>190.85714285714286</v>
      </c>
      <c r="N23" s="49">
        <f>'Avg Week Mukono-Mbalala'!N23+'Avg Week Mbalala-Mukono'!N23</f>
        <v>0</v>
      </c>
      <c r="O23" s="15">
        <f t="shared" si="0"/>
        <v>250.42857142857144</v>
      </c>
      <c r="P23" s="15">
        <f t="shared" si="1"/>
        <v>441.28571428571433</v>
      </c>
      <c r="R23" s="1" t="s">
        <v>147</v>
      </c>
      <c r="S23" s="34">
        <f>SUM(C62:C65)</f>
        <v>328</v>
      </c>
      <c r="T23" s="34">
        <f t="shared" ref="T23:AF23" si="15">SUM(D62:D65)</f>
        <v>83.5</v>
      </c>
      <c r="U23" s="34">
        <f t="shared" si="15"/>
        <v>69.5</v>
      </c>
      <c r="V23" s="34">
        <f t="shared" si="15"/>
        <v>327.5</v>
      </c>
      <c r="W23" s="34">
        <f t="shared" si="15"/>
        <v>19</v>
      </c>
      <c r="X23" s="34">
        <f t="shared" si="15"/>
        <v>5</v>
      </c>
      <c r="Y23" s="34">
        <f t="shared" si="15"/>
        <v>60</v>
      </c>
      <c r="Z23" s="34">
        <f t="shared" si="15"/>
        <v>66</v>
      </c>
      <c r="AA23" s="34">
        <f t="shared" si="15"/>
        <v>36.5</v>
      </c>
      <c r="AB23" s="34">
        <f t="shared" si="15"/>
        <v>108</v>
      </c>
      <c r="AC23" s="34">
        <f t="shared" si="15"/>
        <v>342</v>
      </c>
      <c r="AD23" s="34">
        <f t="shared" si="15"/>
        <v>0</v>
      </c>
      <c r="AE23" s="31">
        <f t="shared" si="15"/>
        <v>1103</v>
      </c>
      <c r="AF23" s="31">
        <f t="shared" si="15"/>
        <v>1445</v>
      </c>
    </row>
    <row r="24" spans="2:32" ht="23.1" customHeight="1" x14ac:dyDescent="0.25">
      <c r="B24" s="23" t="s">
        <v>51</v>
      </c>
      <c r="C24" s="49">
        <f>'Avg Week Mukono-Mbalala'!C24+'Avg Week Mbalala-Mukono'!C24</f>
        <v>79.857142857142861</v>
      </c>
      <c r="D24" s="49">
        <f>'Avg Week Mukono-Mbalala'!D24+'Avg Week Mbalala-Mukono'!D24</f>
        <v>20.857142857142858</v>
      </c>
      <c r="E24" s="49">
        <f>'Avg Week Mukono-Mbalala'!E24+'Avg Week Mbalala-Mukono'!E24</f>
        <v>17</v>
      </c>
      <c r="F24" s="49">
        <f>'Avg Week Mukono-Mbalala'!F24+'Avg Week Mbalala-Mukono'!F24</f>
        <v>76.857142857142861</v>
      </c>
      <c r="G24" s="49">
        <f>'Avg Week Mukono-Mbalala'!G24+'Avg Week Mbalala-Mukono'!G24</f>
        <v>6.4285714285714288</v>
      </c>
      <c r="H24" s="49">
        <f>'Avg Week Mukono-Mbalala'!H24+'Avg Week Mbalala-Mukono'!H24</f>
        <v>1.5714285714285714</v>
      </c>
      <c r="I24" s="49">
        <f>'Avg Week Mukono-Mbalala'!I24+'Avg Week Mbalala-Mukono'!I24</f>
        <v>20.714285714285715</v>
      </c>
      <c r="J24" s="49">
        <f>'Avg Week Mukono-Mbalala'!J24+'Avg Week Mbalala-Mukono'!J24</f>
        <v>12.428571428571429</v>
      </c>
      <c r="K24" s="49">
        <f>'Avg Week Mukono-Mbalala'!K24+'Avg Week Mbalala-Mukono'!K24</f>
        <v>6.1428571428571423</v>
      </c>
      <c r="L24" s="49">
        <f>'Avg Week Mukono-Mbalala'!L24+'Avg Week Mbalala-Mukono'!L24</f>
        <v>25.285714285714285</v>
      </c>
      <c r="M24" s="49">
        <f>'Avg Week Mukono-Mbalala'!M24+'Avg Week Mbalala-Mukono'!M24</f>
        <v>203.42857142857144</v>
      </c>
      <c r="N24" s="49">
        <f>'Avg Week Mukono-Mbalala'!N24+'Avg Week Mbalala-Mukono'!N24</f>
        <v>0.14285714285714285</v>
      </c>
      <c r="O24" s="15">
        <f t="shared" si="0"/>
        <v>267.28571428571433</v>
      </c>
      <c r="P24" s="15">
        <f t="shared" si="1"/>
        <v>470.71428571428578</v>
      </c>
      <c r="R24" s="1" t="s">
        <v>148</v>
      </c>
      <c r="S24" s="34">
        <f>SUM(C66:C69)</f>
        <v>220.5</v>
      </c>
      <c r="T24" s="34">
        <f t="shared" ref="T24:AF24" si="16">SUM(D66:D69)</f>
        <v>45.5</v>
      </c>
      <c r="U24" s="34">
        <f t="shared" si="16"/>
        <v>34</v>
      </c>
      <c r="V24" s="34">
        <f t="shared" si="16"/>
        <v>274.5</v>
      </c>
      <c r="W24" s="34">
        <f t="shared" si="16"/>
        <v>16.5</v>
      </c>
      <c r="X24" s="34">
        <f t="shared" si="16"/>
        <v>40</v>
      </c>
      <c r="Y24" s="34">
        <f t="shared" si="16"/>
        <v>52.5</v>
      </c>
      <c r="Z24" s="34">
        <f t="shared" si="16"/>
        <v>52</v>
      </c>
      <c r="AA24" s="34">
        <f t="shared" si="16"/>
        <v>34</v>
      </c>
      <c r="AB24" s="34">
        <f t="shared" si="16"/>
        <v>93</v>
      </c>
      <c r="AC24" s="34">
        <f t="shared" si="16"/>
        <v>263</v>
      </c>
      <c r="AD24" s="34">
        <f t="shared" si="16"/>
        <v>0</v>
      </c>
      <c r="AE24" s="31">
        <f t="shared" si="16"/>
        <v>862.5</v>
      </c>
      <c r="AF24" s="31">
        <f t="shared" si="16"/>
        <v>1125.5</v>
      </c>
    </row>
    <row r="25" spans="2:32" ht="23.1" customHeight="1" x14ac:dyDescent="0.25">
      <c r="B25" s="23" t="s">
        <v>52</v>
      </c>
      <c r="C25" s="49">
        <f>'Avg Week Mukono-Mbalala'!C25+'Avg Week Mbalala-Mukono'!C25</f>
        <v>74.285714285714292</v>
      </c>
      <c r="D25" s="49">
        <f>'Avg Week Mukono-Mbalala'!D25+'Avg Week Mbalala-Mukono'!D25</f>
        <v>19</v>
      </c>
      <c r="E25" s="49">
        <f>'Avg Week Mukono-Mbalala'!E25+'Avg Week Mbalala-Mukono'!E25</f>
        <v>13.571428571428571</v>
      </c>
      <c r="F25" s="49">
        <f>'Avg Week Mukono-Mbalala'!F25+'Avg Week Mbalala-Mukono'!F25</f>
        <v>71.714285714285708</v>
      </c>
      <c r="G25" s="49">
        <f>'Avg Week Mukono-Mbalala'!G25+'Avg Week Mbalala-Mukono'!G25</f>
        <v>3.4285714285714288</v>
      </c>
      <c r="H25" s="49">
        <f>'Avg Week Mukono-Mbalala'!H25+'Avg Week Mbalala-Mukono'!H25</f>
        <v>2.2857142857142856</v>
      </c>
      <c r="I25" s="49">
        <f>'Avg Week Mukono-Mbalala'!I25+'Avg Week Mbalala-Mukono'!I25</f>
        <v>17</v>
      </c>
      <c r="J25" s="49">
        <f>'Avg Week Mukono-Mbalala'!J25+'Avg Week Mbalala-Mukono'!J25</f>
        <v>14.428571428571429</v>
      </c>
      <c r="K25" s="49">
        <f>'Avg Week Mukono-Mbalala'!K25+'Avg Week Mbalala-Mukono'!K25</f>
        <v>8.1428571428571423</v>
      </c>
      <c r="L25" s="49">
        <f>'Avg Week Mukono-Mbalala'!L25+'Avg Week Mbalala-Mukono'!L25</f>
        <v>22.714285714285715</v>
      </c>
      <c r="M25" s="49">
        <f>'Avg Week Mukono-Mbalala'!M25+'Avg Week Mbalala-Mukono'!M25</f>
        <v>214.28571428571428</v>
      </c>
      <c r="N25" s="49">
        <f>'Avg Week Mukono-Mbalala'!N25+'Avg Week Mbalala-Mukono'!N25</f>
        <v>0</v>
      </c>
      <c r="O25" s="15">
        <f t="shared" si="0"/>
        <v>246.57142857142853</v>
      </c>
      <c r="P25" s="15">
        <f t="shared" si="1"/>
        <v>460.85714285714278</v>
      </c>
      <c r="R25" s="1" t="s">
        <v>149</v>
      </c>
      <c r="S25" s="34">
        <f>SUM(C70:C73)</f>
        <v>145</v>
      </c>
      <c r="T25" s="34">
        <f t="shared" ref="T25:AF25" si="17">SUM(D70:D73)</f>
        <v>38.5</v>
      </c>
      <c r="U25" s="34">
        <f t="shared" si="17"/>
        <v>28.5</v>
      </c>
      <c r="V25" s="34">
        <f t="shared" si="17"/>
        <v>138</v>
      </c>
      <c r="W25" s="34">
        <f t="shared" si="17"/>
        <v>16</v>
      </c>
      <c r="X25" s="34">
        <f t="shared" si="17"/>
        <v>8.5</v>
      </c>
      <c r="Y25" s="34">
        <f t="shared" si="17"/>
        <v>37.5</v>
      </c>
      <c r="Z25" s="34">
        <f t="shared" si="17"/>
        <v>45.5</v>
      </c>
      <c r="AA25" s="34">
        <f t="shared" si="17"/>
        <v>22.5</v>
      </c>
      <c r="AB25" s="34">
        <f t="shared" si="17"/>
        <v>80</v>
      </c>
      <c r="AC25" s="34">
        <f t="shared" si="17"/>
        <v>130</v>
      </c>
      <c r="AD25" s="34">
        <f t="shared" si="17"/>
        <v>0</v>
      </c>
      <c r="AE25" s="31">
        <f t="shared" si="17"/>
        <v>560</v>
      </c>
      <c r="AF25" s="31">
        <f t="shared" si="17"/>
        <v>690</v>
      </c>
    </row>
    <row r="26" spans="2:32" ht="23.1" customHeight="1" x14ac:dyDescent="0.25">
      <c r="B26" s="23" t="s">
        <v>53</v>
      </c>
      <c r="C26" s="49">
        <f>'Avg Week Mukono-Mbalala'!C26+'Avg Week Mbalala-Mukono'!C26</f>
        <v>61.714285714285722</v>
      </c>
      <c r="D26" s="49">
        <f>'Avg Week Mukono-Mbalala'!D26+'Avg Week Mbalala-Mukono'!D26</f>
        <v>15.142857142857142</v>
      </c>
      <c r="E26" s="49">
        <f>'Avg Week Mukono-Mbalala'!E26+'Avg Week Mbalala-Mukono'!E26</f>
        <v>11</v>
      </c>
      <c r="F26" s="49">
        <f>'Avg Week Mukono-Mbalala'!F26+'Avg Week Mbalala-Mukono'!F26</f>
        <v>64.714285714285722</v>
      </c>
      <c r="G26" s="49">
        <f>'Avg Week Mukono-Mbalala'!G26+'Avg Week Mbalala-Mukono'!G26</f>
        <v>2.2857142857142856</v>
      </c>
      <c r="H26" s="49">
        <f>'Avg Week Mukono-Mbalala'!H26+'Avg Week Mbalala-Mukono'!H26</f>
        <v>2</v>
      </c>
      <c r="I26" s="49">
        <f>'Avg Week Mukono-Mbalala'!I26+'Avg Week Mbalala-Mukono'!I26</f>
        <v>16.285714285714285</v>
      </c>
      <c r="J26" s="49">
        <f>'Avg Week Mukono-Mbalala'!J26+'Avg Week Mbalala-Mukono'!J26</f>
        <v>12</v>
      </c>
      <c r="K26" s="49">
        <f>'Avg Week Mukono-Mbalala'!K26+'Avg Week Mbalala-Mukono'!K26</f>
        <v>5.4285714285714288</v>
      </c>
      <c r="L26" s="49">
        <f>'Avg Week Mukono-Mbalala'!L26+'Avg Week Mbalala-Mukono'!L26</f>
        <v>17</v>
      </c>
      <c r="M26" s="49">
        <f>'Avg Week Mukono-Mbalala'!M26+'Avg Week Mbalala-Mukono'!M26</f>
        <v>193.85714285714283</v>
      </c>
      <c r="N26" s="49">
        <f>'Avg Week Mukono-Mbalala'!N26+'Avg Week Mbalala-Mukono'!N26</f>
        <v>0</v>
      </c>
      <c r="O26" s="15">
        <f t="shared" si="0"/>
        <v>207.57142857142856</v>
      </c>
      <c r="P26" s="15">
        <f t="shared" si="1"/>
        <v>401.42857142857139</v>
      </c>
      <c r="R26" s="1" t="s">
        <v>150</v>
      </c>
      <c r="S26" s="34">
        <f>SUM(C74:C77)</f>
        <v>108</v>
      </c>
      <c r="T26" s="34">
        <f t="shared" ref="T26:AF26" si="18">SUM(D74:D77)</f>
        <v>26.5</v>
      </c>
      <c r="U26" s="34">
        <f t="shared" si="18"/>
        <v>17</v>
      </c>
      <c r="V26" s="34">
        <f t="shared" si="18"/>
        <v>96</v>
      </c>
      <c r="W26" s="34">
        <f t="shared" si="18"/>
        <v>12.5</v>
      </c>
      <c r="X26" s="34">
        <f t="shared" si="18"/>
        <v>7</v>
      </c>
      <c r="Y26" s="34">
        <f t="shared" si="18"/>
        <v>29.5</v>
      </c>
      <c r="Z26" s="34">
        <f t="shared" si="18"/>
        <v>42.5</v>
      </c>
      <c r="AA26" s="34">
        <f t="shared" si="18"/>
        <v>26.5</v>
      </c>
      <c r="AB26" s="34">
        <f t="shared" si="18"/>
        <v>91.5</v>
      </c>
      <c r="AC26" s="34">
        <f t="shared" si="18"/>
        <v>90.5</v>
      </c>
      <c r="AD26" s="34">
        <f t="shared" si="18"/>
        <v>0</v>
      </c>
      <c r="AE26" s="31">
        <f t="shared" si="18"/>
        <v>457</v>
      </c>
      <c r="AF26" s="31">
        <f t="shared" si="18"/>
        <v>547.5</v>
      </c>
    </row>
    <row r="27" spans="2:32" ht="23.1" customHeight="1" x14ac:dyDescent="0.25">
      <c r="B27" s="23" t="s">
        <v>54</v>
      </c>
      <c r="C27" s="49">
        <f>'Avg Week Mukono-Mbalala'!C27+'Avg Week Mbalala-Mukono'!C27</f>
        <v>73.714285714285722</v>
      </c>
      <c r="D27" s="49">
        <f>'Avg Week Mukono-Mbalala'!D27+'Avg Week Mbalala-Mukono'!D27</f>
        <v>15.142857142857142</v>
      </c>
      <c r="E27" s="49">
        <f>'Avg Week Mukono-Mbalala'!E27+'Avg Week Mbalala-Mukono'!E27</f>
        <v>14.428571428571427</v>
      </c>
      <c r="F27" s="49">
        <f>'Avg Week Mukono-Mbalala'!F27+'Avg Week Mbalala-Mukono'!F27</f>
        <v>67.714285714285708</v>
      </c>
      <c r="G27" s="49">
        <f>'Avg Week Mukono-Mbalala'!G27+'Avg Week Mbalala-Mukono'!G27</f>
        <v>3.1428571428571432</v>
      </c>
      <c r="H27" s="49">
        <f>'Avg Week Mukono-Mbalala'!H27+'Avg Week Mbalala-Mukono'!H27</f>
        <v>1.4285714285714286</v>
      </c>
      <c r="I27" s="49">
        <f>'Avg Week Mukono-Mbalala'!I27+'Avg Week Mbalala-Mukono'!I27</f>
        <v>21.428571428571431</v>
      </c>
      <c r="J27" s="49">
        <f>'Avg Week Mukono-Mbalala'!J27+'Avg Week Mbalala-Mukono'!J27</f>
        <v>12.142857142857142</v>
      </c>
      <c r="K27" s="49">
        <f>'Avg Week Mukono-Mbalala'!K27+'Avg Week Mbalala-Mukono'!K27</f>
        <v>4.2857142857142856</v>
      </c>
      <c r="L27" s="49">
        <f>'Avg Week Mukono-Mbalala'!L27+'Avg Week Mbalala-Mukono'!L27</f>
        <v>19.714285714285715</v>
      </c>
      <c r="M27" s="49">
        <f>'Avg Week Mukono-Mbalala'!M27+'Avg Week Mbalala-Mukono'!M27</f>
        <v>196.57142857142856</v>
      </c>
      <c r="N27" s="49">
        <f>'Avg Week Mukono-Mbalala'!N27+'Avg Week Mbalala-Mukono'!N27</f>
        <v>0</v>
      </c>
      <c r="O27" s="15">
        <f t="shared" si="0"/>
        <v>233.14285714285714</v>
      </c>
      <c r="P27" s="15">
        <f t="shared" si="1"/>
        <v>429.71428571428567</v>
      </c>
      <c r="R27" s="1" t="s">
        <v>151</v>
      </c>
      <c r="S27" s="34">
        <f>SUM(C78:C81)</f>
        <v>62.5</v>
      </c>
      <c r="T27" s="34">
        <f t="shared" ref="T27:AF27" si="19">SUM(D78:D81)</f>
        <v>18.5</v>
      </c>
      <c r="U27" s="34">
        <f t="shared" si="19"/>
        <v>19.5</v>
      </c>
      <c r="V27" s="34">
        <f t="shared" si="19"/>
        <v>39</v>
      </c>
      <c r="W27" s="34">
        <f t="shared" si="19"/>
        <v>9</v>
      </c>
      <c r="X27" s="34">
        <f t="shared" si="19"/>
        <v>10</v>
      </c>
      <c r="Y27" s="34">
        <f t="shared" si="19"/>
        <v>30</v>
      </c>
      <c r="Z27" s="34">
        <f t="shared" si="19"/>
        <v>48</v>
      </c>
      <c r="AA27" s="34">
        <f t="shared" si="19"/>
        <v>19.5</v>
      </c>
      <c r="AB27" s="34">
        <f t="shared" si="19"/>
        <v>59.5</v>
      </c>
      <c r="AC27" s="34">
        <f t="shared" si="19"/>
        <v>27.5</v>
      </c>
      <c r="AD27" s="34">
        <f t="shared" si="19"/>
        <v>0</v>
      </c>
      <c r="AE27" s="31">
        <f t="shared" si="19"/>
        <v>315.5</v>
      </c>
      <c r="AF27" s="31">
        <f t="shared" si="19"/>
        <v>343</v>
      </c>
    </row>
    <row r="28" spans="2:32" ht="23.1" customHeight="1" x14ac:dyDescent="0.25">
      <c r="B28" s="23" t="s">
        <v>55</v>
      </c>
      <c r="C28" s="49">
        <f>'Avg Week Mukono-Mbalala'!C28+'Avg Week Mbalala-Mukono'!C28</f>
        <v>76.571428571428569</v>
      </c>
      <c r="D28" s="49">
        <f>'Avg Week Mukono-Mbalala'!D28+'Avg Week Mbalala-Mukono'!D28</f>
        <v>15.714285714285714</v>
      </c>
      <c r="E28" s="49">
        <f>'Avg Week Mukono-Mbalala'!E28+'Avg Week Mbalala-Mukono'!E28</f>
        <v>10.428571428571429</v>
      </c>
      <c r="F28" s="49">
        <f>'Avg Week Mukono-Mbalala'!F28+'Avg Week Mbalala-Mukono'!F28</f>
        <v>73.571428571428569</v>
      </c>
      <c r="G28" s="49">
        <f>'Avg Week Mukono-Mbalala'!G28+'Avg Week Mbalala-Mukono'!G28</f>
        <v>3.8571428571428572</v>
      </c>
      <c r="H28" s="49">
        <f>'Avg Week Mukono-Mbalala'!H28+'Avg Week Mbalala-Mukono'!H28</f>
        <v>0.71428571428571419</v>
      </c>
      <c r="I28" s="49">
        <f>'Avg Week Mukono-Mbalala'!I28+'Avg Week Mbalala-Mukono'!I28</f>
        <v>21</v>
      </c>
      <c r="J28" s="49">
        <f>'Avg Week Mukono-Mbalala'!J28+'Avg Week Mbalala-Mukono'!J28</f>
        <v>11.428571428571429</v>
      </c>
      <c r="K28" s="49">
        <f>'Avg Week Mukono-Mbalala'!K28+'Avg Week Mbalala-Mukono'!K28</f>
        <v>4.8571428571428577</v>
      </c>
      <c r="L28" s="49">
        <f>'Avg Week Mukono-Mbalala'!L28+'Avg Week Mbalala-Mukono'!L28</f>
        <v>19.571428571428569</v>
      </c>
      <c r="M28" s="49">
        <f>'Avg Week Mukono-Mbalala'!M28+'Avg Week Mbalala-Mukono'!M28</f>
        <v>177.71428571428572</v>
      </c>
      <c r="N28" s="49">
        <f>'Avg Week Mukono-Mbalala'!N28+'Avg Week Mbalala-Mukono'!N28</f>
        <v>0</v>
      </c>
      <c r="O28" s="15">
        <f t="shared" si="0"/>
        <v>237.71428571428572</v>
      </c>
      <c r="P28" s="15">
        <f t="shared" si="1"/>
        <v>415.42857142857144</v>
      </c>
      <c r="R28" s="1" t="s">
        <v>152</v>
      </c>
      <c r="S28" s="34">
        <f>SUM(C82:C85)</f>
        <v>20.5</v>
      </c>
      <c r="T28" s="34">
        <f t="shared" ref="T28:AF28" si="20">SUM(D82:D85)</f>
        <v>8</v>
      </c>
      <c r="U28" s="34">
        <f t="shared" si="20"/>
        <v>10.5</v>
      </c>
      <c r="V28" s="34">
        <f t="shared" si="20"/>
        <v>22</v>
      </c>
      <c r="W28" s="34">
        <f t="shared" si="20"/>
        <v>3</v>
      </c>
      <c r="X28" s="34">
        <f t="shared" si="20"/>
        <v>7.5</v>
      </c>
      <c r="Y28" s="34">
        <f t="shared" si="20"/>
        <v>12.5</v>
      </c>
      <c r="Z28" s="34">
        <f t="shared" si="20"/>
        <v>30</v>
      </c>
      <c r="AA28" s="34">
        <f t="shared" si="20"/>
        <v>10.5</v>
      </c>
      <c r="AB28" s="34">
        <f t="shared" si="20"/>
        <v>46.5</v>
      </c>
      <c r="AC28" s="34">
        <f t="shared" si="20"/>
        <v>14</v>
      </c>
      <c r="AD28" s="34">
        <f t="shared" si="20"/>
        <v>0</v>
      </c>
      <c r="AE28" s="31">
        <f t="shared" si="20"/>
        <v>171</v>
      </c>
      <c r="AF28" s="31">
        <f t="shared" si="20"/>
        <v>185</v>
      </c>
    </row>
    <row r="29" spans="2:32" ht="23.1" customHeight="1" x14ac:dyDescent="0.25">
      <c r="B29" s="23" t="s">
        <v>56</v>
      </c>
      <c r="C29" s="49">
        <f>'Avg Week Mukono-Mbalala'!C29+'Avg Week Mbalala-Mukono'!C29</f>
        <v>80.142857142857139</v>
      </c>
      <c r="D29" s="49">
        <f>'Avg Week Mukono-Mbalala'!D29+'Avg Week Mbalala-Mukono'!D29</f>
        <v>15.285714285714285</v>
      </c>
      <c r="E29" s="49">
        <f>'Avg Week Mukono-Mbalala'!E29+'Avg Week Mbalala-Mukono'!E29</f>
        <v>17</v>
      </c>
      <c r="F29" s="49">
        <f>'Avg Week Mukono-Mbalala'!F29+'Avg Week Mbalala-Mukono'!F29</f>
        <v>56.428571428571431</v>
      </c>
      <c r="G29" s="49">
        <f>'Avg Week Mukono-Mbalala'!G29+'Avg Week Mbalala-Mukono'!G29</f>
        <v>2.1428571428571428</v>
      </c>
      <c r="H29" s="49">
        <f>'Avg Week Mukono-Mbalala'!H29+'Avg Week Mbalala-Mukono'!H29</f>
        <v>2.4285714285714288</v>
      </c>
      <c r="I29" s="49">
        <f>'Avg Week Mukono-Mbalala'!I29+'Avg Week Mbalala-Mukono'!I29</f>
        <v>18.142857142857142</v>
      </c>
      <c r="J29" s="49">
        <f>'Avg Week Mukono-Mbalala'!J29+'Avg Week Mbalala-Mukono'!J29</f>
        <v>14.571428571428573</v>
      </c>
      <c r="K29" s="49">
        <f>'Avg Week Mukono-Mbalala'!K29+'Avg Week Mbalala-Mukono'!K29</f>
        <v>8.7142857142857135</v>
      </c>
      <c r="L29" s="49">
        <f>'Avg Week Mukono-Mbalala'!L29+'Avg Week Mbalala-Mukono'!L29</f>
        <v>38.857142857142854</v>
      </c>
      <c r="M29" s="49">
        <f>'Avg Week Mukono-Mbalala'!M29+'Avg Week Mbalala-Mukono'!M29</f>
        <v>177.85714285714286</v>
      </c>
      <c r="N29" s="49">
        <f>'Avg Week Mukono-Mbalala'!N29+'Avg Week Mbalala-Mukono'!N29</f>
        <v>0</v>
      </c>
      <c r="O29" s="15">
        <f t="shared" si="0"/>
        <v>253.71428571428569</v>
      </c>
      <c r="P29" s="15">
        <f t="shared" si="1"/>
        <v>431.57142857142856</v>
      </c>
      <c r="R29" s="1" t="s">
        <v>153</v>
      </c>
      <c r="S29" s="34">
        <f>SUM(C86:C89)</f>
        <v>26.5</v>
      </c>
      <c r="T29" s="34">
        <f t="shared" ref="T29:AF29" si="21">SUM(D86:D89)</f>
        <v>15</v>
      </c>
      <c r="U29" s="34">
        <f t="shared" si="21"/>
        <v>16</v>
      </c>
      <c r="V29" s="34">
        <f t="shared" si="21"/>
        <v>16.5</v>
      </c>
      <c r="W29" s="34">
        <f t="shared" si="21"/>
        <v>1.5</v>
      </c>
      <c r="X29" s="34">
        <f t="shared" si="21"/>
        <v>4</v>
      </c>
      <c r="Y29" s="34">
        <f t="shared" si="21"/>
        <v>13</v>
      </c>
      <c r="Z29" s="34">
        <f t="shared" si="21"/>
        <v>15.5</v>
      </c>
      <c r="AA29" s="34">
        <f t="shared" si="21"/>
        <v>17.5</v>
      </c>
      <c r="AB29" s="34">
        <f t="shared" si="21"/>
        <v>44.5</v>
      </c>
      <c r="AC29" s="34">
        <f t="shared" si="21"/>
        <v>12.5</v>
      </c>
      <c r="AD29" s="34">
        <f t="shared" si="21"/>
        <v>0</v>
      </c>
      <c r="AE29" s="31">
        <f t="shared" si="21"/>
        <v>170</v>
      </c>
      <c r="AF29" s="31">
        <f t="shared" si="21"/>
        <v>182.5</v>
      </c>
    </row>
    <row r="30" spans="2:32" ht="23.1" customHeight="1" x14ac:dyDescent="0.25">
      <c r="B30" s="23" t="s">
        <v>57</v>
      </c>
      <c r="C30" s="49">
        <f>'Avg Week Mukono-Mbalala'!C30+'Avg Week Mbalala-Mukono'!C30</f>
        <v>74.714285714285722</v>
      </c>
      <c r="D30" s="49">
        <f>'Avg Week Mukono-Mbalala'!D30+'Avg Week Mbalala-Mukono'!D30</f>
        <v>19.857142857142858</v>
      </c>
      <c r="E30" s="49">
        <f>'Avg Week Mukono-Mbalala'!E30+'Avg Week Mbalala-Mukono'!E30</f>
        <v>12.428571428571429</v>
      </c>
      <c r="F30" s="49">
        <f>'Avg Week Mukono-Mbalala'!F30+'Avg Week Mbalala-Mukono'!F30</f>
        <v>71.428571428571431</v>
      </c>
      <c r="G30" s="49">
        <f>'Avg Week Mukono-Mbalala'!G30+'Avg Week Mbalala-Mukono'!G30</f>
        <v>3.2857142857142856</v>
      </c>
      <c r="H30" s="49">
        <f>'Avg Week Mukono-Mbalala'!H30+'Avg Week Mbalala-Mukono'!H30</f>
        <v>1.8571428571428572</v>
      </c>
      <c r="I30" s="49">
        <f>'Avg Week Mukono-Mbalala'!I30+'Avg Week Mbalala-Mukono'!I30</f>
        <v>23.714285714285715</v>
      </c>
      <c r="J30" s="49">
        <f>'Avg Week Mukono-Mbalala'!J30+'Avg Week Mbalala-Mukono'!J30</f>
        <v>16.142857142857142</v>
      </c>
      <c r="K30" s="49">
        <f>'Avg Week Mukono-Mbalala'!K30+'Avg Week Mbalala-Mukono'!K30</f>
        <v>6.7142857142857144</v>
      </c>
      <c r="L30" s="49">
        <f>'Avg Week Mukono-Mbalala'!L30+'Avg Week Mbalala-Mukono'!L30</f>
        <v>22.428571428571431</v>
      </c>
      <c r="M30" s="49">
        <f>'Avg Week Mukono-Mbalala'!M30+'Avg Week Mbalala-Mukono'!M30</f>
        <v>209.28571428571428</v>
      </c>
      <c r="N30" s="49">
        <f>'Avg Week Mukono-Mbalala'!N30+'Avg Week Mbalala-Mukono'!N30</f>
        <v>0</v>
      </c>
      <c r="O30" s="15">
        <f t="shared" si="0"/>
        <v>252.57142857142861</v>
      </c>
      <c r="P30" s="15">
        <f t="shared" si="1"/>
        <v>461.85714285714289</v>
      </c>
      <c r="R30" s="1" t="s">
        <v>154</v>
      </c>
      <c r="S30" s="34">
        <f>SUM(C90:C93)</f>
        <v>29</v>
      </c>
      <c r="T30" s="34">
        <f t="shared" ref="T30:AF30" si="22">SUM(D90:D93)</f>
        <v>16</v>
      </c>
      <c r="U30" s="34">
        <f t="shared" si="22"/>
        <v>11</v>
      </c>
      <c r="V30" s="34">
        <f t="shared" si="22"/>
        <v>32</v>
      </c>
      <c r="W30" s="34">
        <f t="shared" si="22"/>
        <v>1.5</v>
      </c>
      <c r="X30" s="34">
        <f t="shared" si="22"/>
        <v>4.5</v>
      </c>
      <c r="Y30" s="34">
        <f t="shared" si="22"/>
        <v>21</v>
      </c>
      <c r="Z30" s="34">
        <f t="shared" si="22"/>
        <v>37</v>
      </c>
      <c r="AA30" s="34">
        <f t="shared" si="22"/>
        <v>11.5</v>
      </c>
      <c r="AB30" s="34">
        <f t="shared" si="22"/>
        <v>63.5</v>
      </c>
      <c r="AC30" s="34">
        <f t="shared" si="22"/>
        <v>22.5</v>
      </c>
      <c r="AD30" s="34">
        <f t="shared" si="22"/>
        <v>0</v>
      </c>
      <c r="AE30" s="31">
        <f t="shared" si="22"/>
        <v>227</v>
      </c>
      <c r="AF30" s="31">
        <f t="shared" si="22"/>
        <v>249.5</v>
      </c>
    </row>
    <row r="31" spans="2:32" ht="23.1" customHeight="1" x14ac:dyDescent="0.25">
      <c r="B31" s="24" t="s">
        <v>58</v>
      </c>
      <c r="C31" s="49">
        <f>'Avg Week Mukono-Mbalala'!C31+'Avg Week Mbalala-Mukono'!C31</f>
        <v>81.714285714285722</v>
      </c>
      <c r="D31" s="49">
        <f>'Avg Week Mukono-Mbalala'!D31+'Avg Week Mbalala-Mukono'!D31</f>
        <v>17.857142857142858</v>
      </c>
      <c r="E31" s="49">
        <f>'Avg Week Mukono-Mbalala'!E31+'Avg Week Mbalala-Mukono'!E31</f>
        <v>14.285714285714286</v>
      </c>
      <c r="F31" s="49">
        <f>'Avg Week Mukono-Mbalala'!F31+'Avg Week Mbalala-Mukono'!F31</f>
        <v>75.285714285714292</v>
      </c>
      <c r="G31" s="49">
        <f>'Avg Week Mukono-Mbalala'!G31+'Avg Week Mbalala-Mukono'!G31</f>
        <v>1</v>
      </c>
      <c r="H31" s="49">
        <f>'Avg Week Mukono-Mbalala'!H31+'Avg Week Mbalala-Mukono'!H31</f>
        <v>1.2857142857142856</v>
      </c>
      <c r="I31" s="49">
        <f>'Avg Week Mukono-Mbalala'!I31+'Avg Week Mbalala-Mukono'!I31</f>
        <v>19.428571428571427</v>
      </c>
      <c r="J31" s="49">
        <f>'Avg Week Mukono-Mbalala'!J31+'Avg Week Mbalala-Mukono'!J31</f>
        <v>14.714285714285714</v>
      </c>
      <c r="K31" s="49">
        <f>'Avg Week Mukono-Mbalala'!K31+'Avg Week Mbalala-Mukono'!K31</f>
        <v>8.5714285714285712</v>
      </c>
      <c r="L31" s="49">
        <f>'Avg Week Mukono-Mbalala'!L31+'Avg Week Mbalala-Mukono'!L31</f>
        <v>30.428571428571431</v>
      </c>
      <c r="M31" s="49">
        <f>'Avg Week Mukono-Mbalala'!M31+'Avg Week Mbalala-Mukono'!M31</f>
        <v>182.71428571428572</v>
      </c>
      <c r="N31" s="49">
        <f>'Avg Week Mukono-Mbalala'!N31+'Avg Week Mbalala-Mukono'!N31</f>
        <v>0</v>
      </c>
      <c r="O31" s="15">
        <f t="shared" si="0"/>
        <v>264.57142857142861</v>
      </c>
      <c r="P31" s="15">
        <f t="shared" si="1"/>
        <v>447.28571428571433</v>
      </c>
      <c r="R31" s="1" t="s">
        <v>155</v>
      </c>
      <c r="S31" s="34">
        <f>SUM(C94:C97)</f>
        <v>49.5</v>
      </c>
      <c r="T31" s="34">
        <f t="shared" ref="T31:AF31" si="23">SUM(D94:D97)</f>
        <v>15</v>
      </c>
      <c r="U31" s="34">
        <f t="shared" si="23"/>
        <v>11.5</v>
      </c>
      <c r="V31" s="34">
        <f t="shared" si="23"/>
        <v>44</v>
      </c>
      <c r="W31" s="34">
        <f t="shared" si="23"/>
        <v>7</v>
      </c>
      <c r="X31" s="34">
        <f t="shared" si="23"/>
        <v>8.5</v>
      </c>
      <c r="Y31" s="34">
        <f t="shared" si="23"/>
        <v>28.5</v>
      </c>
      <c r="Z31" s="34">
        <f t="shared" si="23"/>
        <v>35.5</v>
      </c>
      <c r="AA31" s="34">
        <f t="shared" si="23"/>
        <v>16</v>
      </c>
      <c r="AB31" s="34">
        <f t="shared" si="23"/>
        <v>73.5</v>
      </c>
      <c r="AC31" s="34">
        <f t="shared" si="23"/>
        <v>42</v>
      </c>
      <c r="AD31" s="34">
        <f t="shared" si="23"/>
        <v>0</v>
      </c>
      <c r="AE31" s="31">
        <f t="shared" si="23"/>
        <v>289</v>
      </c>
      <c r="AF31" s="31">
        <f t="shared" si="23"/>
        <v>331</v>
      </c>
    </row>
    <row r="32" spans="2:32" ht="23.1" customHeight="1" x14ac:dyDescent="0.25">
      <c r="B32" s="24" t="s">
        <v>59</v>
      </c>
      <c r="C32" s="49">
        <f>'Avg Week Mukono-Mbalala'!C32+'Avg Week Mbalala-Mukono'!C32</f>
        <v>85.285714285714292</v>
      </c>
      <c r="D32" s="49">
        <f>'Avg Week Mukono-Mbalala'!D32+'Avg Week Mbalala-Mukono'!D32</f>
        <v>19.428571428571431</v>
      </c>
      <c r="E32" s="49">
        <f>'Avg Week Mukono-Mbalala'!E32+'Avg Week Mbalala-Mukono'!E32</f>
        <v>11.571428571428571</v>
      </c>
      <c r="F32" s="49">
        <f>'Avg Week Mukono-Mbalala'!F32+'Avg Week Mbalala-Mukono'!F32</f>
        <v>82.714285714285722</v>
      </c>
      <c r="G32" s="49">
        <f>'Avg Week Mukono-Mbalala'!G32+'Avg Week Mbalala-Mukono'!G32</f>
        <v>3.1428571428571428</v>
      </c>
      <c r="H32" s="49">
        <f>'Avg Week Mukono-Mbalala'!H32+'Avg Week Mbalala-Mukono'!H32</f>
        <v>0.8571428571428571</v>
      </c>
      <c r="I32" s="49">
        <f>'Avg Week Mukono-Mbalala'!I32+'Avg Week Mbalala-Mukono'!I32</f>
        <v>14.857142857142858</v>
      </c>
      <c r="J32" s="49">
        <f>'Avg Week Mukono-Mbalala'!J32+'Avg Week Mbalala-Mukono'!J32</f>
        <v>18.285714285714285</v>
      </c>
      <c r="K32" s="49">
        <f>'Avg Week Mukono-Mbalala'!K32+'Avg Week Mbalala-Mukono'!K32</f>
        <v>8.7142857142857153</v>
      </c>
      <c r="L32" s="49">
        <f>'Avg Week Mukono-Mbalala'!L32+'Avg Week Mbalala-Mukono'!L32</f>
        <v>26.142857142857142</v>
      </c>
      <c r="M32" s="49">
        <f>'Avg Week Mukono-Mbalala'!M32+'Avg Week Mbalala-Mukono'!M32</f>
        <v>189.42857142857142</v>
      </c>
      <c r="N32" s="49">
        <f>'Avg Week Mukono-Mbalala'!N32+'Avg Week Mbalala-Mukono'!N32</f>
        <v>0</v>
      </c>
      <c r="O32" s="15">
        <f t="shared" si="0"/>
        <v>271</v>
      </c>
      <c r="P32" s="15">
        <f t="shared" si="1"/>
        <v>460.42857142857144</v>
      </c>
      <c r="R32" s="1" t="s">
        <v>156</v>
      </c>
      <c r="S32" s="34">
        <f>SUM(C98:C101)</f>
        <v>64</v>
      </c>
      <c r="T32" s="34">
        <f t="shared" ref="T32:AF32" si="24">SUM(D98:D101)</f>
        <v>15</v>
      </c>
      <c r="U32" s="34">
        <f t="shared" si="24"/>
        <v>14.5</v>
      </c>
      <c r="V32" s="34">
        <f t="shared" si="24"/>
        <v>92</v>
      </c>
      <c r="W32" s="34">
        <f t="shared" si="24"/>
        <v>7</v>
      </c>
      <c r="X32" s="34">
        <f t="shared" si="24"/>
        <v>13</v>
      </c>
      <c r="Y32" s="34">
        <f t="shared" si="24"/>
        <v>17</v>
      </c>
      <c r="Z32" s="34">
        <f t="shared" si="24"/>
        <v>37.5</v>
      </c>
      <c r="AA32" s="34">
        <f t="shared" si="24"/>
        <v>17.5</v>
      </c>
      <c r="AB32" s="34">
        <f t="shared" si="24"/>
        <v>102.5</v>
      </c>
      <c r="AC32" s="34">
        <f t="shared" si="24"/>
        <v>59</v>
      </c>
      <c r="AD32" s="34">
        <f t="shared" si="24"/>
        <v>0</v>
      </c>
      <c r="AE32" s="31">
        <f t="shared" si="24"/>
        <v>380</v>
      </c>
      <c r="AF32" s="31">
        <f t="shared" si="24"/>
        <v>439</v>
      </c>
    </row>
    <row r="33" spans="2:32" ht="23.1" customHeight="1" x14ac:dyDescent="0.25">
      <c r="B33" s="23" t="s">
        <v>60</v>
      </c>
      <c r="C33" s="49">
        <f>'Avg Week Mukono-Mbalala'!C33+'Avg Week Mbalala-Mukono'!C33</f>
        <v>85.428571428571431</v>
      </c>
      <c r="D33" s="49">
        <f>'Avg Week Mukono-Mbalala'!D33+'Avg Week Mbalala-Mukono'!D33</f>
        <v>18.428571428571431</v>
      </c>
      <c r="E33" s="49">
        <f>'Avg Week Mukono-Mbalala'!E33+'Avg Week Mbalala-Mukono'!E33</f>
        <v>10.428571428571429</v>
      </c>
      <c r="F33" s="49">
        <f>'Avg Week Mukono-Mbalala'!F33+'Avg Week Mbalala-Mukono'!F33</f>
        <v>87.857142857142861</v>
      </c>
      <c r="G33" s="49">
        <f>'Avg Week Mukono-Mbalala'!G33+'Avg Week Mbalala-Mukono'!G33</f>
        <v>2.8571428571428572</v>
      </c>
      <c r="H33" s="49">
        <f>'Avg Week Mukono-Mbalala'!H33+'Avg Week Mbalala-Mukono'!H33</f>
        <v>2.2857142857142856</v>
      </c>
      <c r="I33" s="49">
        <f>'Avg Week Mukono-Mbalala'!I33+'Avg Week Mbalala-Mukono'!I33</f>
        <v>26.714285714285715</v>
      </c>
      <c r="J33" s="49">
        <f>'Avg Week Mukono-Mbalala'!J33+'Avg Week Mbalala-Mukono'!J33</f>
        <v>14.428571428571427</v>
      </c>
      <c r="K33" s="49">
        <f>'Avg Week Mukono-Mbalala'!K33+'Avg Week Mbalala-Mukono'!K33</f>
        <v>8.2857142857142847</v>
      </c>
      <c r="L33" s="49">
        <f>'Avg Week Mukono-Mbalala'!L33+'Avg Week Mbalala-Mukono'!L33</f>
        <v>30.571428571428569</v>
      </c>
      <c r="M33" s="49">
        <f>'Avg Week Mukono-Mbalala'!M33+'Avg Week Mbalala-Mukono'!M33</f>
        <v>183.28571428571428</v>
      </c>
      <c r="N33" s="49">
        <f>'Avg Week Mukono-Mbalala'!N33+'Avg Week Mbalala-Mukono'!N33</f>
        <v>0</v>
      </c>
      <c r="O33" s="15">
        <f t="shared" si="0"/>
        <v>287.28571428571428</v>
      </c>
      <c r="P33" s="15">
        <f t="shared" si="1"/>
        <v>470.57142857142856</v>
      </c>
      <c r="R33" s="1" t="s">
        <v>157</v>
      </c>
      <c r="S33" s="34">
        <f>SUM(C102:C105)</f>
        <v>181.5</v>
      </c>
      <c r="T33" s="34">
        <f t="shared" ref="T33:AF33" si="25">SUM(D102:D105)</f>
        <v>22.5</v>
      </c>
      <c r="U33" s="34">
        <f t="shared" si="25"/>
        <v>27.5</v>
      </c>
      <c r="V33" s="34">
        <f t="shared" si="25"/>
        <v>166</v>
      </c>
      <c r="W33" s="34">
        <f t="shared" si="25"/>
        <v>5.5</v>
      </c>
      <c r="X33" s="34">
        <f t="shared" si="25"/>
        <v>9</v>
      </c>
      <c r="Y33" s="34">
        <f t="shared" si="25"/>
        <v>29.5</v>
      </c>
      <c r="Z33" s="34">
        <f t="shared" si="25"/>
        <v>34.5</v>
      </c>
      <c r="AA33" s="34">
        <f t="shared" si="25"/>
        <v>19</v>
      </c>
      <c r="AB33" s="34">
        <f t="shared" si="25"/>
        <v>102</v>
      </c>
      <c r="AC33" s="34">
        <f t="shared" si="25"/>
        <v>196</v>
      </c>
      <c r="AD33" s="34">
        <f t="shared" si="25"/>
        <v>0</v>
      </c>
      <c r="AE33" s="31">
        <f t="shared" si="25"/>
        <v>597</v>
      </c>
      <c r="AF33" s="31">
        <f t="shared" si="25"/>
        <v>793</v>
      </c>
    </row>
    <row r="34" spans="2:32" ht="23.1" customHeight="1" x14ac:dyDescent="0.25">
      <c r="B34" s="24" t="s">
        <v>61</v>
      </c>
      <c r="C34" s="49">
        <f>'Avg Week Mukono-Mbalala'!C34+'Avg Week Mbalala-Mukono'!C34</f>
        <v>70.285714285714292</v>
      </c>
      <c r="D34" s="49">
        <f>'Avg Week Mukono-Mbalala'!D34+'Avg Week Mbalala-Mukono'!D34</f>
        <v>15.571428571428571</v>
      </c>
      <c r="E34" s="49">
        <f>'Avg Week Mukono-Mbalala'!E34+'Avg Week Mbalala-Mukono'!E34</f>
        <v>12.714285714285715</v>
      </c>
      <c r="F34" s="49">
        <f>'Avg Week Mukono-Mbalala'!F34+'Avg Week Mbalala-Mukono'!F34</f>
        <v>81.142857142857139</v>
      </c>
      <c r="G34" s="49">
        <f>'Avg Week Mukono-Mbalala'!G34+'Avg Week Mbalala-Mukono'!G34</f>
        <v>5.1428571428571432</v>
      </c>
      <c r="H34" s="49">
        <f>'Avg Week Mukono-Mbalala'!H34+'Avg Week Mbalala-Mukono'!H34</f>
        <v>2.2857142857142856</v>
      </c>
      <c r="I34" s="49">
        <f>'Avg Week Mukono-Mbalala'!I34+'Avg Week Mbalala-Mukono'!I34</f>
        <v>25.285714285714285</v>
      </c>
      <c r="J34" s="49">
        <f>'Avg Week Mukono-Mbalala'!J34+'Avg Week Mbalala-Mukono'!J34</f>
        <v>12.571428571428571</v>
      </c>
      <c r="K34" s="49">
        <f>'Avg Week Mukono-Mbalala'!K34+'Avg Week Mbalala-Mukono'!K34</f>
        <v>7.8571428571428568</v>
      </c>
      <c r="L34" s="49">
        <f>'Avg Week Mukono-Mbalala'!L34+'Avg Week Mbalala-Mukono'!L34</f>
        <v>22.571428571428569</v>
      </c>
      <c r="M34" s="49">
        <f>'Avg Week Mukono-Mbalala'!M34+'Avg Week Mbalala-Mukono'!M34</f>
        <v>179.42857142857142</v>
      </c>
      <c r="N34" s="49">
        <f>'Avg Week Mukono-Mbalala'!N34+'Avg Week Mbalala-Mukono'!N34</f>
        <v>0</v>
      </c>
      <c r="O34" s="15">
        <f t="shared" si="0"/>
        <v>255.42857142857144</v>
      </c>
      <c r="P34" s="15">
        <f t="shared" si="1"/>
        <v>434.85714285714289</v>
      </c>
      <c r="R34" s="38" t="s">
        <v>90</v>
      </c>
      <c r="S34" s="39">
        <f t="shared" ref="S34:AF34" si="26">MAX(S10:S12)</f>
        <v>272.85714285714283</v>
      </c>
      <c r="T34" s="39">
        <f t="shared" si="26"/>
        <v>71.571428571428569</v>
      </c>
      <c r="U34" s="39">
        <f t="shared" si="26"/>
        <v>55.428571428571431</v>
      </c>
      <c r="V34" s="39">
        <f t="shared" si="26"/>
        <v>290.28571428571428</v>
      </c>
      <c r="W34" s="39">
        <f t="shared" si="26"/>
        <v>16.571428571428573</v>
      </c>
      <c r="X34" s="39">
        <f t="shared" si="26"/>
        <v>9.7142857142857153</v>
      </c>
      <c r="Y34" s="39">
        <f t="shared" si="26"/>
        <v>67.142857142857139</v>
      </c>
      <c r="Z34" s="39">
        <f t="shared" si="26"/>
        <v>39.428571428571431</v>
      </c>
      <c r="AA34" s="39">
        <f t="shared" si="26"/>
        <v>30.571428571428569</v>
      </c>
      <c r="AB34" s="39">
        <f t="shared" si="26"/>
        <v>109.57142857142858</v>
      </c>
      <c r="AC34" s="39">
        <f t="shared" si="26"/>
        <v>856</v>
      </c>
      <c r="AD34" s="39">
        <f t="shared" si="26"/>
        <v>0.2857142857142857</v>
      </c>
      <c r="AE34" s="40">
        <f t="shared" si="26"/>
        <v>885.14285714285711</v>
      </c>
      <c r="AF34" s="40">
        <f t="shared" si="26"/>
        <v>1723.8571428571429</v>
      </c>
    </row>
    <row r="35" spans="2:32" ht="23.1" customHeight="1" x14ac:dyDescent="0.25">
      <c r="B35" s="24" t="s">
        <v>62</v>
      </c>
      <c r="C35" s="49">
        <f>'Avg Week Mukono-Mbalala'!C35+'Avg Week Mbalala-Mukono'!C35</f>
        <v>66.571428571428569</v>
      </c>
      <c r="D35" s="49">
        <f>'Avg Week Mukono-Mbalala'!D35+'Avg Week Mbalala-Mukono'!D35</f>
        <v>13.714285714285715</v>
      </c>
      <c r="E35" s="49">
        <f>'Avg Week Mukono-Mbalala'!E35+'Avg Week Mbalala-Mukono'!E35</f>
        <v>12.142857142857142</v>
      </c>
      <c r="F35" s="49">
        <f>'Avg Week Mukono-Mbalala'!F35+'Avg Week Mbalala-Mukono'!F35</f>
        <v>69.142857142857139</v>
      </c>
      <c r="G35" s="49">
        <f>'Avg Week Mukono-Mbalala'!G35+'Avg Week Mbalala-Mukono'!G35</f>
        <v>1.7142857142857144</v>
      </c>
      <c r="H35" s="49">
        <f>'Avg Week Mukono-Mbalala'!H35+'Avg Week Mbalala-Mukono'!H35</f>
        <v>1.4285714285714286</v>
      </c>
      <c r="I35" s="49">
        <f>'Avg Week Mukono-Mbalala'!I35+'Avg Week Mbalala-Mukono'!I35</f>
        <v>20.142857142857142</v>
      </c>
      <c r="J35" s="49">
        <f>'Avg Week Mukono-Mbalala'!J35+'Avg Week Mbalala-Mukono'!J35</f>
        <v>12.857142857142858</v>
      </c>
      <c r="K35" s="49">
        <f>'Avg Week Mukono-Mbalala'!K35+'Avg Week Mbalala-Mukono'!K35</f>
        <v>7.8571428571428577</v>
      </c>
      <c r="L35" s="49">
        <f>'Avg Week Mukono-Mbalala'!L35+'Avg Week Mbalala-Mukono'!L35</f>
        <v>25.142857142857142</v>
      </c>
      <c r="M35" s="49">
        <f>'Avg Week Mukono-Mbalala'!M35+'Avg Week Mbalala-Mukono'!M35</f>
        <v>199.57142857142856</v>
      </c>
      <c r="N35" s="49">
        <f>'Avg Week Mukono-Mbalala'!N35+'Avg Week Mbalala-Mukono'!N35</f>
        <v>0</v>
      </c>
      <c r="O35" s="15">
        <f t="shared" si="0"/>
        <v>230.71428571428569</v>
      </c>
      <c r="P35" s="15">
        <f t="shared" si="1"/>
        <v>430.28571428571422</v>
      </c>
      <c r="R35" s="38" t="s">
        <v>91</v>
      </c>
      <c r="S35" s="39">
        <f t="shared" ref="S35:AF35" si="27">MAX(S13:S18)</f>
        <v>327.14285714285717</v>
      </c>
      <c r="T35" s="39">
        <f t="shared" si="27"/>
        <v>82.285714285714278</v>
      </c>
      <c r="U35" s="39">
        <f t="shared" si="27"/>
        <v>56.285714285714285</v>
      </c>
      <c r="V35" s="39">
        <f t="shared" si="27"/>
        <v>317.28571428571433</v>
      </c>
      <c r="W35" s="39">
        <f t="shared" si="27"/>
        <v>25.428571428571431</v>
      </c>
      <c r="X35" s="39">
        <f t="shared" si="27"/>
        <v>9.7142857142857153</v>
      </c>
      <c r="Y35" s="39">
        <f t="shared" si="27"/>
        <v>84.714285714285722</v>
      </c>
      <c r="Z35" s="39">
        <f t="shared" si="27"/>
        <v>63.571428571428569</v>
      </c>
      <c r="AA35" s="39">
        <f t="shared" si="27"/>
        <v>32.285714285714285</v>
      </c>
      <c r="AB35" s="39">
        <f t="shared" si="27"/>
        <v>114.57142857142857</v>
      </c>
      <c r="AC35" s="39">
        <f t="shared" si="27"/>
        <v>818.85714285714289</v>
      </c>
      <c r="AD35" s="39">
        <f t="shared" si="27"/>
        <v>0.14285714285714285</v>
      </c>
      <c r="AE35" s="40">
        <f t="shared" si="27"/>
        <v>1075.4285714285716</v>
      </c>
      <c r="AF35" s="40">
        <f t="shared" si="27"/>
        <v>1840.1428571428573</v>
      </c>
    </row>
    <row r="36" spans="2:32" ht="23.1" customHeight="1" x14ac:dyDescent="0.25">
      <c r="B36" s="24" t="s">
        <v>63</v>
      </c>
      <c r="C36" s="49">
        <f>'Avg Week Mukono-Mbalala'!C36+'Avg Week Mbalala-Mukono'!C36</f>
        <v>76</v>
      </c>
      <c r="D36" s="49">
        <f>'Avg Week Mukono-Mbalala'!D36+'Avg Week Mbalala-Mukono'!D36</f>
        <v>22.571428571428569</v>
      </c>
      <c r="E36" s="49">
        <f>'Avg Week Mukono-Mbalala'!E36+'Avg Week Mbalala-Mukono'!E36</f>
        <v>13.142857142857142</v>
      </c>
      <c r="F36" s="49">
        <f>'Avg Week Mukono-Mbalala'!F36+'Avg Week Mbalala-Mukono'!F36</f>
        <v>70.857142857142861</v>
      </c>
      <c r="G36" s="49">
        <f>'Avg Week Mukono-Mbalala'!G36+'Avg Week Mbalala-Mukono'!G36</f>
        <v>1.5714285714285714</v>
      </c>
      <c r="H36" s="49">
        <f>'Avg Week Mukono-Mbalala'!H36+'Avg Week Mbalala-Mukono'!H36</f>
        <v>1.7142857142857144</v>
      </c>
      <c r="I36" s="49">
        <f>'Avg Week Mukono-Mbalala'!I36+'Avg Week Mbalala-Mukono'!I36</f>
        <v>20.428571428571431</v>
      </c>
      <c r="J36" s="49">
        <f>'Avg Week Mukono-Mbalala'!J36+'Avg Week Mbalala-Mukono'!J36</f>
        <v>11.857142857142858</v>
      </c>
      <c r="K36" s="49">
        <f>'Avg Week Mukono-Mbalala'!K36+'Avg Week Mbalala-Mukono'!K36</f>
        <v>7.7142857142857135</v>
      </c>
      <c r="L36" s="49">
        <f>'Avg Week Mukono-Mbalala'!L36+'Avg Week Mbalala-Mukono'!L36</f>
        <v>26</v>
      </c>
      <c r="M36" s="49">
        <f>'Avg Week Mukono-Mbalala'!M36+'Avg Week Mbalala-Mukono'!M36</f>
        <v>197.42857142857144</v>
      </c>
      <c r="N36" s="49">
        <f>'Avg Week Mukono-Mbalala'!N36+'Avg Week Mbalala-Mukono'!N36</f>
        <v>0</v>
      </c>
      <c r="O36" s="15">
        <f t="shared" si="0"/>
        <v>251.85714285714286</v>
      </c>
      <c r="P36" s="15">
        <f t="shared" si="1"/>
        <v>449.28571428571433</v>
      </c>
      <c r="R36" s="38" t="s">
        <v>92</v>
      </c>
      <c r="S36" s="39">
        <f t="shared" ref="S36:AF36" si="28">MAX(S19:S21)</f>
        <v>345.85714285714283</v>
      </c>
      <c r="T36" s="39">
        <f t="shared" si="28"/>
        <v>85</v>
      </c>
      <c r="U36" s="39">
        <f t="shared" si="28"/>
        <v>64.571428571428569</v>
      </c>
      <c r="V36" s="39">
        <f t="shared" si="28"/>
        <v>294.57142857142856</v>
      </c>
      <c r="W36" s="39">
        <f t="shared" si="28"/>
        <v>20.285714285714285</v>
      </c>
      <c r="X36" s="39">
        <f t="shared" si="28"/>
        <v>9.2857142857142847</v>
      </c>
      <c r="Y36" s="39">
        <f t="shared" si="28"/>
        <v>77.142857142857139</v>
      </c>
      <c r="Z36" s="39">
        <f t="shared" si="28"/>
        <v>51.714285714285715</v>
      </c>
      <c r="AA36" s="39">
        <f t="shared" si="28"/>
        <v>28.857142857142858</v>
      </c>
      <c r="AB36" s="39">
        <f t="shared" si="28"/>
        <v>133.14285714285714</v>
      </c>
      <c r="AC36" s="39">
        <f t="shared" si="28"/>
        <v>913.71428571428578</v>
      </c>
      <c r="AD36" s="39">
        <f t="shared" si="28"/>
        <v>0.42857142857142855</v>
      </c>
      <c r="AE36" s="40">
        <f t="shared" si="28"/>
        <v>1076.4285714285713</v>
      </c>
      <c r="AF36" s="40">
        <f t="shared" si="28"/>
        <v>1990.1428571428573</v>
      </c>
    </row>
    <row r="37" spans="2:32" ht="23.1" customHeight="1" x14ac:dyDescent="0.25">
      <c r="B37" s="23" t="s">
        <v>64</v>
      </c>
      <c r="C37" s="49">
        <f>'Avg Week Mukono-Mbalala'!C37+'Avg Week Mbalala-Mukono'!C37</f>
        <v>67.571428571428584</v>
      </c>
      <c r="D37" s="49">
        <f>'Avg Week Mukono-Mbalala'!D37+'Avg Week Mbalala-Mukono'!D37</f>
        <v>26.571428571428573</v>
      </c>
      <c r="E37" s="49">
        <f>'Avg Week Mukono-Mbalala'!E37+'Avg Week Mbalala-Mukono'!E37</f>
        <v>13</v>
      </c>
      <c r="F37" s="49">
        <f>'Avg Week Mukono-Mbalala'!F37+'Avg Week Mbalala-Mukono'!F37</f>
        <v>56.571428571428569</v>
      </c>
      <c r="G37" s="49">
        <f>'Avg Week Mukono-Mbalala'!G37+'Avg Week Mbalala-Mukono'!G37</f>
        <v>2.8571428571428568</v>
      </c>
      <c r="H37" s="49">
        <f>'Avg Week Mukono-Mbalala'!H37+'Avg Week Mbalala-Mukono'!H37</f>
        <v>2</v>
      </c>
      <c r="I37" s="49">
        <f>'Avg Week Mukono-Mbalala'!I37+'Avg Week Mbalala-Mukono'!I37</f>
        <v>17.857142857142858</v>
      </c>
      <c r="J37" s="49">
        <f>'Avg Week Mukono-Mbalala'!J37+'Avg Week Mbalala-Mukono'!J37</f>
        <v>21.428571428571427</v>
      </c>
      <c r="K37" s="49">
        <f>'Avg Week Mukono-Mbalala'!K37+'Avg Week Mbalala-Mukono'!K37</f>
        <v>4.4285714285714288</v>
      </c>
      <c r="L37" s="49">
        <f>'Avg Week Mukono-Mbalala'!L37+'Avg Week Mbalala-Mukono'!L37</f>
        <v>26.428571428571431</v>
      </c>
      <c r="M37" s="49">
        <f>'Avg Week Mukono-Mbalala'!M37+'Avg Week Mbalala-Mukono'!M37</f>
        <v>193.14285714285714</v>
      </c>
      <c r="N37" s="49">
        <f>'Avg Week Mukono-Mbalala'!N37+'Avg Week Mbalala-Mukono'!N37</f>
        <v>0</v>
      </c>
      <c r="O37" s="15">
        <f t="shared" si="0"/>
        <v>238.71428571428572</v>
      </c>
      <c r="P37" s="15">
        <f t="shared" si="1"/>
        <v>431.85714285714289</v>
      </c>
      <c r="R37" s="37" t="s">
        <v>85</v>
      </c>
      <c r="S37" s="35">
        <f t="shared" ref="S37:AF37" si="29">SUM(S10:S12)</f>
        <v>785.85714285714278</v>
      </c>
      <c r="T37" s="16">
        <f t="shared" si="29"/>
        <v>201.71428571428572</v>
      </c>
      <c r="U37" s="16">
        <f t="shared" si="29"/>
        <v>158.42857142857144</v>
      </c>
      <c r="V37" s="16">
        <f t="shared" si="29"/>
        <v>792.42857142857156</v>
      </c>
      <c r="W37" s="16">
        <f t="shared" si="29"/>
        <v>41.428571428571431</v>
      </c>
      <c r="X37" s="16">
        <f t="shared" si="29"/>
        <v>24.428571428571431</v>
      </c>
      <c r="Y37" s="16">
        <f t="shared" si="29"/>
        <v>175.42857142857142</v>
      </c>
      <c r="Z37" s="16">
        <f t="shared" si="29"/>
        <v>115.28571428571429</v>
      </c>
      <c r="AA37" s="16">
        <f t="shared" si="29"/>
        <v>71.142857142857139</v>
      </c>
      <c r="AB37" s="16">
        <f t="shared" si="29"/>
        <v>259.28571428571428</v>
      </c>
      <c r="AC37" s="16">
        <f t="shared" si="29"/>
        <v>2338.2857142857142</v>
      </c>
      <c r="AD37" s="16">
        <f t="shared" si="29"/>
        <v>0.2857142857142857</v>
      </c>
      <c r="AE37" s="32">
        <f t="shared" si="29"/>
        <v>2625.7142857142858</v>
      </c>
      <c r="AF37" s="32">
        <f t="shared" si="29"/>
        <v>4964</v>
      </c>
    </row>
    <row r="38" spans="2:32" ht="23.1" customHeight="1" x14ac:dyDescent="0.25">
      <c r="B38" s="24" t="s">
        <v>65</v>
      </c>
      <c r="C38" s="49">
        <f>'Avg Week Mukono-Mbalala'!C38+'Avg Week Mbalala-Mukono'!C38</f>
        <v>68.428571428571416</v>
      </c>
      <c r="D38" s="49">
        <f>'Avg Week Mukono-Mbalala'!D38+'Avg Week Mbalala-Mukono'!D38</f>
        <v>25.428571428571431</v>
      </c>
      <c r="E38" s="49">
        <f>'Avg Week Mukono-Mbalala'!E38+'Avg Week Mbalala-Mukono'!E38</f>
        <v>13.142857142857142</v>
      </c>
      <c r="F38" s="49">
        <f>'Avg Week Mukono-Mbalala'!F38+'Avg Week Mbalala-Mukono'!F38</f>
        <v>80.428571428571431</v>
      </c>
      <c r="G38" s="49">
        <f>'Avg Week Mukono-Mbalala'!G38+'Avg Week Mbalala-Mukono'!G38</f>
        <v>2.4285714285714284</v>
      </c>
      <c r="H38" s="49">
        <f>'Avg Week Mukono-Mbalala'!H38+'Avg Week Mbalala-Mukono'!H38</f>
        <v>1.2857142857142856</v>
      </c>
      <c r="I38" s="49">
        <f>'Avg Week Mukono-Mbalala'!I38+'Avg Week Mbalala-Mukono'!I38</f>
        <v>23.285714285714285</v>
      </c>
      <c r="J38" s="49">
        <f>'Avg Week Mukono-Mbalala'!J38+'Avg Week Mbalala-Mukono'!J38</f>
        <v>18.857142857142858</v>
      </c>
      <c r="K38" s="49">
        <f>'Avg Week Mukono-Mbalala'!K38+'Avg Week Mbalala-Mukono'!K38</f>
        <v>10.142857142857142</v>
      </c>
      <c r="L38" s="49">
        <f>'Avg Week Mukono-Mbalala'!L38+'Avg Week Mbalala-Mukono'!L38</f>
        <v>29</v>
      </c>
      <c r="M38" s="49">
        <f>'Avg Week Mukono-Mbalala'!M38+'Avg Week Mbalala-Mukono'!M38</f>
        <v>170.57142857142856</v>
      </c>
      <c r="N38" s="49">
        <f>'Avg Week Mukono-Mbalala'!N38+'Avg Week Mbalala-Mukono'!N38</f>
        <v>0</v>
      </c>
      <c r="O38" s="15">
        <f t="shared" si="0"/>
        <v>272.42857142857139</v>
      </c>
      <c r="P38" s="15">
        <f t="shared" si="1"/>
        <v>442.99999999999994</v>
      </c>
      <c r="R38" s="28" t="s">
        <v>86</v>
      </c>
      <c r="S38" s="16">
        <f t="shared" ref="S38:AF38" si="30">SUM(S13:S18)</f>
        <v>1751.4285714285716</v>
      </c>
      <c r="T38" s="16">
        <f t="shared" si="30"/>
        <v>454.42857142857144</v>
      </c>
      <c r="U38" s="16">
        <f t="shared" si="30"/>
        <v>311.85714285714289</v>
      </c>
      <c r="V38" s="16">
        <f t="shared" si="30"/>
        <v>1718.7142857142858</v>
      </c>
      <c r="W38" s="16">
        <f t="shared" si="30"/>
        <v>82.428571428571445</v>
      </c>
      <c r="X38" s="16">
        <f t="shared" si="30"/>
        <v>44.571428571428569</v>
      </c>
      <c r="Y38" s="16">
        <f t="shared" si="30"/>
        <v>451.14285714285717</v>
      </c>
      <c r="Z38" s="16">
        <f t="shared" si="30"/>
        <v>331.85714285714289</v>
      </c>
      <c r="AA38" s="16">
        <f t="shared" si="30"/>
        <v>167.57142857142858</v>
      </c>
      <c r="AB38" s="16">
        <f t="shared" si="30"/>
        <v>613.71428571428578</v>
      </c>
      <c r="AC38" s="16">
        <f t="shared" si="30"/>
        <v>4267.1428571428569</v>
      </c>
      <c r="AD38" s="16">
        <f t="shared" si="30"/>
        <v>0.14285714285714285</v>
      </c>
      <c r="AE38" s="32">
        <f t="shared" si="30"/>
        <v>5927.8571428571422</v>
      </c>
      <c r="AF38" s="32">
        <f t="shared" si="30"/>
        <v>10195</v>
      </c>
    </row>
    <row r="39" spans="2:32" ht="23.1" customHeight="1" x14ac:dyDescent="0.25">
      <c r="B39" s="24" t="s">
        <v>66</v>
      </c>
      <c r="C39" s="49">
        <f>'Avg Week Mukono-Mbalala'!C39+'Avg Week Mbalala-Mukono'!C39</f>
        <v>72.142857142857139</v>
      </c>
      <c r="D39" s="49">
        <f>'Avg Week Mukono-Mbalala'!D39+'Avg Week Mbalala-Mukono'!D39</f>
        <v>16.857142857142858</v>
      </c>
      <c r="E39" s="49">
        <f>'Avg Week Mukono-Mbalala'!E39+'Avg Week Mbalala-Mukono'!E39</f>
        <v>14.142857142857142</v>
      </c>
      <c r="F39" s="49">
        <f>'Avg Week Mukono-Mbalala'!F39+'Avg Week Mbalala-Mukono'!F39</f>
        <v>80</v>
      </c>
      <c r="G39" s="49">
        <f>'Avg Week Mukono-Mbalala'!G39+'Avg Week Mbalala-Mukono'!G39</f>
        <v>5</v>
      </c>
      <c r="H39" s="49">
        <f>'Avg Week Mukono-Mbalala'!H39+'Avg Week Mbalala-Mukono'!H39</f>
        <v>1.1428571428571428</v>
      </c>
      <c r="I39" s="49">
        <f>'Avg Week Mukono-Mbalala'!I39+'Avg Week Mbalala-Mukono'!I39</f>
        <v>16.428571428571427</v>
      </c>
      <c r="J39" s="49">
        <f>'Avg Week Mukono-Mbalala'!J39+'Avg Week Mbalala-Mukono'!J39</f>
        <v>14.571428571428573</v>
      </c>
      <c r="K39" s="49">
        <f>'Avg Week Mukono-Mbalala'!K39+'Avg Week Mbalala-Mukono'!K39</f>
        <v>6.2857142857142856</v>
      </c>
      <c r="L39" s="49">
        <f>'Avg Week Mukono-Mbalala'!L39+'Avg Week Mbalala-Mukono'!L39</f>
        <v>28.428571428571431</v>
      </c>
      <c r="M39" s="49">
        <f>'Avg Week Mukono-Mbalala'!M39+'Avg Week Mbalala-Mukono'!M39</f>
        <v>145.57142857142856</v>
      </c>
      <c r="N39" s="49">
        <f>'Avg Week Mukono-Mbalala'!N39+'Avg Week Mbalala-Mukono'!N39</f>
        <v>0</v>
      </c>
      <c r="O39" s="15">
        <f t="shared" si="0"/>
        <v>255</v>
      </c>
      <c r="P39" s="15">
        <f t="shared" si="1"/>
        <v>400.57142857142856</v>
      </c>
      <c r="R39" s="29" t="s">
        <v>87</v>
      </c>
      <c r="S39" s="16">
        <f t="shared" ref="S39:AF39" si="31">SUM(S19:S21)</f>
        <v>976.71428571428578</v>
      </c>
      <c r="T39" s="16">
        <f t="shared" si="31"/>
        <v>247.85714285714283</v>
      </c>
      <c r="U39" s="16">
        <f t="shared" si="31"/>
        <v>174.71428571428572</v>
      </c>
      <c r="V39" s="16">
        <f t="shared" si="31"/>
        <v>834.14285714285722</v>
      </c>
      <c r="W39" s="16">
        <f t="shared" si="31"/>
        <v>42.571428571428569</v>
      </c>
      <c r="X39" s="16">
        <f t="shared" si="31"/>
        <v>23.428571428571427</v>
      </c>
      <c r="Y39" s="16">
        <f t="shared" si="31"/>
        <v>219.57142857142856</v>
      </c>
      <c r="Z39" s="16">
        <f t="shared" si="31"/>
        <v>146.28571428571428</v>
      </c>
      <c r="AA39" s="16">
        <f t="shared" si="31"/>
        <v>85.142857142857139</v>
      </c>
      <c r="AB39" s="16">
        <f t="shared" si="31"/>
        <v>332.57142857142856</v>
      </c>
      <c r="AC39" s="16">
        <f t="shared" si="31"/>
        <v>2317.8571428571431</v>
      </c>
      <c r="AD39" s="16">
        <f t="shared" si="31"/>
        <v>0.5714285714285714</v>
      </c>
      <c r="AE39" s="32">
        <f t="shared" si="31"/>
        <v>3083.5714285714284</v>
      </c>
      <c r="AF39" s="32">
        <f t="shared" si="31"/>
        <v>5401.4285714285716</v>
      </c>
    </row>
    <row r="40" spans="2:32" ht="23.1" customHeight="1" x14ac:dyDescent="0.25">
      <c r="B40" s="24" t="s">
        <v>67</v>
      </c>
      <c r="C40" s="49">
        <f>'Avg Week Mukono-Mbalala'!C40+'Avg Week Mbalala-Mukono'!C40</f>
        <v>72.142857142857139</v>
      </c>
      <c r="D40" s="49">
        <f>'Avg Week Mukono-Mbalala'!D40+'Avg Week Mbalala-Mukono'!D40</f>
        <v>14.285714285714285</v>
      </c>
      <c r="E40" s="49">
        <f>'Avg Week Mukono-Mbalala'!E40+'Avg Week Mbalala-Mukono'!E40</f>
        <v>10.714285714285715</v>
      </c>
      <c r="F40" s="49">
        <f>'Avg Week Mukono-Mbalala'!F40+'Avg Week Mbalala-Mukono'!F40</f>
        <v>78.285714285714278</v>
      </c>
      <c r="G40" s="49">
        <f>'Avg Week Mukono-Mbalala'!G40+'Avg Week Mbalala-Mukono'!G40</f>
        <v>4.2857142857142856</v>
      </c>
      <c r="H40" s="49">
        <f>'Avg Week Mukono-Mbalala'!H40+'Avg Week Mbalala-Mukono'!H40</f>
        <v>2.1428571428571428</v>
      </c>
      <c r="I40" s="49">
        <f>'Avg Week Mukono-Mbalala'!I40+'Avg Week Mbalala-Mukono'!I40</f>
        <v>15.285714285714285</v>
      </c>
      <c r="J40" s="49">
        <f>'Avg Week Mukono-Mbalala'!J40+'Avg Week Mbalala-Mukono'!J40</f>
        <v>14.285714285714286</v>
      </c>
      <c r="K40" s="49">
        <f>'Avg Week Mukono-Mbalala'!K40+'Avg Week Mbalala-Mukono'!K40</f>
        <v>5.5714285714285712</v>
      </c>
      <c r="L40" s="49">
        <f>'Avg Week Mukono-Mbalala'!L40+'Avg Week Mbalala-Mukono'!L40</f>
        <v>27.714285714285715</v>
      </c>
      <c r="M40" s="49">
        <f>'Avg Week Mukono-Mbalala'!M40+'Avg Week Mbalala-Mukono'!M40</f>
        <v>134</v>
      </c>
      <c r="N40" s="49">
        <f>'Avg Week Mukono-Mbalala'!N40+'Avg Week Mbalala-Mukono'!N40</f>
        <v>0</v>
      </c>
      <c r="O40" s="15">
        <f t="shared" si="0"/>
        <v>244.71428571428569</v>
      </c>
      <c r="P40" s="15">
        <f t="shared" si="1"/>
        <v>378.71428571428567</v>
      </c>
      <c r="R40" s="5" t="s">
        <v>17</v>
      </c>
      <c r="S40" s="16">
        <f t="shared" ref="S40:AF40" si="32">SUM(S10:S21)</f>
        <v>3514</v>
      </c>
      <c r="T40" s="16">
        <f t="shared" si="32"/>
        <v>904</v>
      </c>
      <c r="U40" s="16">
        <f t="shared" si="32"/>
        <v>645</v>
      </c>
      <c r="V40" s="16">
        <f t="shared" si="32"/>
        <v>3345.2857142857142</v>
      </c>
      <c r="W40" s="16">
        <f t="shared" si="32"/>
        <v>166.42857142857142</v>
      </c>
      <c r="X40" s="16">
        <f t="shared" si="32"/>
        <v>92.428571428571416</v>
      </c>
      <c r="Y40" s="16">
        <f t="shared" si="32"/>
        <v>846.14285714285711</v>
      </c>
      <c r="Z40" s="16">
        <f t="shared" si="32"/>
        <v>593.42857142857144</v>
      </c>
      <c r="AA40" s="16">
        <f t="shared" si="32"/>
        <v>323.85714285714278</v>
      </c>
      <c r="AB40" s="16">
        <f t="shared" si="32"/>
        <v>1205.5714285714284</v>
      </c>
      <c r="AC40" s="16">
        <f t="shared" si="32"/>
        <v>8923.2857142857138</v>
      </c>
      <c r="AD40" s="16">
        <f t="shared" si="32"/>
        <v>1</v>
      </c>
      <c r="AE40" s="32">
        <f t="shared" si="32"/>
        <v>11637.142857142857</v>
      </c>
      <c r="AF40" s="32">
        <f t="shared" si="32"/>
        <v>20560.428571428569</v>
      </c>
    </row>
    <row r="41" spans="2:32" ht="23.1" customHeight="1" x14ac:dyDescent="0.25">
      <c r="B41" s="23" t="s">
        <v>68</v>
      </c>
      <c r="C41" s="49">
        <f>'Avg Week Mukono-Mbalala'!C41+'Avg Week Mbalala-Mukono'!C41</f>
        <v>70.285714285714278</v>
      </c>
      <c r="D41" s="49">
        <f>'Avg Week Mukono-Mbalala'!D41+'Avg Week Mbalala-Mukono'!D41</f>
        <v>19.714285714285715</v>
      </c>
      <c r="E41" s="49">
        <f>'Avg Week Mukono-Mbalala'!E41+'Avg Week Mbalala-Mukono'!E41</f>
        <v>15.571428571428569</v>
      </c>
      <c r="F41" s="49">
        <f>'Avg Week Mukono-Mbalala'!F41+'Avg Week Mbalala-Mukono'!F41</f>
        <v>69.714285714285708</v>
      </c>
      <c r="G41" s="49">
        <f>'Avg Week Mukono-Mbalala'!G41+'Avg Week Mbalala-Mukono'!G41</f>
        <v>2.5714285714285712</v>
      </c>
      <c r="H41" s="49">
        <f>'Avg Week Mukono-Mbalala'!H41+'Avg Week Mbalala-Mukono'!H41</f>
        <v>2.4285714285714288</v>
      </c>
      <c r="I41" s="49">
        <f>'Avg Week Mukono-Mbalala'!I41+'Avg Week Mbalala-Mukono'!I41</f>
        <v>17</v>
      </c>
      <c r="J41" s="49">
        <f>'Avg Week Mukono-Mbalala'!J41+'Avg Week Mbalala-Mukono'!J41</f>
        <v>15.857142857142858</v>
      </c>
      <c r="K41" s="49">
        <f>'Avg Week Mukono-Mbalala'!K41+'Avg Week Mbalala-Mukono'!K41</f>
        <v>7.8571428571428577</v>
      </c>
      <c r="L41" s="49">
        <f>'Avg Week Mukono-Mbalala'!L41+'Avg Week Mbalala-Mukono'!L41</f>
        <v>29.428571428571427</v>
      </c>
      <c r="M41" s="49">
        <f>'Avg Week Mukono-Mbalala'!M41+'Avg Week Mbalala-Mukono'!M41</f>
        <v>138</v>
      </c>
      <c r="N41" s="49">
        <f>'Avg Week Mukono-Mbalala'!N41+'Avg Week Mbalala-Mukono'!N41</f>
        <v>0</v>
      </c>
      <c r="O41" s="15">
        <f t="shared" si="0"/>
        <v>250.42857142857142</v>
      </c>
      <c r="P41" s="15">
        <f t="shared" si="1"/>
        <v>388.42857142857144</v>
      </c>
      <c r="R41" s="5" t="s">
        <v>185</v>
      </c>
      <c r="S41" s="16">
        <f>SUM(S10:S33)</f>
        <v>5061.5</v>
      </c>
      <c r="T41" s="16">
        <f t="shared" ref="T41:AD41" si="33">SUM(T10:T33)</f>
        <v>1280</v>
      </c>
      <c r="U41" s="16">
        <f t="shared" si="33"/>
        <v>955</v>
      </c>
      <c r="V41" s="16">
        <f t="shared" si="33"/>
        <v>4845.2857142857138</v>
      </c>
      <c r="W41" s="16">
        <f t="shared" si="33"/>
        <v>282.92857142857144</v>
      </c>
      <c r="X41" s="16">
        <f t="shared" si="33"/>
        <v>230.92857142857142</v>
      </c>
      <c r="Y41" s="16">
        <f t="shared" si="33"/>
        <v>1237.6428571428571</v>
      </c>
      <c r="Z41" s="16">
        <f t="shared" si="33"/>
        <v>1092.9285714285716</v>
      </c>
      <c r="AA41" s="16">
        <f t="shared" si="33"/>
        <v>585.85714285714278</v>
      </c>
      <c r="AB41" s="16">
        <f t="shared" si="33"/>
        <v>2179.0714285714284</v>
      </c>
      <c r="AC41" s="16">
        <f t="shared" si="33"/>
        <v>10470.785714285714</v>
      </c>
      <c r="AD41" s="16">
        <f t="shared" si="33"/>
        <v>1</v>
      </c>
      <c r="AE41" s="32">
        <f>SUM(AE10:AE33)</f>
        <v>17752.142857142855</v>
      </c>
      <c r="AF41" s="32">
        <f>SUM(AF10:AF33)</f>
        <v>28222.928571428569</v>
      </c>
    </row>
    <row r="42" spans="2:32" ht="23.1" customHeight="1" x14ac:dyDescent="0.25">
      <c r="B42" s="24" t="s">
        <v>69</v>
      </c>
      <c r="C42" s="49">
        <f>'Avg Week Mukono-Mbalala'!C42+'Avg Week Mbalala-Mukono'!C42</f>
        <v>73.857142857142861</v>
      </c>
      <c r="D42" s="49">
        <f>'Avg Week Mukono-Mbalala'!D42+'Avg Week Mbalala-Mukono'!D42</f>
        <v>17.285714285714285</v>
      </c>
      <c r="E42" s="49">
        <f>'Avg Week Mukono-Mbalala'!E42+'Avg Week Mbalala-Mukono'!E42</f>
        <v>14</v>
      </c>
      <c r="F42" s="49">
        <f>'Avg Week Mukono-Mbalala'!F42+'Avg Week Mbalala-Mukono'!F42</f>
        <v>72.142857142857139</v>
      </c>
      <c r="G42" s="49">
        <f>'Avg Week Mukono-Mbalala'!G42+'Avg Week Mbalala-Mukono'!G42</f>
        <v>2.8571428571428572</v>
      </c>
      <c r="H42" s="49">
        <f>'Avg Week Mukono-Mbalala'!H42+'Avg Week Mbalala-Mukono'!H42</f>
        <v>3.285714285714286</v>
      </c>
      <c r="I42" s="49">
        <f>'Avg Week Mukono-Mbalala'!I42+'Avg Week Mbalala-Mukono'!I42</f>
        <v>14.714285714285715</v>
      </c>
      <c r="J42" s="49">
        <f>'Avg Week Mukono-Mbalala'!J42+'Avg Week Mbalala-Mukono'!J42</f>
        <v>12.571428571428571</v>
      </c>
      <c r="K42" s="49">
        <f>'Avg Week Mukono-Mbalala'!K42+'Avg Week Mbalala-Mukono'!K42</f>
        <v>4.8571428571428577</v>
      </c>
      <c r="L42" s="49">
        <f>'Avg Week Mukono-Mbalala'!L42+'Avg Week Mbalala-Mukono'!L42</f>
        <v>34</v>
      </c>
      <c r="M42" s="49">
        <f>'Avg Week Mukono-Mbalala'!M42+'Avg Week Mbalala-Mukono'!M42</f>
        <v>135.57142857142856</v>
      </c>
      <c r="N42" s="49">
        <f>'Avg Week Mukono-Mbalala'!N42+'Avg Week Mbalala-Mukono'!N42</f>
        <v>0</v>
      </c>
      <c r="O42" s="15">
        <f t="shared" si="0"/>
        <v>249.57142857142858</v>
      </c>
      <c r="P42" s="15">
        <f t="shared" si="1"/>
        <v>385.14285714285711</v>
      </c>
      <c r="R42" s="5" t="s">
        <v>160</v>
      </c>
      <c r="S42" s="48">
        <f>S41/S40</f>
        <v>1.4403813318155947</v>
      </c>
      <c r="T42" s="48">
        <f t="shared" ref="T42:AF42" si="34">T41/T40</f>
        <v>1.415929203539823</v>
      </c>
      <c r="U42" s="48">
        <f t="shared" si="34"/>
        <v>1.4806201550387597</v>
      </c>
      <c r="V42" s="48">
        <f t="shared" si="34"/>
        <v>1.4483921937054276</v>
      </c>
      <c r="W42" s="48">
        <f t="shared" si="34"/>
        <v>1.7000000000000002</v>
      </c>
      <c r="X42" s="48">
        <f t="shared" si="34"/>
        <v>2.4984544049459045</v>
      </c>
      <c r="Y42" s="48">
        <f t="shared" si="34"/>
        <v>1.462687827114638</v>
      </c>
      <c r="Z42" s="48">
        <f t="shared" si="34"/>
        <v>1.8417188252286953</v>
      </c>
      <c r="AA42" s="48">
        <f t="shared" si="34"/>
        <v>1.8089986766651964</v>
      </c>
      <c r="AB42" s="48">
        <f t="shared" si="34"/>
        <v>1.8075008887308923</v>
      </c>
      <c r="AC42" s="48">
        <f t="shared" si="34"/>
        <v>1.1734226662184013</v>
      </c>
      <c r="AD42" s="48">
        <f t="shared" si="34"/>
        <v>1</v>
      </c>
      <c r="AE42" s="51">
        <f t="shared" si="34"/>
        <v>1.5254726246010311</v>
      </c>
      <c r="AF42" s="51">
        <f t="shared" si="34"/>
        <v>1.3726819201934368</v>
      </c>
    </row>
    <row r="43" spans="2:32" ht="23.1" customHeight="1" x14ac:dyDescent="0.25">
      <c r="B43" s="23" t="s">
        <v>70</v>
      </c>
      <c r="C43" s="49">
        <f>'Avg Week Mukono-Mbalala'!C43+'Avg Week Mbalala-Mukono'!C43</f>
        <v>61</v>
      </c>
      <c r="D43" s="49">
        <f>'Avg Week Mukono-Mbalala'!D43+'Avg Week Mbalala-Mukono'!D43</f>
        <v>19.857142857142858</v>
      </c>
      <c r="E43" s="49">
        <f>'Avg Week Mukono-Mbalala'!E43+'Avg Week Mbalala-Mukono'!E43</f>
        <v>10.857142857142858</v>
      </c>
      <c r="F43" s="49">
        <f>'Avg Week Mukono-Mbalala'!F43+'Avg Week Mbalala-Mukono'!F43</f>
        <v>58.714285714285715</v>
      </c>
      <c r="G43" s="49">
        <f>'Avg Week Mukono-Mbalala'!G43+'Avg Week Mbalala-Mukono'!G43</f>
        <v>2.1428571428571428</v>
      </c>
      <c r="H43" s="49">
        <f>'Avg Week Mukono-Mbalala'!H43+'Avg Week Mbalala-Mukono'!H43</f>
        <v>2.5714285714285712</v>
      </c>
      <c r="I43" s="49">
        <f>'Avg Week Mukono-Mbalala'!I43+'Avg Week Mbalala-Mukono'!I43</f>
        <v>16</v>
      </c>
      <c r="J43" s="49">
        <f>'Avg Week Mukono-Mbalala'!J43+'Avg Week Mbalala-Mukono'!J43</f>
        <v>10.428571428571429</v>
      </c>
      <c r="K43" s="49">
        <f>'Avg Week Mukono-Mbalala'!K43+'Avg Week Mbalala-Mukono'!K43</f>
        <v>7.1428571428571423</v>
      </c>
      <c r="L43" s="49">
        <f>'Avg Week Mukono-Mbalala'!L43+'Avg Week Mbalala-Mukono'!L43</f>
        <v>20.857142857142858</v>
      </c>
      <c r="M43" s="49">
        <f>'Avg Week Mukono-Mbalala'!M43+'Avg Week Mbalala-Mukono'!M43</f>
        <v>140.28571428571428</v>
      </c>
      <c r="N43" s="49">
        <f>'Avg Week Mukono-Mbalala'!N43+'Avg Week Mbalala-Mukono'!N43</f>
        <v>0</v>
      </c>
      <c r="O43" s="15">
        <f t="shared" si="0"/>
        <v>209.57142857142858</v>
      </c>
      <c r="P43" s="15">
        <f t="shared" si="1"/>
        <v>349.85714285714289</v>
      </c>
    </row>
    <row r="44" spans="2:32" ht="23.1" customHeight="1" x14ac:dyDescent="0.25">
      <c r="B44" s="25" t="s">
        <v>71</v>
      </c>
      <c r="C44" s="49">
        <f>'Avg Week Mukono-Mbalala'!C44+'Avg Week Mbalala-Mukono'!C44</f>
        <v>70.142857142857139</v>
      </c>
      <c r="D44" s="49">
        <f>'Avg Week Mukono-Mbalala'!D44+'Avg Week Mbalala-Mukono'!D44</f>
        <v>21.142857142857142</v>
      </c>
      <c r="E44" s="49">
        <f>'Avg Week Mukono-Mbalala'!E44+'Avg Week Mbalala-Mukono'!E44</f>
        <v>13.714285714285714</v>
      </c>
      <c r="F44" s="49">
        <f>'Avg Week Mukono-Mbalala'!F44+'Avg Week Mbalala-Mukono'!F44</f>
        <v>58.857142857142861</v>
      </c>
      <c r="G44" s="49">
        <f>'Avg Week Mukono-Mbalala'!G44+'Avg Week Mbalala-Mukono'!G44</f>
        <v>2</v>
      </c>
      <c r="H44" s="49">
        <f>'Avg Week Mukono-Mbalala'!H44+'Avg Week Mbalala-Mukono'!H44</f>
        <v>2.1428571428571428</v>
      </c>
      <c r="I44" s="49">
        <f>'Avg Week Mukono-Mbalala'!I44+'Avg Week Mbalala-Mukono'!I44</f>
        <v>18.142857142857142</v>
      </c>
      <c r="J44" s="49">
        <f>'Avg Week Mukono-Mbalala'!J44+'Avg Week Mbalala-Mukono'!J44</f>
        <v>12.285714285714285</v>
      </c>
      <c r="K44" s="49">
        <f>'Avg Week Mukono-Mbalala'!K44+'Avg Week Mbalala-Mukono'!K44</f>
        <v>7</v>
      </c>
      <c r="L44" s="49">
        <f>'Avg Week Mukono-Mbalala'!L44+'Avg Week Mbalala-Mukono'!L44</f>
        <v>24.714285714285715</v>
      </c>
      <c r="M44" s="49">
        <f>'Avg Week Mukono-Mbalala'!M44+'Avg Week Mbalala-Mukono'!M44</f>
        <v>162.28571428571428</v>
      </c>
      <c r="N44" s="49">
        <f>'Avg Week Mukono-Mbalala'!N44+'Avg Week Mbalala-Mukono'!N44</f>
        <v>0</v>
      </c>
      <c r="O44" s="15">
        <f t="shared" si="0"/>
        <v>230.14285714285711</v>
      </c>
      <c r="P44" s="15">
        <f t="shared" si="1"/>
        <v>392.42857142857139</v>
      </c>
    </row>
    <row r="45" spans="2:32" ht="23.1" customHeight="1" x14ac:dyDescent="0.25">
      <c r="B45" s="23" t="s">
        <v>72</v>
      </c>
      <c r="C45" s="49">
        <f>'Avg Week Mukono-Mbalala'!C45+'Avg Week Mbalala-Mukono'!C45</f>
        <v>62</v>
      </c>
      <c r="D45" s="49">
        <f>'Avg Week Mukono-Mbalala'!D45+'Avg Week Mbalala-Mukono'!D45</f>
        <v>24</v>
      </c>
      <c r="E45" s="49">
        <f>'Avg Week Mukono-Mbalala'!E45+'Avg Week Mbalala-Mukono'!E45</f>
        <v>10.857142857142858</v>
      </c>
      <c r="F45" s="49">
        <f>'Avg Week Mukono-Mbalala'!F45+'Avg Week Mbalala-Mukono'!F45</f>
        <v>59.571428571428569</v>
      </c>
      <c r="G45" s="49">
        <f>'Avg Week Mukono-Mbalala'!G45+'Avg Week Mbalala-Mukono'!G45</f>
        <v>2.7142857142857144</v>
      </c>
      <c r="H45" s="49">
        <f>'Avg Week Mukono-Mbalala'!H45+'Avg Week Mbalala-Mukono'!H45</f>
        <v>1.7142857142857144</v>
      </c>
      <c r="I45" s="49">
        <f>'Avg Week Mukono-Mbalala'!I45+'Avg Week Mbalala-Mukono'!I45</f>
        <v>16.428571428571427</v>
      </c>
      <c r="J45" s="49">
        <f>'Avg Week Mukono-Mbalala'!J45+'Avg Week Mbalala-Mukono'!J45</f>
        <v>12.142857142857142</v>
      </c>
      <c r="K45" s="49">
        <f>'Avg Week Mukono-Mbalala'!K45+'Avg Week Mbalala-Mukono'!K45</f>
        <v>7.1428571428571423</v>
      </c>
      <c r="L45" s="49">
        <f>'Avg Week Mukono-Mbalala'!L45+'Avg Week Mbalala-Mukono'!L45</f>
        <v>25.714285714285715</v>
      </c>
      <c r="M45" s="49">
        <f>'Avg Week Mukono-Mbalala'!M45+'Avg Week Mbalala-Mukono'!M45</f>
        <v>141.71428571428572</v>
      </c>
      <c r="N45" s="49">
        <f>'Avg Week Mukono-Mbalala'!N45+'Avg Week Mbalala-Mukono'!N45</f>
        <v>0</v>
      </c>
      <c r="O45" s="15">
        <f t="shared" si="0"/>
        <v>222.28571428571431</v>
      </c>
      <c r="P45" s="15">
        <f t="shared" si="1"/>
        <v>364</v>
      </c>
    </row>
    <row r="46" spans="2:32" ht="23.1" customHeight="1" x14ac:dyDescent="0.25">
      <c r="B46" s="24" t="s">
        <v>73</v>
      </c>
      <c r="C46" s="49">
        <f>'Avg Week Mukono-Mbalala'!C46+'Avg Week Mbalala-Mukono'!C46</f>
        <v>73</v>
      </c>
      <c r="D46" s="49">
        <f>'Avg Week Mukono-Mbalala'!D46+'Avg Week Mbalala-Mukono'!D46</f>
        <v>21.857142857142858</v>
      </c>
      <c r="E46" s="49">
        <f>'Avg Week Mukono-Mbalala'!E46+'Avg Week Mbalala-Mukono'!E46</f>
        <v>13.428571428571427</v>
      </c>
      <c r="F46" s="49">
        <f>'Avg Week Mukono-Mbalala'!F46+'Avg Week Mbalala-Mukono'!F46</f>
        <v>66.285714285714292</v>
      </c>
      <c r="G46" s="49">
        <f>'Avg Week Mukono-Mbalala'!G46+'Avg Week Mbalala-Mukono'!G46</f>
        <v>2.1428571428571428</v>
      </c>
      <c r="H46" s="49">
        <f>'Avg Week Mukono-Mbalala'!H46+'Avg Week Mbalala-Mukono'!H46</f>
        <v>1.2857142857142856</v>
      </c>
      <c r="I46" s="49">
        <f>'Avg Week Mukono-Mbalala'!I46+'Avg Week Mbalala-Mukono'!I46</f>
        <v>18</v>
      </c>
      <c r="J46" s="49">
        <f>'Avg Week Mukono-Mbalala'!J46+'Avg Week Mbalala-Mukono'!J46</f>
        <v>9.1428571428571423</v>
      </c>
      <c r="K46" s="49">
        <f>'Avg Week Mukono-Mbalala'!K46+'Avg Week Mbalala-Mukono'!K46</f>
        <v>6.1428571428571423</v>
      </c>
      <c r="L46" s="49">
        <f>'Avg Week Mukono-Mbalala'!L46+'Avg Week Mbalala-Mukono'!L46</f>
        <v>24.428571428571427</v>
      </c>
      <c r="M46" s="49">
        <f>'Avg Week Mukono-Mbalala'!M46+'Avg Week Mbalala-Mukono'!M46</f>
        <v>145.71428571428572</v>
      </c>
      <c r="N46" s="49">
        <f>'Avg Week Mukono-Mbalala'!N46+'Avg Week Mbalala-Mukono'!N46</f>
        <v>0.14285714285714285</v>
      </c>
      <c r="O46" s="15">
        <f t="shared" si="0"/>
        <v>235.85714285714283</v>
      </c>
      <c r="P46" s="15">
        <f t="shared" si="1"/>
        <v>381.57142857142861</v>
      </c>
      <c r="R46" s="8"/>
      <c r="T46"/>
    </row>
    <row r="47" spans="2:32" ht="23.1" customHeight="1" x14ac:dyDescent="0.25">
      <c r="B47" s="24" t="s">
        <v>74</v>
      </c>
      <c r="C47" s="49">
        <f>'Avg Week Mukono-Mbalala'!C47+'Avg Week Mbalala-Mukono'!C47</f>
        <v>73.714285714285722</v>
      </c>
      <c r="D47" s="49">
        <f>'Avg Week Mukono-Mbalala'!D47+'Avg Week Mbalala-Mukono'!D47</f>
        <v>17.714285714285715</v>
      </c>
      <c r="E47" s="49">
        <f>'Avg Week Mukono-Mbalala'!E47+'Avg Week Mbalala-Mukono'!E47</f>
        <v>10.428571428571429</v>
      </c>
      <c r="F47" s="49">
        <f>'Avg Week Mukono-Mbalala'!F47+'Avg Week Mbalala-Mukono'!F47</f>
        <v>61</v>
      </c>
      <c r="G47" s="49">
        <f>'Avg Week Mukono-Mbalala'!G47+'Avg Week Mbalala-Mukono'!G47</f>
        <v>3.2857142857142856</v>
      </c>
      <c r="H47" s="49">
        <f>'Avg Week Mukono-Mbalala'!H47+'Avg Week Mbalala-Mukono'!H47</f>
        <v>1.4285714285714284</v>
      </c>
      <c r="I47" s="49">
        <f>'Avg Week Mukono-Mbalala'!I47+'Avg Week Mbalala-Mukono'!I47</f>
        <v>22.142857142857142</v>
      </c>
      <c r="J47" s="49">
        <f>'Avg Week Mukono-Mbalala'!J47+'Avg Week Mbalala-Mukono'!J47</f>
        <v>9.571428571428573</v>
      </c>
      <c r="K47" s="49">
        <f>'Avg Week Mukono-Mbalala'!K47+'Avg Week Mbalala-Mukono'!K47</f>
        <v>5.8571428571428577</v>
      </c>
      <c r="L47" s="49">
        <f>'Avg Week Mukono-Mbalala'!L47+'Avg Week Mbalala-Mukono'!L47</f>
        <v>31</v>
      </c>
      <c r="M47" s="49">
        <f>'Avg Week Mukono-Mbalala'!M47+'Avg Week Mbalala-Mukono'!M47</f>
        <v>158</v>
      </c>
      <c r="N47" s="49">
        <f>'Avg Week Mukono-Mbalala'!N47+'Avg Week Mbalala-Mukono'!N47</f>
        <v>0</v>
      </c>
      <c r="O47" s="15">
        <f t="shared" si="0"/>
        <v>236.14285714285717</v>
      </c>
      <c r="P47" s="15">
        <f t="shared" si="1"/>
        <v>394.14285714285717</v>
      </c>
      <c r="R47" s="8"/>
      <c r="T47"/>
    </row>
    <row r="48" spans="2:32" ht="23.1" customHeight="1" x14ac:dyDescent="0.25">
      <c r="B48" s="24" t="s">
        <v>75</v>
      </c>
      <c r="C48" s="49">
        <f>'Avg Week Mukono-Mbalala'!C48+'Avg Week Mbalala-Mukono'!C48</f>
        <v>90.571428571428569</v>
      </c>
      <c r="D48" s="49">
        <f>'Avg Week Mukono-Mbalala'!D48+'Avg Week Mbalala-Mukono'!D48</f>
        <v>23.142857142857142</v>
      </c>
      <c r="E48" s="49">
        <f>'Avg Week Mukono-Mbalala'!E48+'Avg Week Mbalala-Mukono'!E48</f>
        <v>13.571428571428571</v>
      </c>
      <c r="F48" s="49">
        <f>'Avg Week Mukono-Mbalala'!F48+'Avg Week Mbalala-Mukono'!F48</f>
        <v>77.857142857142861</v>
      </c>
      <c r="G48" s="49">
        <f>'Avg Week Mukono-Mbalala'!G48+'Avg Week Mbalala-Mukono'!G48</f>
        <v>2.5714285714285712</v>
      </c>
      <c r="H48" s="49">
        <f>'Avg Week Mukono-Mbalala'!H48+'Avg Week Mbalala-Mukono'!H48</f>
        <v>1</v>
      </c>
      <c r="I48" s="49">
        <f>'Avg Week Mukono-Mbalala'!I48+'Avg Week Mbalala-Mukono'!I48</f>
        <v>21</v>
      </c>
      <c r="J48" s="49">
        <f>'Avg Week Mukono-Mbalala'!J48+'Avg Week Mbalala-Mukono'!J48</f>
        <v>13</v>
      </c>
      <c r="K48" s="49">
        <f>'Avg Week Mukono-Mbalala'!K48+'Avg Week Mbalala-Mukono'!K48</f>
        <v>8.4285714285714288</v>
      </c>
      <c r="L48" s="49">
        <f>'Avg Week Mukono-Mbalala'!L48+'Avg Week Mbalala-Mukono'!L48</f>
        <v>30.857142857142854</v>
      </c>
      <c r="M48" s="49">
        <f>'Avg Week Mukono-Mbalala'!M48+'Avg Week Mbalala-Mukono'!M48</f>
        <v>195.14285714285714</v>
      </c>
      <c r="N48" s="49">
        <f>'Avg Week Mukono-Mbalala'!N48+'Avg Week Mbalala-Mukono'!N48</f>
        <v>0.14285714285714285</v>
      </c>
      <c r="O48" s="15">
        <f t="shared" si="0"/>
        <v>282.14285714285717</v>
      </c>
      <c r="P48" s="15">
        <f t="shared" si="1"/>
        <v>477.28571428571428</v>
      </c>
      <c r="R48" s="8"/>
      <c r="T48"/>
    </row>
    <row r="49" spans="2:20" ht="23.1" customHeight="1" x14ac:dyDescent="0.25">
      <c r="B49" s="23" t="s">
        <v>76</v>
      </c>
      <c r="C49" s="49">
        <f>'Avg Week Mukono-Mbalala'!C49+'Avg Week Mbalala-Mukono'!C49</f>
        <v>73.142857142857139</v>
      </c>
      <c r="D49" s="49">
        <f>'Avg Week Mukono-Mbalala'!D49+'Avg Week Mbalala-Mukono'!D49</f>
        <v>18.285714285714285</v>
      </c>
      <c r="E49" s="49">
        <f>'Avg Week Mukono-Mbalala'!E49+'Avg Week Mbalala-Mukono'!E49</f>
        <v>15.285714285714285</v>
      </c>
      <c r="F49" s="49">
        <f>'Avg Week Mukono-Mbalala'!F49+'Avg Week Mbalala-Mukono'!F49</f>
        <v>75.714285714285722</v>
      </c>
      <c r="G49" s="49">
        <f>'Avg Week Mukono-Mbalala'!G49+'Avg Week Mbalala-Mukono'!G49</f>
        <v>3.8571428571428568</v>
      </c>
      <c r="H49" s="49">
        <f>'Avg Week Mukono-Mbalala'!H49+'Avg Week Mbalala-Mukono'!H49</f>
        <v>2.2857142857142856</v>
      </c>
      <c r="I49" s="49">
        <f>'Avg Week Mukono-Mbalala'!I49+'Avg Week Mbalala-Mukono'!I49</f>
        <v>16</v>
      </c>
      <c r="J49" s="49">
        <f>'Avg Week Mukono-Mbalala'!J49+'Avg Week Mbalala-Mukono'!J49</f>
        <v>13.285714285714285</v>
      </c>
      <c r="K49" s="49">
        <f>'Avg Week Mukono-Mbalala'!K49+'Avg Week Mbalala-Mukono'!K49</f>
        <v>7</v>
      </c>
      <c r="L49" s="49">
        <f>'Avg Week Mukono-Mbalala'!L49+'Avg Week Mbalala-Mukono'!L49</f>
        <v>46.857142857142854</v>
      </c>
      <c r="M49" s="49">
        <f>'Avg Week Mukono-Mbalala'!M49+'Avg Week Mbalala-Mukono'!M49</f>
        <v>171.85714285714286</v>
      </c>
      <c r="N49" s="49">
        <f>'Avg Week Mukono-Mbalala'!N49+'Avg Week Mbalala-Mukono'!N49</f>
        <v>0.14285714285714285</v>
      </c>
      <c r="O49" s="15">
        <f t="shared" si="0"/>
        <v>271.85714285714283</v>
      </c>
      <c r="P49" s="15">
        <f t="shared" si="1"/>
        <v>443.71428571428572</v>
      </c>
      <c r="R49" s="8"/>
      <c r="T49"/>
    </row>
    <row r="50" spans="2:20" ht="23.1" customHeight="1" x14ac:dyDescent="0.25">
      <c r="B50" s="24" t="s">
        <v>77</v>
      </c>
      <c r="C50" s="49">
        <f>'Avg Week Mukono-Mbalala'!C50+'Avg Week Mbalala-Mukono'!C50</f>
        <v>83.571428571428569</v>
      </c>
      <c r="D50" s="49">
        <f>'Avg Week Mukono-Mbalala'!D50+'Avg Week Mbalala-Mukono'!D50</f>
        <v>22.428571428571431</v>
      </c>
      <c r="E50" s="49">
        <f>'Avg Week Mukono-Mbalala'!E50+'Avg Week Mbalala-Mukono'!E50</f>
        <v>12.571428571428571</v>
      </c>
      <c r="F50" s="49">
        <f>'Avg Week Mukono-Mbalala'!F50+'Avg Week Mbalala-Mukono'!F50</f>
        <v>70.714285714285722</v>
      </c>
      <c r="G50" s="49">
        <f>'Avg Week Mukono-Mbalala'!G50+'Avg Week Mbalala-Mukono'!G50</f>
        <v>3</v>
      </c>
      <c r="H50" s="49">
        <f>'Avg Week Mukono-Mbalala'!H50+'Avg Week Mbalala-Mukono'!H50</f>
        <v>2.7142857142857144</v>
      </c>
      <c r="I50" s="49">
        <f>'Avg Week Mukono-Mbalala'!I50+'Avg Week Mbalala-Mukono'!I50</f>
        <v>17.857142857142854</v>
      </c>
      <c r="J50" s="49">
        <f>'Avg Week Mukono-Mbalala'!J50+'Avg Week Mbalala-Mukono'!J50</f>
        <v>14.142857142857142</v>
      </c>
      <c r="K50" s="49">
        <f>'Avg Week Mukono-Mbalala'!K50+'Avg Week Mbalala-Mukono'!K50</f>
        <v>8.2857142857142865</v>
      </c>
      <c r="L50" s="49">
        <f>'Avg Week Mukono-Mbalala'!L50+'Avg Week Mbalala-Mukono'!L50</f>
        <v>21.142857142857142</v>
      </c>
      <c r="M50" s="49">
        <f>'Avg Week Mukono-Mbalala'!M50+'Avg Week Mbalala-Mukono'!M50</f>
        <v>178.85714285714286</v>
      </c>
      <c r="N50" s="49">
        <f>'Avg Week Mukono-Mbalala'!N50+'Avg Week Mbalala-Mukono'!N50</f>
        <v>0.14285714285714285</v>
      </c>
      <c r="O50" s="15">
        <f t="shared" si="0"/>
        <v>256.57142857142861</v>
      </c>
      <c r="P50" s="15">
        <f t="shared" si="1"/>
        <v>435.4285714285715</v>
      </c>
      <c r="R50" s="8"/>
      <c r="T50"/>
    </row>
    <row r="51" spans="2:20" ht="23.1" customHeight="1" x14ac:dyDescent="0.25">
      <c r="B51" s="24" t="s">
        <v>78</v>
      </c>
      <c r="C51" s="49">
        <f>'Avg Week Mukono-Mbalala'!C51+'Avg Week Mbalala-Mukono'!C51</f>
        <v>73.714285714285722</v>
      </c>
      <c r="D51" s="49">
        <f>'Avg Week Mukono-Mbalala'!D51+'Avg Week Mbalala-Mukono'!D51</f>
        <v>23.857142857142858</v>
      </c>
      <c r="E51" s="49">
        <f>'Avg Week Mukono-Mbalala'!E51+'Avg Week Mbalala-Mukono'!E51</f>
        <v>13.571428571428573</v>
      </c>
      <c r="F51" s="49">
        <f>'Avg Week Mukono-Mbalala'!F51+'Avg Week Mbalala-Mukono'!F51</f>
        <v>64.142857142857139</v>
      </c>
      <c r="G51" s="49">
        <f>'Avg Week Mukono-Mbalala'!G51+'Avg Week Mbalala-Mukono'!G51</f>
        <v>2.8571428571428568</v>
      </c>
      <c r="H51" s="49">
        <f>'Avg Week Mukono-Mbalala'!H51+'Avg Week Mbalala-Mukono'!H51</f>
        <v>2.2857142857142856</v>
      </c>
      <c r="I51" s="49">
        <f>'Avg Week Mukono-Mbalala'!I51+'Avg Week Mbalala-Mukono'!I51</f>
        <v>18</v>
      </c>
      <c r="J51" s="49">
        <f>'Avg Week Mukono-Mbalala'!J51+'Avg Week Mbalala-Mukono'!J51</f>
        <v>12.714285714285715</v>
      </c>
      <c r="K51" s="49">
        <f>'Avg Week Mukono-Mbalala'!K51+'Avg Week Mbalala-Mukono'!K51</f>
        <v>9</v>
      </c>
      <c r="L51" s="49">
        <f>'Avg Week Mukono-Mbalala'!L51+'Avg Week Mbalala-Mukono'!L51</f>
        <v>23.428571428571427</v>
      </c>
      <c r="M51" s="49">
        <f>'Avg Week Mukono-Mbalala'!M51+'Avg Week Mbalala-Mukono'!M51</f>
        <v>194</v>
      </c>
      <c r="N51" s="49">
        <f>'Avg Week Mukono-Mbalala'!N51+'Avg Week Mbalala-Mukono'!N51</f>
        <v>0</v>
      </c>
      <c r="O51" s="15">
        <f t="shared" si="0"/>
        <v>243.57142857142856</v>
      </c>
      <c r="P51" s="15">
        <f t="shared" si="1"/>
        <v>437.57142857142856</v>
      </c>
      <c r="R51" s="8"/>
      <c r="T51"/>
    </row>
    <row r="52" spans="2:20" ht="23.1" customHeight="1" x14ac:dyDescent="0.25">
      <c r="B52" s="24" t="s">
        <v>79</v>
      </c>
      <c r="C52" s="49">
        <f>'Avg Week Mukono-Mbalala'!C52+'Avg Week Mbalala-Mukono'!C52</f>
        <v>75.857142857142861</v>
      </c>
      <c r="D52" s="49">
        <f>'Avg Week Mukono-Mbalala'!D52+'Avg Week Mbalala-Mukono'!D52</f>
        <v>19.714285714285715</v>
      </c>
      <c r="E52" s="49">
        <f>'Avg Week Mukono-Mbalala'!E52+'Avg Week Mbalala-Mukono'!E52</f>
        <v>15</v>
      </c>
      <c r="F52" s="49">
        <f>'Avg Week Mukono-Mbalala'!F52+'Avg Week Mbalala-Mukono'!F52</f>
        <v>55.857142857142861</v>
      </c>
      <c r="G52" s="49">
        <f>'Avg Week Mukono-Mbalala'!G52+'Avg Week Mbalala-Mukono'!G52</f>
        <v>2.1428571428571428</v>
      </c>
      <c r="H52" s="49">
        <f>'Avg Week Mukono-Mbalala'!H52+'Avg Week Mbalala-Mukono'!H52</f>
        <v>2</v>
      </c>
      <c r="I52" s="49">
        <f>'Avg Week Mukono-Mbalala'!I52+'Avg Week Mbalala-Mukono'!I52</f>
        <v>15.428571428571427</v>
      </c>
      <c r="J52" s="49">
        <f>'Avg Week Mukono-Mbalala'!J52+'Avg Week Mbalala-Mukono'!J52</f>
        <v>11.571428571428571</v>
      </c>
      <c r="K52" s="49">
        <f>'Avg Week Mukono-Mbalala'!K52+'Avg Week Mbalala-Mukono'!K52</f>
        <v>5.2857142857142856</v>
      </c>
      <c r="L52" s="49">
        <f>'Avg Week Mukono-Mbalala'!L52+'Avg Week Mbalala-Mukono'!L52</f>
        <v>21.714285714285715</v>
      </c>
      <c r="M52" s="49">
        <f>'Avg Week Mukono-Mbalala'!M52+'Avg Week Mbalala-Mukono'!M52</f>
        <v>170.42857142857144</v>
      </c>
      <c r="N52" s="49">
        <f>'Avg Week Mukono-Mbalala'!N52+'Avg Week Mbalala-Mukono'!N52</f>
        <v>0</v>
      </c>
      <c r="O52" s="15">
        <f t="shared" si="0"/>
        <v>224.57142857142858</v>
      </c>
      <c r="P52" s="15">
        <f t="shared" si="1"/>
        <v>395</v>
      </c>
      <c r="R52" s="8"/>
      <c r="T52"/>
    </row>
    <row r="53" spans="2:20" ht="23.1" customHeight="1" x14ac:dyDescent="0.25">
      <c r="B53" s="23" t="s">
        <v>80</v>
      </c>
      <c r="C53" s="49">
        <f>'Avg Week Mukono-Mbalala'!C53+'Avg Week Mbalala-Mukono'!C53</f>
        <v>87.285714285714278</v>
      </c>
      <c r="D53" s="49">
        <f>'Avg Week Mukono-Mbalala'!D53+'Avg Week Mbalala-Mukono'!D53</f>
        <v>19</v>
      </c>
      <c r="E53" s="49">
        <f>'Avg Week Mukono-Mbalala'!E53+'Avg Week Mbalala-Mukono'!E53</f>
        <v>16.285714285714285</v>
      </c>
      <c r="F53" s="49">
        <f>'Avg Week Mukono-Mbalala'!F53+'Avg Week Mbalala-Mukono'!F53</f>
        <v>68</v>
      </c>
      <c r="G53" s="49">
        <f>'Avg Week Mukono-Mbalala'!G53+'Avg Week Mbalala-Mukono'!G53</f>
        <v>2.4285714285714288</v>
      </c>
      <c r="H53" s="49">
        <f>'Avg Week Mukono-Mbalala'!H53+'Avg Week Mbalala-Mukono'!H53</f>
        <v>1.1428571428571428</v>
      </c>
      <c r="I53" s="49">
        <f>'Avg Week Mukono-Mbalala'!I53+'Avg Week Mbalala-Mukono'!I53</f>
        <v>19</v>
      </c>
      <c r="J53" s="49">
        <f>'Avg Week Mukono-Mbalala'!J53+'Avg Week Mbalala-Mukono'!J53</f>
        <v>11.142857142857142</v>
      </c>
      <c r="K53" s="49">
        <f>'Avg Week Mukono-Mbalala'!K53+'Avg Week Mbalala-Mukono'!K53</f>
        <v>6.2857142857142865</v>
      </c>
      <c r="L53" s="49">
        <f>'Avg Week Mukono-Mbalala'!L53+'Avg Week Mbalala-Mukono'!L53</f>
        <v>25.857142857142858</v>
      </c>
      <c r="M53" s="49">
        <f>'Avg Week Mukono-Mbalala'!M53+'Avg Week Mbalala-Mukono'!M53</f>
        <v>190.14285714285714</v>
      </c>
      <c r="N53" s="49">
        <f>'Avg Week Mukono-Mbalala'!N53+'Avg Week Mbalala-Mukono'!N53</f>
        <v>0</v>
      </c>
      <c r="O53" s="15">
        <f t="shared" si="0"/>
        <v>256.42857142857139</v>
      </c>
      <c r="P53" s="15">
        <f t="shared" si="1"/>
        <v>446.57142857142856</v>
      </c>
      <c r="R53" s="8"/>
      <c r="T53"/>
    </row>
    <row r="54" spans="2:20" ht="23.1" customHeight="1" x14ac:dyDescent="0.25">
      <c r="B54" s="23" t="s">
        <v>81</v>
      </c>
      <c r="C54" s="49">
        <f>'Avg Week Mukono-Mbalala'!C54+'Avg Week Mbalala-Mukono'!C54</f>
        <v>91.857142857142861</v>
      </c>
      <c r="D54" s="49">
        <f>'Avg Week Mukono-Mbalala'!D54+'Avg Week Mbalala-Mukono'!D54</f>
        <v>20.285714285714285</v>
      </c>
      <c r="E54" s="49">
        <f>'Avg Week Mukono-Mbalala'!E54+'Avg Week Mbalala-Mukono'!E54</f>
        <v>17.285714285714285</v>
      </c>
      <c r="F54" s="49">
        <f>'Avg Week Mukono-Mbalala'!F54+'Avg Week Mbalala-Mukono'!F54</f>
        <v>74</v>
      </c>
      <c r="G54" s="49">
        <f>'Avg Week Mukono-Mbalala'!G54+'Avg Week Mbalala-Mukono'!G54</f>
        <v>4.4285714285714288</v>
      </c>
      <c r="H54" s="49">
        <f>'Avg Week Mukono-Mbalala'!H54+'Avg Week Mbalala-Mukono'!H54</f>
        <v>3.5714285714285712</v>
      </c>
      <c r="I54" s="49">
        <f>'Avg Week Mukono-Mbalala'!I54+'Avg Week Mbalala-Mukono'!I54</f>
        <v>21</v>
      </c>
      <c r="J54" s="49">
        <f>'Avg Week Mukono-Mbalala'!J54+'Avg Week Mbalala-Mukono'!J54</f>
        <v>11.428571428571429</v>
      </c>
      <c r="K54" s="49">
        <f>'Avg Week Mukono-Mbalala'!K54+'Avg Week Mbalala-Mukono'!K54</f>
        <v>5.8571428571428577</v>
      </c>
      <c r="L54" s="49">
        <f>'Avg Week Mukono-Mbalala'!L54+'Avg Week Mbalala-Mukono'!L54</f>
        <v>21.571428571428569</v>
      </c>
      <c r="M54" s="49">
        <f>'Avg Week Mukono-Mbalala'!M54+'Avg Week Mbalala-Mukono'!M54</f>
        <v>208.42857142857144</v>
      </c>
      <c r="N54" s="49">
        <f>'Avg Week Mukono-Mbalala'!N54+'Avg Week Mbalala-Mukono'!N54</f>
        <v>0</v>
      </c>
      <c r="O54" s="15">
        <f t="shared" si="0"/>
        <v>271.28571428571428</v>
      </c>
      <c r="P54" s="15">
        <f t="shared" si="1"/>
        <v>479.71428571428572</v>
      </c>
      <c r="R54" s="8"/>
      <c r="T54"/>
    </row>
    <row r="55" spans="2:20" ht="23.1" customHeight="1" x14ac:dyDescent="0.25">
      <c r="B55" s="23" t="s">
        <v>82</v>
      </c>
      <c r="C55" s="49">
        <f>'Avg Week Mukono-Mbalala'!C55+'Avg Week Mbalala-Mukono'!C55</f>
        <v>92</v>
      </c>
      <c r="D55" s="49">
        <f>'Avg Week Mukono-Mbalala'!D55+'Avg Week Mbalala-Mukono'!D55</f>
        <v>23.285714285714285</v>
      </c>
      <c r="E55" s="49">
        <f>'Avg Week Mukono-Mbalala'!E55+'Avg Week Mbalala-Mukono'!E55</f>
        <v>15.857142857142858</v>
      </c>
      <c r="F55" s="49">
        <f>'Avg Week Mukono-Mbalala'!F55+'Avg Week Mbalala-Mukono'!F55</f>
        <v>79.857142857142861</v>
      </c>
      <c r="G55" s="49">
        <f>'Avg Week Mukono-Mbalala'!G55+'Avg Week Mbalala-Mukono'!G55</f>
        <v>7.1428571428571423</v>
      </c>
      <c r="H55" s="49">
        <f>'Avg Week Mukono-Mbalala'!H55+'Avg Week Mbalala-Mukono'!H55</f>
        <v>2</v>
      </c>
      <c r="I55" s="49">
        <f>'Avg Week Mukono-Mbalala'!I55+'Avg Week Mbalala-Mukono'!I55</f>
        <v>18.857142857142858</v>
      </c>
      <c r="J55" s="49">
        <f>'Avg Week Mukono-Mbalala'!J55+'Avg Week Mbalala-Mukono'!J55</f>
        <v>13.285714285714285</v>
      </c>
      <c r="K55" s="49">
        <f>'Avg Week Mukono-Mbalala'!K55+'Avg Week Mbalala-Mukono'!K55</f>
        <v>5.7142857142857144</v>
      </c>
      <c r="L55" s="49">
        <f>'Avg Week Mukono-Mbalala'!L55+'Avg Week Mbalala-Mukono'!L55</f>
        <v>29.428571428571431</v>
      </c>
      <c r="M55" s="49">
        <f>'Avg Week Mukono-Mbalala'!M55+'Avg Week Mbalala-Mukono'!M55</f>
        <v>238.71428571428572</v>
      </c>
      <c r="N55" s="49">
        <f>'Avg Week Mukono-Mbalala'!N55+'Avg Week Mbalala-Mukono'!N55</f>
        <v>0</v>
      </c>
      <c r="O55" s="15">
        <f t="shared" si="0"/>
        <v>287.42857142857144</v>
      </c>
      <c r="P55" s="15">
        <f t="shared" si="1"/>
        <v>526.14285714285711</v>
      </c>
      <c r="R55" s="8"/>
      <c r="T55"/>
    </row>
    <row r="56" spans="2:20" ht="23.1" customHeight="1" x14ac:dyDescent="0.25">
      <c r="B56" s="23" t="s">
        <v>83</v>
      </c>
      <c r="C56" s="49">
        <f>'Avg Week Mukono-Mbalala'!C56+'Avg Week Mbalala-Mukono'!C56</f>
        <v>82.285714285714278</v>
      </c>
      <c r="D56" s="49">
        <f>'Avg Week Mukono-Mbalala'!D56+'Avg Week Mbalala-Mukono'!D56</f>
        <v>17.142857142857142</v>
      </c>
      <c r="E56" s="49">
        <f>'Avg Week Mukono-Mbalala'!E56+'Avg Week Mbalala-Mukono'!E56</f>
        <v>14.428571428571429</v>
      </c>
      <c r="F56" s="49">
        <f>'Avg Week Mukono-Mbalala'!F56+'Avg Week Mbalala-Mukono'!F56</f>
        <v>69.285714285714278</v>
      </c>
      <c r="G56" s="49">
        <f>'Avg Week Mukono-Mbalala'!G56+'Avg Week Mbalala-Mukono'!G56</f>
        <v>3.8571428571428568</v>
      </c>
      <c r="H56" s="49">
        <f>'Avg Week Mukono-Mbalala'!H56+'Avg Week Mbalala-Mukono'!H56</f>
        <v>2.1428571428571428</v>
      </c>
      <c r="I56" s="49">
        <f>'Avg Week Mukono-Mbalala'!I56+'Avg Week Mbalala-Mukono'!I56</f>
        <v>18.714285714285715</v>
      </c>
      <c r="J56" s="49">
        <f>'Avg Week Mukono-Mbalala'!J56+'Avg Week Mbalala-Mukono'!J56</f>
        <v>13.714285714285715</v>
      </c>
      <c r="K56" s="49">
        <f>'Avg Week Mukono-Mbalala'!K56+'Avg Week Mbalala-Mukono'!K56</f>
        <v>8.4285714285714288</v>
      </c>
      <c r="L56" s="49">
        <f>'Avg Week Mukono-Mbalala'!L56+'Avg Week Mbalala-Mukono'!L56</f>
        <v>30.428571428571427</v>
      </c>
      <c r="M56" s="49">
        <f>'Avg Week Mukono-Mbalala'!M56+'Avg Week Mbalala-Mukono'!M56</f>
        <v>224.42857142857142</v>
      </c>
      <c r="N56" s="49">
        <f>'Avg Week Mukono-Mbalala'!N56+'Avg Week Mbalala-Mukono'!N56</f>
        <v>0</v>
      </c>
      <c r="O56" s="15">
        <f t="shared" si="0"/>
        <v>260.42857142857139</v>
      </c>
      <c r="P56" s="15">
        <f t="shared" si="1"/>
        <v>484.85714285714278</v>
      </c>
      <c r="R56" s="8"/>
      <c r="T56"/>
    </row>
    <row r="57" spans="2:20" ht="23.1" customHeight="1" x14ac:dyDescent="0.25">
      <c r="B57" s="23" t="s">
        <v>84</v>
      </c>
      <c r="C57" s="49">
        <f>'Avg Week Mukono-Mbalala'!C57+'Avg Week Mbalala-Mukono'!C57</f>
        <v>79.714285714285722</v>
      </c>
      <c r="D57" s="49">
        <f>'Avg Week Mukono-Mbalala'!D57+'Avg Week Mbalala-Mukono'!D57</f>
        <v>21.142857142857142</v>
      </c>
      <c r="E57" s="49">
        <f>'Avg Week Mukono-Mbalala'!E57+'Avg Week Mbalala-Mukono'!E57</f>
        <v>17</v>
      </c>
      <c r="F57" s="49">
        <f>'Avg Week Mukono-Mbalala'!F57+'Avg Week Mbalala-Mukono'!F57</f>
        <v>71.428571428571431</v>
      </c>
      <c r="G57" s="49">
        <f>'Avg Week Mukono-Mbalala'!G57+'Avg Week Mbalala-Mukono'!G57</f>
        <v>4.8571428571428568</v>
      </c>
      <c r="H57" s="49">
        <f>'Avg Week Mukono-Mbalala'!H57+'Avg Week Mbalala-Mukono'!H57</f>
        <v>1.5714285714285714</v>
      </c>
      <c r="I57" s="49">
        <f>'Avg Week Mukono-Mbalala'!I57+'Avg Week Mbalala-Mukono'!I57</f>
        <v>13.571428571428573</v>
      </c>
      <c r="J57" s="49">
        <f>'Avg Week Mukono-Mbalala'!J57+'Avg Week Mbalala-Mukono'!J57</f>
        <v>13.285714285714285</v>
      </c>
      <c r="K57" s="49">
        <f>'Avg Week Mukono-Mbalala'!K57+'Avg Week Mbalala-Mukono'!K57</f>
        <v>8.8571428571428577</v>
      </c>
      <c r="L57" s="49">
        <f>'Avg Week Mukono-Mbalala'!L57+'Avg Week Mbalala-Mukono'!L57</f>
        <v>25.857142857142858</v>
      </c>
      <c r="M57" s="49">
        <f>'Avg Week Mukono-Mbalala'!M57+'Avg Week Mbalala-Mukono'!M57</f>
        <v>242.14285714285717</v>
      </c>
      <c r="N57" s="49">
        <f>'Avg Week Mukono-Mbalala'!N57+'Avg Week Mbalala-Mukono'!N57</f>
        <v>0</v>
      </c>
      <c r="O57" s="15">
        <f t="shared" si="0"/>
        <v>257.28571428571428</v>
      </c>
      <c r="P57" s="15">
        <f t="shared" si="1"/>
        <v>499.42857142857144</v>
      </c>
      <c r="R57" s="8"/>
      <c r="T57"/>
    </row>
    <row r="58" spans="2:20" ht="23.1" customHeight="1" x14ac:dyDescent="0.25">
      <c r="B58" s="23" t="s">
        <v>99</v>
      </c>
      <c r="C58" s="49">
        <f>'Avg Week Mukono-Mbalala'!C58+'Avg Week Mbalala-Mukono'!C58</f>
        <v>81.5</v>
      </c>
      <c r="D58" s="49">
        <f>'Avg Week Mukono-Mbalala'!D58+'Avg Week Mbalala-Mukono'!D58</f>
        <v>19.5</v>
      </c>
      <c r="E58" s="49">
        <f>'Avg Week Mukono-Mbalala'!E58+'Avg Week Mbalala-Mukono'!E58</f>
        <v>10.5</v>
      </c>
      <c r="F58" s="49">
        <f>'Avg Week Mukono-Mbalala'!F58+'Avg Week Mbalala-Mukono'!F58</f>
        <v>64.5</v>
      </c>
      <c r="G58" s="49">
        <f>'Avg Week Mukono-Mbalala'!G58+'Avg Week Mbalala-Mukono'!G58</f>
        <v>3.5</v>
      </c>
      <c r="H58" s="49">
        <f>'Avg Week Mukono-Mbalala'!H58+'Avg Week Mbalala-Mukono'!H58</f>
        <v>4</v>
      </c>
      <c r="I58" s="49">
        <f>'Avg Week Mukono-Mbalala'!I58+'Avg Week Mbalala-Mukono'!I58</f>
        <v>9.5</v>
      </c>
      <c r="J58" s="49">
        <f>'Avg Week Mukono-Mbalala'!J58+'Avg Week Mbalala-Mukono'!J58</f>
        <v>9.5</v>
      </c>
      <c r="K58" s="49">
        <f>'Avg Week Mukono-Mbalala'!K58+'Avg Week Mbalala-Mukono'!K58</f>
        <v>7.5</v>
      </c>
      <c r="L58" s="49">
        <f>'Avg Week Mukono-Mbalala'!L58+'Avg Week Mbalala-Mukono'!L58</f>
        <v>20.5</v>
      </c>
      <c r="M58" s="49">
        <f>'Avg Week Mukono-Mbalala'!M58+'Avg Week Mbalala-Mukono'!M58</f>
        <v>73.5</v>
      </c>
      <c r="N58" s="49">
        <f>'Avg Week Mukono-Mbalala'!N58+'Avg Week Mbalala-Mukono'!N58</f>
        <v>0</v>
      </c>
      <c r="O58" s="15">
        <f t="shared" si="0"/>
        <v>230.5</v>
      </c>
      <c r="P58" s="15">
        <f t="shared" si="1"/>
        <v>304</v>
      </c>
      <c r="R58" s="8"/>
      <c r="T58"/>
    </row>
    <row r="59" spans="2:20" ht="23.1" customHeight="1" x14ac:dyDescent="0.25">
      <c r="B59" s="23" t="s">
        <v>100</v>
      </c>
      <c r="C59" s="49">
        <f>'Avg Week Mukono-Mbalala'!C59+'Avg Week Mbalala-Mukono'!C59</f>
        <v>96.5</v>
      </c>
      <c r="D59" s="49">
        <f>'Avg Week Mukono-Mbalala'!D59+'Avg Week Mbalala-Mukono'!D59</f>
        <v>22</v>
      </c>
      <c r="E59" s="49">
        <f>'Avg Week Mukono-Mbalala'!E59+'Avg Week Mbalala-Mukono'!E59</f>
        <v>15</v>
      </c>
      <c r="F59" s="49">
        <f>'Avg Week Mukono-Mbalala'!F59+'Avg Week Mbalala-Mukono'!F59</f>
        <v>70.5</v>
      </c>
      <c r="G59" s="49">
        <f>'Avg Week Mukono-Mbalala'!G59+'Avg Week Mbalala-Mukono'!G59</f>
        <v>1.5</v>
      </c>
      <c r="H59" s="49">
        <f>'Avg Week Mukono-Mbalala'!H59+'Avg Week Mbalala-Mukono'!H59</f>
        <v>0</v>
      </c>
      <c r="I59" s="49">
        <f>'Avg Week Mukono-Mbalala'!I59+'Avg Week Mbalala-Mukono'!I59</f>
        <v>12.5</v>
      </c>
      <c r="J59" s="49">
        <f>'Avg Week Mukono-Mbalala'!J59+'Avg Week Mbalala-Mukono'!J59</f>
        <v>18.5</v>
      </c>
      <c r="K59" s="49">
        <f>'Avg Week Mukono-Mbalala'!K59+'Avg Week Mbalala-Mukono'!K59</f>
        <v>12.5</v>
      </c>
      <c r="L59" s="49">
        <f>'Avg Week Mukono-Mbalala'!L59+'Avg Week Mbalala-Mukono'!L59</f>
        <v>27</v>
      </c>
      <c r="M59" s="49">
        <f>'Avg Week Mukono-Mbalala'!M59+'Avg Week Mbalala-Mukono'!M59</f>
        <v>84</v>
      </c>
      <c r="N59" s="49">
        <f>'Avg Week Mukono-Mbalala'!N59+'Avg Week Mbalala-Mukono'!N59</f>
        <v>0</v>
      </c>
      <c r="O59" s="15">
        <f t="shared" si="0"/>
        <v>276</v>
      </c>
      <c r="P59" s="15">
        <f t="shared" si="1"/>
        <v>360</v>
      </c>
      <c r="R59" s="8"/>
      <c r="T59"/>
    </row>
    <row r="60" spans="2:20" ht="23.1" customHeight="1" x14ac:dyDescent="0.25">
      <c r="B60" s="23" t="s">
        <v>101</v>
      </c>
      <c r="C60" s="49">
        <f>'Avg Week Mukono-Mbalala'!C60+'Avg Week Mbalala-Mukono'!C60</f>
        <v>75.5</v>
      </c>
      <c r="D60" s="49">
        <f>'Avg Week Mukono-Mbalala'!D60+'Avg Week Mbalala-Mukono'!D60</f>
        <v>18</v>
      </c>
      <c r="E60" s="49">
        <f>'Avg Week Mukono-Mbalala'!E60+'Avg Week Mbalala-Mukono'!E60</f>
        <v>14.5</v>
      </c>
      <c r="F60" s="49">
        <f>'Avg Week Mukono-Mbalala'!F60+'Avg Week Mbalala-Mukono'!F60</f>
        <v>54.5</v>
      </c>
      <c r="G60" s="49">
        <f>'Avg Week Mukono-Mbalala'!G60+'Avg Week Mbalala-Mukono'!G60</f>
        <v>3.5</v>
      </c>
      <c r="H60" s="49">
        <f>'Avg Week Mukono-Mbalala'!H60+'Avg Week Mbalala-Mukono'!H60</f>
        <v>5</v>
      </c>
      <c r="I60" s="49">
        <f>'Avg Week Mukono-Mbalala'!I60+'Avg Week Mbalala-Mukono'!I60</f>
        <v>17</v>
      </c>
      <c r="J60" s="49">
        <f>'Avg Week Mukono-Mbalala'!J60+'Avg Week Mbalala-Mukono'!J60</f>
        <v>18</v>
      </c>
      <c r="K60" s="49">
        <f>'Avg Week Mukono-Mbalala'!K60+'Avg Week Mbalala-Mukono'!K60</f>
        <v>5</v>
      </c>
      <c r="L60" s="49">
        <f>'Avg Week Mukono-Mbalala'!L60+'Avg Week Mbalala-Mukono'!L60</f>
        <v>33.5</v>
      </c>
      <c r="M60" s="49">
        <f>'Avg Week Mukono-Mbalala'!M60+'Avg Week Mbalala-Mukono'!M60</f>
        <v>88</v>
      </c>
      <c r="N60" s="49">
        <f>'Avg Week Mukono-Mbalala'!N60+'Avg Week Mbalala-Mukono'!N60</f>
        <v>0</v>
      </c>
      <c r="O60" s="15">
        <f t="shared" si="0"/>
        <v>244.5</v>
      </c>
      <c r="P60" s="15">
        <f t="shared" si="1"/>
        <v>332.5</v>
      </c>
      <c r="R60" s="8"/>
      <c r="T60"/>
    </row>
    <row r="61" spans="2:20" ht="23.1" customHeight="1" x14ac:dyDescent="0.25">
      <c r="B61" s="23" t="s">
        <v>102</v>
      </c>
      <c r="C61" s="49">
        <f>'Avg Week Mukono-Mbalala'!C61+'Avg Week Mbalala-Mukono'!C61</f>
        <v>59</v>
      </c>
      <c r="D61" s="49">
        <f>'Avg Week Mukono-Mbalala'!D61+'Avg Week Mbalala-Mukono'!D61</f>
        <v>12.5</v>
      </c>
      <c r="E61" s="49">
        <f>'Avg Week Mukono-Mbalala'!E61+'Avg Week Mbalala-Mukono'!E61</f>
        <v>10.5</v>
      </c>
      <c r="F61" s="49">
        <f>'Avg Week Mukono-Mbalala'!F61+'Avg Week Mbalala-Mukono'!F61</f>
        <v>63</v>
      </c>
      <c r="G61" s="49">
        <f>'Avg Week Mukono-Mbalala'!G61+'Avg Week Mbalala-Mukono'!G61</f>
        <v>9.5</v>
      </c>
      <c r="H61" s="49">
        <f>'Avg Week Mukono-Mbalala'!H61+'Avg Week Mbalala-Mukono'!H61</f>
        <v>12.5</v>
      </c>
      <c r="I61" s="49">
        <f>'Avg Week Mukono-Mbalala'!I61+'Avg Week Mbalala-Mukono'!I61</f>
        <v>21.5</v>
      </c>
      <c r="J61" s="49">
        <f>'Avg Week Mukono-Mbalala'!J61+'Avg Week Mbalala-Mukono'!J61</f>
        <v>9.5</v>
      </c>
      <c r="K61" s="49">
        <f>'Avg Week Mukono-Mbalala'!K61+'Avg Week Mbalala-Mukono'!K61</f>
        <v>6</v>
      </c>
      <c r="L61" s="49">
        <f>'Avg Week Mukono-Mbalala'!L61+'Avg Week Mbalala-Mukono'!L61</f>
        <v>28</v>
      </c>
      <c r="M61" s="49">
        <f>'Avg Week Mukono-Mbalala'!M61+'Avg Week Mbalala-Mukono'!M61</f>
        <v>103</v>
      </c>
      <c r="N61" s="49">
        <f>'Avg Week Mukono-Mbalala'!N61+'Avg Week Mbalala-Mukono'!N61</f>
        <v>0</v>
      </c>
      <c r="O61" s="15">
        <f t="shared" si="0"/>
        <v>232</v>
      </c>
      <c r="P61" s="15">
        <f t="shared" si="1"/>
        <v>335</v>
      </c>
      <c r="R61" s="8"/>
      <c r="T61"/>
    </row>
    <row r="62" spans="2:20" ht="23.1" customHeight="1" x14ac:dyDescent="0.25">
      <c r="B62" s="23" t="s">
        <v>107</v>
      </c>
      <c r="C62" s="49">
        <f>'Avg Week Mukono-Mbalala'!C62+'Avg Week Mbalala-Mukono'!C62</f>
        <v>84</v>
      </c>
      <c r="D62" s="49">
        <f>'Avg Week Mukono-Mbalala'!D62+'Avg Week Mbalala-Mukono'!D62</f>
        <v>25.5</v>
      </c>
      <c r="E62" s="49">
        <f>'Avg Week Mukono-Mbalala'!E62+'Avg Week Mbalala-Mukono'!E62</f>
        <v>23</v>
      </c>
      <c r="F62" s="49">
        <f>'Avg Week Mukono-Mbalala'!F62+'Avg Week Mbalala-Mukono'!F62</f>
        <v>80.5</v>
      </c>
      <c r="G62" s="49">
        <f>'Avg Week Mukono-Mbalala'!G62+'Avg Week Mbalala-Mukono'!G62</f>
        <v>5</v>
      </c>
      <c r="H62" s="49">
        <f>'Avg Week Mukono-Mbalala'!H62+'Avg Week Mbalala-Mukono'!H62</f>
        <v>2.5</v>
      </c>
      <c r="I62" s="49">
        <f>'Avg Week Mukono-Mbalala'!I62+'Avg Week Mbalala-Mukono'!I62</f>
        <v>15.5</v>
      </c>
      <c r="J62" s="49">
        <f>'Avg Week Mukono-Mbalala'!J62+'Avg Week Mbalala-Mukono'!J62</f>
        <v>33.5</v>
      </c>
      <c r="K62" s="49">
        <f>'Avg Week Mukono-Mbalala'!K62+'Avg Week Mbalala-Mukono'!K62</f>
        <v>10</v>
      </c>
      <c r="L62" s="49">
        <f>'Avg Week Mukono-Mbalala'!L62+'Avg Week Mbalala-Mukono'!L62</f>
        <v>37.5</v>
      </c>
      <c r="M62" s="49">
        <f>'Avg Week Mukono-Mbalala'!M62+'Avg Week Mbalala-Mukono'!M62</f>
        <v>110.5</v>
      </c>
      <c r="N62" s="49">
        <f>'Avg Week Mukono-Mbalala'!N62+'Avg Week Mbalala-Mukono'!N62</f>
        <v>0</v>
      </c>
      <c r="O62" s="15">
        <f t="shared" si="0"/>
        <v>317</v>
      </c>
      <c r="P62" s="15">
        <f t="shared" si="1"/>
        <v>427.5</v>
      </c>
      <c r="R62" s="8"/>
      <c r="T62"/>
    </row>
    <row r="63" spans="2:20" ht="23.1" customHeight="1" x14ac:dyDescent="0.25">
      <c r="B63" s="23" t="s">
        <v>108</v>
      </c>
      <c r="C63" s="49">
        <f>'Avg Week Mukono-Mbalala'!C63+'Avg Week Mbalala-Mukono'!C63</f>
        <v>86.5</v>
      </c>
      <c r="D63" s="49">
        <f>'Avg Week Mukono-Mbalala'!D63+'Avg Week Mbalala-Mukono'!D63</f>
        <v>18</v>
      </c>
      <c r="E63" s="49">
        <f>'Avg Week Mukono-Mbalala'!E63+'Avg Week Mbalala-Mukono'!E63</f>
        <v>14</v>
      </c>
      <c r="F63" s="49">
        <f>'Avg Week Mukono-Mbalala'!F63+'Avg Week Mbalala-Mukono'!F63</f>
        <v>73.5</v>
      </c>
      <c r="G63" s="49">
        <f>'Avg Week Mukono-Mbalala'!G63+'Avg Week Mbalala-Mukono'!G63</f>
        <v>4.5</v>
      </c>
      <c r="H63" s="49">
        <f>'Avg Week Mukono-Mbalala'!H63+'Avg Week Mbalala-Mukono'!H63</f>
        <v>1.5</v>
      </c>
      <c r="I63" s="49">
        <f>'Avg Week Mukono-Mbalala'!I63+'Avg Week Mbalala-Mukono'!I63</f>
        <v>11</v>
      </c>
      <c r="J63" s="49">
        <f>'Avg Week Mukono-Mbalala'!J63+'Avg Week Mbalala-Mukono'!J63</f>
        <v>7.5</v>
      </c>
      <c r="K63" s="49">
        <f>'Avg Week Mukono-Mbalala'!K63+'Avg Week Mbalala-Mukono'!K63</f>
        <v>5.5</v>
      </c>
      <c r="L63" s="49">
        <f>'Avg Week Mukono-Mbalala'!L63+'Avg Week Mbalala-Mukono'!L63</f>
        <v>23.5</v>
      </c>
      <c r="M63" s="49">
        <f>'Avg Week Mukono-Mbalala'!M63+'Avg Week Mbalala-Mukono'!M63</f>
        <v>89</v>
      </c>
      <c r="N63" s="49">
        <f>'Avg Week Mukono-Mbalala'!N63+'Avg Week Mbalala-Mukono'!N63</f>
        <v>0</v>
      </c>
      <c r="O63" s="15">
        <f t="shared" si="0"/>
        <v>245.5</v>
      </c>
      <c r="P63" s="15">
        <f t="shared" si="1"/>
        <v>334.5</v>
      </c>
      <c r="R63" s="8"/>
      <c r="T63"/>
    </row>
    <row r="64" spans="2:20" ht="23.1" customHeight="1" x14ac:dyDescent="0.25">
      <c r="B64" s="23" t="s">
        <v>109</v>
      </c>
      <c r="C64" s="49">
        <f>'Avg Week Mukono-Mbalala'!C64+'Avg Week Mbalala-Mukono'!C64</f>
        <v>82</v>
      </c>
      <c r="D64" s="49">
        <f>'Avg Week Mukono-Mbalala'!D64+'Avg Week Mbalala-Mukono'!D64</f>
        <v>27.5</v>
      </c>
      <c r="E64" s="49">
        <f>'Avg Week Mukono-Mbalala'!E64+'Avg Week Mbalala-Mukono'!E64</f>
        <v>20</v>
      </c>
      <c r="F64" s="49">
        <f>'Avg Week Mukono-Mbalala'!F64+'Avg Week Mbalala-Mukono'!F64</f>
        <v>93</v>
      </c>
      <c r="G64" s="49">
        <f>'Avg Week Mukono-Mbalala'!G64+'Avg Week Mbalala-Mukono'!G64</f>
        <v>6.5</v>
      </c>
      <c r="H64" s="49">
        <f>'Avg Week Mukono-Mbalala'!H64+'Avg Week Mbalala-Mukono'!H64</f>
        <v>1</v>
      </c>
      <c r="I64" s="49">
        <f>'Avg Week Mukono-Mbalala'!I64+'Avg Week Mbalala-Mukono'!I64</f>
        <v>14</v>
      </c>
      <c r="J64" s="49">
        <f>'Avg Week Mukono-Mbalala'!J64+'Avg Week Mbalala-Mukono'!J64</f>
        <v>15.5</v>
      </c>
      <c r="K64" s="49">
        <f>'Avg Week Mukono-Mbalala'!K64+'Avg Week Mbalala-Mukono'!K64</f>
        <v>14.5</v>
      </c>
      <c r="L64" s="49">
        <f>'Avg Week Mukono-Mbalala'!L64+'Avg Week Mbalala-Mukono'!L64</f>
        <v>21.5</v>
      </c>
      <c r="M64" s="49">
        <f>'Avg Week Mukono-Mbalala'!M64+'Avg Week Mbalala-Mukono'!M64</f>
        <v>84.5</v>
      </c>
      <c r="N64" s="49">
        <f>'Avg Week Mukono-Mbalala'!N64+'Avg Week Mbalala-Mukono'!N64</f>
        <v>0</v>
      </c>
      <c r="O64" s="15">
        <f t="shared" si="0"/>
        <v>295.5</v>
      </c>
      <c r="P64" s="15">
        <f t="shared" si="1"/>
        <v>380</v>
      </c>
      <c r="R64" s="8"/>
      <c r="T64"/>
    </row>
    <row r="65" spans="2:20" ht="23.1" customHeight="1" x14ac:dyDescent="0.25">
      <c r="B65" s="23" t="s">
        <v>158</v>
      </c>
      <c r="C65" s="49">
        <f>'Avg Week Mukono-Mbalala'!C65+'Avg Week Mbalala-Mukono'!C65</f>
        <v>75.5</v>
      </c>
      <c r="D65" s="49">
        <f>'Avg Week Mukono-Mbalala'!D65+'Avg Week Mbalala-Mukono'!D65</f>
        <v>12.5</v>
      </c>
      <c r="E65" s="49">
        <f>'Avg Week Mukono-Mbalala'!E65+'Avg Week Mbalala-Mukono'!E65</f>
        <v>12.5</v>
      </c>
      <c r="F65" s="49">
        <f>'Avg Week Mukono-Mbalala'!F65+'Avg Week Mbalala-Mukono'!F65</f>
        <v>80.5</v>
      </c>
      <c r="G65" s="49">
        <f>'Avg Week Mukono-Mbalala'!G65+'Avg Week Mbalala-Mukono'!G65</f>
        <v>3</v>
      </c>
      <c r="H65" s="49">
        <f>'Avg Week Mukono-Mbalala'!H65+'Avg Week Mbalala-Mukono'!H65</f>
        <v>0</v>
      </c>
      <c r="I65" s="49">
        <f>'Avg Week Mukono-Mbalala'!I65+'Avg Week Mbalala-Mukono'!I65</f>
        <v>19.5</v>
      </c>
      <c r="J65" s="49">
        <f>'Avg Week Mukono-Mbalala'!J65+'Avg Week Mbalala-Mukono'!J65</f>
        <v>9.5</v>
      </c>
      <c r="K65" s="49">
        <f>'Avg Week Mukono-Mbalala'!K65+'Avg Week Mbalala-Mukono'!K65</f>
        <v>6.5</v>
      </c>
      <c r="L65" s="49">
        <f>'Avg Week Mukono-Mbalala'!L65+'Avg Week Mbalala-Mukono'!L65</f>
        <v>25.5</v>
      </c>
      <c r="M65" s="49">
        <f>'Avg Week Mukono-Mbalala'!M65+'Avg Week Mbalala-Mukono'!M65</f>
        <v>58</v>
      </c>
      <c r="N65" s="49">
        <f>'Avg Week Mukono-Mbalala'!N65+'Avg Week Mbalala-Mukono'!N65</f>
        <v>0</v>
      </c>
      <c r="O65" s="15">
        <f t="shared" si="0"/>
        <v>245</v>
      </c>
      <c r="P65" s="15">
        <f t="shared" si="1"/>
        <v>303</v>
      </c>
      <c r="R65" s="8"/>
      <c r="T65"/>
    </row>
    <row r="66" spans="2:20" ht="23.1" customHeight="1" x14ac:dyDescent="0.25">
      <c r="B66" s="23" t="s">
        <v>103</v>
      </c>
      <c r="C66" s="49">
        <f>'Avg Week Mukono-Mbalala'!C66+'Avg Week Mbalala-Mukono'!C66</f>
        <v>61.5</v>
      </c>
      <c r="D66" s="49">
        <f>'Avg Week Mukono-Mbalala'!D66+'Avg Week Mbalala-Mukono'!D66</f>
        <v>22.5</v>
      </c>
      <c r="E66" s="49">
        <f>'Avg Week Mukono-Mbalala'!E66+'Avg Week Mbalala-Mukono'!E66</f>
        <v>8.5</v>
      </c>
      <c r="F66" s="49">
        <f>'Avg Week Mukono-Mbalala'!F66+'Avg Week Mbalala-Mukono'!F66</f>
        <v>72.5</v>
      </c>
      <c r="G66" s="49">
        <f>'Avg Week Mukono-Mbalala'!G66+'Avg Week Mbalala-Mukono'!G66</f>
        <v>3</v>
      </c>
      <c r="H66" s="49">
        <f>'Avg Week Mukono-Mbalala'!H66+'Avg Week Mbalala-Mukono'!H66</f>
        <v>1</v>
      </c>
      <c r="I66" s="49">
        <f>'Avg Week Mukono-Mbalala'!I66+'Avg Week Mbalala-Mukono'!I66</f>
        <v>14.5</v>
      </c>
      <c r="J66" s="49">
        <f>'Avg Week Mukono-Mbalala'!J66+'Avg Week Mbalala-Mukono'!J66</f>
        <v>11.5</v>
      </c>
      <c r="K66" s="49">
        <f>'Avg Week Mukono-Mbalala'!K66+'Avg Week Mbalala-Mukono'!K66</f>
        <v>8.5</v>
      </c>
      <c r="L66" s="49">
        <f>'Avg Week Mukono-Mbalala'!L66+'Avg Week Mbalala-Mukono'!L66</f>
        <v>29.5</v>
      </c>
      <c r="M66" s="49">
        <f>'Avg Week Mukono-Mbalala'!M66+'Avg Week Mbalala-Mukono'!M66</f>
        <v>78</v>
      </c>
      <c r="N66" s="49">
        <f>'Avg Week Mukono-Mbalala'!N66+'Avg Week Mbalala-Mukono'!N66</f>
        <v>0</v>
      </c>
      <c r="O66" s="15">
        <f t="shared" si="0"/>
        <v>233</v>
      </c>
      <c r="P66" s="15">
        <f t="shared" si="1"/>
        <v>311</v>
      </c>
      <c r="R66" s="8"/>
      <c r="T66"/>
    </row>
    <row r="67" spans="2:20" ht="23.1" customHeight="1" x14ac:dyDescent="0.25">
      <c r="B67" s="23" t="s">
        <v>104</v>
      </c>
      <c r="C67" s="49">
        <f>'Avg Week Mukono-Mbalala'!C67+'Avg Week Mbalala-Mukono'!C67</f>
        <v>60</v>
      </c>
      <c r="D67" s="49">
        <f>'Avg Week Mukono-Mbalala'!D67+'Avg Week Mbalala-Mukono'!D67</f>
        <v>11.5</v>
      </c>
      <c r="E67" s="49">
        <f>'Avg Week Mukono-Mbalala'!E67+'Avg Week Mbalala-Mukono'!E67</f>
        <v>11.5</v>
      </c>
      <c r="F67" s="49">
        <f>'Avg Week Mukono-Mbalala'!F67+'Avg Week Mbalala-Mukono'!F67</f>
        <v>57</v>
      </c>
      <c r="G67" s="49">
        <f>'Avg Week Mukono-Mbalala'!G67+'Avg Week Mbalala-Mukono'!G67</f>
        <v>6.5</v>
      </c>
      <c r="H67" s="49">
        <f>'Avg Week Mukono-Mbalala'!H67+'Avg Week Mbalala-Mukono'!H67</f>
        <v>1.5</v>
      </c>
      <c r="I67" s="49">
        <f>'Avg Week Mukono-Mbalala'!I67+'Avg Week Mbalala-Mukono'!I67</f>
        <v>9</v>
      </c>
      <c r="J67" s="49">
        <f>'Avg Week Mukono-Mbalala'!J67+'Avg Week Mbalala-Mukono'!J67</f>
        <v>13.5</v>
      </c>
      <c r="K67" s="49">
        <f>'Avg Week Mukono-Mbalala'!K67+'Avg Week Mbalala-Mukono'!K67</f>
        <v>6.5</v>
      </c>
      <c r="L67" s="49">
        <f>'Avg Week Mukono-Mbalala'!L67+'Avg Week Mbalala-Mukono'!L67</f>
        <v>22</v>
      </c>
      <c r="M67" s="49">
        <f>'Avg Week Mukono-Mbalala'!M67+'Avg Week Mbalala-Mukono'!M67</f>
        <v>66.5</v>
      </c>
      <c r="N67" s="49">
        <f>'Avg Week Mukono-Mbalala'!N67+'Avg Week Mbalala-Mukono'!N67</f>
        <v>0</v>
      </c>
      <c r="O67" s="15">
        <f t="shared" si="0"/>
        <v>199</v>
      </c>
      <c r="P67" s="15">
        <f t="shared" si="1"/>
        <v>265.5</v>
      </c>
      <c r="R67" s="8"/>
      <c r="T67"/>
    </row>
    <row r="68" spans="2:20" ht="23.1" customHeight="1" x14ac:dyDescent="0.25">
      <c r="B68" s="23" t="s">
        <v>105</v>
      </c>
      <c r="C68" s="49">
        <f>'Avg Week Mukono-Mbalala'!C68+'Avg Week Mbalala-Mukono'!C68</f>
        <v>65.5</v>
      </c>
      <c r="D68" s="49">
        <f>'Avg Week Mukono-Mbalala'!D68+'Avg Week Mbalala-Mukono'!D68</f>
        <v>6</v>
      </c>
      <c r="E68" s="49">
        <f>'Avg Week Mukono-Mbalala'!E68+'Avg Week Mbalala-Mukono'!E68</f>
        <v>6</v>
      </c>
      <c r="F68" s="49">
        <f>'Avg Week Mukono-Mbalala'!F68+'Avg Week Mbalala-Mukono'!F68</f>
        <v>72.5</v>
      </c>
      <c r="G68" s="49">
        <f>'Avg Week Mukono-Mbalala'!G68+'Avg Week Mbalala-Mukono'!G68</f>
        <v>6</v>
      </c>
      <c r="H68" s="49">
        <f>'Avg Week Mukono-Mbalala'!H68+'Avg Week Mbalala-Mukono'!H68</f>
        <v>23.5</v>
      </c>
      <c r="I68" s="49">
        <f>'Avg Week Mukono-Mbalala'!I68+'Avg Week Mbalala-Mukono'!I68</f>
        <v>16.5</v>
      </c>
      <c r="J68" s="49">
        <f>'Avg Week Mukono-Mbalala'!J68+'Avg Week Mbalala-Mukono'!J68</f>
        <v>15.5</v>
      </c>
      <c r="K68" s="49">
        <f>'Avg Week Mukono-Mbalala'!K68+'Avg Week Mbalala-Mukono'!K68</f>
        <v>10.5</v>
      </c>
      <c r="L68" s="49">
        <f>'Avg Week Mukono-Mbalala'!L68+'Avg Week Mbalala-Mukono'!L68</f>
        <v>20.5</v>
      </c>
      <c r="M68" s="49">
        <f>'Avg Week Mukono-Mbalala'!M68+'Avg Week Mbalala-Mukono'!M68</f>
        <v>54</v>
      </c>
      <c r="N68" s="49">
        <f>'Avg Week Mukono-Mbalala'!N68+'Avg Week Mbalala-Mukono'!N68</f>
        <v>0</v>
      </c>
      <c r="O68" s="15">
        <f t="shared" si="0"/>
        <v>242.5</v>
      </c>
      <c r="P68" s="15">
        <f t="shared" si="1"/>
        <v>296.5</v>
      </c>
      <c r="R68" s="8"/>
      <c r="T68"/>
    </row>
    <row r="69" spans="2:20" ht="23.1" customHeight="1" x14ac:dyDescent="0.25">
      <c r="B69" s="23" t="s">
        <v>106</v>
      </c>
      <c r="C69" s="49">
        <f>'Avg Week Mukono-Mbalala'!C69+'Avg Week Mbalala-Mukono'!C69</f>
        <v>33.5</v>
      </c>
      <c r="D69" s="49">
        <f>'Avg Week Mukono-Mbalala'!D69+'Avg Week Mbalala-Mukono'!D69</f>
        <v>5.5</v>
      </c>
      <c r="E69" s="49">
        <f>'Avg Week Mukono-Mbalala'!E69+'Avg Week Mbalala-Mukono'!E69</f>
        <v>8</v>
      </c>
      <c r="F69" s="49">
        <f>'Avg Week Mukono-Mbalala'!F69+'Avg Week Mbalala-Mukono'!F69</f>
        <v>72.5</v>
      </c>
      <c r="G69" s="49">
        <f>'Avg Week Mukono-Mbalala'!G69+'Avg Week Mbalala-Mukono'!G69</f>
        <v>1</v>
      </c>
      <c r="H69" s="49">
        <f>'Avg Week Mukono-Mbalala'!H69+'Avg Week Mbalala-Mukono'!H69</f>
        <v>14</v>
      </c>
      <c r="I69" s="49">
        <f>'Avg Week Mukono-Mbalala'!I69+'Avg Week Mbalala-Mukono'!I69</f>
        <v>12.5</v>
      </c>
      <c r="J69" s="49">
        <f>'Avg Week Mukono-Mbalala'!J69+'Avg Week Mbalala-Mukono'!J69</f>
        <v>11.5</v>
      </c>
      <c r="K69" s="49">
        <f>'Avg Week Mukono-Mbalala'!K69+'Avg Week Mbalala-Mukono'!K69</f>
        <v>8.5</v>
      </c>
      <c r="L69" s="49">
        <f>'Avg Week Mukono-Mbalala'!L69+'Avg Week Mbalala-Mukono'!L69</f>
        <v>21</v>
      </c>
      <c r="M69" s="49">
        <f>'Avg Week Mukono-Mbalala'!M69+'Avg Week Mbalala-Mukono'!M69</f>
        <v>64.5</v>
      </c>
      <c r="N69" s="49">
        <f>'Avg Week Mukono-Mbalala'!N69+'Avg Week Mbalala-Mukono'!N69</f>
        <v>0</v>
      </c>
      <c r="O69" s="15">
        <f t="shared" si="0"/>
        <v>188</v>
      </c>
      <c r="P69" s="15">
        <f t="shared" si="1"/>
        <v>252.5</v>
      </c>
      <c r="R69" s="8"/>
      <c r="T69"/>
    </row>
    <row r="70" spans="2:20" ht="23.1" customHeight="1" x14ac:dyDescent="0.25">
      <c r="B70" s="23" t="s">
        <v>110</v>
      </c>
      <c r="C70" s="49">
        <f>'Avg Week Mukono-Mbalala'!C70+'Avg Week Mbalala-Mukono'!C70</f>
        <v>33.5</v>
      </c>
      <c r="D70" s="49">
        <f>'Avg Week Mukono-Mbalala'!D70+'Avg Week Mbalala-Mukono'!D70</f>
        <v>11.5</v>
      </c>
      <c r="E70" s="49">
        <f>'Avg Week Mukono-Mbalala'!E70+'Avg Week Mbalala-Mukono'!E70</f>
        <v>7.5</v>
      </c>
      <c r="F70" s="49">
        <f>'Avg Week Mukono-Mbalala'!F70+'Avg Week Mbalala-Mukono'!F70</f>
        <v>31.5</v>
      </c>
      <c r="G70" s="49">
        <f>'Avg Week Mukono-Mbalala'!G70+'Avg Week Mbalala-Mukono'!G70</f>
        <v>2</v>
      </c>
      <c r="H70" s="49">
        <f>'Avg Week Mukono-Mbalala'!H70+'Avg Week Mbalala-Mukono'!H70</f>
        <v>2</v>
      </c>
      <c r="I70" s="49">
        <f>'Avg Week Mukono-Mbalala'!I70+'Avg Week Mbalala-Mukono'!I70</f>
        <v>6.5</v>
      </c>
      <c r="J70" s="49">
        <f>'Avg Week Mukono-Mbalala'!J70+'Avg Week Mbalala-Mukono'!J70</f>
        <v>11</v>
      </c>
      <c r="K70" s="49">
        <f>'Avg Week Mukono-Mbalala'!K70+'Avg Week Mbalala-Mukono'!K70</f>
        <v>3.5</v>
      </c>
      <c r="L70" s="49">
        <f>'Avg Week Mukono-Mbalala'!L70+'Avg Week Mbalala-Mukono'!L70</f>
        <v>20</v>
      </c>
      <c r="M70" s="49">
        <f>'Avg Week Mukono-Mbalala'!M70+'Avg Week Mbalala-Mukono'!M70</f>
        <v>45</v>
      </c>
      <c r="N70" s="49">
        <f>'Avg Week Mukono-Mbalala'!N70+'Avg Week Mbalala-Mukono'!N70</f>
        <v>0</v>
      </c>
      <c r="O70" s="15">
        <f t="shared" si="0"/>
        <v>129</v>
      </c>
      <c r="P70" s="15">
        <f t="shared" si="1"/>
        <v>174</v>
      </c>
      <c r="R70" s="8"/>
      <c r="T70"/>
    </row>
    <row r="71" spans="2:20" ht="23.1" customHeight="1" x14ac:dyDescent="0.25">
      <c r="B71" s="23" t="s">
        <v>111</v>
      </c>
      <c r="C71" s="49">
        <f>'Avg Week Mukono-Mbalala'!C71+'Avg Week Mbalala-Mukono'!C71</f>
        <v>35</v>
      </c>
      <c r="D71" s="49">
        <f>'Avg Week Mukono-Mbalala'!D71+'Avg Week Mbalala-Mukono'!D71</f>
        <v>7.5</v>
      </c>
      <c r="E71" s="49">
        <f>'Avg Week Mukono-Mbalala'!E71+'Avg Week Mbalala-Mukono'!E71</f>
        <v>5</v>
      </c>
      <c r="F71" s="49">
        <f>'Avg Week Mukono-Mbalala'!F71+'Avg Week Mbalala-Mukono'!F71</f>
        <v>32.5</v>
      </c>
      <c r="G71" s="49">
        <f>'Avg Week Mukono-Mbalala'!G71+'Avg Week Mbalala-Mukono'!G71</f>
        <v>4.5</v>
      </c>
      <c r="H71" s="49">
        <f>'Avg Week Mukono-Mbalala'!H71+'Avg Week Mbalala-Mukono'!H71</f>
        <v>3</v>
      </c>
      <c r="I71" s="49">
        <f>'Avg Week Mukono-Mbalala'!I71+'Avg Week Mbalala-Mukono'!I71</f>
        <v>10</v>
      </c>
      <c r="J71" s="49">
        <f>'Avg Week Mukono-Mbalala'!J71+'Avg Week Mbalala-Mukono'!J71</f>
        <v>9</v>
      </c>
      <c r="K71" s="49">
        <f>'Avg Week Mukono-Mbalala'!K71+'Avg Week Mbalala-Mukono'!K71</f>
        <v>5.5</v>
      </c>
      <c r="L71" s="49">
        <f>'Avg Week Mukono-Mbalala'!L71+'Avg Week Mbalala-Mukono'!L71</f>
        <v>21</v>
      </c>
      <c r="M71" s="49">
        <f>'Avg Week Mukono-Mbalala'!M71+'Avg Week Mbalala-Mukono'!M71</f>
        <v>29</v>
      </c>
      <c r="N71" s="49">
        <f>'Avg Week Mukono-Mbalala'!N71+'Avg Week Mbalala-Mukono'!N71</f>
        <v>0</v>
      </c>
      <c r="O71" s="15">
        <f t="shared" si="0"/>
        <v>133</v>
      </c>
      <c r="P71" s="15">
        <f t="shared" si="1"/>
        <v>162</v>
      </c>
      <c r="R71" s="8"/>
      <c r="T71"/>
    </row>
    <row r="72" spans="2:20" ht="23.1" customHeight="1" x14ac:dyDescent="0.25">
      <c r="B72" s="23" t="s">
        <v>112</v>
      </c>
      <c r="C72" s="49">
        <f>'Avg Week Mukono-Mbalala'!C72+'Avg Week Mbalala-Mukono'!C72</f>
        <v>42</v>
      </c>
      <c r="D72" s="49">
        <f>'Avg Week Mukono-Mbalala'!D72+'Avg Week Mbalala-Mukono'!D72</f>
        <v>11</v>
      </c>
      <c r="E72" s="49">
        <f>'Avg Week Mukono-Mbalala'!E72+'Avg Week Mbalala-Mukono'!E72</f>
        <v>8.5</v>
      </c>
      <c r="F72" s="49">
        <f>'Avg Week Mukono-Mbalala'!F72+'Avg Week Mbalala-Mukono'!F72</f>
        <v>41</v>
      </c>
      <c r="G72" s="49">
        <f>'Avg Week Mukono-Mbalala'!G72+'Avg Week Mbalala-Mukono'!G72</f>
        <v>5.5</v>
      </c>
      <c r="H72" s="49">
        <f>'Avg Week Mukono-Mbalala'!H72+'Avg Week Mbalala-Mukono'!H72</f>
        <v>1</v>
      </c>
      <c r="I72" s="49">
        <f>'Avg Week Mukono-Mbalala'!I72+'Avg Week Mbalala-Mukono'!I72</f>
        <v>10.5</v>
      </c>
      <c r="J72" s="49">
        <f>'Avg Week Mukono-Mbalala'!J72+'Avg Week Mbalala-Mukono'!J72</f>
        <v>10.5</v>
      </c>
      <c r="K72" s="49">
        <f>'Avg Week Mukono-Mbalala'!K72+'Avg Week Mbalala-Mukono'!K72</f>
        <v>7.5</v>
      </c>
      <c r="L72" s="49">
        <f>'Avg Week Mukono-Mbalala'!L72+'Avg Week Mbalala-Mukono'!L72</f>
        <v>20.5</v>
      </c>
      <c r="M72" s="49">
        <f>'Avg Week Mukono-Mbalala'!M72+'Avg Week Mbalala-Mukono'!M72</f>
        <v>28</v>
      </c>
      <c r="N72" s="49">
        <f>'Avg Week Mukono-Mbalala'!N72+'Avg Week Mbalala-Mukono'!N72</f>
        <v>0</v>
      </c>
      <c r="O72" s="15">
        <f t="shared" si="0"/>
        <v>158</v>
      </c>
      <c r="P72" s="15">
        <f t="shared" si="1"/>
        <v>186</v>
      </c>
      <c r="R72" s="8"/>
      <c r="T72"/>
    </row>
    <row r="73" spans="2:20" ht="23.1" customHeight="1" x14ac:dyDescent="0.25">
      <c r="B73" s="23" t="s">
        <v>113</v>
      </c>
      <c r="C73" s="49">
        <f>'Avg Week Mukono-Mbalala'!C73+'Avg Week Mbalala-Mukono'!C73</f>
        <v>34.5</v>
      </c>
      <c r="D73" s="49">
        <f>'Avg Week Mukono-Mbalala'!D73+'Avg Week Mbalala-Mukono'!D73</f>
        <v>8.5</v>
      </c>
      <c r="E73" s="49">
        <f>'Avg Week Mukono-Mbalala'!E73+'Avg Week Mbalala-Mukono'!E73</f>
        <v>7.5</v>
      </c>
      <c r="F73" s="49">
        <f>'Avg Week Mukono-Mbalala'!F73+'Avg Week Mbalala-Mukono'!F73</f>
        <v>33</v>
      </c>
      <c r="G73" s="49">
        <f>'Avg Week Mukono-Mbalala'!G73+'Avg Week Mbalala-Mukono'!G73</f>
        <v>4</v>
      </c>
      <c r="H73" s="49">
        <f>'Avg Week Mukono-Mbalala'!H73+'Avg Week Mbalala-Mukono'!H73</f>
        <v>2.5</v>
      </c>
      <c r="I73" s="49">
        <f>'Avg Week Mukono-Mbalala'!I73+'Avg Week Mbalala-Mukono'!I73</f>
        <v>10.5</v>
      </c>
      <c r="J73" s="49">
        <f>'Avg Week Mukono-Mbalala'!J73+'Avg Week Mbalala-Mukono'!J73</f>
        <v>15</v>
      </c>
      <c r="K73" s="49">
        <f>'Avg Week Mukono-Mbalala'!K73+'Avg Week Mbalala-Mukono'!K73</f>
        <v>6</v>
      </c>
      <c r="L73" s="49">
        <f>'Avg Week Mukono-Mbalala'!L73+'Avg Week Mbalala-Mukono'!L73</f>
        <v>18.5</v>
      </c>
      <c r="M73" s="49">
        <f>'Avg Week Mukono-Mbalala'!M73+'Avg Week Mbalala-Mukono'!M73</f>
        <v>28</v>
      </c>
      <c r="N73" s="49">
        <f>'Avg Week Mukono-Mbalala'!N73+'Avg Week Mbalala-Mukono'!N73</f>
        <v>0</v>
      </c>
      <c r="O73" s="15">
        <f t="shared" si="0"/>
        <v>140</v>
      </c>
      <c r="P73" s="15">
        <f t="shared" si="1"/>
        <v>168</v>
      </c>
      <c r="R73" s="8"/>
      <c r="T73"/>
    </row>
    <row r="74" spans="2:20" ht="23.1" customHeight="1" x14ac:dyDescent="0.25">
      <c r="B74" s="23" t="s">
        <v>114</v>
      </c>
      <c r="C74" s="49">
        <f>'Avg Week Mukono-Mbalala'!C74+'Avg Week Mbalala-Mukono'!C74</f>
        <v>26.5</v>
      </c>
      <c r="D74" s="49">
        <f>'Avg Week Mukono-Mbalala'!D74+'Avg Week Mbalala-Mukono'!D74</f>
        <v>8</v>
      </c>
      <c r="E74" s="49">
        <f>'Avg Week Mukono-Mbalala'!E74+'Avg Week Mbalala-Mukono'!E74</f>
        <v>4</v>
      </c>
      <c r="F74" s="49">
        <f>'Avg Week Mukono-Mbalala'!F74+'Avg Week Mbalala-Mukono'!F74</f>
        <v>25</v>
      </c>
      <c r="G74" s="49">
        <f>'Avg Week Mukono-Mbalala'!G74+'Avg Week Mbalala-Mukono'!G74</f>
        <v>4</v>
      </c>
      <c r="H74" s="49">
        <f>'Avg Week Mukono-Mbalala'!H74+'Avg Week Mbalala-Mukono'!H74</f>
        <v>3.5</v>
      </c>
      <c r="I74" s="49">
        <f>'Avg Week Mukono-Mbalala'!I74+'Avg Week Mbalala-Mukono'!I74</f>
        <v>8.5</v>
      </c>
      <c r="J74" s="49">
        <f>'Avg Week Mukono-Mbalala'!J74+'Avg Week Mbalala-Mukono'!J74</f>
        <v>8</v>
      </c>
      <c r="K74" s="49">
        <f>'Avg Week Mukono-Mbalala'!K74+'Avg Week Mbalala-Mukono'!K74</f>
        <v>9</v>
      </c>
      <c r="L74" s="49">
        <f>'Avg Week Mukono-Mbalala'!L74+'Avg Week Mbalala-Mukono'!L74</f>
        <v>28</v>
      </c>
      <c r="M74" s="49">
        <f>'Avg Week Mukono-Mbalala'!M74+'Avg Week Mbalala-Mukono'!M74</f>
        <v>21</v>
      </c>
      <c r="N74" s="49">
        <f>'Avg Week Mukono-Mbalala'!N74+'Avg Week Mbalala-Mukono'!N74</f>
        <v>0</v>
      </c>
      <c r="O74" s="15">
        <f t="shared" ref="O74:O104" si="35">SUM(C74:L74,N74)</f>
        <v>124.5</v>
      </c>
      <c r="P74" s="15">
        <f t="shared" ref="P74:P104" si="36">SUM(C74:N74)</f>
        <v>145.5</v>
      </c>
      <c r="R74" s="8"/>
      <c r="T74"/>
    </row>
    <row r="75" spans="2:20" ht="23.1" customHeight="1" x14ac:dyDescent="0.25">
      <c r="B75" s="23" t="s">
        <v>115</v>
      </c>
      <c r="C75" s="49">
        <f>'Avg Week Mukono-Mbalala'!C75+'Avg Week Mbalala-Mukono'!C75</f>
        <v>29.5</v>
      </c>
      <c r="D75" s="49">
        <f>'Avg Week Mukono-Mbalala'!D75+'Avg Week Mbalala-Mukono'!D75</f>
        <v>8</v>
      </c>
      <c r="E75" s="49">
        <f>'Avg Week Mukono-Mbalala'!E75+'Avg Week Mbalala-Mukono'!E75</f>
        <v>3.5</v>
      </c>
      <c r="F75" s="49">
        <f>'Avg Week Mukono-Mbalala'!F75+'Avg Week Mbalala-Mukono'!F75</f>
        <v>27.5</v>
      </c>
      <c r="G75" s="49">
        <f>'Avg Week Mukono-Mbalala'!G75+'Avg Week Mbalala-Mukono'!G75</f>
        <v>1</v>
      </c>
      <c r="H75" s="49">
        <f>'Avg Week Mukono-Mbalala'!H75+'Avg Week Mbalala-Mukono'!H75</f>
        <v>1</v>
      </c>
      <c r="I75" s="49">
        <f>'Avg Week Mukono-Mbalala'!I75+'Avg Week Mbalala-Mukono'!I75</f>
        <v>5</v>
      </c>
      <c r="J75" s="49">
        <f>'Avg Week Mukono-Mbalala'!J75+'Avg Week Mbalala-Mukono'!J75</f>
        <v>7.5</v>
      </c>
      <c r="K75" s="49">
        <f>'Avg Week Mukono-Mbalala'!K75+'Avg Week Mbalala-Mukono'!K75</f>
        <v>3.5</v>
      </c>
      <c r="L75" s="49">
        <f>'Avg Week Mukono-Mbalala'!L75+'Avg Week Mbalala-Mukono'!L75</f>
        <v>20.5</v>
      </c>
      <c r="M75" s="49">
        <f>'Avg Week Mukono-Mbalala'!M75+'Avg Week Mbalala-Mukono'!M75</f>
        <v>28.5</v>
      </c>
      <c r="N75" s="49">
        <f>'Avg Week Mukono-Mbalala'!N75+'Avg Week Mbalala-Mukono'!N75</f>
        <v>0</v>
      </c>
      <c r="O75" s="15">
        <f t="shared" si="35"/>
        <v>107</v>
      </c>
      <c r="P75" s="15">
        <f t="shared" si="36"/>
        <v>135.5</v>
      </c>
      <c r="R75" s="8"/>
      <c r="T75"/>
    </row>
    <row r="76" spans="2:20" ht="23.1" customHeight="1" x14ac:dyDescent="0.25">
      <c r="B76" s="23" t="s">
        <v>116</v>
      </c>
      <c r="C76" s="49">
        <f>'Avg Week Mukono-Mbalala'!C76+'Avg Week Mbalala-Mukono'!C76</f>
        <v>29</v>
      </c>
      <c r="D76" s="49">
        <f>'Avg Week Mukono-Mbalala'!D76+'Avg Week Mbalala-Mukono'!D76</f>
        <v>5</v>
      </c>
      <c r="E76" s="49">
        <f>'Avg Week Mukono-Mbalala'!E76+'Avg Week Mbalala-Mukono'!E76</f>
        <v>6.5</v>
      </c>
      <c r="F76" s="49">
        <f>'Avg Week Mukono-Mbalala'!F76+'Avg Week Mbalala-Mukono'!F76</f>
        <v>22.5</v>
      </c>
      <c r="G76" s="49">
        <f>'Avg Week Mukono-Mbalala'!G76+'Avg Week Mbalala-Mukono'!G76</f>
        <v>2.5</v>
      </c>
      <c r="H76" s="49">
        <f>'Avg Week Mukono-Mbalala'!H76+'Avg Week Mbalala-Mukono'!H76</f>
        <v>0.5</v>
      </c>
      <c r="I76" s="49">
        <f>'Avg Week Mukono-Mbalala'!I76+'Avg Week Mbalala-Mukono'!I76</f>
        <v>9.5</v>
      </c>
      <c r="J76" s="49">
        <f>'Avg Week Mukono-Mbalala'!J76+'Avg Week Mbalala-Mukono'!J76</f>
        <v>14</v>
      </c>
      <c r="K76" s="49">
        <f>'Avg Week Mukono-Mbalala'!K76+'Avg Week Mbalala-Mukono'!K76</f>
        <v>7.5</v>
      </c>
      <c r="L76" s="49">
        <f>'Avg Week Mukono-Mbalala'!L76+'Avg Week Mbalala-Mukono'!L76</f>
        <v>21.5</v>
      </c>
      <c r="M76" s="49">
        <f>'Avg Week Mukono-Mbalala'!M76+'Avg Week Mbalala-Mukono'!M76</f>
        <v>22</v>
      </c>
      <c r="N76" s="49">
        <f>'Avg Week Mukono-Mbalala'!N76+'Avg Week Mbalala-Mukono'!N76</f>
        <v>0</v>
      </c>
      <c r="O76" s="15">
        <f t="shared" si="35"/>
        <v>118.5</v>
      </c>
      <c r="P76" s="15">
        <f t="shared" si="36"/>
        <v>140.5</v>
      </c>
      <c r="R76" s="8"/>
      <c r="T76"/>
    </row>
    <row r="77" spans="2:20" ht="23.1" customHeight="1" x14ac:dyDescent="0.25">
      <c r="B77" s="23" t="s">
        <v>117</v>
      </c>
      <c r="C77" s="49">
        <f>'Avg Week Mukono-Mbalala'!C77+'Avg Week Mbalala-Mukono'!C77</f>
        <v>23</v>
      </c>
      <c r="D77" s="49">
        <f>'Avg Week Mukono-Mbalala'!D77+'Avg Week Mbalala-Mukono'!D77</f>
        <v>5.5</v>
      </c>
      <c r="E77" s="49">
        <f>'Avg Week Mukono-Mbalala'!E77+'Avg Week Mbalala-Mukono'!E77</f>
        <v>3</v>
      </c>
      <c r="F77" s="49">
        <f>'Avg Week Mukono-Mbalala'!F77+'Avg Week Mbalala-Mukono'!F77</f>
        <v>21</v>
      </c>
      <c r="G77" s="49">
        <f>'Avg Week Mukono-Mbalala'!G77+'Avg Week Mbalala-Mukono'!G77</f>
        <v>5</v>
      </c>
      <c r="H77" s="49">
        <f>'Avg Week Mukono-Mbalala'!H77+'Avg Week Mbalala-Mukono'!H77</f>
        <v>2</v>
      </c>
      <c r="I77" s="49">
        <f>'Avg Week Mukono-Mbalala'!I77+'Avg Week Mbalala-Mukono'!I77</f>
        <v>6.5</v>
      </c>
      <c r="J77" s="49">
        <f>'Avg Week Mukono-Mbalala'!J77+'Avg Week Mbalala-Mukono'!J77</f>
        <v>13</v>
      </c>
      <c r="K77" s="49">
        <f>'Avg Week Mukono-Mbalala'!K77+'Avg Week Mbalala-Mukono'!K77</f>
        <v>6.5</v>
      </c>
      <c r="L77" s="49">
        <f>'Avg Week Mukono-Mbalala'!L77+'Avg Week Mbalala-Mukono'!L77</f>
        <v>21.5</v>
      </c>
      <c r="M77" s="49">
        <f>'Avg Week Mukono-Mbalala'!M77+'Avg Week Mbalala-Mukono'!M77</f>
        <v>19</v>
      </c>
      <c r="N77" s="49">
        <f>'Avg Week Mukono-Mbalala'!N77+'Avg Week Mbalala-Mukono'!N77</f>
        <v>0</v>
      </c>
      <c r="O77" s="15">
        <f t="shared" si="35"/>
        <v>107</v>
      </c>
      <c r="P77" s="15">
        <f t="shared" si="36"/>
        <v>126</v>
      </c>
      <c r="R77" s="8"/>
      <c r="T77"/>
    </row>
    <row r="78" spans="2:20" ht="23.1" customHeight="1" x14ac:dyDescent="0.25">
      <c r="B78" s="24" t="s">
        <v>118</v>
      </c>
      <c r="C78" s="49">
        <f>'Avg Week Mukono-Mbalala'!C78+'Avg Week Mbalala-Mukono'!C78</f>
        <v>18.5</v>
      </c>
      <c r="D78" s="49">
        <f>'Avg Week Mukono-Mbalala'!D78+'Avg Week Mbalala-Mukono'!D78</f>
        <v>4.5</v>
      </c>
      <c r="E78" s="49">
        <f>'Avg Week Mukono-Mbalala'!E78+'Avg Week Mbalala-Mukono'!E78</f>
        <v>5.5</v>
      </c>
      <c r="F78" s="49">
        <f>'Avg Week Mukono-Mbalala'!F78+'Avg Week Mbalala-Mukono'!F78</f>
        <v>12</v>
      </c>
      <c r="G78" s="49">
        <f>'Avg Week Mukono-Mbalala'!G78+'Avg Week Mbalala-Mukono'!G78</f>
        <v>2</v>
      </c>
      <c r="H78" s="49">
        <f>'Avg Week Mukono-Mbalala'!H78+'Avg Week Mbalala-Mukono'!H78</f>
        <v>1.5</v>
      </c>
      <c r="I78" s="49">
        <f>'Avg Week Mukono-Mbalala'!I78+'Avg Week Mbalala-Mukono'!I78</f>
        <v>9</v>
      </c>
      <c r="J78" s="49">
        <f>'Avg Week Mukono-Mbalala'!J78+'Avg Week Mbalala-Mukono'!J78</f>
        <v>12.5</v>
      </c>
      <c r="K78" s="49">
        <f>'Avg Week Mukono-Mbalala'!K78+'Avg Week Mbalala-Mukono'!K78</f>
        <v>4</v>
      </c>
      <c r="L78" s="49">
        <f>'Avg Week Mukono-Mbalala'!L78+'Avg Week Mbalala-Mukono'!L78</f>
        <v>18.5</v>
      </c>
      <c r="M78" s="49">
        <f>'Avg Week Mukono-Mbalala'!M78+'Avg Week Mbalala-Mukono'!M78</f>
        <v>12</v>
      </c>
      <c r="N78" s="49">
        <f>'Avg Week Mukono-Mbalala'!N78+'Avg Week Mbalala-Mukono'!N78</f>
        <v>0</v>
      </c>
      <c r="O78" s="15">
        <f t="shared" si="35"/>
        <v>88</v>
      </c>
      <c r="P78" s="15">
        <f t="shared" si="36"/>
        <v>100</v>
      </c>
      <c r="R78" s="8"/>
      <c r="T78"/>
    </row>
    <row r="79" spans="2:20" ht="23.1" customHeight="1" x14ac:dyDescent="0.25">
      <c r="B79" s="23" t="s">
        <v>119</v>
      </c>
      <c r="C79" s="49">
        <f>'Avg Week Mukono-Mbalala'!C79+'Avg Week Mbalala-Mukono'!C79</f>
        <v>17.5</v>
      </c>
      <c r="D79" s="49">
        <f>'Avg Week Mukono-Mbalala'!D79+'Avg Week Mbalala-Mukono'!D79</f>
        <v>3</v>
      </c>
      <c r="E79" s="49">
        <f>'Avg Week Mukono-Mbalala'!E79+'Avg Week Mbalala-Mukono'!E79</f>
        <v>4.5</v>
      </c>
      <c r="F79" s="49">
        <f>'Avg Week Mukono-Mbalala'!F79+'Avg Week Mbalala-Mukono'!F79</f>
        <v>11.5</v>
      </c>
      <c r="G79" s="49">
        <f>'Avg Week Mukono-Mbalala'!G79+'Avg Week Mbalala-Mukono'!G79</f>
        <v>1.5</v>
      </c>
      <c r="H79" s="49">
        <f>'Avg Week Mukono-Mbalala'!H79+'Avg Week Mbalala-Mukono'!H79</f>
        <v>2</v>
      </c>
      <c r="I79" s="49">
        <f>'Avg Week Mukono-Mbalala'!I79+'Avg Week Mbalala-Mukono'!I79</f>
        <v>7</v>
      </c>
      <c r="J79" s="49">
        <f>'Avg Week Mukono-Mbalala'!J79+'Avg Week Mbalala-Mukono'!J79</f>
        <v>15.5</v>
      </c>
      <c r="K79" s="49">
        <f>'Avg Week Mukono-Mbalala'!K79+'Avg Week Mbalala-Mukono'!K79</f>
        <v>2</v>
      </c>
      <c r="L79" s="49">
        <f>'Avg Week Mukono-Mbalala'!L79+'Avg Week Mbalala-Mukono'!L79</f>
        <v>13</v>
      </c>
      <c r="M79" s="49">
        <f>'Avg Week Mukono-Mbalala'!M79+'Avg Week Mbalala-Mukono'!M79</f>
        <v>6</v>
      </c>
      <c r="N79" s="49">
        <f>'Avg Week Mukono-Mbalala'!N79+'Avg Week Mbalala-Mukono'!N79</f>
        <v>0</v>
      </c>
      <c r="O79" s="15">
        <f t="shared" si="35"/>
        <v>77.5</v>
      </c>
      <c r="P79" s="15">
        <f t="shared" si="36"/>
        <v>83.5</v>
      </c>
      <c r="R79" s="8"/>
      <c r="T79"/>
    </row>
    <row r="80" spans="2:20" ht="23.1" customHeight="1" x14ac:dyDescent="0.25">
      <c r="B80" s="25" t="s">
        <v>120</v>
      </c>
      <c r="C80" s="49">
        <f>'Avg Week Mukono-Mbalala'!C80+'Avg Week Mbalala-Mukono'!C80</f>
        <v>14.5</v>
      </c>
      <c r="D80" s="49">
        <f>'Avg Week Mukono-Mbalala'!D80+'Avg Week Mbalala-Mukono'!D80</f>
        <v>7</v>
      </c>
      <c r="E80" s="49">
        <f>'Avg Week Mukono-Mbalala'!E80+'Avg Week Mbalala-Mukono'!E80</f>
        <v>4</v>
      </c>
      <c r="F80" s="49">
        <f>'Avg Week Mukono-Mbalala'!F80+'Avg Week Mbalala-Mukono'!F80</f>
        <v>9</v>
      </c>
      <c r="G80" s="49">
        <f>'Avg Week Mukono-Mbalala'!G80+'Avg Week Mbalala-Mukono'!G80</f>
        <v>2.5</v>
      </c>
      <c r="H80" s="49">
        <f>'Avg Week Mukono-Mbalala'!H80+'Avg Week Mbalala-Mukono'!H80</f>
        <v>2</v>
      </c>
      <c r="I80" s="49">
        <f>'Avg Week Mukono-Mbalala'!I80+'Avg Week Mbalala-Mukono'!I80</f>
        <v>8</v>
      </c>
      <c r="J80" s="49">
        <f>'Avg Week Mukono-Mbalala'!J80+'Avg Week Mbalala-Mukono'!J80</f>
        <v>11</v>
      </c>
      <c r="K80" s="49">
        <f>'Avg Week Mukono-Mbalala'!K80+'Avg Week Mbalala-Mukono'!K80</f>
        <v>9</v>
      </c>
      <c r="L80" s="49">
        <f>'Avg Week Mukono-Mbalala'!L80+'Avg Week Mbalala-Mukono'!L80</f>
        <v>15.5</v>
      </c>
      <c r="M80" s="49">
        <f>'Avg Week Mukono-Mbalala'!M80+'Avg Week Mbalala-Mukono'!M80</f>
        <v>5.5</v>
      </c>
      <c r="N80" s="49">
        <f>'Avg Week Mukono-Mbalala'!N80+'Avg Week Mbalala-Mukono'!N80</f>
        <v>0</v>
      </c>
      <c r="O80" s="15">
        <f t="shared" si="35"/>
        <v>82.5</v>
      </c>
      <c r="P80" s="15">
        <f t="shared" si="36"/>
        <v>88</v>
      </c>
      <c r="R80" s="8"/>
      <c r="T80"/>
    </row>
    <row r="81" spans="2:20" ht="23.1" customHeight="1" x14ac:dyDescent="0.25">
      <c r="B81" s="23" t="s">
        <v>121</v>
      </c>
      <c r="C81" s="49">
        <f>'Avg Week Mukono-Mbalala'!C81+'Avg Week Mbalala-Mukono'!C81</f>
        <v>12</v>
      </c>
      <c r="D81" s="49">
        <f>'Avg Week Mukono-Mbalala'!D81+'Avg Week Mbalala-Mukono'!D81</f>
        <v>4</v>
      </c>
      <c r="E81" s="49">
        <f>'Avg Week Mukono-Mbalala'!E81+'Avg Week Mbalala-Mukono'!E81</f>
        <v>5.5</v>
      </c>
      <c r="F81" s="49">
        <f>'Avg Week Mukono-Mbalala'!F81+'Avg Week Mbalala-Mukono'!F81</f>
        <v>6.5</v>
      </c>
      <c r="G81" s="49">
        <f>'Avg Week Mukono-Mbalala'!G81+'Avg Week Mbalala-Mukono'!G81</f>
        <v>3</v>
      </c>
      <c r="H81" s="49">
        <f>'Avg Week Mukono-Mbalala'!H81+'Avg Week Mbalala-Mukono'!H81</f>
        <v>4.5</v>
      </c>
      <c r="I81" s="49">
        <f>'Avg Week Mukono-Mbalala'!I81+'Avg Week Mbalala-Mukono'!I81</f>
        <v>6</v>
      </c>
      <c r="J81" s="49">
        <f>'Avg Week Mukono-Mbalala'!J81+'Avg Week Mbalala-Mukono'!J81</f>
        <v>9</v>
      </c>
      <c r="K81" s="49">
        <f>'Avg Week Mukono-Mbalala'!K81+'Avg Week Mbalala-Mukono'!K81</f>
        <v>4.5</v>
      </c>
      <c r="L81" s="49">
        <f>'Avg Week Mukono-Mbalala'!L81+'Avg Week Mbalala-Mukono'!L81</f>
        <v>12.5</v>
      </c>
      <c r="M81" s="49">
        <f>'Avg Week Mukono-Mbalala'!M81+'Avg Week Mbalala-Mukono'!M81</f>
        <v>4</v>
      </c>
      <c r="N81" s="49">
        <f>'Avg Week Mukono-Mbalala'!N81+'Avg Week Mbalala-Mukono'!N81</f>
        <v>0</v>
      </c>
      <c r="O81" s="15">
        <f t="shared" si="35"/>
        <v>67.5</v>
      </c>
      <c r="P81" s="15">
        <f t="shared" si="36"/>
        <v>71.5</v>
      </c>
      <c r="R81" s="8"/>
      <c r="T81"/>
    </row>
    <row r="82" spans="2:20" ht="23.1" customHeight="1" x14ac:dyDescent="0.25">
      <c r="B82" s="24" t="s">
        <v>122</v>
      </c>
      <c r="C82" s="49">
        <f>'Avg Week Mukono-Mbalala'!C82+'Avg Week Mbalala-Mukono'!C82</f>
        <v>3.5</v>
      </c>
      <c r="D82" s="49">
        <f>'Avg Week Mukono-Mbalala'!D82+'Avg Week Mbalala-Mukono'!D82</f>
        <v>2.5</v>
      </c>
      <c r="E82" s="49">
        <f>'Avg Week Mukono-Mbalala'!E82+'Avg Week Mbalala-Mukono'!E82</f>
        <v>3.5</v>
      </c>
      <c r="F82" s="49">
        <f>'Avg Week Mukono-Mbalala'!F82+'Avg Week Mbalala-Mukono'!F82</f>
        <v>6.5</v>
      </c>
      <c r="G82" s="49">
        <f>'Avg Week Mukono-Mbalala'!G82+'Avg Week Mbalala-Mukono'!G82</f>
        <v>0.5</v>
      </c>
      <c r="H82" s="49">
        <f>'Avg Week Mukono-Mbalala'!H82+'Avg Week Mbalala-Mukono'!H82</f>
        <v>2</v>
      </c>
      <c r="I82" s="49">
        <f>'Avg Week Mukono-Mbalala'!I82+'Avg Week Mbalala-Mukono'!I82</f>
        <v>5</v>
      </c>
      <c r="J82" s="49">
        <f>'Avg Week Mukono-Mbalala'!J82+'Avg Week Mbalala-Mukono'!J82</f>
        <v>10</v>
      </c>
      <c r="K82" s="49">
        <f>'Avg Week Mukono-Mbalala'!K82+'Avg Week Mbalala-Mukono'!K82</f>
        <v>1.5</v>
      </c>
      <c r="L82" s="49">
        <f>'Avg Week Mukono-Mbalala'!L82+'Avg Week Mbalala-Mukono'!L82</f>
        <v>8.5</v>
      </c>
      <c r="M82" s="49">
        <f>'Avg Week Mukono-Mbalala'!M82+'Avg Week Mbalala-Mukono'!M82</f>
        <v>4.5</v>
      </c>
      <c r="N82" s="49">
        <f>'Avg Week Mukono-Mbalala'!N82+'Avg Week Mbalala-Mukono'!N82</f>
        <v>0</v>
      </c>
      <c r="O82" s="15">
        <f t="shared" si="35"/>
        <v>43.5</v>
      </c>
      <c r="P82" s="15">
        <f t="shared" si="36"/>
        <v>48</v>
      </c>
      <c r="R82" s="8"/>
      <c r="T82"/>
    </row>
    <row r="83" spans="2:20" ht="23.1" customHeight="1" x14ac:dyDescent="0.25">
      <c r="B83" s="23" t="s">
        <v>123</v>
      </c>
      <c r="C83" s="49">
        <f>'Avg Week Mukono-Mbalala'!C83+'Avg Week Mbalala-Mukono'!C83</f>
        <v>5.5</v>
      </c>
      <c r="D83" s="49">
        <f>'Avg Week Mukono-Mbalala'!D83+'Avg Week Mbalala-Mukono'!D83</f>
        <v>0</v>
      </c>
      <c r="E83" s="49">
        <f>'Avg Week Mukono-Mbalala'!E83+'Avg Week Mbalala-Mukono'!E83</f>
        <v>1.5</v>
      </c>
      <c r="F83" s="49">
        <f>'Avg Week Mukono-Mbalala'!F83+'Avg Week Mbalala-Mukono'!F83</f>
        <v>7</v>
      </c>
      <c r="G83" s="49">
        <f>'Avg Week Mukono-Mbalala'!G83+'Avg Week Mbalala-Mukono'!G83</f>
        <v>1</v>
      </c>
      <c r="H83" s="49">
        <f>'Avg Week Mukono-Mbalala'!H83+'Avg Week Mbalala-Mukono'!H83</f>
        <v>2</v>
      </c>
      <c r="I83" s="49">
        <f>'Avg Week Mukono-Mbalala'!I83+'Avg Week Mbalala-Mukono'!I83</f>
        <v>1</v>
      </c>
      <c r="J83" s="49">
        <f>'Avg Week Mukono-Mbalala'!J83+'Avg Week Mbalala-Mukono'!J83</f>
        <v>7.5</v>
      </c>
      <c r="K83" s="49">
        <f>'Avg Week Mukono-Mbalala'!K83+'Avg Week Mbalala-Mukono'!K83</f>
        <v>3</v>
      </c>
      <c r="L83" s="49">
        <f>'Avg Week Mukono-Mbalala'!L83+'Avg Week Mbalala-Mukono'!L83</f>
        <v>14.5</v>
      </c>
      <c r="M83" s="49">
        <f>'Avg Week Mukono-Mbalala'!M83+'Avg Week Mbalala-Mukono'!M83</f>
        <v>5</v>
      </c>
      <c r="N83" s="49">
        <f>'Avg Week Mukono-Mbalala'!N83+'Avg Week Mbalala-Mukono'!N83</f>
        <v>0</v>
      </c>
      <c r="O83" s="15">
        <f t="shared" si="35"/>
        <v>43</v>
      </c>
      <c r="P83" s="15">
        <f t="shared" si="36"/>
        <v>48</v>
      </c>
      <c r="R83" s="8"/>
      <c r="T83"/>
    </row>
    <row r="84" spans="2:20" ht="23.1" customHeight="1" x14ac:dyDescent="0.25">
      <c r="B84" s="25" t="s">
        <v>124</v>
      </c>
      <c r="C84" s="49">
        <f>'Avg Week Mukono-Mbalala'!C84+'Avg Week Mbalala-Mukono'!C84</f>
        <v>6</v>
      </c>
      <c r="D84" s="49">
        <f>'Avg Week Mukono-Mbalala'!D84+'Avg Week Mbalala-Mukono'!D84</f>
        <v>2</v>
      </c>
      <c r="E84" s="49">
        <f>'Avg Week Mukono-Mbalala'!E84+'Avg Week Mbalala-Mukono'!E84</f>
        <v>2.5</v>
      </c>
      <c r="F84" s="49">
        <f>'Avg Week Mukono-Mbalala'!F84+'Avg Week Mbalala-Mukono'!F84</f>
        <v>5.5</v>
      </c>
      <c r="G84" s="49">
        <f>'Avg Week Mukono-Mbalala'!G84+'Avg Week Mbalala-Mukono'!G84</f>
        <v>0</v>
      </c>
      <c r="H84" s="49">
        <f>'Avg Week Mukono-Mbalala'!H84+'Avg Week Mbalala-Mukono'!H84</f>
        <v>0.5</v>
      </c>
      <c r="I84" s="49">
        <f>'Avg Week Mukono-Mbalala'!I84+'Avg Week Mbalala-Mukono'!I84</f>
        <v>4</v>
      </c>
      <c r="J84" s="49">
        <f>'Avg Week Mukono-Mbalala'!J84+'Avg Week Mbalala-Mukono'!J84</f>
        <v>7.5</v>
      </c>
      <c r="K84" s="49">
        <f>'Avg Week Mukono-Mbalala'!K84+'Avg Week Mbalala-Mukono'!K84</f>
        <v>3</v>
      </c>
      <c r="L84" s="49">
        <f>'Avg Week Mukono-Mbalala'!L84+'Avg Week Mbalala-Mukono'!L84</f>
        <v>11</v>
      </c>
      <c r="M84" s="49">
        <f>'Avg Week Mukono-Mbalala'!M84+'Avg Week Mbalala-Mukono'!M84</f>
        <v>2.5</v>
      </c>
      <c r="N84" s="49">
        <f>'Avg Week Mukono-Mbalala'!N84+'Avg Week Mbalala-Mukono'!N84</f>
        <v>0</v>
      </c>
      <c r="O84" s="15">
        <f t="shared" si="35"/>
        <v>42</v>
      </c>
      <c r="P84" s="15">
        <f t="shared" si="36"/>
        <v>44.5</v>
      </c>
      <c r="R84" s="8"/>
      <c r="T84"/>
    </row>
    <row r="85" spans="2:20" ht="23.1" customHeight="1" x14ac:dyDescent="0.25">
      <c r="B85" s="23" t="s">
        <v>125</v>
      </c>
      <c r="C85" s="49">
        <f>'Avg Week Mukono-Mbalala'!C85+'Avg Week Mbalala-Mukono'!C85</f>
        <v>5.5</v>
      </c>
      <c r="D85" s="49">
        <f>'Avg Week Mukono-Mbalala'!D85+'Avg Week Mbalala-Mukono'!D85</f>
        <v>3.5</v>
      </c>
      <c r="E85" s="49">
        <f>'Avg Week Mukono-Mbalala'!E85+'Avg Week Mbalala-Mukono'!E85</f>
        <v>3</v>
      </c>
      <c r="F85" s="49">
        <f>'Avg Week Mukono-Mbalala'!F85+'Avg Week Mbalala-Mukono'!F85</f>
        <v>3</v>
      </c>
      <c r="G85" s="49">
        <f>'Avg Week Mukono-Mbalala'!G85+'Avg Week Mbalala-Mukono'!G85</f>
        <v>1.5</v>
      </c>
      <c r="H85" s="49">
        <f>'Avg Week Mukono-Mbalala'!H85+'Avg Week Mbalala-Mukono'!H85</f>
        <v>3</v>
      </c>
      <c r="I85" s="49">
        <f>'Avg Week Mukono-Mbalala'!I85+'Avg Week Mbalala-Mukono'!I85</f>
        <v>2.5</v>
      </c>
      <c r="J85" s="49">
        <f>'Avg Week Mukono-Mbalala'!J85+'Avg Week Mbalala-Mukono'!J85</f>
        <v>5</v>
      </c>
      <c r="K85" s="49">
        <f>'Avg Week Mukono-Mbalala'!K85+'Avg Week Mbalala-Mukono'!K85</f>
        <v>3</v>
      </c>
      <c r="L85" s="49">
        <f>'Avg Week Mukono-Mbalala'!L85+'Avg Week Mbalala-Mukono'!L85</f>
        <v>12.5</v>
      </c>
      <c r="M85" s="49">
        <f>'Avg Week Mukono-Mbalala'!M85+'Avg Week Mbalala-Mukono'!M85</f>
        <v>2</v>
      </c>
      <c r="N85" s="49">
        <f>'Avg Week Mukono-Mbalala'!N85+'Avg Week Mbalala-Mukono'!N85</f>
        <v>0</v>
      </c>
      <c r="O85" s="15">
        <f t="shared" si="35"/>
        <v>42.5</v>
      </c>
      <c r="P85" s="15">
        <f t="shared" si="36"/>
        <v>44.5</v>
      </c>
      <c r="R85" s="8"/>
      <c r="T85"/>
    </row>
    <row r="86" spans="2:20" ht="23.1" customHeight="1" x14ac:dyDescent="0.25">
      <c r="B86" s="24" t="s">
        <v>126</v>
      </c>
      <c r="C86" s="49">
        <f>'Avg Week Mukono-Mbalala'!C86+'Avg Week Mbalala-Mukono'!C86</f>
        <v>6</v>
      </c>
      <c r="D86" s="49">
        <f>'Avg Week Mukono-Mbalala'!D86+'Avg Week Mbalala-Mukono'!D86</f>
        <v>2</v>
      </c>
      <c r="E86" s="49">
        <f>'Avg Week Mukono-Mbalala'!E86+'Avg Week Mbalala-Mukono'!E86</f>
        <v>4.5</v>
      </c>
      <c r="F86" s="49">
        <f>'Avg Week Mukono-Mbalala'!F86+'Avg Week Mbalala-Mukono'!F86</f>
        <v>6.5</v>
      </c>
      <c r="G86" s="49">
        <f>'Avg Week Mukono-Mbalala'!G86+'Avg Week Mbalala-Mukono'!G86</f>
        <v>0</v>
      </c>
      <c r="H86" s="49">
        <f>'Avg Week Mukono-Mbalala'!H86+'Avg Week Mbalala-Mukono'!H86</f>
        <v>1.5</v>
      </c>
      <c r="I86" s="49">
        <f>'Avg Week Mukono-Mbalala'!I86+'Avg Week Mbalala-Mukono'!I86</f>
        <v>5</v>
      </c>
      <c r="J86" s="49">
        <f>'Avg Week Mukono-Mbalala'!J86+'Avg Week Mbalala-Mukono'!J86</f>
        <v>4.5</v>
      </c>
      <c r="K86" s="49">
        <f>'Avg Week Mukono-Mbalala'!K86+'Avg Week Mbalala-Mukono'!K86</f>
        <v>3</v>
      </c>
      <c r="L86" s="49">
        <f>'Avg Week Mukono-Mbalala'!L86+'Avg Week Mbalala-Mukono'!L86</f>
        <v>10.5</v>
      </c>
      <c r="M86" s="49">
        <f>'Avg Week Mukono-Mbalala'!M86+'Avg Week Mbalala-Mukono'!M86</f>
        <v>5</v>
      </c>
      <c r="N86" s="49">
        <f>'Avg Week Mukono-Mbalala'!N86+'Avg Week Mbalala-Mukono'!N86</f>
        <v>0</v>
      </c>
      <c r="O86" s="15">
        <f t="shared" si="35"/>
        <v>43.5</v>
      </c>
      <c r="P86" s="15">
        <f t="shared" si="36"/>
        <v>48.5</v>
      </c>
      <c r="R86" s="8"/>
      <c r="T86"/>
    </row>
    <row r="87" spans="2:20" ht="23.1" customHeight="1" x14ac:dyDescent="0.25">
      <c r="B87" s="23" t="s">
        <v>127</v>
      </c>
      <c r="C87" s="49">
        <f>'Avg Week Mukono-Mbalala'!C87+'Avg Week Mbalala-Mukono'!C87</f>
        <v>4.5</v>
      </c>
      <c r="D87" s="49">
        <f>'Avg Week Mukono-Mbalala'!D87+'Avg Week Mbalala-Mukono'!D87</f>
        <v>5</v>
      </c>
      <c r="E87" s="49">
        <f>'Avg Week Mukono-Mbalala'!E87+'Avg Week Mbalala-Mukono'!E87</f>
        <v>5</v>
      </c>
      <c r="F87" s="49">
        <f>'Avg Week Mukono-Mbalala'!F87+'Avg Week Mbalala-Mukono'!F87</f>
        <v>3.5</v>
      </c>
      <c r="G87" s="49">
        <f>'Avg Week Mukono-Mbalala'!G87+'Avg Week Mbalala-Mukono'!G87</f>
        <v>0.5</v>
      </c>
      <c r="H87" s="49">
        <f>'Avg Week Mukono-Mbalala'!H87+'Avg Week Mbalala-Mukono'!H87</f>
        <v>1.5</v>
      </c>
      <c r="I87" s="49">
        <f>'Avg Week Mukono-Mbalala'!I87+'Avg Week Mbalala-Mukono'!I87</f>
        <v>2.5</v>
      </c>
      <c r="J87" s="49">
        <f>'Avg Week Mukono-Mbalala'!J87+'Avg Week Mbalala-Mukono'!J87</f>
        <v>6</v>
      </c>
      <c r="K87" s="49">
        <f>'Avg Week Mukono-Mbalala'!K87+'Avg Week Mbalala-Mukono'!K87</f>
        <v>5.5</v>
      </c>
      <c r="L87" s="49">
        <f>'Avg Week Mukono-Mbalala'!L87+'Avg Week Mbalala-Mukono'!L87</f>
        <v>9</v>
      </c>
      <c r="M87" s="49">
        <f>'Avg Week Mukono-Mbalala'!M87+'Avg Week Mbalala-Mukono'!M87</f>
        <v>4</v>
      </c>
      <c r="N87" s="49">
        <f>'Avg Week Mukono-Mbalala'!N87+'Avg Week Mbalala-Mukono'!N87</f>
        <v>0</v>
      </c>
      <c r="O87" s="15">
        <f t="shared" si="35"/>
        <v>43</v>
      </c>
      <c r="P87" s="15">
        <f t="shared" si="36"/>
        <v>47</v>
      </c>
      <c r="R87" s="8"/>
      <c r="T87"/>
    </row>
    <row r="88" spans="2:20" ht="23.1" customHeight="1" x14ac:dyDescent="0.25">
      <c r="B88" s="25" t="s">
        <v>128</v>
      </c>
      <c r="C88" s="49">
        <f>'Avg Week Mukono-Mbalala'!C88+'Avg Week Mbalala-Mukono'!C88</f>
        <v>8.5</v>
      </c>
      <c r="D88" s="49">
        <f>'Avg Week Mukono-Mbalala'!D88+'Avg Week Mbalala-Mukono'!D88</f>
        <v>4</v>
      </c>
      <c r="E88" s="49">
        <f>'Avg Week Mukono-Mbalala'!E88+'Avg Week Mbalala-Mukono'!E88</f>
        <v>3</v>
      </c>
      <c r="F88" s="49">
        <f>'Avg Week Mukono-Mbalala'!F88+'Avg Week Mbalala-Mukono'!F88</f>
        <v>5</v>
      </c>
      <c r="G88" s="49">
        <f>'Avg Week Mukono-Mbalala'!G88+'Avg Week Mbalala-Mukono'!G88</f>
        <v>0</v>
      </c>
      <c r="H88" s="49">
        <f>'Avg Week Mukono-Mbalala'!H88+'Avg Week Mbalala-Mukono'!H88</f>
        <v>0.5</v>
      </c>
      <c r="I88" s="49">
        <f>'Avg Week Mukono-Mbalala'!I88+'Avg Week Mbalala-Mukono'!I88</f>
        <v>4.5</v>
      </c>
      <c r="J88" s="49">
        <f>'Avg Week Mukono-Mbalala'!J88+'Avg Week Mbalala-Mukono'!J88</f>
        <v>2</v>
      </c>
      <c r="K88" s="49">
        <f>'Avg Week Mukono-Mbalala'!K88+'Avg Week Mbalala-Mukono'!K88</f>
        <v>3.5</v>
      </c>
      <c r="L88" s="49">
        <f>'Avg Week Mukono-Mbalala'!L88+'Avg Week Mbalala-Mukono'!L88</f>
        <v>14</v>
      </c>
      <c r="M88" s="49">
        <f>'Avg Week Mukono-Mbalala'!M88+'Avg Week Mbalala-Mukono'!M88</f>
        <v>1.5</v>
      </c>
      <c r="N88" s="49">
        <f>'Avg Week Mukono-Mbalala'!N88+'Avg Week Mbalala-Mukono'!N88</f>
        <v>0</v>
      </c>
      <c r="O88" s="15">
        <f t="shared" si="35"/>
        <v>45</v>
      </c>
      <c r="P88" s="15">
        <f t="shared" si="36"/>
        <v>46.5</v>
      </c>
      <c r="R88" s="8"/>
      <c r="T88"/>
    </row>
    <row r="89" spans="2:20" ht="23.1" customHeight="1" x14ac:dyDescent="0.25">
      <c r="B89" s="23" t="s">
        <v>129</v>
      </c>
      <c r="C89" s="49">
        <f>'Avg Week Mukono-Mbalala'!C89+'Avg Week Mbalala-Mukono'!C89</f>
        <v>7.5</v>
      </c>
      <c r="D89" s="49">
        <f>'Avg Week Mukono-Mbalala'!D89+'Avg Week Mbalala-Mukono'!D89</f>
        <v>4</v>
      </c>
      <c r="E89" s="49">
        <f>'Avg Week Mukono-Mbalala'!E89+'Avg Week Mbalala-Mukono'!E89</f>
        <v>3.5</v>
      </c>
      <c r="F89" s="49">
        <f>'Avg Week Mukono-Mbalala'!F89+'Avg Week Mbalala-Mukono'!F89</f>
        <v>1.5</v>
      </c>
      <c r="G89" s="49">
        <f>'Avg Week Mukono-Mbalala'!G89+'Avg Week Mbalala-Mukono'!G89</f>
        <v>1</v>
      </c>
      <c r="H89" s="49">
        <f>'Avg Week Mukono-Mbalala'!H89+'Avg Week Mbalala-Mukono'!H89</f>
        <v>0.5</v>
      </c>
      <c r="I89" s="49">
        <f>'Avg Week Mukono-Mbalala'!I89+'Avg Week Mbalala-Mukono'!I89</f>
        <v>1</v>
      </c>
      <c r="J89" s="49">
        <f>'Avg Week Mukono-Mbalala'!J89+'Avg Week Mbalala-Mukono'!J89</f>
        <v>3</v>
      </c>
      <c r="K89" s="49">
        <f>'Avg Week Mukono-Mbalala'!K89+'Avg Week Mbalala-Mukono'!K89</f>
        <v>5.5</v>
      </c>
      <c r="L89" s="49">
        <f>'Avg Week Mukono-Mbalala'!L89+'Avg Week Mbalala-Mukono'!L89</f>
        <v>11</v>
      </c>
      <c r="M89" s="49">
        <f>'Avg Week Mukono-Mbalala'!M89+'Avg Week Mbalala-Mukono'!M89</f>
        <v>2</v>
      </c>
      <c r="N89" s="49">
        <f>'Avg Week Mukono-Mbalala'!N89+'Avg Week Mbalala-Mukono'!N89</f>
        <v>0</v>
      </c>
      <c r="O89" s="15">
        <f t="shared" si="35"/>
        <v>38.5</v>
      </c>
      <c r="P89" s="15">
        <f t="shared" si="36"/>
        <v>40.5</v>
      </c>
      <c r="R89" s="8"/>
      <c r="T89"/>
    </row>
    <row r="90" spans="2:20" ht="23.1" customHeight="1" x14ac:dyDescent="0.25">
      <c r="B90" s="24" t="s">
        <v>130</v>
      </c>
      <c r="C90" s="49">
        <f>'Avg Week Mukono-Mbalala'!C90+'Avg Week Mbalala-Mukono'!C90</f>
        <v>7</v>
      </c>
      <c r="D90" s="49">
        <f>'Avg Week Mukono-Mbalala'!D90+'Avg Week Mbalala-Mukono'!D90</f>
        <v>3</v>
      </c>
      <c r="E90" s="49">
        <f>'Avg Week Mukono-Mbalala'!E90+'Avg Week Mbalala-Mukono'!E90</f>
        <v>2</v>
      </c>
      <c r="F90" s="49">
        <f>'Avg Week Mukono-Mbalala'!F90+'Avg Week Mbalala-Mukono'!F90</f>
        <v>8.5</v>
      </c>
      <c r="G90" s="49">
        <f>'Avg Week Mukono-Mbalala'!G90+'Avg Week Mbalala-Mukono'!G90</f>
        <v>0.5</v>
      </c>
      <c r="H90" s="49">
        <f>'Avg Week Mukono-Mbalala'!H90+'Avg Week Mbalala-Mukono'!H90</f>
        <v>1</v>
      </c>
      <c r="I90" s="49">
        <f>'Avg Week Mukono-Mbalala'!I90+'Avg Week Mbalala-Mukono'!I90</f>
        <v>8</v>
      </c>
      <c r="J90" s="49">
        <f>'Avg Week Mukono-Mbalala'!J90+'Avg Week Mbalala-Mukono'!J90</f>
        <v>6</v>
      </c>
      <c r="K90" s="49">
        <f>'Avg Week Mukono-Mbalala'!K90+'Avg Week Mbalala-Mukono'!K90</f>
        <v>2</v>
      </c>
      <c r="L90" s="49">
        <f>'Avg Week Mukono-Mbalala'!L90+'Avg Week Mbalala-Mukono'!L90</f>
        <v>21.5</v>
      </c>
      <c r="M90" s="49">
        <f>'Avg Week Mukono-Mbalala'!M90+'Avg Week Mbalala-Mukono'!M90</f>
        <v>5</v>
      </c>
      <c r="N90" s="49">
        <f>'Avg Week Mukono-Mbalala'!N90+'Avg Week Mbalala-Mukono'!N90</f>
        <v>0</v>
      </c>
      <c r="O90" s="15">
        <f t="shared" si="35"/>
        <v>59.5</v>
      </c>
      <c r="P90" s="15">
        <f t="shared" si="36"/>
        <v>64.5</v>
      </c>
      <c r="R90" s="8"/>
      <c r="T90"/>
    </row>
    <row r="91" spans="2:20" ht="23.1" customHeight="1" x14ac:dyDescent="0.25">
      <c r="B91" s="23" t="s">
        <v>131</v>
      </c>
      <c r="C91" s="49">
        <f>'Avg Week Mukono-Mbalala'!C91+'Avg Week Mbalala-Mukono'!C91</f>
        <v>5.5</v>
      </c>
      <c r="D91" s="49">
        <f>'Avg Week Mukono-Mbalala'!D91+'Avg Week Mbalala-Mukono'!D91</f>
        <v>3.5</v>
      </c>
      <c r="E91" s="49">
        <f>'Avg Week Mukono-Mbalala'!E91+'Avg Week Mbalala-Mukono'!E91</f>
        <v>1.5</v>
      </c>
      <c r="F91" s="49">
        <f>'Avg Week Mukono-Mbalala'!F91+'Avg Week Mbalala-Mukono'!F91</f>
        <v>6.5</v>
      </c>
      <c r="G91" s="49">
        <f>'Avg Week Mukono-Mbalala'!G91+'Avg Week Mbalala-Mukono'!G91</f>
        <v>0</v>
      </c>
      <c r="H91" s="49">
        <f>'Avg Week Mukono-Mbalala'!H91+'Avg Week Mbalala-Mukono'!H91</f>
        <v>0.5</v>
      </c>
      <c r="I91" s="49">
        <f>'Avg Week Mukono-Mbalala'!I91+'Avg Week Mbalala-Mukono'!I91</f>
        <v>5.5</v>
      </c>
      <c r="J91" s="49">
        <f>'Avg Week Mukono-Mbalala'!J91+'Avg Week Mbalala-Mukono'!J91</f>
        <v>13</v>
      </c>
      <c r="K91" s="49">
        <f>'Avg Week Mukono-Mbalala'!K91+'Avg Week Mbalala-Mukono'!K91</f>
        <v>2.5</v>
      </c>
      <c r="L91" s="49">
        <f>'Avg Week Mukono-Mbalala'!L91+'Avg Week Mbalala-Mukono'!L91</f>
        <v>13.5</v>
      </c>
      <c r="M91" s="49">
        <f>'Avg Week Mukono-Mbalala'!M91+'Avg Week Mbalala-Mukono'!M91</f>
        <v>5.5</v>
      </c>
      <c r="N91" s="49">
        <f>'Avg Week Mukono-Mbalala'!N91+'Avg Week Mbalala-Mukono'!N91</f>
        <v>0</v>
      </c>
      <c r="O91" s="15">
        <f t="shared" si="35"/>
        <v>52</v>
      </c>
      <c r="P91" s="15">
        <f t="shared" si="36"/>
        <v>57.5</v>
      </c>
      <c r="R91" s="8"/>
      <c r="T91"/>
    </row>
    <row r="92" spans="2:20" ht="23.1" customHeight="1" x14ac:dyDescent="0.25">
      <c r="B92" s="25" t="s">
        <v>132</v>
      </c>
      <c r="C92" s="49">
        <f>'Avg Week Mukono-Mbalala'!C92+'Avg Week Mbalala-Mukono'!C92</f>
        <v>9</v>
      </c>
      <c r="D92" s="49">
        <f>'Avg Week Mukono-Mbalala'!D92+'Avg Week Mbalala-Mukono'!D92</f>
        <v>6</v>
      </c>
      <c r="E92" s="49">
        <f>'Avg Week Mukono-Mbalala'!E92+'Avg Week Mbalala-Mukono'!E92</f>
        <v>4.5</v>
      </c>
      <c r="F92" s="49">
        <f>'Avg Week Mukono-Mbalala'!F92+'Avg Week Mbalala-Mukono'!F92</f>
        <v>10</v>
      </c>
      <c r="G92" s="49">
        <f>'Avg Week Mukono-Mbalala'!G92+'Avg Week Mbalala-Mukono'!G92</f>
        <v>0</v>
      </c>
      <c r="H92" s="49">
        <f>'Avg Week Mukono-Mbalala'!H92+'Avg Week Mbalala-Mukono'!H92</f>
        <v>2</v>
      </c>
      <c r="I92" s="49">
        <f>'Avg Week Mukono-Mbalala'!I92+'Avg Week Mbalala-Mukono'!I92</f>
        <v>5</v>
      </c>
      <c r="J92" s="49">
        <f>'Avg Week Mukono-Mbalala'!J92+'Avg Week Mbalala-Mukono'!J92</f>
        <v>7.5</v>
      </c>
      <c r="K92" s="49">
        <f>'Avg Week Mukono-Mbalala'!K92+'Avg Week Mbalala-Mukono'!K92</f>
        <v>2.5</v>
      </c>
      <c r="L92" s="49">
        <f>'Avg Week Mukono-Mbalala'!L92+'Avg Week Mbalala-Mukono'!L92</f>
        <v>16</v>
      </c>
      <c r="M92" s="49">
        <f>'Avg Week Mukono-Mbalala'!M92+'Avg Week Mbalala-Mukono'!M92</f>
        <v>5</v>
      </c>
      <c r="N92" s="49">
        <f>'Avg Week Mukono-Mbalala'!N92+'Avg Week Mbalala-Mukono'!N92</f>
        <v>0</v>
      </c>
      <c r="O92" s="15">
        <f t="shared" si="35"/>
        <v>62.5</v>
      </c>
      <c r="P92" s="15">
        <f t="shared" si="36"/>
        <v>67.5</v>
      </c>
      <c r="R92" s="8"/>
      <c r="T92"/>
    </row>
    <row r="93" spans="2:20" ht="23.1" customHeight="1" x14ac:dyDescent="0.25">
      <c r="B93" s="23" t="s">
        <v>133</v>
      </c>
      <c r="C93" s="49">
        <f>'Avg Week Mukono-Mbalala'!C93+'Avg Week Mbalala-Mukono'!C93</f>
        <v>7.5</v>
      </c>
      <c r="D93" s="49">
        <f>'Avg Week Mukono-Mbalala'!D93+'Avg Week Mbalala-Mukono'!D93</f>
        <v>3.5</v>
      </c>
      <c r="E93" s="49">
        <f>'Avg Week Mukono-Mbalala'!E93+'Avg Week Mbalala-Mukono'!E93</f>
        <v>3</v>
      </c>
      <c r="F93" s="49">
        <f>'Avg Week Mukono-Mbalala'!F93+'Avg Week Mbalala-Mukono'!F93</f>
        <v>7</v>
      </c>
      <c r="G93" s="49">
        <f>'Avg Week Mukono-Mbalala'!G93+'Avg Week Mbalala-Mukono'!G93</f>
        <v>1</v>
      </c>
      <c r="H93" s="49">
        <f>'Avg Week Mukono-Mbalala'!H93+'Avg Week Mbalala-Mukono'!H93</f>
        <v>1</v>
      </c>
      <c r="I93" s="49">
        <f>'Avg Week Mukono-Mbalala'!I93+'Avg Week Mbalala-Mukono'!I93</f>
        <v>2.5</v>
      </c>
      <c r="J93" s="49">
        <f>'Avg Week Mukono-Mbalala'!J93+'Avg Week Mbalala-Mukono'!J93</f>
        <v>10.5</v>
      </c>
      <c r="K93" s="49">
        <f>'Avg Week Mukono-Mbalala'!K93+'Avg Week Mbalala-Mukono'!K93</f>
        <v>4.5</v>
      </c>
      <c r="L93" s="49">
        <f>'Avg Week Mukono-Mbalala'!L93+'Avg Week Mbalala-Mukono'!L93</f>
        <v>12.5</v>
      </c>
      <c r="M93" s="49">
        <f>'Avg Week Mukono-Mbalala'!M93+'Avg Week Mbalala-Mukono'!M93</f>
        <v>7</v>
      </c>
      <c r="N93" s="49">
        <f>'Avg Week Mukono-Mbalala'!N93+'Avg Week Mbalala-Mukono'!N93</f>
        <v>0</v>
      </c>
      <c r="O93" s="15">
        <f t="shared" si="35"/>
        <v>53</v>
      </c>
      <c r="P93" s="15">
        <f t="shared" si="36"/>
        <v>60</v>
      </c>
      <c r="R93" s="8"/>
      <c r="T93"/>
    </row>
    <row r="94" spans="2:20" ht="23.1" customHeight="1" x14ac:dyDescent="0.25">
      <c r="B94" s="24" t="s">
        <v>134</v>
      </c>
      <c r="C94" s="49">
        <f>'Avg Week Mukono-Mbalala'!C94+'Avg Week Mbalala-Mukono'!C94</f>
        <v>7.5</v>
      </c>
      <c r="D94" s="49">
        <f>'Avg Week Mukono-Mbalala'!D94+'Avg Week Mbalala-Mukono'!D94</f>
        <v>2.5</v>
      </c>
      <c r="E94" s="49">
        <f>'Avg Week Mukono-Mbalala'!E94+'Avg Week Mbalala-Mukono'!E94</f>
        <v>2.5</v>
      </c>
      <c r="F94" s="49">
        <f>'Avg Week Mukono-Mbalala'!F94+'Avg Week Mbalala-Mukono'!F94</f>
        <v>10.5</v>
      </c>
      <c r="G94" s="49">
        <f>'Avg Week Mukono-Mbalala'!G94+'Avg Week Mbalala-Mukono'!G94</f>
        <v>1</v>
      </c>
      <c r="H94" s="49">
        <f>'Avg Week Mukono-Mbalala'!H94+'Avg Week Mbalala-Mukono'!H94</f>
        <v>2</v>
      </c>
      <c r="I94" s="49">
        <f>'Avg Week Mukono-Mbalala'!I94+'Avg Week Mbalala-Mukono'!I94</f>
        <v>9</v>
      </c>
      <c r="J94" s="49">
        <f>'Avg Week Mukono-Mbalala'!J94+'Avg Week Mbalala-Mukono'!J94</f>
        <v>8</v>
      </c>
      <c r="K94" s="49">
        <f>'Avg Week Mukono-Mbalala'!K94+'Avg Week Mbalala-Mukono'!K94</f>
        <v>1</v>
      </c>
      <c r="L94" s="49">
        <f>'Avg Week Mukono-Mbalala'!L94+'Avg Week Mbalala-Mukono'!L94</f>
        <v>17.5</v>
      </c>
      <c r="M94" s="49">
        <f>'Avg Week Mukono-Mbalala'!M94+'Avg Week Mbalala-Mukono'!M94</f>
        <v>12.5</v>
      </c>
      <c r="N94" s="49">
        <f>'Avg Week Mukono-Mbalala'!N94+'Avg Week Mbalala-Mukono'!N94</f>
        <v>0</v>
      </c>
      <c r="O94" s="15">
        <f t="shared" si="35"/>
        <v>61.5</v>
      </c>
      <c r="P94" s="15">
        <f t="shared" si="36"/>
        <v>74</v>
      </c>
      <c r="R94" s="8"/>
      <c r="T94"/>
    </row>
    <row r="95" spans="2:20" ht="23.1" customHeight="1" x14ac:dyDescent="0.25">
      <c r="B95" s="23" t="s">
        <v>135</v>
      </c>
      <c r="C95" s="49">
        <f>'Avg Week Mukono-Mbalala'!C95+'Avg Week Mbalala-Mukono'!C95</f>
        <v>13</v>
      </c>
      <c r="D95" s="49">
        <f>'Avg Week Mukono-Mbalala'!D95+'Avg Week Mbalala-Mukono'!D95</f>
        <v>4</v>
      </c>
      <c r="E95" s="49">
        <f>'Avg Week Mukono-Mbalala'!E95+'Avg Week Mbalala-Mukono'!E95</f>
        <v>5</v>
      </c>
      <c r="F95" s="49">
        <f>'Avg Week Mukono-Mbalala'!F95+'Avg Week Mbalala-Mukono'!F95</f>
        <v>9</v>
      </c>
      <c r="G95" s="49">
        <f>'Avg Week Mukono-Mbalala'!G95+'Avg Week Mbalala-Mukono'!G95</f>
        <v>3</v>
      </c>
      <c r="H95" s="49">
        <f>'Avg Week Mukono-Mbalala'!H95+'Avg Week Mbalala-Mukono'!H95</f>
        <v>2</v>
      </c>
      <c r="I95" s="49">
        <f>'Avg Week Mukono-Mbalala'!I95+'Avg Week Mbalala-Mukono'!I95</f>
        <v>4.5</v>
      </c>
      <c r="J95" s="49">
        <f>'Avg Week Mukono-Mbalala'!J95+'Avg Week Mbalala-Mukono'!J95</f>
        <v>9</v>
      </c>
      <c r="K95" s="49">
        <f>'Avg Week Mukono-Mbalala'!K95+'Avg Week Mbalala-Mukono'!K95</f>
        <v>3.5</v>
      </c>
      <c r="L95" s="49">
        <f>'Avg Week Mukono-Mbalala'!L95+'Avg Week Mbalala-Mukono'!L95</f>
        <v>16.5</v>
      </c>
      <c r="M95" s="49">
        <f>'Avg Week Mukono-Mbalala'!M95+'Avg Week Mbalala-Mukono'!M95</f>
        <v>11</v>
      </c>
      <c r="N95" s="49">
        <f>'Avg Week Mukono-Mbalala'!N95+'Avg Week Mbalala-Mukono'!N95</f>
        <v>0</v>
      </c>
      <c r="O95" s="15">
        <f t="shared" si="35"/>
        <v>69.5</v>
      </c>
      <c r="P95" s="15">
        <f t="shared" si="36"/>
        <v>80.5</v>
      </c>
      <c r="R95" s="8"/>
      <c r="T95"/>
    </row>
    <row r="96" spans="2:20" ht="23.1" customHeight="1" x14ac:dyDescent="0.25">
      <c r="B96" s="25" t="s">
        <v>136</v>
      </c>
      <c r="C96" s="49">
        <f>'Avg Week Mukono-Mbalala'!C96+'Avg Week Mbalala-Mukono'!C96</f>
        <v>17.5</v>
      </c>
      <c r="D96" s="49">
        <f>'Avg Week Mukono-Mbalala'!D96+'Avg Week Mbalala-Mukono'!D96</f>
        <v>1</v>
      </c>
      <c r="E96" s="49">
        <f>'Avg Week Mukono-Mbalala'!E96+'Avg Week Mbalala-Mukono'!E96</f>
        <v>2.5</v>
      </c>
      <c r="F96" s="49">
        <f>'Avg Week Mukono-Mbalala'!F96+'Avg Week Mbalala-Mukono'!F96</f>
        <v>9</v>
      </c>
      <c r="G96" s="49">
        <f>'Avg Week Mukono-Mbalala'!G96+'Avg Week Mbalala-Mukono'!G96</f>
        <v>1.5</v>
      </c>
      <c r="H96" s="49">
        <f>'Avg Week Mukono-Mbalala'!H96+'Avg Week Mbalala-Mukono'!H96</f>
        <v>1.5</v>
      </c>
      <c r="I96" s="49">
        <f>'Avg Week Mukono-Mbalala'!I96+'Avg Week Mbalala-Mukono'!I96</f>
        <v>5.5</v>
      </c>
      <c r="J96" s="49">
        <f>'Avg Week Mukono-Mbalala'!J96+'Avg Week Mbalala-Mukono'!J96</f>
        <v>12</v>
      </c>
      <c r="K96" s="49">
        <f>'Avg Week Mukono-Mbalala'!K96+'Avg Week Mbalala-Mukono'!K96</f>
        <v>3.5</v>
      </c>
      <c r="L96" s="49">
        <f>'Avg Week Mukono-Mbalala'!L96+'Avg Week Mbalala-Mukono'!L96</f>
        <v>20</v>
      </c>
      <c r="M96" s="49">
        <f>'Avg Week Mukono-Mbalala'!M96+'Avg Week Mbalala-Mukono'!M96</f>
        <v>9</v>
      </c>
      <c r="N96" s="49">
        <f>'Avg Week Mukono-Mbalala'!N96+'Avg Week Mbalala-Mukono'!N96</f>
        <v>0</v>
      </c>
      <c r="O96" s="15">
        <f t="shared" si="35"/>
        <v>74</v>
      </c>
      <c r="P96" s="15">
        <f t="shared" si="36"/>
        <v>83</v>
      </c>
      <c r="R96" s="8"/>
      <c r="T96"/>
    </row>
    <row r="97" spans="2:20" ht="23.1" customHeight="1" x14ac:dyDescent="0.25">
      <c r="B97" s="23" t="s">
        <v>137</v>
      </c>
      <c r="C97" s="49">
        <f>'Avg Week Mukono-Mbalala'!C97+'Avg Week Mbalala-Mukono'!C97</f>
        <v>11.5</v>
      </c>
      <c r="D97" s="49">
        <f>'Avg Week Mukono-Mbalala'!D97+'Avg Week Mbalala-Mukono'!D97</f>
        <v>7.5</v>
      </c>
      <c r="E97" s="49">
        <f>'Avg Week Mukono-Mbalala'!E97+'Avg Week Mbalala-Mukono'!E97</f>
        <v>1.5</v>
      </c>
      <c r="F97" s="49">
        <f>'Avg Week Mukono-Mbalala'!F97+'Avg Week Mbalala-Mukono'!F97</f>
        <v>15.5</v>
      </c>
      <c r="G97" s="49">
        <f>'Avg Week Mukono-Mbalala'!G97+'Avg Week Mbalala-Mukono'!G97</f>
        <v>1.5</v>
      </c>
      <c r="H97" s="49">
        <f>'Avg Week Mukono-Mbalala'!H97+'Avg Week Mbalala-Mukono'!H97</f>
        <v>3</v>
      </c>
      <c r="I97" s="49">
        <f>'Avg Week Mukono-Mbalala'!I97+'Avg Week Mbalala-Mukono'!I97</f>
        <v>9.5</v>
      </c>
      <c r="J97" s="49">
        <f>'Avg Week Mukono-Mbalala'!J97+'Avg Week Mbalala-Mukono'!J97</f>
        <v>6.5</v>
      </c>
      <c r="K97" s="49">
        <f>'Avg Week Mukono-Mbalala'!K97+'Avg Week Mbalala-Mukono'!K97</f>
        <v>8</v>
      </c>
      <c r="L97" s="49">
        <f>'Avg Week Mukono-Mbalala'!L97+'Avg Week Mbalala-Mukono'!L97</f>
        <v>19.5</v>
      </c>
      <c r="M97" s="49">
        <f>'Avg Week Mukono-Mbalala'!M97+'Avg Week Mbalala-Mukono'!M97</f>
        <v>9.5</v>
      </c>
      <c r="N97" s="49">
        <f>'Avg Week Mukono-Mbalala'!N97+'Avg Week Mbalala-Mukono'!N97</f>
        <v>0</v>
      </c>
      <c r="O97" s="15">
        <f t="shared" si="35"/>
        <v>84</v>
      </c>
      <c r="P97" s="15">
        <f t="shared" si="36"/>
        <v>93.5</v>
      </c>
      <c r="R97" s="8"/>
      <c r="T97"/>
    </row>
    <row r="98" spans="2:20" ht="23.1" customHeight="1" x14ac:dyDescent="0.25">
      <c r="B98" s="24" t="s">
        <v>138</v>
      </c>
      <c r="C98" s="49">
        <f>'Avg Week Mukono-Mbalala'!C98+'Avg Week Mbalala-Mukono'!C98</f>
        <v>14</v>
      </c>
      <c r="D98" s="49">
        <f>'Avg Week Mukono-Mbalala'!D98+'Avg Week Mbalala-Mukono'!D98</f>
        <v>3</v>
      </c>
      <c r="E98" s="49">
        <f>'Avg Week Mukono-Mbalala'!E98+'Avg Week Mbalala-Mukono'!E98</f>
        <v>3.5</v>
      </c>
      <c r="F98" s="49">
        <f>'Avg Week Mukono-Mbalala'!F98+'Avg Week Mbalala-Mukono'!F98</f>
        <v>22</v>
      </c>
      <c r="G98" s="49">
        <f>'Avg Week Mukono-Mbalala'!G98+'Avg Week Mbalala-Mukono'!G98</f>
        <v>2</v>
      </c>
      <c r="H98" s="49">
        <f>'Avg Week Mukono-Mbalala'!H98+'Avg Week Mbalala-Mukono'!H98</f>
        <v>5</v>
      </c>
      <c r="I98" s="49">
        <f>'Avg Week Mukono-Mbalala'!I98+'Avg Week Mbalala-Mukono'!I98</f>
        <v>2.5</v>
      </c>
      <c r="J98" s="49">
        <f>'Avg Week Mukono-Mbalala'!J98+'Avg Week Mbalala-Mukono'!J98</f>
        <v>12</v>
      </c>
      <c r="K98" s="49">
        <f>'Avg Week Mukono-Mbalala'!K98+'Avg Week Mbalala-Mukono'!K98</f>
        <v>3</v>
      </c>
      <c r="L98" s="49">
        <f>'Avg Week Mukono-Mbalala'!L98+'Avg Week Mbalala-Mukono'!L98</f>
        <v>23</v>
      </c>
      <c r="M98" s="49">
        <f>'Avg Week Mukono-Mbalala'!M98+'Avg Week Mbalala-Mukono'!M98</f>
        <v>9.5</v>
      </c>
      <c r="N98" s="49">
        <f>'Avg Week Mukono-Mbalala'!N98+'Avg Week Mbalala-Mukono'!N98</f>
        <v>0</v>
      </c>
      <c r="O98" s="15">
        <f t="shared" si="35"/>
        <v>90</v>
      </c>
      <c r="P98" s="15">
        <f t="shared" si="36"/>
        <v>99.5</v>
      </c>
      <c r="R98" s="8"/>
      <c r="T98"/>
    </row>
    <row r="99" spans="2:20" ht="23.1" customHeight="1" x14ac:dyDescent="0.25">
      <c r="B99" s="23" t="s">
        <v>139</v>
      </c>
      <c r="C99" s="49">
        <f>'Avg Week Mukono-Mbalala'!C99+'Avg Week Mbalala-Mukono'!C99</f>
        <v>14.5</v>
      </c>
      <c r="D99" s="49">
        <f>'Avg Week Mukono-Mbalala'!D99+'Avg Week Mbalala-Mukono'!D99</f>
        <v>3.5</v>
      </c>
      <c r="E99" s="49">
        <f>'Avg Week Mukono-Mbalala'!E99+'Avg Week Mbalala-Mukono'!E99</f>
        <v>6</v>
      </c>
      <c r="F99" s="49">
        <f>'Avg Week Mukono-Mbalala'!F99+'Avg Week Mbalala-Mukono'!F99</f>
        <v>30.5</v>
      </c>
      <c r="G99" s="49">
        <f>'Avg Week Mukono-Mbalala'!G99+'Avg Week Mbalala-Mukono'!G99</f>
        <v>2</v>
      </c>
      <c r="H99" s="49">
        <f>'Avg Week Mukono-Mbalala'!H99+'Avg Week Mbalala-Mukono'!H99</f>
        <v>2.5</v>
      </c>
      <c r="I99" s="49">
        <f>'Avg Week Mukono-Mbalala'!I99+'Avg Week Mbalala-Mukono'!I99</f>
        <v>4.5</v>
      </c>
      <c r="J99" s="49">
        <f>'Avg Week Mukono-Mbalala'!J99+'Avg Week Mbalala-Mukono'!J99</f>
        <v>6.5</v>
      </c>
      <c r="K99" s="49">
        <f>'Avg Week Mukono-Mbalala'!K99+'Avg Week Mbalala-Mukono'!K99</f>
        <v>4.5</v>
      </c>
      <c r="L99" s="49">
        <f>'Avg Week Mukono-Mbalala'!L99+'Avg Week Mbalala-Mukono'!L99</f>
        <v>25.5</v>
      </c>
      <c r="M99" s="49">
        <f>'Avg Week Mukono-Mbalala'!M99+'Avg Week Mbalala-Mukono'!M99</f>
        <v>10</v>
      </c>
      <c r="N99" s="49">
        <f>'Avg Week Mukono-Mbalala'!N99+'Avg Week Mbalala-Mukono'!N99</f>
        <v>0</v>
      </c>
      <c r="O99" s="15">
        <f t="shared" si="35"/>
        <v>100</v>
      </c>
      <c r="P99" s="15">
        <f t="shared" si="36"/>
        <v>110</v>
      </c>
      <c r="R99" s="8"/>
      <c r="T99"/>
    </row>
    <row r="100" spans="2:20" ht="23.1" customHeight="1" x14ac:dyDescent="0.25">
      <c r="B100" s="25" t="s">
        <v>140</v>
      </c>
      <c r="C100" s="49">
        <f>'Avg Week Mukono-Mbalala'!C100+'Avg Week Mbalala-Mukono'!C100</f>
        <v>17</v>
      </c>
      <c r="D100" s="49">
        <f>'Avg Week Mukono-Mbalala'!D100+'Avg Week Mbalala-Mukono'!D100</f>
        <v>2</v>
      </c>
      <c r="E100" s="49">
        <f>'Avg Week Mukono-Mbalala'!E100+'Avg Week Mbalala-Mukono'!E100</f>
        <v>2</v>
      </c>
      <c r="F100" s="49">
        <f>'Avg Week Mukono-Mbalala'!F100+'Avg Week Mbalala-Mukono'!F100</f>
        <v>18</v>
      </c>
      <c r="G100" s="49">
        <f>'Avg Week Mukono-Mbalala'!G100+'Avg Week Mbalala-Mukono'!G100</f>
        <v>0.5</v>
      </c>
      <c r="H100" s="49">
        <f>'Avg Week Mukono-Mbalala'!H100+'Avg Week Mbalala-Mukono'!H100</f>
        <v>4</v>
      </c>
      <c r="I100" s="49">
        <f>'Avg Week Mukono-Mbalala'!I100+'Avg Week Mbalala-Mukono'!I100</f>
        <v>4</v>
      </c>
      <c r="J100" s="49">
        <f>'Avg Week Mukono-Mbalala'!J100+'Avg Week Mbalala-Mukono'!J100</f>
        <v>8</v>
      </c>
      <c r="K100" s="49">
        <f>'Avg Week Mukono-Mbalala'!K100+'Avg Week Mbalala-Mukono'!K100</f>
        <v>2</v>
      </c>
      <c r="L100" s="49">
        <f>'Avg Week Mukono-Mbalala'!L100+'Avg Week Mbalala-Mukono'!L100</f>
        <v>25.5</v>
      </c>
      <c r="M100" s="49">
        <f>'Avg Week Mukono-Mbalala'!M100+'Avg Week Mbalala-Mukono'!M100</f>
        <v>18</v>
      </c>
      <c r="N100" s="49">
        <f>'Avg Week Mukono-Mbalala'!N100+'Avg Week Mbalala-Mukono'!N100</f>
        <v>0</v>
      </c>
      <c r="O100" s="15">
        <f t="shared" si="35"/>
        <v>83</v>
      </c>
      <c r="P100" s="15">
        <f t="shared" si="36"/>
        <v>101</v>
      </c>
      <c r="R100" s="8"/>
      <c r="T100"/>
    </row>
    <row r="101" spans="2:20" ht="23.1" customHeight="1" x14ac:dyDescent="0.25">
      <c r="B101" s="23" t="s">
        <v>141</v>
      </c>
      <c r="C101" s="49">
        <f>'Avg Week Mukono-Mbalala'!C101+'Avg Week Mbalala-Mukono'!C101</f>
        <v>18.5</v>
      </c>
      <c r="D101" s="49">
        <f>'Avg Week Mukono-Mbalala'!D101+'Avg Week Mbalala-Mukono'!D101</f>
        <v>6.5</v>
      </c>
      <c r="E101" s="49">
        <f>'Avg Week Mukono-Mbalala'!E101+'Avg Week Mbalala-Mukono'!E101</f>
        <v>3</v>
      </c>
      <c r="F101" s="49">
        <f>'Avg Week Mukono-Mbalala'!F101+'Avg Week Mbalala-Mukono'!F101</f>
        <v>21.5</v>
      </c>
      <c r="G101" s="49">
        <f>'Avg Week Mukono-Mbalala'!G101+'Avg Week Mbalala-Mukono'!G101</f>
        <v>2.5</v>
      </c>
      <c r="H101" s="49">
        <f>'Avg Week Mukono-Mbalala'!H101+'Avg Week Mbalala-Mukono'!H101</f>
        <v>1.5</v>
      </c>
      <c r="I101" s="49">
        <f>'Avg Week Mukono-Mbalala'!I101+'Avg Week Mbalala-Mukono'!I101</f>
        <v>6</v>
      </c>
      <c r="J101" s="49">
        <f>'Avg Week Mukono-Mbalala'!J101+'Avg Week Mbalala-Mukono'!J101</f>
        <v>11</v>
      </c>
      <c r="K101" s="49">
        <f>'Avg Week Mukono-Mbalala'!K101+'Avg Week Mbalala-Mukono'!K101</f>
        <v>8</v>
      </c>
      <c r="L101" s="49">
        <f>'Avg Week Mukono-Mbalala'!L101+'Avg Week Mbalala-Mukono'!L101</f>
        <v>28.5</v>
      </c>
      <c r="M101" s="49">
        <f>'Avg Week Mukono-Mbalala'!M101+'Avg Week Mbalala-Mukono'!M101</f>
        <v>21.5</v>
      </c>
      <c r="N101" s="49">
        <f>'Avg Week Mukono-Mbalala'!N101+'Avg Week Mbalala-Mukono'!N101</f>
        <v>0</v>
      </c>
      <c r="O101" s="15">
        <f t="shared" si="35"/>
        <v>107</v>
      </c>
      <c r="P101" s="15">
        <f t="shared" si="36"/>
        <v>128.5</v>
      </c>
      <c r="R101" s="8"/>
      <c r="T101"/>
    </row>
    <row r="102" spans="2:20" ht="23.1" customHeight="1" x14ac:dyDescent="0.25">
      <c r="B102" s="24" t="s">
        <v>142</v>
      </c>
      <c r="C102" s="49">
        <f>'Avg Week Mukono-Mbalala'!C102+'Avg Week Mbalala-Mukono'!C102</f>
        <v>46</v>
      </c>
      <c r="D102" s="49">
        <f>'Avg Week Mukono-Mbalala'!D102+'Avg Week Mbalala-Mukono'!D102</f>
        <v>4.5</v>
      </c>
      <c r="E102" s="49">
        <f>'Avg Week Mukono-Mbalala'!E102+'Avg Week Mbalala-Mukono'!E102</f>
        <v>5.5</v>
      </c>
      <c r="F102" s="49">
        <f>'Avg Week Mukono-Mbalala'!F102+'Avg Week Mbalala-Mukono'!F102</f>
        <v>64.5</v>
      </c>
      <c r="G102" s="49">
        <f>'Avg Week Mukono-Mbalala'!G102+'Avg Week Mbalala-Mukono'!G102</f>
        <v>1.5</v>
      </c>
      <c r="H102" s="49">
        <f>'Avg Week Mukono-Mbalala'!H102+'Avg Week Mbalala-Mukono'!H102</f>
        <v>2.5</v>
      </c>
      <c r="I102" s="49">
        <f>'Avg Week Mukono-Mbalala'!I102+'Avg Week Mbalala-Mukono'!I102</f>
        <v>5</v>
      </c>
      <c r="J102" s="49">
        <f>'Avg Week Mukono-Mbalala'!J102+'Avg Week Mbalala-Mukono'!J102</f>
        <v>8.5</v>
      </c>
      <c r="K102" s="49">
        <f>'Avg Week Mukono-Mbalala'!K102+'Avg Week Mbalala-Mukono'!K102</f>
        <v>2.5</v>
      </c>
      <c r="L102" s="49">
        <f>'Avg Week Mukono-Mbalala'!L102+'Avg Week Mbalala-Mukono'!L102</f>
        <v>22</v>
      </c>
      <c r="M102" s="49">
        <f>'Avg Week Mukono-Mbalala'!M102+'Avg Week Mbalala-Mukono'!M102</f>
        <v>39</v>
      </c>
      <c r="N102" s="49">
        <f>'Avg Week Mukono-Mbalala'!N102+'Avg Week Mbalala-Mukono'!N102</f>
        <v>0</v>
      </c>
      <c r="O102" s="15">
        <f t="shared" si="35"/>
        <v>162.5</v>
      </c>
      <c r="P102" s="15">
        <f t="shared" si="36"/>
        <v>201.5</v>
      </c>
      <c r="R102" s="8"/>
      <c r="T102"/>
    </row>
    <row r="103" spans="2:20" ht="23.1" customHeight="1" x14ac:dyDescent="0.25">
      <c r="B103" s="23" t="s">
        <v>143</v>
      </c>
      <c r="C103" s="49">
        <f>'Avg Week Mukono-Mbalala'!C103+'Avg Week Mbalala-Mukono'!C103</f>
        <v>36.5</v>
      </c>
      <c r="D103" s="49">
        <f>'Avg Week Mukono-Mbalala'!D103+'Avg Week Mbalala-Mukono'!D103</f>
        <v>5.5</v>
      </c>
      <c r="E103" s="49">
        <f>'Avg Week Mukono-Mbalala'!E103+'Avg Week Mbalala-Mukono'!E103</f>
        <v>7.5</v>
      </c>
      <c r="F103" s="49">
        <f>'Avg Week Mukono-Mbalala'!F103+'Avg Week Mbalala-Mukono'!F103</f>
        <v>36.5</v>
      </c>
      <c r="G103" s="49">
        <f>'Avg Week Mukono-Mbalala'!G103+'Avg Week Mbalala-Mukono'!G103</f>
        <v>1.5</v>
      </c>
      <c r="H103" s="49">
        <f>'Avg Week Mukono-Mbalala'!H103+'Avg Week Mbalala-Mukono'!H103</f>
        <v>1.5</v>
      </c>
      <c r="I103" s="49">
        <f>'Avg Week Mukono-Mbalala'!I103+'Avg Week Mbalala-Mukono'!I103</f>
        <v>7.5</v>
      </c>
      <c r="J103" s="49">
        <f>'Avg Week Mukono-Mbalala'!J103+'Avg Week Mbalala-Mukono'!J103</f>
        <v>10</v>
      </c>
      <c r="K103" s="49">
        <f>'Avg Week Mukono-Mbalala'!K103+'Avg Week Mbalala-Mukono'!K103</f>
        <v>3.5</v>
      </c>
      <c r="L103" s="49">
        <f>'Avg Week Mukono-Mbalala'!L103+'Avg Week Mbalala-Mukono'!L103</f>
        <v>14</v>
      </c>
      <c r="M103" s="49">
        <f>'Avg Week Mukono-Mbalala'!M103+'Avg Week Mbalala-Mukono'!M103</f>
        <v>35</v>
      </c>
      <c r="N103" s="49">
        <f>'Avg Week Mukono-Mbalala'!N103+'Avg Week Mbalala-Mukono'!N103</f>
        <v>0</v>
      </c>
      <c r="O103" s="15">
        <f t="shared" si="35"/>
        <v>124</v>
      </c>
      <c r="P103" s="15">
        <f t="shared" si="36"/>
        <v>159</v>
      </c>
      <c r="R103" s="8"/>
      <c r="T103"/>
    </row>
    <row r="104" spans="2:20" ht="23.1" customHeight="1" x14ac:dyDescent="0.25">
      <c r="B104" s="25" t="s">
        <v>144</v>
      </c>
      <c r="C104" s="49">
        <f>'Avg Week Mukono-Mbalala'!C104+'Avg Week Mbalala-Mukono'!C104</f>
        <v>34.5</v>
      </c>
      <c r="D104" s="49">
        <f>'Avg Week Mukono-Mbalala'!D104+'Avg Week Mbalala-Mukono'!D104</f>
        <v>8.5</v>
      </c>
      <c r="E104" s="49">
        <f>'Avg Week Mukono-Mbalala'!E104+'Avg Week Mbalala-Mukono'!E104</f>
        <v>8.5</v>
      </c>
      <c r="F104" s="49">
        <f>'Avg Week Mukono-Mbalala'!F104+'Avg Week Mbalala-Mukono'!F104</f>
        <v>28.5</v>
      </c>
      <c r="G104" s="49">
        <f>'Avg Week Mukono-Mbalala'!G104+'Avg Week Mbalala-Mukono'!G104</f>
        <v>1</v>
      </c>
      <c r="H104" s="49">
        <f>'Avg Week Mukono-Mbalala'!H104+'Avg Week Mbalala-Mukono'!H104</f>
        <v>2.5</v>
      </c>
      <c r="I104" s="49">
        <f>'Avg Week Mukono-Mbalala'!I104+'Avg Week Mbalala-Mukono'!I104</f>
        <v>6.5</v>
      </c>
      <c r="J104" s="49">
        <f>'Avg Week Mukono-Mbalala'!J104+'Avg Week Mbalala-Mukono'!J104</f>
        <v>6.5</v>
      </c>
      <c r="K104" s="49">
        <f>'Avg Week Mukono-Mbalala'!K104+'Avg Week Mbalala-Mukono'!K104</f>
        <v>3</v>
      </c>
      <c r="L104" s="49">
        <f>'Avg Week Mukono-Mbalala'!L104+'Avg Week Mbalala-Mukono'!L104</f>
        <v>19</v>
      </c>
      <c r="M104" s="49">
        <f>'Avg Week Mukono-Mbalala'!M104+'Avg Week Mbalala-Mukono'!M104</f>
        <v>44.5</v>
      </c>
      <c r="N104" s="49">
        <f>'Avg Week Mukono-Mbalala'!N104+'Avg Week Mbalala-Mukono'!N104</f>
        <v>0</v>
      </c>
      <c r="O104" s="15">
        <f t="shared" si="35"/>
        <v>118.5</v>
      </c>
      <c r="P104" s="15">
        <f t="shared" si="36"/>
        <v>163</v>
      </c>
      <c r="R104" s="8"/>
      <c r="T104"/>
    </row>
    <row r="105" spans="2:20" ht="23.1" customHeight="1" x14ac:dyDescent="0.25">
      <c r="B105" s="23" t="s">
        <v>145</v>
      </c>
      <c r="C105" s="49">
        <f>'Avg Week Mukono-Mbalala'!C105+'Avg Week Mbalala-Mukono'!C105</f>
        <v>64.5</v>
      </c>
      <c r="D105" s="49">
        <f>'Avg Week Mukono-Mbalala'!D105+'Avg Week Mbalala-Mukono'!D105</f>
        <v>4</v>
      </c>
      <c r="E105" s="49">
        <f>'Avg Week Mukono-Mbalala'!E105+'Avg Week Mbalala-Mukono'!E105</f>
        <v>6</v>
      </c>
      <c r="F105" s="49">
        <f>'Avg Week Mukono-Mbalala'!F105+'Avg Week Mbalala-Mukono'!F105</f>
        <v>36.5</v>
      </c>
      <c r="G105" s="49">
        <f>'Avg Week Mukono-Mbalala'!G105+'Avg Week Mbalala-Mukono'!G105</f>
        <v>1.5</v>
      </c>
      <c r="H105" s="49">
        <f>'Avg Week Mukono-Mbalala'!H105+'Avg Week Mbalala-Mukono'!H105</f>
        <v>2.5</v>
      </c>
      <c r="I105" s="49">
        <f>'Avg Week Mukono-Mbalala'!I105+'Avg Week Mbalala-Mukono'!I105</f>
        <v>10.5</v>
      </c>
      <c r="J105" s="49">
        <f>'Avg Week Mukono-Mbalala'!J105+'Avg Week Mbalala-Mukono'!J105</f>
        <v>9.5</v>
      </c>
      <c r="K105" s="49">
        <f>'Avg Week Mukono-Mbalala'!K105+'Avg Week Mbalala-Mukono'!K105</f>
        <v>10</v>
      </c>
      <c r="L105" s="49">
        <f>'Avg Week Mukono-Mbalala'!L105+'Avg Week Mbalala-Mukono'!L105</f>
        <v>47</v>
      </c>
      <c r="M105" s="49">
        <f>'Avg Week Mukono-Mbalala'!M105+'Avg Week Mbalala-Mukono'!M105</f>
        <v>77.5</v>
      </c>
      <c r="N105" s="49">
        <f>'Avg Week Mukono-Mbalala'!N105+'Avg Week Mbalala-Mukono'!N105</f>
        <v>0</v>
      </c>
      <c r="O105" s="15">
        <f>SUM(C105:L105,N105)</f>
        <v>192</v>
      </c>
      <c r="P105" s="15">
        <f>SUM(C105:N105)</f>
        <v>269.5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5061.5</v>
      </c>
      <c r="D106" s="16">
        <f t="shared" ref="D106:P106" si="37">SUM(D10:D105)</f>
        <v>1280</v>
      </c>
      <c r="E106" s="16">
        <f t="shared" si="37"/>
        <v>955.00000000000023</v>
      </c>
      <c r="F106" s="16">
        <f t="shared" si="37"/>
        <v>4845.2857142857138</v>
      </c>
      <c r="G106" s="16">
        <f t="shared" si="37"/>
        <v>282.92857142857144</v>
      </c>
      <c r="H106" s="16">
        <f t="shared" si="37"/>
        <v>230.92857142857144</v>
      </c>
      <c r="I106" s="16">
        <f t="shared" si="37"/>
        <v>1237.6428571428573</v>
      </c>
      <c r="J106" s="16">
        <f t="shared" si="37"/>
        <v>1092.9285714285713</v>
      </c>
      <c r="K106" s="16">
        <f t="shared" si="37"/>
        <v>585.85714285714289</v>
      </c>
      <c r="L106" s="16">
        <f t="shared" si="37"/>
        <v>2179.0714285714284</v>
      </c>
      <c r="M106" s="16">
        <f t="shared" si="37"/>
        <v>10470.785714285712</v>
      </c>
      <c r="N106" s="16">
        <f t="shared" si="37"/>
        <v>0.99999999999999978</v>
      </c>
      <c r="O106" s="16">
        <f t="shared" si="37"/>
        <v>17752.142857142855</v>
      </c>
      <c r="P106" s="16">
        <f t="shared" si="37"/>
        <v>28222.928571428572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0.17933999964567815</v>
      </c>
      <c r="D107" s="43">
        <f t="shared" si="38"/>
        <v>4.5353195603372129E-2</v>
      </c>
      <c r="E107" s="43">
        <f t="shared" si="38"/>
        <v>3.3837735782203435E-2</v>
      </c>
      <c r="F107" s="43">
        <f t="shared" si="38"/>
        <v>0.17167905527673799</v>
      </c>
      <c r="G107" s="43">
        <f t="shared" si="38"/>
        <v>1.0024777220142691E-2</v>
      </c>
      <c r="H107" s="43">
        <f t="shared" si="38"/>
        <v>8.1823036487556986E-3</v>
      </c>
      <c r="I107" s="43">
        <f t="shared" si="38"/>
        <v>4.3852389521184656E-2</v>
      </c>
      <c r="J107" s="43">
        <f t="shared" si="38"/>
        <v>3.8724846312901615E-2</v>
      </c>
      <c r="K107" s="43">
        <f t="shared" si="38"/>
        <v>2.0758198121588071E-2</v>
      </c>
      <c r="L107" s="43">
        <f t="shared" si="38"/>
        <v>7.7209259948218381E-2</v>
      </c>
      <c r="M107" s="43">
        <f t="shared" si="38"/>
        <v>0.3710028067351519</v>
      </c>
      <c r="N107" s="43">
        <f t="shared" si="38"/>
        <v>3.5432184065134468E-5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0.28512050859051224</v>
      </c>
      <c r="D108" s="44">
        <f t="shared" ref="D108:N108" si="39">D106/$O$106</f>
        <v>7.21039713515471E-2</v>
      </c>
      <c r="E108" s="44">
        <f t="shared" si="39"/>
        <v>5.3796322375568362E-2</v>
      </c>
      <c r="F108" s="44">
        <f t="shared" si="39"/>
        <v>0.27294089244759184</v>
      </c>
      <c r="G108" s="44">
        <f t="shared" si="39"/>
        <v>1.5937713756890518E-2</v>
      </c>
      <c r="H108" s="44">
        <f t="shared" si="39"/>
        <v>1.3008489920733918E-2</v>
      </c>
      <c r="I108" s="44">
        <f t="shared" si="39"/>
        <v>6.9717941495996472E-2</v>
      </c>
      <c r="J108" s="44">
        <f t="shared" si="39"/>
        <v>6.1566008127791415E-2</v>
      </c>
      <c r="K108" s="44">
        <f t="shared" si="39"/>
        <v>3.3002052066148958E-2</v>
      </c>
      <c r="L108" s="44">
        <f t="shared" si="39"/>
        <v>0.12274976863960085</v>
      </c>
      <c r="M108" s="44"/>
      <c r="N108" s="44">
        <f t="shared" si="39"/>
        <v>5.6331227618396164E-5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29.10 Mukono-Mbalala</vt:lpstr>
      <vt:lpstr>29.10 Mbalala-Mukono</vt:lpstr>
      <vt:lpstr>30.10.Mukono-Mbalala</vt:lpstr>
      <vt:lpstr>30.10 Mbalala-Mukono</vt:lpstr>
      <vt:lpstr>31.10 Mukono-Mbalala</vt:lpstr>
      <vt:lpstr>31.10 Mbalala-Mukono</vt:lpstr>
      <vt:lpstr>1.11 Mukono-Mbalala-24h</vt:lpstr>
      <vt:lpstr>1.11 Mbalala-Mukono-24h</vt:lpstr>
      <vt:lpstr>2.11 Mukono-Mbalala-24h</vt:lpstr>
      <vt:lpstr>2.11 Mbalala-Mukono-24h</vt:lpstr>
      <vt:lpstr>3.11 Mukono-Mbalala</vt:lpstr>
      <vt:lpstr>3.11 Mbalala-Mukono</vt:lpstr>
      <vt:lpstr>4.11 Mukono-Mbalala </vt:lpstr>
      <vt:lpstr>4.11 Mbalala-Mukono</vt:lpstr>
      <vt:lpstr>Avg Week Mukono-Mbalala</vt:lpstr>
      <vt:lpstr>Avg Week Mbalala-Mukono</vt:lpstr>
      <vt:lpstr>Avg Week Mukono-Mbalala2Dir</vt:lpstr>
      <vt:lpstr>'1.11 Mbalala-Mukono-24h'!Print_Area</vt:lpstr>
      <vt:lpstr>'1.11 Mukono-Mbalala-24h'!Print_Area</vt:lpstr>
      <vt:lpstr>'2.11 Mbalala-Mukono-24h'!Print_Area</vt:lpstr>
      <vt:lpstr>'2.11 Mukono-Mbalala-24h'!Print_Area</vt:lpstr>
      <vt:lpstr>'29.10 Mbalala-Mukono'!Print_Area</vt:lpstr>
      <vt:lpstr>'29.10 Mukono-Mbalala'!Print_Area</vt:lpstr>
      <vt:lpstr>'3.11 Mbalala-Mukono'!Print_Area</vt:lpstr>
      <vt:lpstr>'3.11 Mukono-Mbalala'!Print_Area</vt:lpstr>
      <vt:lpstr>'30.10 Mbalala-Mukono'!Print_Area</vt:lpstr>
      <vt:lpstr>'30.10.Mukono-Mbalala'!Print_Area</vt:lpstr>
      <vt:lpstr>'31.10 Mbalala-Mukono'!Print_Area</vt:lpstr>
      <vt:lpstr>'31.10 Mukono-Mbalala'!Print_Area</vt:lpstr>
      <vt:lpstr>'4.11 Mbalala-Mukono'!Print_Area</vt:lpstr>
      <vt:lpstr>'4.11 Mukono-Mbalala '!Print_Area</vt:lpstr>
      <vt:lpstr>'Avg Week Mbalala-Mukono'!Print_Area</vt:lpstr>
      <vt:lpstr>'Avg Week Mukono-Mbalala'!Print_Area</vt:lpstr>
      <vt:lpstr>'Avg Week Mukono-Mbalala2Dir'!Print_Area</vt:lpstr>
      <vt:lpstr>'1.11 Mbalala-Mukono-24h'!Print_Titles</vt:lpstr>
      <vt:lpstr>'1.11 Mukono-Mbalala-24h'!Print_Titles</vt:lpstr>
      <vt:lpstr>'2.11 Mbalala-Mukono-24h'!Print_Titles</vt:lpstr>
      <vt:lpstr>'2.11 Mukono-Mbalala-24h'!Print_Titles</vt:lpstr>
      <vt:lpstr>'29.10 Mbalala-Mukono'!Print_Titles</vt:lpstr>
      <vt:lpstr>'29.10 Mukono-Mbalala'!Print_Titles</vt:lpstr>
      <vt:lpstr>'3.11 Mbalala-Mukono'!Print_Titles</vt:lpstr>
      <vt:lpstr>'3.11 Mukono-Mbalala'!Print_Titles</vt:lpstr>
      <vt:lpstr>'30.10 Mbalala-Mukono'!Print_Titles</vt:lpstr>
      <vt:lpstr>'30.10.Mukono-Mbalala'!Print_Titles</vt:lpstr>
      <vt:lpstr>'31.10 Mbalala-Mukono'!Print_Titles</vt:lpstr>
      <vt:lpstr>'31.10 Mukono-Mbalala'!Print_Titles</vt:lpstr>
      <vt:lpstr>'4.11 Mbalala-Mukono'!Print_Titles</vt:lpstr>
      <vt:lpstr>'4.11 Mukono-Mbalala '!Print_Titles</vt:lpstr>
      <vt:lpstr>'Avg Week Mbalala-Mukono'!Print_Titles</vt:lpstr>
      <vt:lpstr>'Avg Week Mukono-Mbalala'!Print_Titles</vt:lpstr>
      <vt:lpstr>'Avg Week Mukono-Mbalala2Dir'!Print_Titles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2020-01-16T12:08:11Z</dcterms:modified>
</cp:coreProperties>
</file>