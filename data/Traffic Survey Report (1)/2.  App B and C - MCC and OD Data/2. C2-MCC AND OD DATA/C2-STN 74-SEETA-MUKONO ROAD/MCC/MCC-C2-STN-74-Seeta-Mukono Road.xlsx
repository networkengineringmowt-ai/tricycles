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drawings/drawing4.xml" ContentType="application/vnd.openxmlformats-officedocument.drawing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drawings/drawing5.xml" ContentType="application/vnd.openxmlformats-officedocument.drawing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drawings/drawing6.xml" ContentType="application/vnd.openxmlformats-officedocument.drawing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drawings/drawing7.xml" ContentType="application/vnd.openxmlformats-officedocument.drawing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drawings/drawing8.xml" ContentType="application/vnd.openxmlformats-officedocument.drawing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drawings/drawing9.xml" ContentType="application/vnd.openxmlformats-officedocument.drawing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drawings/drawing10.xml" ContentType="application/vnd.openxmlformats-officedocument.drawing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drawings/drawing11.xml" ContentType="application/vnd.openxmlformats-officedocument.drawing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drawings/drawing12.xml" ContentType="application/vnd.openxmlformats-officedocument.drawing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drawings/drawing13.xml" ContentType="application/vnd.openxmlformats-officedocument.drawing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drawings/drawing14.xml" ContentType="application/vnd.openxmlformats-officedocument.drawing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drawings/drawing15.xml" ContentType="application/vnd.openxmlformats-officedocument.drawing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drawings/drawing16.xml" ContentType="application/vnd.openxmlformats-officedocument.drawing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drawings/drawing17.xml" ContentType="application/vnd.openxmlformats-officedocument.drawing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1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CLINT\Desktop\C-2 Analysis Complete-Clinton\C2-STN 74-SEETA-MUKONO ROAD\MCC\"/>
    </mc:Choice>
  </mc:AlternateContent>
  <xr:revisionPtr revIDLastSave="0" documentId="13_ncr:1_{B493A875-F625-480F-8BC9-4D2537CFDBBB}" xr6:coauthVersionLast="45" xr6:coauthVersionMax="45" xr10:uidLastSave="{00000000-0000-0000-0000-000000000000}"/>
  <bookViews>
    <workbookView xWindow="-120" yWindow="-120" windowWidth="20730" windowHeight="11160" tabRatio="920" firstSheet="11" activeTab="16" xr2:uid="{00000000-000D-0000-FFFF-FFFF00000000}"/>
  </bookViews>
  <sheets>
    <sheet name="23.09 Seeta-Mukono" sheetId="93" r:id="rId1"/>
    <sheet name="23.09 Mukono-Seeta" sheetId="94" r:id="rId2"/>
    <sheet name="24.09 Seeta-Mukono" sheetId="95" r:id="rId3"/>
    <sheet name="24.09 Mukono-Seeta" sheetId="96" r:id="rId4"/>
    <sheet name="25.09 Seeta-Mukono" sheetId="97" r:id="rId5"/>
    <sheet name="25.09 Mukono-Seeta" sheetId="98" r:id="rId6"/>
    <sheet name="26.09 Seeta-Mukono-24h" sheetId="101" r:id="rId7"/>
    <sheet name="26.09 Mukono-Seeta-24h" sheetId="109" r:id="rId8"/>
    <sheet name="27.09 Seeta-Mukono" sheetId="99" r:id="rId9"/>
    <sheet name="27.09 Mukono-Seeta" sheetId="100" r:id="rId10"/>
    <sheet name="28.09 Seeta-Mukono-24h" sheetId="105" r:id="rId11"/>
    <sheet name="28.09 Mukono-Seeta-24h" sheetId="110" r:id="rId12"/>
    <sheet name="29.09 Seeta-Mukono" sheetId="103" r:id="rId13"/>
    <sheet name="29.09 Mukono-Seeta" sheetId="104" r:id="rId14"/>
    <sheet name="Avg Week Seeta-Mukono" sheetId="107" r:id="rId15"/>
    <sheet name="Avg Week Mukono-Seeta" sheetId="108" r:id="rId16"/>
    <sheet name="Avg Week Seeta-Mukono-2Dir" sheetId="111" r:id="rId17"/>
  </sheets>
  <externalReferences>
    <externalReference r:id="rId18"/>
  </externalReferences>
  <definedNames>
    <definedName name="_xlnm.Print_Area" localSheetId="1">'23.09 Mukono-Seeta'!$A$1:$AF$60</definedName>
    <definedName name="_xlnm.Print_Area" localSheetId="0">'23.09 Seeta-Mukono'!$A$1:$AF$60</definedName>
    <definedName name="_xlnm.Print_Area" localSheetId="3">'24.09 Mukono-Seeta'!$A$1:$AF$60</definedName>
    <definedName name="_xlnm.Print_Area" localSheetId="2">'24.09 Seeta-Mukono'!$A$1:$AF$60</definedName>
    <definedName name="_xlnm.Print_Area" localSheetId="5">'25.09 Mukono-Seeta'!$A$1:$AF$60</definedName>
    <definedName name="_xlnm.Print_Area" localSheetId="4">'25.09 Seeta-Mukono'!$A$1:$AF$60</definedName>
    <definedName name="_xlnm.Print_Area" localSheetId="7">'26.09 Mukono-Seeta-24h'!$A$1:$AF$108</definedName>
    <definedName name="_xlnm.Print_Area" localSheetId="6">'26.09 Seeta-Mukono-24h'!$A$1:$AF$108</definedName>
    <definedName name="_xlnm.Print_Area" localSheetId="9">'27.09 Mukono-Seeta'!$A$1:$AF$60</definedName>
    <definedName name="_xlnm.Print_Area" localSheetId="8">'27.09 Seeta-Mukono'!$A$1:$AF$60</definedName>
    <definedName name="_xlnm.Print_Area" localSheetId="11">'28.09 Mukono-Seeta-24h'!$A$1:$AF$108</definedName>
    <definedName name="_xlnm.Print_Area" localSheetId="10">'28.09 Seeta-Mukono-24h'!$A$1:$AF$108</definedName>
    <definedName name="_xlnm.Print_Area" localSheetId="13">'29.09 Mukono-Seeta'!$A$1:$AF$60</definedName>
    <definedName name="_xlnm.Print_Area" localSheetId="12">'29.09 Seeta-Mukono'!$A$1:$AF$60</definedName>
    <definedName name="_xlnm.Print_Area" localSheetId="15">'Avg Week Mukono-Seeta'!$A$1:$AF$108</definedName>
    <definedName name="_xlnm.Print_Area" localSheetId="14">'Avg Week Seeta-Mukono'!$A$1:$AF$108</definedName>
    <definedName name="_xlnm.Print_Area" localSheetId="16">'Avg Week Seeta-Mukono-2Dir'!$A$1:$AF$108</definedName>
    <definedName name="_xlnm.Print_Titles" localSheetId="1">'23.09 Mukono-Seeta'!$1:$8</definedName>
    <definedName name="_xlnm.Print_Titles" localSheetId="0">'23.09 Seeta-Mukono'!$1:$8</definedName>
    <definedName name="_xlnm.Print_Titles" localSheetId="3">'24.09 Mukono-Seeta'!$1:$8</definedName>
    <definedName name="_xlnm.Print_Titles" localSheetId="2">'24.09 Seeta-Mukono'!$1:$8</definedName>
    <definedName name="_xlnm.Print_Titles" localSheetId="5">'25.09 Mukono-Seeta'!$1:$8</definedName>
    <definedName name="_xlnm.Print_Titles" localSheetId="4">'25.09 Seeta-Mukono'!$1:$8</definedName>
    <definedName name="_xlnm.Print_Titles" localSheetId="7">'26.09 Mukono-Seeta-24h'!$1:$8</definedName>
    <definedName name="_xlnm.Print_Titles" localSheetId="6">'26.09 Seeta-Mukono-24h'!$1:$8</definedName>
    <definedName name="_xlnm.Print_Titles" localSheetId="9">'27.09 Mukono-Seeta'!$1:$8</definedName>
    <definedName name="_xlnm.Print_Titles" localSheetId="8">'27.09 Seeta-Mukono'!$1:$8</definedName>
    <definedName name="_xlnm.Print_Titles" localSheetId="11">'28.09 Mukono-Seeta-24h'!$1:$8</definedName>
    <definedName name="_xlnm.Print_Titles" localSheetId="10">'28.09 Seeta-Mukono-24h'!$1:$8</definedName>
    <definedName name="_xlnm.Print_Titles" localSheetId="13">'29.09 Mukono-Seeta'!$1:$8</definedName>
    <definedName name="_xlnm.Print_Titles" localSheetId="12">'29.09 Seeta-Mukono'!$1:$8</definedName>
    <definedName name="_xlnm.Print_Titles" localSheetId="15">'Avg Week Mukono-Seeta'!$1:$8</definedName>
    <definedName name="_xlnm.Print_Titles" localSheetId="14">'Avg Week Seeta-Mukono'!$1:$8</definedName>
    <definedName name="_xlnm.Print_Titles" localSheetId="16">'Avg Week Seeta-Mukono-2Dir'!$1:$8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59" i="111" l="1"/>
  <c r="D59" i="111"/>
  <c r="E59" i="111"/>
  <c r="F59" i="111"/>
  <c r="G59" i="111"/>
  <c r="H59" i="111"/>
  <c r="I59" i="111"/>
  <c r="J59" i="111"/>
  <c r="K59" i="111"/>
  <c r="L59" i="111"/>
  <c r="M59" i="111"/>
  <c r="N59" i="111"/>
  <c r="C60" i="111"/>
  <c r="D60" i="111"/>
  <c r="E60" i="111"/>
  <c r="F60" i="111"/>
  <c r="G60" i="111"/>
  <c r="H60" i="111"/>
  <c r="I60" i="111"/>
  <c r="J60" i="111"/>
  <c r="K60" i="111"/>
  <c r="L60" i="111"/>
  <c r="M60" i="111"/>
  <c r="N60" i="111"/>
  <c r="C61" i="111"/>
  <c r="D61" i="111"/>
  <c r="E61" i="111"/>
  <c r="F61" i="111"/>
  <c r="G61" i="111"/>
  <c r="H61" i="111"/>
  <c r="I61" i="111"/>
  <c r="J61" i="111"/>
  <c r="K61" i="111"/>
  <c r="L61" i="111"/>
  <c r="M61" i="111"/>
  <c r="N61" i="111"/>
  <c r="K62" i="111"/>
  <c r="L62" i="111"/>
  <c r="M62" i="111"/>
  <c r="N62" i="111"/>
  <c r="C63" i="111"/>
  <c r="D63" i="111"/>
  <c r="E63" i="111"/>
  <c r="F63" i="111"/>
  <c r="G63" i="111"/>
  <c r="H63" i="111"/>
  <c r="I63" i="111"/>
  <c r="J63" i="111"/>
  <c r="K63" i="111"/>
  <c r="L63" i="111"/>
  <c r="M63" i="111"/>
  <c r="N63" i="111"/>
  <c r="C64" i="111"/>
  <c r="D64" i="111"/>
  <c r="E64" i="111"/>
  <c r="F64" i="111"/>
  <c r="G64" i="111"/>
  <c r="H64" i="111"/>
  <c r="I64" i="111"/>
  <c r="J64" i="111"/>
  <c r="K64" i="111"/>
  <c r="L64" i="111"/>
  <c r="M64" i="111"/>
  <c r="N64" i="111"/>
  <c r="C65" i="111"/>
  <c r="D65" i="111"/>
  <c r="E65" i="111"/>
  <c r="F65" i="111"/>
  <c r="G65" i="111"/>
  <c r="H65" i="111"/>
  <c r="I65" i="111"/>
  <c r="J65" i="111"/>
  <c r="K65" i="111"/>
  <c r="L65" i="111"/>
  <c r="M65" i="111"/>
  <c r="N65" i="111"/>
  <c r="C66" i="111"/>
  <c r="D66" i="111"/>
  <c r="E66" i="111"/>
  <c r="F66" i="111"/>
  <c r="G66" i="111"/>
  <c r="H66" i="111"/>
  <c r="I66" i="111"/>
  <c r="J66" i="111"/>
  <c r="K66" i="111"/>
  <c r="L66" i="111"/>
  <c r="M66" i="111"/>
  <c r="N66" i="111"/>
  <c r="C67" i="111"/>
  <c r="D67" i="111"/>
  <c r="E67" i="111"/>
  <c r="F67" i="111"/>
  <c r="G67" i="111"/>
  <c r="H67" i="111"/>
  <c r="I67" i="111"/>
  <c r="J67" i="111"/>
  <c r="K67" i="111"/>
  <c r="L67" i="111"/>
  <c r="M67" i="111"/>
  <c r="N67" i="111"/>
  <c r="C68" i="111"/>
  <c r="D68" i="111"/>
  <c r="E68" i="111"/>
  <c r="F68" i="111"/>
  <c r="G68" i="111"/>
  <c r="H68" i="111"/>
  <c r="I68" i="111"/>
  <c r="J68" i="111"/>
  <c r="K68" i="111"/>
  <c r="L68" i="111"/>
  <c r="M68" i="111"/>
  <c r="N68" i="111"/>
  <c r="C69" i="111"/>
  <c r="D69" i="111"/>
  <c r="E69" i="111"/>
  <c r="F69" i="111"/>
  <c r="G69" i="111"/>
  <c r="H69" i="111"/>
  <c r="I69" i="111"/>
  <c r="J69" i="111"/>
  <c r="K69" i="111"/>
  <c r="L69" i="111"/>
  <c r="M69" i="111"/>
  <c r="N69" i="111"/>
  <c r="C70" i="111"/>
  <c r="D70" i="111"/>
  <c r="E70" i="111"/>
  <c r="F70" i="111"/>
  <c r="G70" i="111"/>
  <c r="H70" i="111"/>
  <c r="I70" i="111"/>
  <c r="J70" i="111"/>
  <c r="K70" i="111"/>
  <c r="L70" i="111"/>
  <c r="M70" i="111"/>
  <c r="N70" i="111"/>
  <c r="C71" i="111"/>
  <c r="D71" i="111"/>
  <c r="E71" i="111"/>
  <c r="F71" i="111"/>
  <c r="G71" i="111"/>
  <c r="H71" i="111"/>
  <c r="I71" i="111"/>
  <c r="J71" i="111"/>
  <c r="K71" i="111"/>
  <c r="L71" i="111"/>
  <c r="M71" i="111"/>
  <c r="N71" i="111"/>
  <c r="C72" i="111"/>
  <c r="D72" i="111"/>
  <c r="E72" i="111"/>
  <c r="F72" i="111"/>
  <c r="G72" i="111"/>
  <c r="H72" i="111"/>
  <c r="I72" i="111"/>
  <c r="J72" i="111"/>
  <c r="K72" i="111"/>
  <c r="L72" i="111"/>
  <c r="M72" i="111"/>
  <c r="N72" i="111"/>
  <c r="C73" i="111"/>
  <c r="D73" i="111"/>
  <c r="E73" i="111"/>
  <c r="F73" i="111"/>
  <c r="G73" i="111"/>
  <c r="H73" i="111"/>
  <c r="I73" i="111"/>
  <c r="J73" i="111"/>
  <c r="K73" i="111"/>
  <c r="L73" i="111"/>
  <c r="M73" i="111"/>
  <c r="N73" i="111"/>
  <c r="C74" i="111"/>
  <c r="D74" i="111"/>
  <c r="E74" i="111"/>
  <c r="F74" i="111"/>
  <c r="G74" i="111"/>
  <c r="H74" i="111"/>
  <c r="I74" i="111"/>
  <c r="J74" i="111"/>
  <c r="K74" i="111"/>
  <c r="L74" i="111"/>
  <c r="M74" i="111"/>
  <c r="N74" i="111"/>
  <c r="C75" i="111"/>
  <c r="D75" i="111"/>
  <c r="E75" i="111"/>
  <c r="F75" i="111"/>
  <c r="G75" i="111"/>
  <c r="H75" i="111"/>
  <c r="I75" i="111"/>
  <c r="J75" i="111"/>
  <c r="K75" i="111"/>
  <c r="L75" i="111"/>
  <c r="M75" i="111"/>
  <c r="N75" i="111"/>
  <c r="C76" i="111"/>
  <c r="D76" i="111"/>
  <c r="E76" i="111"/>
  <c r="F76" i="111"/>
  <c r="G76" i="111"/>
  <c r="H76" i="111"/>
  <c r="I76" i="111"/>
  <c r="J76" i="111"/>
  <c r="K76" i="111"/>
  <c r="L76" i="111"/>
  <c r="M76" i="111"/>
  <c r="N76" i="111"/>
  <c r="C77" i="111"/>
  <c r="D77" i="111"/>
  <c r="E77" i="111"/>
  <c r="F77" i="111"/>
  <c r="G77" i="111"/>
  <c r="H77" i="111"/>
  <c r="I77" i="111"/>
  <c r="J77" i="111"/>
  <c r="K77" i="111"/>
  <c r="L77" i="111"/>
  <c r="M77" i="111"/>
  <c r="N77" i="111"/>
  <c r="C78" i="111"/>
  <c r="D78" i="111"/>
  <c r="E78" i="111"/>
  <c r="F78" i="111"/>
  <c r="G78" i="111"/>
  <c r="H78" i="111"/>
  <c r="I78" i="111"/>
  <c r="J78" i="111"/>
  <c r="K78" i="111"/>
  <c r="L78" i="111"/>
  <c r="M78" i="111"/>
  <c r="N78" i="111"/>
  <c r="C79" i="111"/>
  <c r="D79" i="111"/>
  <c r="E79" i="111"/>
  <c r="F79" i="111"/>
  <c r="G79" i="111"/>
  <c r="H79" i="111"/>
  <c r="I79" i="111"/>
  <c r="J79" i="111"/>
  <c r="K79" i="111"/>
  <c r="L79" i="111"/>
  <c r="M79" i="111"/>
  <c r="N79" i="111"/>
  <c r="C80" i="111"/>
  <c r="D80" i="111"/>
  <c r="E80" i="111"/>
  <c r="F80" i="111"/>
  <c r="G80" i="111"/>
  <c r="H80" i="111"/>
  <c r="I80" i="111"/>
  <c r="J80" i="111"/>
  <c r="K80" i="111"/>
  <c r="L80" i="111"/>
  <c r="M80" i="111"/>
  <c r="N80" i="111"/>
  <c r="C81" i="111"/>
  <c r="D81" i="111"/>
  <c r="E81" i="111"/>
  <c r="F81" i="111"/>
  <c r="G81" i="111"/>
  <c r="H81" i="111"/>
  <c r="I81" i="111"/>
  <c r="J81" i="111"/>
  <c r="K81" i="111"/>
  <c r="L81" i="111"/>
  <c r="M81" i="111"/>
  <c r="N81" i="111"/>
  <c r="C82" i="111"/>
  <c r="D82" i="111"/>
  <c r="E82" i="111"/>
  <c r="F82" i="111"/>
  <c r="G82" i="111"/>
  <c r="H82" i="111"/>
  <c r="I82" i="111"/>
  <c r="J82" i="111"/>
  <c r="K82" i="111"/>
  <c r="L82" i="111"/>
  <c r="M82" i="111"/>
  <c r="N82" i="111"/>
  <c r="C83" i="111"/>
  <c r="D83" i="111"/>
  <c r="E83" i="111"/>
  <c r="F83" i="111"/>
  <c r="G83" i="111"/>
  <c r="H83" i="111"/>
  <c r="I83" i="111"/>
  <c r="J83" i="111"/>
  <c r="K83" i="111"/>
  <c r="L83" i="111"/>
  <c r="M83" i="111"/>
  <c r="N83" i="111"/>
  <c r="C84" i="111"/>
  <c r="D84" i="111"/>
  <c r="E84" i="111"/>
  <c r="F84" i="111"/>
  <c r="G84" i="111"/>
  <c r="H84" i="111"/>
  <c r="I84" i="111"/>
  <c r="J84" i="111"/>
  <c r="K84" i="111"/>
  <c r="L84" i="111"/>
  <c r="M84" i="111"/>
  <c r="N84" i="111"/>
  <c r="C85" i="111"/>
  <c r="D85" i="111"/>
  <c r="E85" i="111"/>
  <c r="F85" i="111"/>
  <c r="G85" i="111"/>
  <c r="H85" i="111"/>
  <c r="I85" i="111"/>
  <c r="J85" i="111"/>
  <c r="K85" i="111"/>
  <c r="L85" i="111"/>
  <c r="M85" i="111"/>
  <c r="N85" i="111"/>
  <c r="C86" i="111"/>
  <c r="D86" i="111"/>
  <c r="E86" i="111"/>
  <c r="F86" i="111"/>
  <c r="G86" i="111"/>
  <c r="H86" i="111"/>
  <c r="I86" i="111"/>
  <c r="J86" i="111"/>
  <c r="K86" i="111"/>
  <c r="L86" i="111"/>
  <c r="M86" i="111"/>
  <c r="N86" i="111"/>
  <c r="C87" i="111"/>
  <c r="D87" i="111"/>
  <c r="E87" i="111"/>
  <c r="F87" i="111"/>
  <c r="G87" i="111"/>
  <c r="H87" i="111"/>
  <c r="I87" i="111"/>
  <c r="J87" i="111"/>
  <c r="K87" i="111"/>
  <c r="L87" i="111"/>
  <c r="M87" i="111"/>
  <c r="N87" i="111"/>
  <c r="C88" i="111"/>
  <c r="D88" i="111"/>
  <c r="E88" i="111"/>
  <c r="F88" i="111"/>
  <c r="G88" i="111"/>
  <c r="H88" i="111"/>
  <c r="I88" i="111"/>
  <c r="J88" i="111"/>
  <c r="K88" i="111"/>
  <c r="L88" i="111"/>
  <c r="M88" i="111"/>
  <c r="N88" i="111"/>
  <c r="C89" i="111"/>
  <c r="D89" i="111"/>
  <c r="E89" i="111"/>
  <c r="F89" i="111"/>
  <c r="G89" i="111"/>
  <c r="H89" i="111"/>
  <c r="I89" i="111"/>
  <c r="J89" i="111"/>
  <c r="K89" i="111"/>
  <c r="L89" i="111"/>
  <c r="M89" i="111"/>
  <c r="N89" i="111"/>
  <c r="C90" i="111"/>
  <c r="D90" i="111"/>
  <c r="E90" i="111"/>
  <c r="F90" i="111"/>
  <c r="G90" i="111"/>
  <c r="H90" i="111"/>
  <c r="I90" i="111"/>
  <c r="J90" i="111"/>
  <c r="K90" i="111"/>
  <c r="L90" i="111"/>
  <c r="M90" i="111"/>
  <c r="N90" i="111"/>
  <c r="C91" i="111"/>
  <c r="D91" i="111"/>
  <c r="E91" i="111"/>
  <c r="F91" i="111"/>
  <c r="G91" i="111"/>
  <c r="H91" i="111"/>
  <c r="I91" i="111"/>
  <c r="J91" i="111"/>
  <c r="K91" i="111"/>
  <c r="L91" i="111"/>
  <c r="M91" i="111"/>
  <c r="N91" i="111"/>
  <c r="C92" i="111"/>
  <c r="D92" i="111"/>
  <c r="E92" i="111"/>
  <c r="F92" i="111"/>
  <c r="G92" i="111"/>
  <c r="H92" i="111"/>
  <c r="I92" i="111"/>
  <c r="J92" i="111"/>
  <c r="K92" i="111"/>
  <c r="L92" i="111"/>
  <c r="M92" i="111"/>
  <c r="N92" i="111"/>
  <c r="C93" i="111"/>
  <c r="D93" i="111"/>
  <c r="E93" i="111"/>
  <c r="F93" i="111"/>
  <c r="G93" i="111"/>
  <c r="H93" i="111"/>
  <c r="I93" i="111"/>
  <c r="J93" i="111"/>
  <c r="K93" i="111"/>
  <c r="L93" i="111"/>
  <c r="M93" i="111"/>
  <c r="N93" i="111"/>
  <c r="C94" i="111"/>
  <c r="D94" i="111"/>
  <c r="E94" i="111"/>
  <c r="F94" i="111"/>
  <c r="G94" i="111"/>
  <c r="H94" i="111"/>
  <c r="I94" i="111"/>
  <c r="J94" i="111"/>
  <c r="K94" i="111"/>
  <c r="L94" i="111"/>
  <c r="M94" i="111"/>
  <c r="N94" i="111"/>
  <c r="C95" i="111"/>
  <c r="D95" i="111"/>
  <c r="E95" i="111"/>
  <c r="F95" i="111"/>
  <c r="G95" i="111"/>
  <c r="H95" i="111"/>
  <c r="I95" i="111"/>
  <c r="J95" i="111"/>
  <c r="K95" i="111"/>
  <c r="L95" i="111"/>
  <c r="M95" i="111"/>
  <c r="N95" i="111"/>
  <c r="C96" i="111"/>
  <c r="D96" i="111"/>
  <c r="E96" i="111"/>
  <c r="F96" i="111"/>
  <c r="G96" i="111"/>
  <c r="H96" i="111"/>
  <c r="I96" i="111"/>
  <c r="J96" i="111"/>
  <c r="K96" i="111"/>
  <c r="L96" i="111"/>
  <c r="M96" i="111"/>
  <c r="N96" i="111"/>
  <c r="C97" i="111"/>
  <c r="D97" i="111"/>
  <c r="E97" i="111"/>
  <c r="F97" i="111"/>
  <c r="G97" i="111"/>
  <c r="H97" i="111"/>
  <c r="I97" i="111"/>
  <c r="J97" i="111"/>
  <c r="K97" i="111"/>
  <c r="L97" i="111"/>
  <c r="M97" i="111"/>
  <c r="N97" i="111"/>
  <c r="C98" i="111"/>
  <c r="D98" i="111"/>
  <c r="E98" i="111"/>
  <c r="F98" i="111"/>
  <c r="G98" i="111"/>
  <c r="H98" i="111"/>
  <c r="I98" i="111"/>
  <c r="J98" i="111"/>
  <c r="K98" i="111"/>
  <c r="L98" i="111"/>
  <c r="M98" i="111"/>
  <c r="N98" i="111"/>
  <c r="C99" i="111"/>
  <c r="D99" i="111"/>
  <c r="E99" i="111"/>
  <c r="F99" i="111"/>
  <c r="G99" i="111"/>
  <c r="H99" i="111"/>
  <c r="I99" i="111"/>
  <c r="J99" i="111"/>
  <c r="K99" i="111"/>
  <c r="L99" i="111"/>
  <c r="M99" i="111"/>
  <c r="N99" i="111"/>
  <c r="C100" i="111"/>
  <c r="D100" i="111"/>
  <c r="E100" i="111"/>
  <c r="F100" i="111"/>
  <c r="G100" i="111"/>
  <c r="H100" i="111"/>
  <c r="I100" i="111"/>
  <c r="J100" i="111"/>
  <c r="K100" i="111"/>
  <c r="L100" i="111"/>
  <c r="M100" i="111"/>
  <c r="N100" i="111"/>
  <c r="C101" i="111"/>
  <c r="D101" i="111"/>
  <c r="E101" i="111"/>
  <c r="F101" i="111"/>
  <c r="G101" i="111"/>
  <c r="H101" i="111"/>
  <c r="I101" i="111"/>
  <c r="J101" i="111"/>
  <c r="K101" i="111"/>
  <c r="L101" i="111"/>
  <c r="M101" i="111"/>
  <c r="N101" i="111"/>
  <c r="C102" i="111"/>
  <c r="D102" i="111"/>
  <c r="E102" i="111"/>
  <c r="F102" i="111"/>
  <c r="G102" i="111"/>
  <c r="H102" i="111"/>
  <c r="I102" i="111"/>
  <c r="J102" i="111"/>
  <c r="K102" i="111"/>
  <c r="L102" i="111"/>
  <c r="M102" i="111"/>
  <c r="N102" i="111"/>
  <c r="C103" i="111"/>
  <c r="D103" i="111"/>
  <c r="E103" i="111"/>
  <c r="F103" i="111"/>
  <c r="G103" i="111"/>
  <c r="H103" i="111"/>
  <c r="I103" i="111"/>
  <c r="J103" i="111"/>
  <c r="K103" i="111"/>
  <c r="L103" i="111"/>
  <c r="M103" i="111"/>
  <c r="N103" i="111"/>
  <c r="C104" i="111"/>
  <c r="D104" i="111"/>
  <c r="E104" i="111"/>
  <c r="F104" i="111"/>
  <c r="G104" i="111"/>
  <c r="H104" i="111"/>
  <c r="I104" i="111"/>
  <c r="J104" i="111"/>
  <c r="K104" i="111"/>
  <c r="L104" i="111"/>
  <c r="M104" i="111"/>
  <c r="N104" i="111"/>
  <c r="C105" i="111"/>
  <c r="D105" i="111"/>
  <c r="E105" i="111"/>
  <c r="F105" i="111"/>
  <c r="G105" i="111"/>
  <c r="H105" i="111"/>
  <c r="I105" i="111"/>
  <c r="J105" i="111"/>
  <c r="K105" i="111"/>
  <c r="L105" i="111"/>
  <c r="M105" i="111"/>
  <c r="N105" i="111"/>
  <c r="D58" i="111"/>
  <c r="E58" i="111"/>
  <c r="F58" i="111"/>
  <c r="G58" i="111"/>
  <c r="H58" i="111"/>
  <c r="I58" i="111"/>
  <c r="J58" i="111"/>
  <c r="K58" i="111"/>
  <c r="L58" i="111"/>
  <c r="M58" i="111"/>
  <c r="N58" i="111"/>
  <c r="C58" i="111"/>
  <c r="P58" i="107"/>
  <c r="P59" i="107"/>
  <c r="P60" i="107"/>
  <c r="P61" i="107"/>
  <c r="P62" i="107"/>
  <c r="P63" i="107"/>
  <c r="P64" i="107"/>
  <c r="P65" i="107"/>
  <c r="P66" i="107"/>
  <c r="P67" i="107"/>
  <c r="P68" i="107"/>
  <c r="P69" i="107"/>
  <c r="P70" i="107"/>
  <c r="P71" i="107"/>
  <c r="P72" i="107"/>
  <c r="P73" i="107"/>
  <c r="P74" i="107"/>
  <c r="P75" i="107"/>
  <c r="P76" i="107"/>
  <c r="P77" i="107"/>
  <c r="P78" i="107"/>
  <c r="P79" i="107"/>
  <c r="P80" i="107"/>
  <c r="P81" i="107"/>
  <c r="P82" i="107"/>
  <c r="P83" i="107"/>
  <c r="P84" i="107"/>
  <c r="P85" i="107"/>
  <c r="P86" i="107"/>
  <c r="P87" i="107"/>
  <c r="P88" i="107"/>
  <c r="P89" i="107"/>
  <c r="P90" i="107"/>
  <c r="P91" i="107"/>
  <c r="P92" i="107"/>
  <c r="P93" i="107"/>
  <c r="P94" i="107"/>
  <c r="P95" i="107"/>
  <c r="P96" i="107"/>
  <c r="P97" i="107"/>
  <c r="P98" i="107"/>
  <c r="P99" i="107"/>
  <c r="P100" i="107"/>
  <c r="P101" i="107"/>
  <c r="P102" i="107"/>
  <c r="P103" i="107"/>
  <c r="P104" i="107"/>
  <c r="P105" i="107"/>
  <c r="O58" i="107"/>
  <c r="O59" i="107"/>
  <c r="O60" i="107"/>
  <c r="O61" i="107"/>
  <c r="O62" i="107"/>
  <c r="O63" i="107"/>
  <c r="O64" i="107"/>
  <c r="O65" i="107"/>
  <c r="O66" i="107"/>
  <c r="O67" i="107"/>
  <c r="O68" i="107"/>
  <c r="O69" i="107"/>
  <c r="O70" i="107"/>
  <c r="O71" i="107"/>
  <c r="O72" i="107"/>
  <c r="O73" i="107"/>
  <c r="O74" i="107"/>
  <c r="O75" i="107"/>
  <c r="O76" i="107"/>
  <c r="O77" i="107"/>
  <c r="O78" i="107"/>
  <c r="O79" i="107"/>
  <c r="O80" i="107"/>
  <c r="O81" i="107"/>
  <c r="O82" i="107"/>
  <c r="O83" i="107"/>
  <c r="O84" i="107"/>
  <c r="O85" i="107"/>
  <c r="O86" i="107"/>
  <c r="O87" i="107"/>
  <c r="O88" i="107"/>
  <c r="O89" i="107"/>
  <c r="O90" i="107"/>
  <c r="O91" i="107"/>
  <c r="O92" i="107"/>
  <c r="O93" i="107"/>
  <c r="O94" i="107"/>
  <c r="O95" i="107"/>
  <c r="O96" i="107"/>
  <c r="O97" i="107"/>
  <c r="O98" i="107"/>
  <c r="O99" i="107"/>
  <c r="O100" i="107"/>
  <c r="O101" i="107"/>
  <c r="O102" i="107"/>
  <c r="O103" i="107"/>
  <c r="O104" i="107"/>
  <c r="O105" i="107"/>
  <c r="C59" i="107"/>
  <c r="D59" i="107"/>
  <c r="E59" i="107"/>
  <c r="F59" i="107"/>
  <c r="G59" i="107"/>
  <c r="H59" i="107"/>
  <c r="I59" i="107"/>
  <c r="J59" i="107"/>
  <c r="K59" i="107"/>
  <c r="L59" i="107"/>
  <c r="M59" i="107"/>
  <c r="N59" i="107"/>
  <c r="C60" i="107"/>
  <c r="D60" i="107"/>
  <c r="E60" i="107"/>
  <c r="F60" i="107"/>
  <c r="G60" i="107"/>
  <c r="H60" i="107"/>
  <c r="I60" i="107"/>
  <c r="J60" i="107"/>
  <c r="K60" i="107"/>
  <c r="L60" i="107"/>
  <c r="M60" i="107"/>
  <c r="N60" i="107"/>
  <c r="C61" i="107"/>
  <c r="D61" i="107"/>
  <c r="E61" i="107"/>
  <c r="F61" i="107"/>
  <c r="G61" i="107"/>
  <c r="H61" i="107"/>
  <c r="I61" i="107"/>
  <c r="J61" i="107"/>
  <c r="K61" i="107"/>
  <c r="L61" i="107"/>
  <c r="M61" i="107"/>
  <c r="N61" i="107"/>
  <c r="C62" i="107"/>
  <c r="D62" i="107"/>
  <c r="E62" i="107"/>
  <c r="F62" i="107"/>
  <c r="G62" i="107"/>
  <c r="H62" i="107"/>
  <c r="I62" i="107"/>
  <c r="J62" i="107"/>
  <c r="K62" i="107"/>
  <c r="L62" i="107"/>
  <c r="M62" i="107"/>
  <c r="N62" i="107"/>
  <c r="C63" i="107"/>
  <c r="D63" i="107"/>
  <c r="E63" i="107"/>
  <c r="F63" i="107"/>
  <c r="G63" i="107"/>
  <c r="H63" i="107"/>
  <c r="I63" i="107"/>
  <c r="J63" i="107"/>
  <c r="K63" i="107"/>
  <c r="L63" i="107"/>
  <c r="M63" i="107"/>
  <c r="N63" i="107"/>
  <c r="C64" i="107"/>
  <c r="D64" i="107"/>
  <c r="E64" i="107"/>
  <c r="F64" i="107"/>
  <c r="G64" i="107"/>
  <c r="H64" i="107"/>
  <c r="I64" i="107"/>
  <c r="J64" i="107"/>
  <c r="K64" i="107"/>
  <c r="L64" i="107"/>
  <c r="M64" i="107"/>
  <c r="N64" i="107"/>
  <c r="C65" i="107"/>
  <c r="D65" i="107"/>
  <c r="E65" i="107"/>
  <c r="F65" i="107"/>
  <c r="G65" i="107"/>
  <c r="H65" i="107"/>
  <c r="I65" i="107"/>
  <c r="J65" i="107"/>
  <c r="K65" i="107"/>
  <c r="L65" i="107"/>
  <c r="M65" i="107"/>
  <c r="N65" i="107"/>
  <c r="C66" i="107"/>
  <c r="D66" i="107"/>
  <c r="E66" i="107"/>
  <c r="F66" i="107"/>
  <c r="G66" i="107"/>
  <c r="H66" i="107"/>
  <c r="I66" i="107"/>
  <c r="J66" i="107"/>
  <c r="K66" i="107"/>
  <c r="L66" i="107"/>
  <c r="M66" i="107"/>
  <c r="N66" i="107"/>
  <c r="C67" i="107"/>
  <c r="D67" i="107"/>
  <c r="E67" i="107"/>
  <c r="F67" i="107"/>
  <c r="G67" i="107"/>
  <c r="H67" i="107"/>
  <c r="I67" i="107"/>
  <c r="J67" i="107"/>
  <c r="K67" i="107"/>
  <c r="L67" i="107"/>
  <c r="M67" i="107"/>
  <c r="N67" i="107"/>
  <c r="C68" i="107"/>
  <c r="D68" i="107"/>
  <c r="E68" i="107"/>
  <c r="F68" i="107"/>
  <c r="G68" i="107"/>
  <c r="H68" i="107"/>
  <c r="I68" i="107"/>
  <c r="J68" i="107"/>
  <c r="K68" i="107"/>
  <c r="L68" i="107"/>
  <c r="M68" i="107"/>
  <c r="N68" i="107"/>
  <c r="C69" i="107"/>
  <c r="D69" i="107"/>
  <c r="E69" i="107"/>
  <c r="F69" i="107"/>
  <c r="G69" i="107"/>
  <c r="H69" i="107"/>
  <c r="I69" i="107"/>
  <c r="J69" i="107"/>
  <c r="K69" i="107"/>
  <c r="L69" i="107"/>
  <c r="M69" i="107"/>
  <c r="N69" i="107"/>
  <c r="C70" i="107"/>
  <c r="D70" i="107"/>
  <c r="E70" i="107"/>
  <c r="F70" i="107"/>
  <c r="G70" i="107"/>
  <c r="H70" i="107"/>
  <c r="I70" i="107"/>
  <c r="J70" i="107"/>
  <c r="K70" i="107"/>
  <c r="L70" i="107"/>
  <c r="M70" i="107"/>
  <c r="N70" i="107"/>
  <c r="C71" i="107"/>
  <c r="D71" i="107"/>
  <c r="E71" i="107"/>
  <c r="F71" i="107"/>
  <c r="G71" i="107"/>
  <c r="H71" i="107"/>
  <c r="I71" i="107"/>
  <c r="J71" i="107"/>
  <c r="K71" i="107"/>
  <c r="L71" i="107"/>
  <c r="M71" i="107"/>
  <c r="N71" i="107"/>
  <c r="C72" i="107"/>
  <c r="D72" i="107"/>
  <c r="E72" i="107"/>
  <c r="F72" i="107"/>
  <c r="G72" i="107"/>
  <c r="H72" i="107"/>
  <c r="I72" i="107"/>
  <c r="J72" i="107"/>
  <c r="K72" i="107"/>
  <c r="L72" i="107"/>
  <c r="M72" i="107"/>
  <c r="N72" i="107"/>
  <c r="C73" i="107"/>
  <c r="D73" i="107"/>
  <c r="E73" i="107"/>
  <c r="F73" i="107"/>
  <c r="G73" i="107"/>
  <c r="H73" i="107"/>
  <c r="I73" i="107"/>
  <c r="J73" i="107"/>
  <c r="K73" i="107"/>
  <c r="L73" i="107"/>
  <c r="M73" i="107"/>
  <c r="N73" i="107"/>
  <c r="C74" i="107"/>
  <c r="D74" i="107"/>
  <c r="E74" i="107"/>
  <c r="F74" i="107"/>
  <c r="G74" i="107"/>
  <c r="H74" i="107"/>
  <c r="I74" i="107"/>
  <c r="J74" i="107"/>
  <c r="K74" i="107"/>
  <c r="L74" i="107"/>
  <c r="M74" i="107"/>
  <c r="N74" i="107"/>
  <c r="C75" i="107"/>
  <c r="D75" i="107"/>
  <c r="E75" i="107"/>
  <c r="F75" i="107"/>
  <c r="G75" i="107"/>
  <c r="H75" i="107"/>
  <c r="I75" i="107"/>
  <c r="J75" i="107"/>
  <c r="K75" i="107"/>
  <c r="L75" i="107"/>
  <c r="M75" i="107"/>
  <c r="N75" i="107"/>
  <c r="C76" i="107"/>
  <c r="D76" i="107"/>
  <c r="E76" i="107"/>
  <c r="F76" i="107"/>
  <c r="G76" i="107"/>
  <c r="H76" i="107"/>
  <c r="I76" i="107"/>
  <c r="J76" i="107"/>
  <c r="K76" i="107"/>
  <c r="L76" i="107"/>
  <c r="M76" i="107"/>
  <c r="N76" i="107"/>
  <c r="C77" i="107"/>
  <c r="D77" i="107"/>
  <c r="E77" i="107"/>
  <c r="F77" i="107"/>
  <c r="G77" i="107"/>
  <c r="H77" i="107"/>
  <c r="I77" i="107"/>
  <c r="J77" i="107"/>
  <c r="K77" i="107"/>
  <c r="L77" i="107"/>
  <c r="M77" i="107"/>
  <c r="N77" i="107"/>
  <c r="C78" i="107"/>
  <c r="D78" i="107"/>
  <c r="E78" i="107"/>
  <c r="F78" i="107"/>
  <c r="G78" i="107"/>
  <c r="H78" i="107"/>
  <c r="I78" i="107"/>
  <c r="J78" i="107"/>
  <c r="K78" i="107"/>
  <c r="L78" i="107"/>
  <c r="M78" i="107"/>
  <c r="N78" i="107"/>
  <c r="C79" i="107"/>
  <c r="D79" i="107"/>
  <c r="E79" i="107"/>
  <c r="F79" i="107"/>
  <c r="G79" i="107"/>
  <c r="H79" i="107"/>
  <c r="I79" i="107"/>
  <c r="J79" i="107"/>
  <c r="K79" i="107"/>
  <c r="L79" i="107"/>
  <c r="M79" i="107"/>
  <c r="N79" i="107"/>
  <c r="C80" i="107"/>
  <c r="D80" i="107"/>
  <c r="E80" i="107"/>
  <c r="F80" i="107"/>
  <c r="G80" i="107"/>
  <c r="H80" i="107"/>
  <c r="I80" i="107"/>
  <c r="J80" i="107"/>
  <c r="K80" i="107"/>
  <c r="L80" i="107"/>
  <c r="M80" i="107"/>
  <c r="N80" i="107"/>
  <c r="C81" i="107"/>
  <c r="D81" i="107"/>
  <c r="E81" i="107"/>
  <c r="F81" i="107"/>
  <c r="G81" i="107"/>
  <c r="H81" i="107"/>
  <c r="I81" i="107"/>
  <c r="J81" i="107"/>
  <c r="K81" i="107"/>
  <c r="L81" i="107"/>
  <c r="M81" i="107"/>
  <c r="N81" i="107"/>
  <c r="C82" i="107"/>
  <c r="D82" i="107"/>
  <c r="E82" i="107"/>
  <c r="F82" i="107"/>
  <c r="G82" i="107"/>
  <c r="H82" i="107"/>
  <c r="I82" i="107"/>
  <c r="J82" i="107"/>
  <c r="K82" i="107"/>
  <c r="L82" i="107"/>
  <c r="M82" i="107"/>
  <c r="N82" i="107"/>
  <c r="C83" i="107"/>
  <c r="D83" i="107"/>
  <c r="E83" i="107"/>
  <c r="F83" i="107"/>
  <c r="G83" i="107"/>
  <c r="H83" i="107"/>
  <c r="I83" i="107"/>
  <c r="J83" i="107"/>
  <c r="K83" i="107"/>
  <c r="L83" i="107"/>
  <c r="M83" i="107"/>
  <c r="N83" i="107"/>
  <c r="C84" i="107"/>
  <c r="D84" i="107"/>
  <c r="E84" i="107"/>
  <c r="F84" i="107"/>
  <c r="G84" i="107"/>
  <c r="H84" i="107"/>
  <c r="I84" i="107"/>
  <c r="J84" i="107"/>
  <c r="K84" i="107"/>
  <c r="L84" i="107"/>
  <c r="M84" i="107"/>
  <c r="N84" i="107"/>
  <c r="C85" i="107"/>
  <c r="D85" i="107"/>
  <c r="E85" i="107"/>
  <c r="F85" i="107"/>
  <c r="G85" i="107"/>
  <c r="H85" i="107"/>
  <c r="I85" i="107"/>
  <c r="J85" i="107"/>
  <c r="K85" i="107"/>
  <c r="L85" i="107"/>
  <c r="M85" i="107"/>
  <c r="N85" i="107"/>
  <c r="C86" i="107"/>
  <c r="D86" i="107"/>
  <c r="E86" i="107"/>
  <c r="F86" i="107"/>
  <c r="G86" i="107"/>
  <c r="H86" i="107"/>
  <c r="I86" i="107"/>
  <c r="J86" i="107"/>
  <c r="K86" i="107"/>
  <c r="L86" i="107"/>
  <c r="M86" i="107"/>
  <c r="N86" i="107"/>
  <c r="C87" i="107"/>
  <c r="D87" i="107"/>
  <c r="E87" i="107"/>
  <c r="F87" i="107"/>
  <c r="G87" i="107"/>
  <c r="H87" i="107"/>
  <c r="I87" i="107"/>
  <c r="J87" i="107"/>
  <c r="K87" i="107"/>
  <c r="L87" i="107"/>
  <c r="M87" i="107"/>
  <c r="N87" i="107"/>
  <c r="C88" i="107"/>
  <c r="D88" i="107"/>
  <c r="E88" i="107"/>
  <c r="F88" i="107"/>
  <c r="G88" i="107"/>
  <c r="H88" i="107"/>
  <c r="I88" i="107"/>
  <c r="J88" i="107"/>
  <c r="K88" i="107"/>
  <c r="L88" i="107"/>
  <c r="M88" i="107"/>
  <c r="N88" i="107"/>
  <c r="C89" i="107"/>
  <c r="D89" i="107"/>
  <c r="E89" i="107"/>
  <c r="F89" i="107"/>
  <c r="G89" i="107"/>
  <c r="H89" i="107"/>
  <c r="I89" i="107"/>
  <c r="J89" i="107"/>
  <c r="K89" i="107"/>
  <c r="L89" i="107"/>
  <c r="M89" i="107"/>
  <c r="N89" i="107"/>
  <c r="C90" i="107"/>
  <c r="D90" i="107"/>
  <c r="E90" i="107"/>
  <c r="F90" i="107"/>
  <c r="G90" i="107"/>
  <c r="H90" i="107"/>
  <c r="I90" i="107"/>
  <c r="J90" i="107"/>
  <c r="K90" i="107"/>
  <c r="L90" i="107"/>
  <c r="M90" i="107"/>
  <c r="N90" i="107"/>
  <c r="C91" i="107"/>
  <c r="D91" i="107"/>
  <c r="E91" i="107"/>
  <c r="F91" i="107"/>
  <c r="G91" i="107"/>
  <c r="H91" i="107"/>
  <c r="I91" i="107"/>
  <c r="J91" i="107"/>
  <c r="K91" i="107"/>
  <c r="L91" i="107"/>
  <c r="M91" i="107"/>
  <c r="N91" i="107"/>
  <c r="C92" i="107"/>
  <c r="D92" i="107"/>
  <c r="E92" i="107"/>
  <c r="F92" i="107"/>
  <c r="G92" i="107"/>
  <c r="H92" i="107"/>
  <c r="I92" i="107"/>
  <c r="J92" i="107"/>
  <c r="K92" i="107"/>
  <c r="L92" i="107"/>
  <c r="M92" i="107"/>
  <c r="N92" i="107"/>
  <c r="C93" i="107"/>
  <c r="D93" i="107"/>
  <c r="E93" i="107"/>
  <c r="F93" i="107"/>
  <c r="G93" i="107"/>
  <c r="H93" i="107"/>
  <c r="I93" i="107"/>
  <c r="J93" i="107"/>
  <c r="K93" i="107"/>
  <c r="L93" i="107"/>
  <c r="M93" i="107"/>
  <c r="N93" i="107"/>
  <c r="C94" i="107"/>
  <c r="D94" i="107"/>
  <c r="E94" i="107"/>
  <c r="F94" i="107"/>
  <c r="G94" i="107"/>
  <c r="H94" i="107"/>
  <c r="I94" i="107"/>
  <c r="J94" i="107"/>
  <c r="K94" i="107"/>
  <c r="L94" i="107"/>
  <c r="M94" i="107"/>
  <c r="N94" i="107"/>
  <c r="C95" i="107"/>
  <c r="D95" i="107"/>
  <c r="E95" i="107"/>
  <c r="F95" i="107"/>
  <c r="G95" i="107"/>
  <c r="H95" i="107"/>
  <c r="I95" i="107"/>
  <c r="J95" i="107"/>
  <c r="K95" i="107"/>
  <c r="L95" i="107"/>
  <c r="M95" i="107"/>
  <c r="N95" i="107"/>
  <c r="C96" i="107"/>
  <c r="D96" i="107"/>
  <c r="E96" i="107"/>
  <c r="F96" i="107"/>
  <c r="G96" i="107"/>
  <c r="H96" i="107"/>
  <c r="I96" i="107"/>
  <c r="J96" i="107"/>
  <c r="K96" i="107"/>
  <c r="L96" i="107"/>
  <c r="M96" i="107"/>
  <c r="N96" i="107"/>
  <c r="C97" i="107"/>
  <c r="D97" i="107"/>
  <c r="E97" i="107"/>
  <c r="F97" i="107"/>
  <c r="G97" i="107"/>
  <c r="H97" i="107"/>
  <c r="I97" i="107"/>
  <c r="J97" i="107"/>
  <c r="K97" i="107"/>
  <c r="L97" i="107"/>
  <c r="M97" i="107"/>
  <c r="N97" i="107"/>
  <c r="C98" i="107"/>
  <c r="D98" i="107"/>
  <c r="E98" i="107"/>
  <c r="F98" i="107"/>
  <c r="G98" i="107"/>
  <c r="H98" i="107"/>
  <c r="I98" i="107"/>
  <c r="J98" i="107"/>
  <c r="K98" i="107"/>
  <c r="L98" i="107"/>
  <c r="M98" i="107"/>
  <c r="N98" i="107"/>
  <c r="C99" i="107"/>
  <c r="D99" i="107"/>
  <c r="E99" i="107"/>
  <c r="F99" i="107"/>
  <c r="G99" i="107"/>
  <c r="H99" i="107"/>
  <c r="I99" i="107"/>
  <c r="J99" i="107"/>
  <c r="K99" i="107"/>
  <c r="L99" i="107"/>
  <c r="M99" i="107"/>
  <c r="N99" i="107"/>
  <c r="C100" i="107"/>
  <c r="D100" i="107"/>
  <c r="E100" i="107"/>
  <c r="F100" i="107"/>
  <c r="G100" i="107"/>
  <c r="H100" i="107"/>
  <c r="I100" i="107"/>
  <c r="J100" i="107"/>
  <c r="K100" i="107"/>
  <c r="L100" i="107"/>
  <c r="M100" i="107"/>
  <c r="N100" i="107"/>
  <c r="C101" i="107"/>
  <c r="D101" i="107"/>
  <c r="E101" i="107"/>
  <c r="F101" i="107"/>
  <c r="G101" i="107"/>
  <c r="H101" i="107"/>
  <c r="I101" i="107"/>
  <c r="J101" i="107"/>
  <c r="K101" i="107"/>
  <c r="L101" i="107"/>
  <c r="M101" i="107"/>
  <c r="N101" i="107"/>
  <c r="C102" i="107"/>
  <c r="D102" i="107"/>
  <c r="E102" i="107"/>
  <c r="F102" i="107"/>
  <c r="G102" i="107"/>
  <c r="H102" i="107"/>
  <c r="I102" i="107"/>
  <c r="J102" i="107"/>
  <c r="K102" i="107"/>
  <c r="L102" i="107"/>
  <c r="M102" i="107"/>
  <c r="N102" i="107"/>
  <c r="C103" i="107"/>
  <c r="D103" i="107"/>
  <c r="E103" i="107"/>
  <c r="F103" i="107"/>
  <c r="G103" i="107"/>
  <c r="H103" i="107"/>
  <c r="I103" i="107"/>
  <c r="J103" i="107"/>
  <c r="K103" i="107"/>
  <c r="L103" i="107"/>
  <c r="M103" i="107"/>
  <c r="N103" i="107"/>
  <c r="C104" i="107"/>
  <c r="D104" i="107"/>
  <c r="E104" i="107"/>
  <c r="F104" i="107"/>
  <c r="G104" i="107"/>
  <c r="H104" i="107"/>
  <c r="I104" i="107"/>
  <c r="J104" i="107"/>
  <c r="K104" i="107"/>
  <c r="L104" i="107"/>
  <c r="M104" i="107"/>
  <c r="N104" i="107"/>
  <c r="C105" i="107"/>
  <c r="D105" i="107"/>
  <c r="E105" i="107"/>
  <c r="F105" i="107"/>
  <c r="G105" i="107"/>
  <c r="H105" i="107"/>
  <c r="I105" i="107"/>
  <c r="J105" i="107"/>
  <c r="K105" i="107"/>
  <c r="L105" i="107"/>
  <c r="M105" i="107"/>
  <c r="N105" i="107"/>
  <c r="D58" i="107"/>
  <c r="E58" i="107"/>
  <c r="F58" i="107"/>
  <c r="G58" i="107"/>
  <c r="H58" i="107"/>
  <c r="I58" i="107"/>
  <c r="J58" i="107"/>
  <c r="K58" i="107"/>
  <c r="L58" i="107"/>
  <c r="M58" i="107"/>
  <c r="N58" i="107"/>
  <c r="C58" i="107"/>
  <c r="C59" i="108"/>
  <c r="D59" i="108"/>
  <c r="E59" i="108"/>
  <c r="F59" i="108"/>
  <c r="G59" i="108"/>
  <c r="H59" i="108"/>
  <c r="I59" i="108"/>
  <c r="J59" i="108"/>
  <c r="K59" i="108"/>
  <c r="L59" i="108"/>
  <c r="M59" i="108"/>
  <c r="N59" i="108"/>
  <c r="C60" i="108"/>
  <c r="D60" i="108"/>
  <c r="E60" i="108"/>
  <c r="F60" i="108"/>
  <c r="G60" i="108"/>
  <c r="H60" i="108"/>
  <c r="I60" i="108"/>
  <c r="J60" i="108"/>
  <c r="K60" i="108"/>
  <c r="L60" i="108"/>
  <c r="M60" i="108"/>
  <c r="N60" i="108"/>
  <c r="C61" i="108"/>
  <c r="D61" i="108"/>
  <c r="E61" i="108"/>
  <c r="F61" i="108"/>
  <c r="G61" i="108"/>
  <c r="H61" i="108"/>
  <c r="I61" i="108"/>
  <c r="J61" i="108"/>
  <c r="K61" i="108"/>
  <c r="L61" i="108"/>
  <c r="M61" i="108"/>
  <c r="N61" i="108"/>
  <c r="C62" i="108"/>
  <c r="C62" i="111" s="1"/>
  <c r="D62" i="108"/>
  <c r="D62" i="111" s="1"/>
  <c r="E62" i="108"/>
  <c r="E62" i="111" s="1"/>
  <c r="F62" i="108"/>
  <c r="F62" i="111" s="1"/>
  <c r="G62" i="108"/>
  <c r="G62" i="111" s="1"/>
  <c r="H62" i="108"/>
  <c r="H62" i="111" s="1"/>
  <c r="I62" i="108"/>
  <c r="I62" i="111" s="1"/>
  <c r="J62" i="108"/>
  <c r="J62" i="111" s="1"/>
  <c r="K62" i="108"/>
  <c r="L62" i="108"/>
  <c r="M62" i="108"/>
  <c r="N62" i="108"/>
  <c r="C63" i="108"/>
  <c r="D63" i="108"/>
  <c r="E63" i="108"/>
  <c r="F63" i="108"/>
  <c r="G63" i="108"/>
  <c r="H63" i="108"/>
  <c r="I63" i="108"/>
  <c r="J63" i="108"/>
  <c r="K63" i="108"/>
  <c r="L63" i="108"/>
  <c r="M63" i="108"/>
  <c r="N63" i="108"/>
  <c r="C64" i="108"/>
  <c r="D64" i="108"/>
  <c r="E64" i="108"/>
  <c r="F64" i="108"/>
  <c r="G64" i="108"/>
  <c r="H64" i="108"/>
  <c r="I64" i="108"/>
  <c r="J64" i="108"/>
  <c r="K64" i="108"/>
  <c r="L64" i="108"/>
  <c r="M64" i="108"/>
  <c r="N64" i="108"/>
  <c r="C65" i="108"/>
  <c r="D65" i="108"/>
  <c r="E65" i="108"/>
  <c r="F65" i="108"/>
  <c r="G65" i="108"/>
  <c r="H65" i="108"/>
  <c r="I65" i="108"/>
  <c r="J65" i="108"/>
  <c r="K65" i="108"/>
  <c r="L65" i="108"/>
  <c r="M65" i="108"/>
  <c r="N65" i="108"/>
  <c r="C66" i="108"/>
  <c r="D66" i="108"/>
  <c r="E66" i="108"/>
  <c r="F66" i="108"/>
  <c r="G66" i="108"/>
  <c r="H66" i="108"/>
  <c r="I66" i="108"/>
  <c r="J66" i="108"/>
  <c r="K66" i="108"/>
  <c r="L66" i="108"/>
  <c r="M66" i="108"/>
  <c r="N66" i="108"/>
  <c r="C67" i="108"/>
  <c r="D67" i="108"/>
  <c r="E67" i="108"/>
  <c r="F67" i="108"/>
  <c r="G67" i="108"/>
  <c r="H67" i="108"/>
  <c r="I67" i="108"/>
  <c r="J67" i="108"/>
  <c r="K67" i="108"/>
  <c r="L67" i="108"/>
  <c r="M67" i="108"/>
  <c r="N67" i="108"/>
  <c r="C68" i="108"/>
  <c r="D68" i="108"/>
  <c r="E68" i="108"/>
  <c r="F68" i="108"/>
  <c r="G68" i="108"/>
  <c r="H68" i="108"/>
  <c r="I68" i="108"/>
  <c r="J68" i="108"/>
  <c r="K68" i="108"/>
  <c r="L68" i="108"/>
  <c r="M68" i="108"/>
  <c r="N68" i="108"/>
  <c r="C69" i="108"/>
  <c r="D69" i="108"/>
  <c r="E69" i="108"/>
  <c r="F69" i="108"/>
  <c r="G69" i="108"/>
  <c r="H69" i="108"/>
  <c r="I69" i="108"/>
  <c r="J69" i="108"/>
  <c r="K69" i="108"/>
  <c r="L69" i="108"/>
  <c r="M69" i="108"/>
  <c r="N69" i="108"/>
  <c r="C70" i="108"/>
  <c r="D70" i="108"/>
  <c r="E70" i="108"/>
  <c r="F70" i="108"/>
  <c r="G70" i="108"/>
  <c r="H70" i="108"/>
  <c r="I70" i="108"/>
  <c r="J70" i="108"/>
  <c r="K70" i="108"/>
  <c r="L70" i="108"/>
  <c r="M70" i="108"/>
  <c r="N70" i="108"/>
  <c r="C71" i="108"/>
  <c r="D71" i="108"/>
  <c r="E71" i="108"/>
  <c r="F71" i="108"/>
  <c r="G71" i="108"/>
  <c r="H71" i="108"/>
  <c r="I71" i="108"/>
  <c r="J71" i="108"/>
  <c r="K71" i="108"/>
  <c r="L71" i="108"/>
  <c r="M71" i="108"/>
  <c r="N71" i="108"/>
  <c r="C72" i="108"/>
  <c r="D72" i="108"/>
  <c r="E72" i="108"/>
  <c r="F72" i="108"/>
  <c r="G72" i="108"/>
  <c r="H72" i="108"/>
  <c r="I72" i="108"/>
  <c r="J72" i="108"/>
  <c r="K72" i="108"/>
  <c r="L72" i="108"/>
  <c r="M72" i="108"/>
  <c r="N72" i="108"/>
  <c r="C73" i="108"/>
  <c r="D73" i="108"/>
  <c r="E73" i="108"/>
  <c r="F73" i="108"/>
  <c r="G73" i="108"/>
  <c r="H73" i="108"/>
  <c r="I73" i="108"/>
  <c r="J73" i="108"/>
  <c r="K73" i="108"/>
  <c r="L73" i="108"/>
  <c r="M73" i="108"/>
  <c r="N73" i="108"/>
  <c r="C74" i="108"/>
  <c r="D74" i="108"/>
  <c r="E74" i="108"/>
  <c r="F74" i="108"/>
  <c r="G74" i="108"/>
  <c r="H74" i="108"/>
  <c r="I74" i="108"/>
  <c r="J74" i="108"/>
  <c r="K74" i="108"/>
  <c r="L74" i="108"/>
  <c r="M74" i="108"/>
  <c r="N74" i="108"/>
  <c r="C75" i="108"/>
  <c r="D75" i="108"/>
  <c r="E75" i="108"/>
  <c r="F75" i="108"/>
  <c r="G75" i="108"/>
  <c r="H75" i="108"/>
  <c r="I75" i="108"/>
  <c r="J75" i="108"/>
  <c r="K75" i="108"/>
  <c r="L75" i="108"/>
  <c r="M75" i="108"/>
  <c r="N75" i="108"/>
  <c r="C76" i="108"/>
  <c r="D76" i="108"/>
  <c r="E76" i="108"/>
  <c r="F76" i="108"/>
  <c r="G76" i="108"/>
  <c r="H76" i="108"/>
  <c r="I76" i="108"/>
  <c r="J76" i="108"/>
  <c r="K76" i="108"/>
  <c r="L76" i="108"/>
  <c r="M76" i="108"/>
  <c r="N76" i="108"/>
  <c r="C77" i="108"/>
  <c r="D77" i="108"/>
  <c r="E77" i="108"/>
  <c r="F77" i="108"/>
  <c r="G77" i="108"/>
  <c r="H77" i="108"/>
  <c r="I77" i="108"/>
  <c r="J77" i="108"/>
  <c r="K77" i="108"/>
  <c r="L77" i="108"/>
  <c r="M77" i="108"/>
  <c r="N77" i="108"/>
  <c r="C78" i="108"/>
  <c r="D78" i="108"/>
  <c r="E78" i="108"/>
  <c r="F78" i="108"/>
  <c r="G78" i="108"/>
  <c r="H78" i="108"/>
  <c r="I78" i="108"/>
  <c r="J78" i="108"/>
  <c r="K78" i="108"/>
  <c r="L78" i="108"/>
  <c r="M78" i="108"/>
  <c r="N78" i="108"/>
  <c r="C79" i="108"/>
  <c r="D79" i="108"/>
  <c r="E79" i="108"/>
  <c r="F79" i="108"/>
  <c r="G79" i="108"/>
  <c r="H79" i="108"/>
  <c r="I79" i="108"/>
  <c r="J79" i="108"/>
  <c r="K79" i="108"/>
  <c r="L79" i="108"/>
  <c r="M79" i="108"/>
  <c r="N79" i="108"/>
  <c r="C80" i="108"/>
  <c r="D80" i="108"/>
  <c r="E80" i="108"/>
  <c r="F80" i="108"/>
  <c r="G80" i="108"/>
  <c r="H80" i="108"/>
  <c r="I80" i="108"/>
  <c r="J80" i="108"/>
  <c r="K80" i="108"/>
  <c r="L80" i="108"/>
  <c r="M80" i="108"/>
  <c r="N80" i="108"/>
  <c r="C81" i="108"/>
  <c r="D81" i="108"/>
  <c r="E81" i="108"/>
  <c r="F81" i="108"/>
  <c r="G81" i="108"/>
  <c r="H81" i="108"/>
  <c r="I81" i="108"/>
  <c r="J81" i="108"/>
  <c r="K81" i="108"/>
  <c r="L81" i="108"/>
  <c r="M81" i="108"/>
  <c r="N81" i="108"/>
  <c r="C82" i="108"/>
  <c r="D82" i="108"/>
  <c r="E82" i="108"/>
  <c r="F82" i="108"/>
  <c r="G82" i="108"/>
  <c r="H82" i="108"/>
  <c r="I82" i="108"/>
  <c r="J82" i="108"/>
  <c r="K82" i="108"/>
  <c r="L82" i="108"/>
  <c r="M82" i="108"/>
  <c r="N82" i="108"/>
  <c r="C83" i="108"/>
  <c r="D83" i="108"/>
  <c r="E83" i="108"/>
  <c r="F83" i="108"/>
  <c r="G83" i="108"/>
  <c r="H83" i="108"/>
  <c r="I83" i="108"/>
  <c r="J83" i="108"/>
  <c r="K83" i="108"/>
  <c r="L83" i="108"/>
  <c r="M83" i="108"/>
  <c r="N83" i="108"/>
  <c r="C84" i="108"/>
  <c r="D84" i="108"/>
  <c r="E84" i="108"/>
  <c r="F84" i="108"/>
  <c r="G84" i="108"/>
  <c r="H84" i="108"/>
  <c r="I84" i="108"/>
  <c r="J84" i="108"/>
  <c r="K84" i="108"/>
  <c r="L84" i="108"/>
  <c r="M84" i="108"/>
  <c r="N84" i="108"/>
  <c r="C85" i="108"/>
  <c r="D85" i="108"/>
  <c r="E85" i="108"/>
  <c r="F85" i="108"/>
  <c r="G85" i="108"/>
  <c r="H85" i="108"/>
  <c r="I85" i="108"/>
  <c r="J85" i="108"/>
  <c r="K85" i="108"/>
  <c r="L85" i="108"/>
  <c r="M85" i="108"/>
  <c r="N85" i="108"/>
  <c r="C86" i="108"/>
  <c r="D86" i="108"/>
  <c r="E86" i="108"/>
  <c r="F86" i="108"/>
  <c r="G86" i="108"/>
  <c r="H86" i="108"/>
  <c r="I86" i="108"/>
  <c r="J86" i="108"/>
  <c r="K86" i="108"/>
  <c r="L86" i="108"/>
  <c r="M86" i="108"/>
  <c r="N86" i="108"/>
  <c r="C87" i="108"/>
  <c r="D87" i="108"/>
  <c r="E87" i="108"/>
  <c r="F87" i="108"/>
  <c r="G87" i="108"/>
  <c r="H87" i="108"/>
  <c r="I87" i="108"/>
  <c r="J87" i="108"/>
  <c r="K87" i="108"/>
  <c r="L87" i="108"/>
  <c r="M87" i="108"/>
  <c r="N87" i="108"/>
  <c r="C88" i="108"/>
  <c r="D88" i="108"/>
  <c r="E88" i="108"/>
  <c r="F88" i="108"/>
  <c r="G88" i="108"/>
  <c r="H88" i="108"/>
  <c r="I88" i="108"/>
  <c r="J88" i="108"/>
  <c r="K88" i="108"/>
  <c r="L88" i="108"/>
  <c r="M88" i="108"/>
  <c r="N88" i="108"/>
  <c r="C89" i="108"/>
  <c r="D89" i="108"/>
  <c r="E89" i="108"/>
  <c r="F89" i="108"/>
  <c r="G89" i="108"/>
  <c r="H89" i="108"/>
  <c r="I89" i="108"/>
  <c r="J89" i="108"/>
  <c r="K89" i="108"/>
  <c r="L89" i="108"/>
  <c r="M89" i="108"/>
  <c r="N89" i="108"/>
  <c r="C90" i="108"/>
  <c r="D90" i="108"/>
  <c r="E90" i="108"/>
  <c r="F90" i="108"/>
  <c r="G90" i="108"/>
  <c r="H90" i="108"/>
  <c r="I90" i="108"/>
  <c r="J90" i="108"/>
  <c r="K90" i="108"/>
  <c r="L90" i="108"/>
  <c r="M90" i="108"/>
  <c r="N90" i="108"/>
  <c r="C91" i="108"/>
  <c r="D91" i="108"/>
  <c r="E91" i="108"/>
  <c r="F91" i="108"/>
  <c r="G91" i="108"/>
  <c r="H91" i="108"/>
  <c r="I91" i="108"/>
  <c r="J91" i="108"/>
  <c r="K91" i="108"/>
  <c r="L91" i="108"/>
  <c r="M91" i="108"/>
  <c r="N91" i="108"/>
  <c r="C92" i="108"/>
  <c r="D92" i="108"/>
  <c r="E92" i="108"/>
  <c r="F92" i="108"/>
  <c r="G92" i="108"/>
  <c r="H92" i="108"/>
  <c r="I92" i="108"/>
  <c r="J92" i="108"/>
  <c r="K92" i="108"/>
  <c r="L92" i="108"/>
  <c r="M92" i="108"/>
  <c r="N92" i="108"/>
  <c r="C93" i="108"/>
  <c r="D93" i="108"/>
  <c r="E93" i="108"/>
  <c r="F93" i="108"/>
  <c r="G93" i="108"/>
  <c r="H93" i="108"/>
  <c r="I93" i="108"/>
  <c r="J93" i="108"/>
  <c r="K93" i="108"/>
  <c r="L93" i="108"/>
  <c r="M93" i="108"/>
  <c r="N93" i="108"/>
  <c r="C94" i="108"/>
  <c r="D94" i="108"/>
  <c r="E94" i="108"/>
  <c r="F94" i="108"/>
  <c r="G94" i="108"/>
  <c r="H94" i="108"/>
  <c r="I94" i="108"/>
  <c r="J94" i="108"/>
  <c r="K94" i="108"/>
  <c r="L94" i="108"/>
  <c r="M94" i="108"/>
  <c r="N94" i="108"/>
  <c r="C95" i="108"/>
  <c r="D95" i="108"/>
  <c r="E95" i="108"/>
  <c r="F95" i="108"/>
  <c r="G95" i="108"/>
  <c r="H95" i="108"/>
  <c r="I95" i="108"/>
  <c r="J95" i="108"/>
  <c r="K95" i="108"/>
  <c r="L95" i="108"/>
  <c r="M95" i="108"/>
  <c r="N95" i="108"/>
  <c r="C96" i="108"/>
  <c r="D96" i="108"/>
  <c r="E96" i="108"/>
  <c r="F96" i="108"/>
  <c r="G96" i="108"/>
  <c r="H96" i="108"/>
  <c r="I96" i="108"/>
  <c r="J96" i="108"/>
  <c r="K96" i="108"/>
  <c r="L96" i="108"/>
  <c r="M96" i="108"/>
  <c r="N96" i="108"/>
  <c r="C97" i="108"/>
  <c r="D97" i="108"/>
  <c r="E97" i="108"/>
  <c r="F97" i="108"/>
  <c r="G97" i="108"/>
  <c r="H97" i="108"/>
  <c r="I97" i="108"/>
  <c r="J97" i="108"/>
  <c r="K97" i="108"/>
  <c r="L97" i="108"/>
  <c r="M97" i="108"/>
  <c r="N97" i="108"/>
  <c r="C98" i="108"/>
  <c r="D98" i="108"/>
  <c r="E98" i="108"/>
  <c r="F98" i="108"/>
  <c r="G98" i="108"/>
  <c r="H98" i="108"/>
  <c r="I98" i="108"/>
  <c r="J98" i="108"/>
  <c r="K98" i="108"/>
  <c r="L98" i="108"/>
  <c r="M98" i="108"/>
  <c r="N98" i="108"/>
  <c r="C99" i="108"/>
  <c r="D99" i="108"/>
  <c r="E99" i="108"/>
  <c r="F99" i="108"/>
  <c r="G99" i="108"/>
  <c r="H99" i="108"/>
  <c r="I99" i="108"/>
  <c r="J99" i="108"/>
  <c r="K99" i="108"/>
  <c r="L99" i="108"/>
  <c r="M99" i="108"/>
  <c r="N99" i="108"/>
  <c r="C100" i="108"/>
  <c r="D100" i="108"/>
  <c r="E100" i="108"/>
  <c r="F100" i="108"/>
  <c r="G100" i="108"/>
  <c r="H100" i="108"/>
  <c r="I100" i="108"/>
  <c r="J100" i="108"/>
  <c r="K100" i="108"/>
  <c r="L100" i="108"/>
  <c r="M100" i="108"/>
  <c r="N100" i="108"/>
  <c r="C101" i="108"/>
  <c r="D101" i="108"/>
  <c r="E101" i="108"/>
  <c r="F101" i="108"/>
  <c r="G101" i="108"/>
  <c r="H101" i="108"/>
  <c r="I101" i="108"/>
  <c r="J101" i="108"/>
  <c r="K101" i="108"/>
  <c r="L101" i="108"/>
  <c r="M101" i="108"/>
  <c r="N101" i="108"/>
  <c r="C102" i="108"/>
  <c r="D102" i="108"/>
  <c r="E102" i="108"/>
  <c r="F102" i="108"/>
  <c r="G102" i="108"/>
  <c r="H102" i="108"/>
  <c r="I102" i="108"/>
  <c r="J102" i="108"/>
  <c r="K102" i="108"/>
  <c r="L102" i="108"/>
  <c r="M102" i="108"/>
  <c r="N102" i="108"/>
  <c r="C103" i="108"/>
  <c r="D103" i="108"/>
  <c r="E103" i="108"/>
  <c r="F103" i="108"/>
  <c r="G103" i="108"/>
  <c r="H103" i="108"/>
  <c r="I103" i="108"/>
  <c r="J103" i="108"/>
  <c r="K103" i="108"/>
  <c r="L103" i="108"/>
  <c r="M103" i="108"/>
  <c r="N103" i="108"/>
  <c r="C104" i="108"/>
  <c r="D104" i="108"/>
  <c r="E104" i="108"/>
  <c r="F104" i="108"/>
  <c r="G104" i="108"/>
  <c r="H104" i="108"/>
  <c r="I104" i="108"/>
  <c r="J104" i="108"/>
  <c r="K104" i="108"/>
  <c r="L104" i="108"/>
  <c r="M104" i="108"/>
  <c r="N104" i="108"/>
  <c r="C105" i="108"/>
  <c r="D105" i="108"/>
  <c r="E105" i="108"/>
  <c r="F105" i="108"/>
  <c r="G105" i="108"/>
  <c r="H105" i="108"/>
  <c r="I105" i="108"/>
  <c r="J105" i="108"/>
  <c r="K105" i="108"/>
  <c r="L105" i="108"/>
  <c r="M105" i="108"/>
  <c r="N105" i="108"/>
  <c r="D58" i="108"/>
  <c r="E58" i="108"/>
  <c r="F58" i="108"/>
  <c r="G58" i="108"/>
  <c r="H58" i="108"/>
  <c r="I58" i="108"/>
  <c r="J58" i="108"/>
  <c r="K58" i="108"/>
  <c r="L58" i="108"/>
  <c r="M58" i="108"/>
  <c r="N58" i="108"/>
  <c r="C58" i="108"/>
  <c r="AF21" i="111"/>
  <c r="AE21" i="111"/>
  <c r="AD21" i="111"/>
  <c r="AC21" i="111"/>
  <c r="AB21" i="111"/>
  <c r="AA21" i="111"/>
  <c r="Z21" i="111"/>
  <c r="Y21" i="111"/>
  <c r="X21" i="111"/>
  <c r="W21" i="111"/>
  <c r="V21" i="111"/>
  <c r="U21" i="111"/>
  <c r="T21" i="111"/>
  <c r="S21" i="111"/>
  <c r="AF20" i="111"/>
  <c r="AF36" i="111" s="1"/>
  <c r="AE20" i="111"/>
  <c r="AD20" i="111"/>
  <c r="AC20" i="111"/>
  <c r="AC36" i="111" s="1"/>
  <c r="AB20" i="111"/>
  <c r="AB36" i="111" s="1"/>
  <c r="AA20" i="111"/>
  <c r="Z20" i="111"/>
  <c r="Y20" i="111"/>
  <c r="Y36" i="111" s="1"/>
  <c r="X20" i="111"/>
  <c r="X36" i="111" s="1"/>
  <c r="W20" i="111"/>
  <c r="V20" i="111"/>
  <c r="U20" i="111"/>
  <c r="U36" i="111" s="1"/>
  <c r="T20" i="111"/>
  <c r="T36" i="111" s="1"/>
  <c r="S20" i="111"/>
  <c r="AF19" i="111"/>
  <c r="AF39" i="111" s="1"/>
  <c r="AE19" i="111"/>
  <c r="AE36" i="111" s="1"/>
  <c r="AD19" i="111"/>
  <c r="AD36" i="111" s="1"/>
  <c r="AC19" i="111"/>
  <c r="AC39" i="111" s="1"/>
  <c r="AB19" i="111"/>
  <c r="AB39" i="111" s="1"/>
  <c r="AA19" i="111"/>
  <c r="AA36" i="111" s="1"/>
  <c r="Z19" i="111"/>
  <c r="Z39" i="111" s="1"/>
  <c r="Y19" i="111"/>
  <c r="Y39" i="111" s="1"/>
  <c r="X19" i="111"/>
  <c r="X39" i="111" s="1"/>
  <c r="W19" i="111"/>
  <c r="W36" i="111" s="1"/>
  <c r="V19" i="111"/>
  <c r="V36" i="111" s="1"/>
  <c r="U19" i="111"/>
  <c r="U39" i="111" s="1"/>
  <c r="T19" i="111"/>
  <c r="T39" i="111" s="1"/>
  <c r="S19" i="111"/>
  <c r="S36" i="111" s="1"/>
  <c r="AF18" i="111"/>
  <c r="AE18" i="111"/>
  <c r="AD18" i="111"/>
  <c r="AC18" i="111"/>
  <c r="AB18" i="111"/>
  <c r="AA18" i="111"/>
  <c r="Z18" i="111"/>
  <c r="Y18" i="111"/>
  <c r="X18" i="111"/>
  <c r="W18" i="111"/>
  <c r="V18" i="111"/>
  <c r="U18" i="111"/>
  <c r="T18" i="111"/>
  <c r="S18" i="111"/>
  <c r="AF17" i="111"/>
  <c r="AE17" i="111"/>
  <c r="AD17" i="111"/>
  <c r="AC17" i="111"/>
  <c r="AB17" i="111"/>
  <c r="AA17" i="111"/>
  <c r="Z17" i="111"/>
  <c r="Y17" i="111"/>
  <c r="X17" i="111"/>
  <c r="W17" i="111"/>
  <c r="V17" i="111"/>
  <c r="U17" i="111"/>
  <c r="T17" i="111"/>
  <c r="S17" i="111"/>
  <c r="AF16" i="111"/>
  <c r="AE16" i="111"/>
  <c r="AD16" i="111"/>
  <c r="AC16" i="111"/>
  <c r="AB16" i="111"/>
  <c r="AA16" i="111"/>
  <c r="Z16" i="111"/>
  <c r="Y16" i="111"/>
  <c r="X16" i="111"/>
  <c r="W16" i="111"/>
  <c r="V16" i="111"/>
  <c r="U16" i="111"/>
  <c r="T16" i="111"/>
  <c r="S16" i="111"/>
  <c r="AF15" i="111"/>
  <c r="AE15" i="111"/>
  <c r="AD15" i="111"/>
  <c r="AC15" i="111"/>
  <c r="AB15" i="111"/>
  <c r="AA15" i="111"/>
  <c r="Z15" i="111"/>
  <c r="Y15" i="111"/>
  <c r="X15" i="111"/>
  <c r="W15" i="111"/>
  <c r="V15" i="111"/>
  <c r="U15" i="111"/>
  <c r="T15" i="111"/>
  <c r="S15" i="111"/>
  <c r="AF14" i="111"/>
  <c r="AF38" i="111" s="1"/>
  <c r="AE14" i="111"/>
  <c r="AD14" i="111"/>
  <c r="AC14" i="111"/>
  <c r="AC38" i="111" s="1"/>
  <c r="AB14" i="111"/>
  <c r="AB38" i="111" s="1"/>
  <c r="AA14" i="111"/>
  <c r="Z14" i="111"/>
  <c r="Y14" i="111"/>
  <c r="Y38" i="111" s="1"/>
  <c r="X14" i="111"/>
  <c r="X38" i="111" s="1"/>
  <c r="W14" i="111"/>
  <c r="V14" i="111"/>
  <c r="U14" i="111"/>
  <c r="U38" i="111" s="1"/>
  <c r="T14" i="111"/>
  <c r="T38" i="111" s="1"/>
  <c r="S14" i="111"/>
  <c r="AF13" i="111"/>
  <c r="AF35" i="111" s="1"/>
  <c r="AE13" i="111"/>
  <c r="AE38" i="111" s="1"/>
  <c r="AD13" i="111"/>
  <c r="AD38" i="111" s="1"/>
  <c r="AC13" i="111"/>
  <c r="AC35" i="111" s="1"/>
  <c r="AB13" i="111"/>
  <c r="AB35" i="111" s="1"/>
  <c r="AA13" i="111"/>
  <c r="AA38" i="111" s="1"/>
  <c r="Z13" i="111"/>
  <c r="Z35" i="111" s="1"/>
  <c r="Y13" i="111"/>
  <c r="Y35" i="111" s="1"/>
  <c r="X13" i="111"/>
  <c r="X35" i="111" s="1"/>
  <c r="W13" i="111"/>
  <c r="W38" i="111" s="1"/>
  <c r="V13" i="111"/>
  <c r="V38" i="111" s="1"/>
  <c r="U13" i="111"/>
  <c r="U35" i="111" s="1"/>
  <c r="T13" i="111"/>
  <c r="T35" i="111" s="1"/>
  <c r="S13" i="111"/>
  <c r="S38" i="111" s="1"/>
  <c r="AF12" i="111"/>
  <c r="AE12" i="111"/>
  <c r="AD12" i="111"/>
  <c r="AC12" i="111"/>
  <c r="AB12" i="111"/>
  <c r="AA12" i="111"/>
  <c r="Z12" i="111"/>
  <c r="Y12" i="111"/>
  <c r="X12" i="111"/>
  <c r="W12" i="111"/>
  <c r="V12" i="111"/>
  <c r="U12" i="111"/>
  <c r="T12" i="111"/>
  <c r="S12" i="111"/>
  <c r="AF11" i="111"/>
  <c r="AE11" i="111"/>
  <c r="AD11" i="111"/>
  <c r="AC11" i="111"/>
  <c r="AB11" i="111"/>
  <c r="AA11" i="111"/>
  <c r="AA37" i="111" s="1"/>
  <c r="Z11" i="111"/>
  <c r="Z37" i="111" s="1"/>
  <c r="Y11" i="111"/>
  <c r="X11" i="111"/>
  <c r="W11" i="111"/>
  <c r="V11" i="111"/>
  <c r="U11" i="111"/>
  <c r="T11" i="111"/>
  <c r="S11" i="111"/>
  <c r="AF10" i="111"/>
  <c r="AF34" i="111" s="1"/>
  <c r="AE10" i="111"/>
  <c r="AE40" i="111" s="1"/>
  <c r="AD10" i="111"/>
  <c r="AD40" i="111" s="1"/>
  <c r="AC10" i="111"/>
  <c r="AB10" i="111"/>
  <c r="AB40" i="111" s="1"/>
  <c r="AA10" i="111"/>
  <c r="AA40" i="111" s="1"/>
  <c r="Z10" i="111"/>
  <c r="Z40" i="111" s="1"/>
  <c r="Y10" i="111"/>
  <c r="X10" i="111"/>
  <c r="X34" i="111" s="1"/>
  <c r="W10" i="111"/>
  <c r="W40" i="111" s="1"/>
  <c r="V10" i="111"/>
  <c r="V40" i="111" s="1"/>
  <c r="U10" i="111"/>
  <c r="T10" i="111"/>
  <c r="T40" i="111" s="1"/>
  <c r="S10" i="111"/>
  <c r="S40" i="111" s="1"/>
  <c r="T34" i="111" l="1"/>
  <c r="AB34" i="111"/>
  <c r="V35" i="111"/>
  <c r="AD35" i="111"/>
  <c r="V37" i="111"/>
  <c r="V39" i="111"/>
  <c r="AD39" i="111"/>
  <c r="X40" i="111"/>
  <c r="AF40" i="111"/>
  <c r="U34" i="111"/>
  <c r="AC34" i="111"/>
  <c r="W35" i="111"/>
  <c r="AE35" i="111"/>
  <c r="S37" i="111"/>
  <c r="AE37" i="111"/>
  <c r="S39" i="111"/>
  <c r="AA39" i="111"/>
  <c r="U40" i="111"/>
  <c r="AC40" i="111"/>
  <c r="V34" i="111"/>
  <c r="Z34" i="111"/>
  <c r="AD34" i="111"/>
  <c r="Z36" i="111"/>
  <c r="T37" i="111"/>
  <c r="X37" i="111"/>
  <c r="AB37" i="111"/>
  <c r="AF37" i="111"/>
  <c r="Z38" i="111"/>
  <c r="AD37" i="111"/>
  <c r="Y34" i="111"/>
  <c r="S35" i="111"/>
  <c r="AA35" i="111"/>
  <c r="W37" i="111"/>
  <c r="W39" i="111"/>
  <c r="AE39" i="111"/>
  <c r="Y40" i="111"/>
  <c r="S34" i="111"/>
  <c r="W34" i="111"/>
  <c r="AA34" i="111"/>
  <c r="AE34" i="111"/>
  <c r="U37" i="111"/>
  <c r="Y37" i="111"/>
  <c r="AC37" i="111"/>
  <c r="O75" i="108" l="1"/>
  <c r="W22" i="108"/>
  <c r="AA22" i="108"/>
  <c r="W23" i="108"/>
  <c r="AA23" i="108"/>
  <c r="W24" i="108"/>
  <c r="AA24" i="108"/>
  <c r="W25" i="108"/>
  <c r="AA25" i="108"/>
  <c r="W26" i="108"/>
  <c r="AA26" i="108"/>
  <c r="W27" i="108"/>
  <c r="AA27" i="108"/>
  <c r="W28" i="108"/>
  <c r="AA28" i="108"/>
  <c r="W29" i="108"/>
  <c r="AA29" i="108"/>
  <c r="W30" i="108"/>
  <c r="AA30" i="108"/>
  <c r="W31" i="108"/>
  <c r="AA31" i="108"/>
  <c r="W32" i="108"/>
  <c r="AA32" i="108"/>
  <c r="W33" i="108"/>
  <c r="AA33" i="108"/>
  <c r="O59" i="108"/>
  <c r="S22" i="108" l="1"/>
  <c r="P58" i="108"/>
  <c r="O58" i="108"/>
  <c r="T33" i="107"/>
  <c r="AB32" i="107"/>
  <c r="T32" i="107"/>
  <c r="T29" i="107"/>
  <c r="T28" i="107"/>
  <c r="AB27" i="107"/>
  <c r="T25" i="107"/>
  <c r="AB24" i="107"/>
  <c r="T23" i="107"/>
  <c r="AB22" i="107"/>
  <c r="S32" i="108"/>
  <c r="P98" i="108"/>
  <c r="O98" i="108"/>
  <c r="P86" i="108"/>
  <c r="O86" i="108"/>
  <c r="S29" i="108"/>
  <c r="S26" i="108"/>
  <c r="P74" i="108"/>
  <c r="O74" i="108"/>
  <c r="S33" i="107"/>
  <c r="S31" i="107"/>
  <c r="S29" i="107"/>
  <c r="S27" i="107"/>
  <c r="S24" i="107"/>
  <c r="W33" i="107"/>
  <c r="W33" i="111"/>
  <c r="AA32" i="107"/>
  <c r="AA32" i="111"/>
  <c r="V31" i="111"/>
  <c r="W31" i="107"/>
  <c r="W31" i="111"/>
  <c r="AA30" i="107"/>
  <c r="AA30" i="111"/>
  <c r="W30" i="107"/>
  <c r="W30" i="111"/>
  <c r="Z29" i="111"/>
  <c r="AD33" i="107"/>
  <c r="AD33" i="111"/>
  <c r="Z33" i="107"/>
  <c r="V33" i="107"/>
  <c r="AD32" i="107"/>
  <c r="Z32" i="107"/>
  <c r="V32" i="107"/>
  <c r="Y24" i="108"/>
  <c r="X33" i="107"/>
  <c r="AB31" i="107"/>
  <c r="AB31" i="111"/>
  <c r="X30" i="107"/>
  <c r="X30" i="111"/>
  <c r="T30" i="107"/>
  <c r="T30" i="111"/>
  <c r="AB29" i="107"/>
  <c r="AB28" i="107"/>
  <c r="AB28" i="111"/>
  <c r="X26" i="107"/>
  <c r="T26" i="107"/>
  <c r="T26" i="111"/>
  <c r="AB25" i="107"/>
  <c r="X24" i="107"/>
  <c r="X24" i="111"/>
  <c r="T24" i="107"/>
  <c r="AB23" i="107"/>
  <c r="AB23" i="111"/>
  <c r="X22" i="107"/>
  <c r="X22" i="111"/>
  <c r="S33" i="108"/>
  <c r="P102" i="108"/>
  <c r="O102" i="108"/>
  <c r="S30" i="108"/>
  <c r="P90" i="108"/>
  <c r="O90" i="108"/>
  <c r="S27" i="108"/>
  <c r="P78" i="108"/>
  <c r="O78" i="108"/>
  <c r="S24" i="108"/>
  <c r="P66" i="108"/>
  <c r="O66" i="108"/>
  <c r="S32" i="107"/>
  <c r="S30" i="107"/>
  <c r="S28" i="107"/>
  <c r="S26" i="107"/>
  <c r="S25" i="107"/>
  <c r="S23" i="107"/>
  <c r="AE23" i="107"/>
  <c r="AC33" i="111"/>
  <c r="U33" i="111"/>
  <c r="AA33" i="107"/>
  <c r="AA33" i="111"/>
  <c r="W32" i="107"/>
  <c r="W32" i="111"/>
  <c r="AA31" i="107"/>
  <c r="AA31" i="111"/>
  <c r="AD30" i="111"/>
  <c r="AD29" i="111"/>
  <c r="AE22" i="107"/>
  <c r="S22" i="107"/>
  <c r="AC33" i="107"/>
  <c r="Y33" i="107"/>
  <c r="Y33" i="111"/>
  <c r="U33" i="107"/>
  <c r="AC32" i="107"/>
  <c r="AC32" i="111"/>
  <c r="Y32" i="107"/>
  <c r="U32" i="107"/>
  <c r="AC31" i="107"/>
  <c r="Y31" i="107"/>
  <c r="U31" i="107"/>
  <c r="U31" i="111"/>
  <c r="AC30" i="107"/>
  <c r="Y30" i="107"/>
  <c r="Y30" i="111"/>
  <c r="U30" i="107"/>
  <c r="U30" i="111"/>
  <c r="AC29" i="107"/>
  <c r="Y29" i="107"/>
  <c r="U29" i="107"/>
  <c r="AC28" i="107"/>
  <c r="Y28" i="107"/>
  <c r="U28" i="107"/>
  <c r="O91" i="108"/>
  <c r="O83" i="108"/>
  <c r="U23" i="107"/>
  <c r="AB33" i="107"/>
  <c r="AB33" i="111"/>
  <c r="X32" i="107"/>
  <c r="X32" i="111"/>
  <c r="X31" i="107"/>
  <c r="X31" i="111"/>
  <c r="T31" i="107"/>
  <c r="AB30" i="107"/>
  <c r="AB30" i="111"/>
  <c r="X29" i="107"/>
  <c r="X29" i="111"/>
  <c r="X28" i="107"/>
  <c r="X28" i="111"/>
  <c r="X27" i="107"/>
  <c r="T27" i="107"/>
  <c r="AB26" i="107"/>
  <c r="AB26" i="111"/>
  <c r="X25" i="107"/>
  <c r="X25" i="111"/>
  <c r="X23" i="107"/>
  <c r="T22" i="107"/>
  <c r="T22" i="111"/>
  <c r="S31" i="108"/>
  <c r="P94" i="108"/>
  <c r="O94" i="108"/>
  <c r="S28" i="108"/>
  <c r="P82" i="108"/>
  <c r="O82" i="108"/>
  <c r="S25" i="108"/>
  <c r="P70" i="108"/>
  <c r="O70" i="108"/>
  <c r="S23" i="108"/>
  <c r="P62" i="108"/>
  <c r="O62" i="108"/>
  <c r="AA29" i="111"/>
  <c r="AA29" i="107"/>
  <c r="W29" i="107"/>
  <c r="W29" i="111"/>
  <c r="Z28" i="111"/>
  <c r="V28" i="111"/>
  <c r="AA28" i="107"/>
  <c r="AA28" i="111"/>
  <c r="W28" i="107"/>
  <c r="W28" i="111"/>
  <c r="V27" i="111"/>
  <c r="AA27" i="107"/>
  <c r="AA27" i="111"/>
  <c r="W27" i="107"/>
  <c r="W27" i="111"/>
  <c r="AD26" i="111"/>
  <c r="AA26" i="107"/>
  <c r="AA26" i="111"/>
  <c r="W26" i="107"/>
  <c r="W26" i="111"/>
  <c r="AD25" i="111"/>
  <c r="Z25" i="111"/>
  <c r="Y25" i="111"/>
  <c r="AA25" i="107"/>
  <c r="AA25" i="111"/>
  <c r="W25" i="107"/>
  <c r="W25" i="111"/>
  <c r="Z24" i="111"/>
  <c r="V24" i="111"/>
  <c r="AA24" i="111"/>
  <c r="AA24" i="107"/>
  <c r="W24" i="111"/>
  <c r="V23" i="111"/>
  <c r="U23" i="111"/>
  <c r="AA23" i="107"/>
  <c r="AA23" i="111"/>
  <c r="W23" i="107"/>
  <c r="W23" i="111"/>
  <c r="AA22" i="107"/>
  <c r="W22" i="111"/>
  <c r="W22" i="107"/>
  <c r="P105" i="108"/>
  <c r="O105" i="108"/>
  <c r="P101" i="108"/>
  <c r="O101" i="108"/>
  <c r="P97" i="108"/>
  <c r="O97" i="108"/>
  <c r="P93" i="108"/>
  <c r="O93" i="108"/>
  <c r="P89" i="108"/>
  <c r="O89" i="108"/>
  <c r="P85" i="108"/>
  <c r="O85" i="108"/>
  <c r="P81" i="108"/>
  <c r="O81" i="108"/>
  <c r="P77" i="108"/>
  <c r="O77" i="108"/>
  <c r="P73" i="108"/>
  <c r="O73" i="108"/>
  <c r="P69" i="108"/>
  <c r="O69" i="108"/>
  <c r="P65" i="108"/>
  <c r="O65" i="108"/>
  <c r="P61" i="108"/>
  <c r="O61" i="108"/>
  <c r="AD33" i="108"/>
  <c r="Z33" i="108"/>
  <c r="V33" i="108"/>
  <c r="AD32" i="108"/>
  <c r="Z32" i="108"/>
  <c r="V32" i="108"/>
  <c r="AD31" i="108"/>
  <c r="Z31" i="108"/>
  <c r="V31" i="108"/>
  <c r="AD30" i="108"/>
  <c r="Z30" i="108"/>
  <c r="V30" i="108"/>
  <c r="AD29" i="108"/>
  <c r="Z29" i="108"/>
  <c r="V29" i="108"/>
  <c r="AD28" i="108"/>
  <c r="Z28" i="108"/>
  <c r="V28" i="108"/>
  <c r="AD27" i="108"/>
  <c r="Z27" i="108"/>
  <c r="V27" i="108"/>
  <c r="AD26" i="108"/>
  <c r="Z26" i="108"/>
  <c r="V26" i="108"/>
  <c r="AD25" i="108"/>
  <c r="Z25" i="108"/>
  <c r="V25" i="108"/>
  <c r="AD24" i="108"/>
  <c r="Z24" i="108"/>
  <c r="V24" i="108"/>
  <c r="AD23" i="108"/>
  <c r="Z23" i="108"/>
  <c r="V23" i="108"/>
  <c r="AD22" i="108"/>
  <c r="Z22" i="108"/>
  <c r="V22" i="108"/>
  <c r="W24" i="107"/>
  <c r="AD31" i="107"/>
  <c r="Z31" i="107"/>
  <c r="V31" i="107"/>
  <c r="AD30" i="107"/>
  <c r="Z30" i="107"/>
  <c r="V30" i="107"/>
  <c r="AD29" i="107"/>
  <c r="Z29" i="107"/>
  <c r="V29" i="107"/>
  <c r="AD28" i="107"/>
  <c r="Z28" i="107"/>
  <c r="V28" i="107"/>
  <c r="AD27" i="107"/>
  <c r="Z27" i="107"/>
  <c r="V27" i="107"/>
  <c r="AD26" i="107"/>
  <c r="Z26" i="107"/>
  <c r="V26" i="107"/>
  <c r="AD25" i="107"/>
  <c r="Z25" i="107"/>
  <c r="V25" i="107"/>
  <c r="AD24" i="107"/>
  <c r="Z24" i="107"/>
  <c r="V24" i="107"/>
  <c r="AD23" i="107"/>
  <c r="Z23" i="107"/>
  <c r="V23" i="107"/>
  <c r="AD22" i="107"/>
  <c r="Z22" i="107"/>
  <c r="Z22" i="111"/>
  <c r="V22" i="107"/>
  <c r="V22" i="111"/>
  <c r="P104" i="108"/>
  <c r="O104" i="108"/>
  <c r="P100" i="108"/>
  <c r="O100" i="108"/>
  <c r="P96" i="108"/>
  <c r="O96" i="108"/>
  <c r="P92" i="108"/>
  <c r="O92" i="108"/>
  <c r="P88" i="108"/>
  <c r="O88" i="108"/>
  <c r="P84" i="108"/>
  <c r="O84" i="108"/>
  <c r="P80" i="108"/>
  <c r="O80" i="108"/>
  <c r="P76" i="108"/>
  <c r="O76" i="108"/>
  <c r="P72" i="108"/>
  <c r="O72" i="108"/>
  <c r="P68" i="108"/>
  <c r="O68" i="108"/>
  <c r="P64" i="108"/>
  <c r="O64" i="108"/>
  <c r="P60" i="108"/>
  <c r="O60" i="108"/>
  <c r="AC33" i="108"/>
  <c r="Y33" i="108"/>
  <c r="U33" i="108"/>
  <c r="AC32" i="108"/>
  <c r="Y32" i="108"/>
  <c r="U32" i="108"/>
  <c r="AC31" i="108"/>
  <c r="Y31" i="108"/>
  <c r="U31" i="108"/>
  <c r="AC30" i="108"/>
  <c r="Y30" i="108"/>
  <c r="U30" i="108"/>
  <c r="AC29" i="108"/>
  <c r="Y29" i="108"/>
  <c r="U29" i="108"/>
  <c r="AC28" i="108"/>
  <c r="Y28" i="108"/>
  <c r="U28" i="108"/>
  <c r="AC27" i="108"/>
  <c r="Y27" i="108"/>
  <c r="U27" i="108"/>
  <c r="AC26" i="108"/>
  <c r="Y26" i="108"/>
  <c r="U26" i="108"/>
  <c r="AC25" i="108"/>
  <c r="Y25" i="108"/>
  <c r="U25" i="108"/>
  <c r="AC24" i="108"/>
  <c r="U24" i="108"/>
  <c r="AC23" i="108"/>
  <c r="Y23" i="108"/>
  <c r="U23" i="108"/>
  <c r="AC22" i="108"/>
  <c r="Y22" i="108"/>
  <c r="U22" i="108"/>
  <c r="AD31" i="111"/>
  <c r="Z30" i="111"/>
  <c r="V29" i="111"/>
  <c r="Z26" i="111"/>
  <c r="AD23" i="111"/>
  <c r="AA22" i="111"/>
  <c r="Y25" i="107"/>
  <c r="AC27" i="107"/>
  <c r="AC27" i="111"/>
  <c r="Y27" i="107"/>
  <c r="U27" i="107"/>
  <c r="U27" i="111"/>
  <c r="AC26" i="107"/>
  <c r="Y26" i="107"/>
  <c r="Y26" i="111"/>
  <c r="U26" i="107"/>
  <c r="U26" i="111"/>
  <c r="AC25" i="107"/>
  <c r="AC25" i="111"/>
  <c r="U25" i="107"/>
  <c r="U25" i="111"/>
  <c r="AC24" i="107"/>
  <c r="AC24" i="111"/>
  <c r="Y24" i="107"/>
  <c r="Y24" i="111"/>
  <c r="U24" i="107"/>
  <c r="U24" i="111"/>
  <c r="AC23" i="107"/>
  <c r="AC23" i="111"/>
  <c r="Y23" i="107"/>
  <c r="Y23" i="111"/>
  <c r="AC22" i="107"/>
  <c r="AC22" i="111"/>
  <c r="Y22" i="107"/>
  <c r="Y22" i="111"/>
  <c r="U22" i="107"/>
  <c r="U22" i="111"/>
  <c r="P103" i="108"/>
  <c r="O103" i="108"/>
  <c r="P99" i="108"/>
  <c r="P95" i="108"/>
  <c r="O95" i="108"/>
  <c r="P91" i="108"/>
  <c r="P87" i="108"/>
  <c r="O87" i="108"/>
  <c r="P83" i="108"/>
  <c r="P79" i="108"/>
  <c r="O79" i="108"/>
  <c r="P75" i="108"/>
  <c r="P71" i="108"/>
  <c r="O71" i="108"/>
  <c r="P67" i="108"/>
  <c r="P63" i="108"/>
  <c r="O63" i="108"/>
  <c r="P59" i="108"/>
  <c r="AB33" i="108"/>
  <c r="X33" i="108"/>
  <c r="T33" i="108"/>
  <c r="AB32" i="108"/>
  <c r="X32" i="108"/>
  <c r="T32" i="108"/>
  <c r="AB31" i="108"/>
  <c r="X31" i="108"/>
  <c r="T31" i="108"/>
  <c r="AB30" i="108"/>
  <c r="X30" i="108"/>
  <c r="T30" i="108"/>
  <c r="AB29" i="108"/>
  <c r="X29" i="108"/>
  <c r="T29" i="108"/>
  <c r="AB28" i="108"/>
  <c r="X28" i="108"/>
  <c r="T28" i="108"/>
  <c r="AB27" i="108"/>
  <c r="X27" i="108"/>
  <c r="T27" i="108"/>
  <c r="AB26" i="108"/>
  <c r="X26" i="108"/>
  <c r="T26" i="108"/>
  <c r="AB25" i="108"/>
  <c r="X25" i="108"/>
  <c r="T25" i="108"/>
  <c r="AB24" i="108"/>
  <c r="X24" i="108"/>
  <c r="T24" i="108"/>
  <c r="AB23" i="108"/>
  <c r="X23" i="108"/>
  <c r="T23" i="108"/>
  <c r="AB22" i="108"/>
  <c r="X22" i="108"/>
  <c r="T22" i="108"/>
  <c r="Z31" i="111"/>
  <c r="AD28" i="111"/>
  <c r="Z27" i="111"/>
  <c r="V26" i="111"/>
  <c r="AD24" i="111"/>
  <c r="O67" i="108"/>
  <c r="O99" i="108"/>
  <c r="O20" i="99"/>
  <c r="P20" i="99"/>
  <c r="N58" i="100"/>
  <c r="M58" i="100"/>
  <c r="L58" i="100"/>
  <c r="K58" i="100"/>
  <c r="J58" i="100"/>
  <c r="I58" i="100"/>
  <c r="H58" i="100"/>
  <c r="G58" i="100"/>
  <c r="F58" i="100"/>
  <c r="E58" i="100"/>
  <c r="D58" i="100"/>
  <c r="C58" i="100"/>
  <c r="P57" i="100"/>
  <c r="O57" i="100"/>
  <c r="P56" i="100"/>
  <c r="O56" i="100"/>
  <c r="P55" i="100"/>
  <c r="O55" i="100"/>
  <c r="P54" i="100"/>
  <c r="O54" i="100"/>
  <c r="P53" i="100"/>
  <c r="O53" i="100"/>
  <c r="P52" i="100"/>
  <c r="O52" i="100"/>
  <c r="P51" i="100"/>
  <c r="O51" i="100"/>
  <c r="P50" i="100"/>
  <c r="O50" i="100"/>
  <c r="P49" i="100"/>
  <c r="O49" i="100"/>
  <c r="P48" i="100"/>
  <c r="O48" i="100"/>
  <c r="P47" i="100"/>
  <c r="O47" i="100"/>
  <c r="P46" i="100"/>
  <c r="O46" i="100"/>
  <c r="P45" i="100"/>
  <c r="O45" i="100"/>
  <c r="P44" i="100"/>
  <c r="O44" i="100"/>
  <c r="P43" i="100"/>
  <c r="O43" i="100"/>
  <c r="P42" i="100"/>
  <c r="O42" i="100"/>
  <c r="P41" i="100"/>
  <c r="O41" i="100"/>
  <c r="P40" i="100"/>
  <c r="O40" i="100"/>
  <c r="P39" i="100"/>
  <c r="O39" i="100"/>
  <c r="P38" i="100"/>
  <c r="O38" i="100"/>
  <c r="P37" i="100"/>
  <c r="O37" i="100"/>
  <c r="P36" i="100"/>
  <c r="O36" i="100"/>
  <c r="P35" i="100"/>
  <c r="O35" i="100"/>
  <c r="P34" i="100"/>
  <c r="O34" i="100"/>
  <c r="P33" i="100"/>
  <c r="O33" i="100"/>
  <c r="P32" i="100"/>
  <c r="O32" i="100"/>
  <c r="P31" i="100"/>
  <c r="O31" i="100"/>
  <c r="P30" i="100"/>
  <c r="O30" i="100"/>
  <c r="P29" i="100"/>
  <c r="O29" i="100"/>
  <c r="P28" i="100"/>
  <c r="O28" i="100"/>
  <c r="P27" i="100"/>
  <c r="O27" i="100"/>
  <c r="P26" i="100"/>
  <c r="O26" i="100"/>
  <c r="P25" i="100"/>
  <c r="O25" i="100"/>
  <c r="P24" i="100"/>
  <c r="O24" i="100"/>
  <c r="P23" i="100"/>
  <c r="O23" i="100"/>
  <c r="P22" i="100"/>
  <c r="O22" i="100"/>
  <c r="AF21" i="100"/>
  <c r="AE21" i="100"/>
  <c r="AD21" i="100"/>
  <c r="AC21" i="100"/>
  <c r="AB21" i="100"/>
  <c r="AA21" i="100"/>
  <c r="Z21" i="100"/>
  <c r="Y21" i="100"/>
  <c r="X21" i="100"/>
  <c r="W21" i="100"/>
  <c r="V21" i="100"/>
  <c r="U21" i="100"/>
  <c r="T21" i="100"/>
  <c r="S21" i="100"/>
  <c r="P21" i="100"/>
  <c r="O21" i="100"/>
  <c r="AF20" i="100"/>
  <c r="AE20" i="100"/>
  <c r="AD20" i="100"/>
  <c r="AC20" i="100"/>
  <c r="AB20" i="100"/>
  <c r="AA20" i="100"/>
  <c r="Z20" i="100"/>
  <c r="Y20" i="100"/>
  <c r="X20" i="100"/>
  <c r="W20" i="100"/>
  <c r="V20" i="100"/>
  <c r="U20" i="100"/>
  <c r="T20" i="100"/>
  <c r="S20" i="100"/>
  <c r="P20" i="100"/>
  <c r="O20" i="100"/>
  <c r="AF19" i="100"/>
  <c r="AF27" i="100" s="1"/>
  <c r="AE19" i="100"/>
  <c r="AE27" i="100" s="1"/>
  <c r="AD19" i="100"/>
  <c r="AD27" i="100" s="1"/>
  <c r="AC19" i="100"/>
  <c r="AC27" i="100" s="1"/>
  <c r="AB19" i="100"/>
  <c r="AB27" i="100" s="1"/>
  <c r="AA19" i="100"/>
  <c r="AA27" i="100" s="1"/>
  <c r="Z19" i="100"/>
  <c r="Z27" i="100" s="1"/>
  <c r="Y19" i="100"/>
  <c r="Y27" i="100" s="1"/>
  <c r="X19" i="100"/>
  <c r="X24" i="100" s="1"/>
  <c r="W19" i="100"/>
  <c r="W27" i="100" s="1"/>
  <c r="V19" i="100"/>
  <c r="V27" i="100" s="1"/>
  <c r="U19" i="100"/>
  <c r="U27" i="100" s="1"/>
  <c r="T19" i="100"/>
  <c r="T24" i="100" s="1"/>
  <c r="S19" i="100"/>
  <c r="S27" i="100" s="1"/>
  <c r="P19" i="100"/>
  <c r="O19" i="100"/>
  <c r="AF18" i="100"/>
  <c r="AE18" i="100"/>
  <c r="AD18" i="100"/>
  <c r="AC18" i="100"/>
  <c r="AB18" i="100"/>
  <c r="AA18" i="100"/>
  <c r="Z18" i="100"/>
  <c r="Y18" i="100"/>
  <c r="X18" i="100"/>
  <c r="W18" i="100"/>
  <c r="V18" i="100"/>
  <c r="U18" i="100"/>
  <c r="T18" i="100"/>
  <c r="S18" i="100"/>
  <c r="P18" i="100"/>
  <c r="O18" i="100"/>
  <c r="AF17" i="100"/>
  <c r="AE17" i="100"/>
  <c r="AD17" i="100"/>
  <c r="AC17" i="100"/>
  <c r="AB17" i="100"/>
  <c r="AA17" i="100"/>
  <c r="Z17" i="100"/>
  <c r="Y17" i="100"/>
  <c r="X17" i="100"/>
  <c r="W17" i="100"/>
  <c r="V17" i="100"/>
  <c r="U17" i="100"/>
  <c r="T17" i="100"/>
  <c r="S17" i="100"/>
  <c r="P17" i="100"/>
  <c r="O17" i="100"/>
  <c r="AF16" i="100"/>
  <c r="AE16" i="100"/>
  <c r="AD16" i="100"/>
  <c r="AC16" i="100"/>
  <c r="AB16" i="100"/>
  <c r="AA16" i="100"/>
  <c r="Z16" i="100"/>
  <c r="Y16" i="100"/>
  <c r="X16" i="100"/>
  <c r="W16" i="100"/>
  <c r="V16" i="100"/>
  <c r="U16" i="100"/>
  <c r="T16" i="100"/>
  <c r="S16" i="100"/>
  <c r="P16" i="100"/>
  <c r="O16" i="100"/>
  <c r="AF15" i="100"/>
  <c r="AE15" i="100"/>
  <c r="AD15" i="100"/>
  <c r="AC15" i="100"/>
  <c r="AB15" i="100"/>
  <c r="AA15" i="100"/>
  <c r="Z15" i="100"/>
  <c r="Y15" i="100"/>
  <c r="X15" i="100"/>
  <c r="W15" i="100"/>
  <c r="V15" i="100"/>
  <c r="U15" i="100"/>
  <c r="T15" i="100"/>
  <c r="S15" i="100"/>
  <c r="P15" i="100"/>
  <c r="O15" i="100"/>
  <c r="AF14" i="100"/>
  <c r="AE14" i="100"/>
  <c r="AD14" i="100"/>
  <c r="AC14" i="100"/>
  <c r="AB14" i="100"/>
  <c r="AA14" i="100"/>
  <c r="Z14" i="100"/>
  <c r="Y14" i="100"/>
  <c r="X14" i="100"/>
  <c r="W14" i="100"/>
  <c r="V14" i="100"/>
  <c r="U14" i="100"/>
  <c r="T14" i="100"/>
  <c r="S14" i="100"/>
  <c r="P14" i="100"/>
  <c r="O14" i="100"/>
  <c r="AF13" i="100"/>
  <c r="AF26" i="100" s="1"/>
  <c r="AE13" i="100"/>
  <c r="AE26" i="100" s="1"/>
  <c r="AD13" i="100"/>
  <c r="AD23" i="100" s="1"/>
  <c r="AC13" i="100"/>
  <c r="AC26" i="100" s="1"/>
  <c r="AB13" i="100"/>
  <c r="AB26" i="100" s="1"/>
  <c r="AA13" i="100"/>
  <c r="AA26" i="100" s="1"/>
  <c r="Z13" i="100"/>
  <c r="Z23" i="100" s="1"/>
  <c r="Y13" i="100"/>
  <c r="Y26" i="100" s="1"/>
  <c r="X13" i="100"/>
  <c r="X26" i="100" s="1"/>
  <c r="W13" i="100"/>
  <c r="W26" i="100" s="1"/>
  <c r="V13" i="100"/>
  <c r="V23" i="100" s="1"/>
  <c r="U13" i="100"/>
  <c r="U26" i="100" s="1"/>
  <c r="T13" i="100"/>
  <c r="T26" i="100" s="1"/>
  <c r="S13" i="100"/>
  <c r="S26" i="100" s="1"/>
  <c r="P13" i="100"/>
  <c r="O13" i="100"/>
  <c r="AF12" i="100"/>
  <c r="AE12" i="100"/>
  <c r="AD12" i="100"/>
  <c r="AC12" i="100"/>
  <c r="AB12" i="100"/>
  <c r="AA12" i="100"/>
  <c r="Z12" i="100"/>
  <c r="Y12" i="100"/>
  <c r="X12" i="100"/>
  <c r="W12" i="100"/>
  <c r="V12" i="100"/>
  <c r="U12" i="100"/>
  <c r="T12" i="100"/>
  <c r="S12" i="100"/>
  <c r="P12" i="100"/>
  <c r="O12" i="100"/>
  <c r="AF11" i="100"/>
  <c r="AE11" i="100"/>
  <c r="AD11" i="100"/>
  <c r="AD22" i="100" s="1"/>
  <c r="AC11" i="100"/>
  <c r="AB11" i="100"/>
  <c r="AB25" i="100" s="1"/>
  <c r="AA11" i="100"/>
  <c r="Z11" i="100"/>
  <c r="Z22" i="100" s="1"/>
  <c r="Y11" i="100"/>
  <c r="X11" i="100"/>
  <c r="X25" i="100" s="1"/>
  <c r="W11" i="100"/>
  <c r="V11" i="100"/>
  <c r="V22" i="100" s="1"/>
  <c r="U11" i="100"/>
  <c r="T11" i="100"/>
  <c r="T25" i="100" s="1"/>
  <c r="S11" i="100"/>
  <c r="P11" i="100"/>
  <c r="O11" i="100"/>
  <c r="AF10" i="100"/>
  <c r="AF28" i="100" s="1"/>
  <c r="AD10" i="100"/>
  <c r="AC10" i="100"/>
  <c r="AC28" i="100" s="1"/>
  <c r="AB10" i="100"/>
  <c r="AA10" i="100"/>
  <c r="AA28" i="100" s="1"/>
  <c r="Z10" i="100"/>
  <c r="Y10" i="100"/>
  <c r="Y28" i="100" s="1"/>
  <c r="X10" i="100"/>
  <c r="W10" i="100"/>
  <c r="W28" i="100" s="1"/>
  <c r="V10" i="100"/>
  <c r="U10" i="100"/>
  <c r="U28" i="100" s="1"/>
  <c r="T10" i="100"/>
  <c r="S10" i="100"/>
  <c r="S28" i="100" s="1"/>
  <c r="P10" i="100"/>
  <c r="O10" i="100"/>
  <c r="O58" i="100" s="1"/>
  <c r="K5" i="100"/>
  <c r="G5" i="100"/>
  <c r="C3" i="100"/>
  <c r="AE25" i="107" l="1"/>
  <c r="AE26" i="107"/>
  <c r="AE28" i="107"/>
  <c r="AE32" i="107"/>
  <c r="T24" i="111"/>
  <c r="X33" i="111"/>
  <c r="O96" i="111"/>
  <c r="V30" i="111"/>
  <c r="T27" i="111"/>
  <c r="Z23" i="111"/>
  <c r="V25" i="111"/>
  <c r="W41" i="111"/>
  <c r="W42" i="111" s="1"/>
  <c r="AF23" i="108"/>
  <c r="Y28" i="111"/>
  <c r="U29" i="111"/>
  <c r="AC29" i="111"/>
  <c r="AC31" i="111"/>
  <c r="P96" i="111"/>
  <c r="P101" i="111"/>
  <c r="S23" i="111"/>
  <c r="S25" i="111"/>
  <c r="S26" i="111"/>
  <c r="S28" i="111"/>
  <c r="S30" i="111"/>
  <c r="S32" i="111"/>
  <c r="S22" i="111"/>
  <c r="V32" i="111"/>
  <c r="AD32" i="111"/>
  <c r="Z33" i="111"/>
  <c r="T23" i="111"/>
  <c r="T25" i="111"/>
  <c r="T28" i="111"/>
  <c r="T32" i="111"/>
  <c r="T33" i="111"/>
  <c r="Y32" i="111"/>
  <c r="AB25" i="111"/>
  <c r="X26" i="111"/>
  <c r="AB29" i="111"/>
  <c r="S24" i="111"/>
  <c r="S27" i="111"/>
  <c r="S29" i="111"/>
  <c r="S31" i="111"/>
  <c r="S33" i="111"/>
  <c r="Y41" i="111"/>
  <c r="Y42" i="111" s="1"/>
  <c r="AC26" i="111"/>
  <c r="Y27" i="111"/>
  <c r="AD22" i="111"/>
  <c r="X23" i="111"/>
  <c r="X41" i="111" s="1"/>
  <c r="X42" i="111" s="1"/>
  <c r="T31" i="111"/>
  <c r="AA41" i="111"/>
  <c r="AA42" i="111" s="1"/>
  <c r="AD27" i="111"/>
  <c r="P75" i="111"/>
  <c r="P80" i="111"/>
  <c r="X27" i="111"/>
  <c r="U28" i="111"/>
  <c r="AC28" i="111"/>
  <c r="Y29" i="111"/>
  <c r="AC30" i="111"/>
  <c r="Y31" i="111"/>
  <c r="U32" i="111"/>
  <c r="Z32" i="111"/>
  <c r="V33" i="111"/>
  <c r="AB22" i="111"/>
  <c r="AB24" i="111"/>
  <c r="AB27" i="111"/>
  <c r="T29" i="111"/>
  <c r="AB32" i="111"/>
  <c r="P79" i="111"/>
  <c r="O79" i="111"/>
  <c r="P66" i="111"/>
  <c r="O66" i="111"/>
  <c r="P86" i="111"/>
  <c r="O86" i="111"/>
  <c r="P102" i="111"/>
  <c r="O102" i="111"/>
  <c r="AE26" i="108"/>
  <c r="P87" i="111"/>
  <c r="O87" i="111"/>
  <c r="P85" i="111"/>
  <c r="O85" i="111"/>
  <c r="AE28" i="108"/>
  <c r="AF31" i="108"/>
  <c r="P69" i="111"/>
  <c r="O69" i="111"/>
  <c r="P76" i="111"/>
  <c r="O76" i="111"/>
  <c r="P88" i="111"/>
  <c r="O88" i="111"/>
  <c r="P100" i="111"/>
  <c r="O100" i="111"/>
  <c r="AF22" i="107"/>
  <c r="AF26" i="107"/>
  <c r="AF28" i="107"/>
  <c r="AF30" i="107"/>
  <c r="AF32" i="107"/>
  <c r="AF24" i="108"/>
  <c r="AE33" i="108"/>
  <c r="P83" i="111"/>
  <c r="O83" i="111"/>
  <c r="P81" i="111"/>
  <c r="O81" i="111"/>
  <c r="P93" i="111"/>
  <c r="O93" i="111"/>
  <c r="O101" i="111"/>
  <c r="AE29" i="107"/>
  <c r="AF26" i="108"/>
  <c r="AF29" i="108"/>
  <c r="P71" i="111"/>
  <c r="O71" i="111"/>
  <c r="AE31" i="108"/>
  <c r="AE30" i="107"/>
  <c r="AF27" i="108"/>
  <c r="P95" i="111"/>
  <c r="O95" i="111"/>
  <c r="P99" i="111"/>
  <c r="O99" i="111"/>
  <c r="P105" i="111"/>
  <c r="O105" i="111"/>
  <c r="AE25" i="108"/>
  <c r="AF28" i="108"/>
  <c r="P67" i="111"/>
  <c r="O67" i="111"/>
  <c r="P91" i="111"/>
  <c r="O91" i="111"/>
  <c r="P60" i="111"/>
  <c r="O60" i="111"/>
  <c r="P72" i="111"/>
  <c r="O72" i="111"/>
  <c r="P84" i="111"/>
  <c r="O84" i="111"/>
  <c r="AF23" i="107"/>
  <c r="AF25" i="107"/>
  <c r="AE30" i="108"/>
  <c r="AF33" i="108"/>
  <c r="P59" i="111"/>
  <c r="O59" i="111"/>
  <c r="P65" i="111"/>
  <c r="O65" i="111"/>
  <c r="P77" i="111"/>
  <c r="O77" i="111"/>
  <c r="P89" i="111"/>
  <c r="O89" i="111"/>
  <c r="AE24" i="107"/>
  <c r="AE27" i="107"/>
  <c r="AE31" i="107"/>
  <c r="AE33" i="107"/>
  <c r="AE32" i="108"/>
  <c r="AE22" i="108"/>
  <c r="O75" i="111"/>
  <c r="O80" i="111"/>
  <c r="P64" i="111"/>
  <c r="O64" i="111"/>
  <c r="P92" i="111"/>
  <c r="O92" i="111"/>
  <c r="P104" i="111"/>
  <c r="O104" i="111"/>
  <c r="AE24" i="108"/>
  <c r="P63" i="111"/>
  <c r="O63" i="111"/>
  <c r="P97" i="111"/>
  <c r="O97" i="111"/>
  <c r="P78" i="111"/>
  <c r="O78" i="111"/>
  <c r="P94" i="111"/>
  <c r="O94" i="111"/>
  <c r="AE29" i="108"/>
  <c r="AE23" i="108"/>
  <c r="AF25" i="108"/>
  <c r="P68" i="111"/>
  <c r="O68" i="111"/>
  <c r="P62" i="111"/>
  <c r="O62" i="111"/>
  <c r="P70" i="111"/>
  <c r="O70" i="111"/>
  <c r="P74" i="111"/>
  <c r="O74" i="111"/>
  <c r="P82" i="111"/>
  <c r="O82" i="111"/>
  <c r="P90" i="111"/>
  <c r="O90" i="111"/>
  <c r="P98" i="111"/>
  <c r="O98" i="111"/>
  <c r="P58" i="111"/>
  <c r="O58" i="111"/>
  <c r="AE27" i="108"/>
  <c r="AF30" i="108"/>
  <c r="P103" i="111"/>
  <c r="O103" i="111"/>
  <c r="P61" i="111"/>
  <c r="O61" i="111"/>
  <c r="P73" i="111"/>
  <c r="O73" i="111"/>
  <c r="AF24" i="107"/>
  <c r="AF27" i="107"/>
  <c r="AF29" i="107"/>
  <c r="AF31" i="107"/>
  <c r="AF33" i="107"/>
  <c r="AF32" i="108"/>
  <c r="AF22" i="108"/>
  <c r="T23" i="100"/>
  <c r="X23" i="100"/>
  <c r="AB23" i="100"/>
  <c r="AF23" i="100"/>
  <c r="V24" i="100"/>
  <c r="Z24" i="100"/>
  <c r="AD24" i="100"/>
  <c r="AF25" i="100"/>
  <c r="V26" i="100"/>
  <c r="Z26" i="100"/>
  <c r="AD26" i="100"/>
  <c r="T27" i="100"/>
  <c r="X27" i="100"/>
  <c r="C60" i="100"/>
  <c r="E60" i="100"/>
  <c r="G60" i="100"/>
  <c r="I60" i="100"/>
  <c r="K60" i="100"/>
  <c r="P58" i="100"/>
  <c r="M59" i="100" s="1"/>
  <c r="T28" i="100"/>
  <c r="V28" i="100"/>
  <c r="X28" i="100"/>
  <c r="Z28" i="100"/>
  <c r="AB28" i="100"/>
  <c r="AD28" i="100"/>
  <c r="T22" i="100"/>
  <c r="X22" i="100"/>
  <c r="AB22" i="100"/>
  <c r="AF22" i="100"/>
  <c r="AB24" i="100"/>
  <c r="AF24" i="100"/>
  <c r="V25" i="100"/>
  <c r="Z25" i="100"/>
  <c r="AD25" i="100"/>
  <c r="D60" i="100"/>
  <c r="F60" i="100"/>
  <c r="H60" i="100"/>
  <c r="J60" i="100"/>
  <c r="L60" i="100"/>
  <c r="N60" i="100"/>
  <c r="L59" i="100"/>
  <c r="AE10" i="100"/>
  <c r="S22" i="100"/>
  <c r="U22" i="100"/>
  <c r="W22" i="100"/>
  <c r="Y22" i="100"/>
  <c r="AA22" i="100"/>
  <c r="AC22" i="100"/>
  <c r="S23" i="100"/>
  <c r="U23" i="100"/>
  <c r="W23" i="100"/>
  <c r="Y23" i="100"/>
  <c r="AA23" i="100"/>
  <c r="AC23" i="100"/>
  <c r="AE23" i="100"/>
  <c r="S24" i="100"/>
  <c r="U24" i="100"/>
  <c r="W24" i="100"/>
  <c r="Y24" i="100"/>
  <c r="AA24" i="100"/>
  <c r="AC24" i="100"/>
  <c r="AE24" i="100"/>
  <c r="S25" i="100"/>
  <c r="U25" i="100"/>
  <c r="W25" i="100"/>
  <c r="Y25" i="100"/>
  <c r="AA25" i="100"/>
  <c r="AC25" i="100"/>
  <c r="E59" i="100"/>
  <c r="N58" i="98"/>
  <c r="M58" i="98"/>
  <c r="L58" i="98"/>
  <c r="K58" i="98"/>
  <c r="J58" i="98"/>
  <c r="I58" i="98"/>
  <c r="H58" i="98"/>
  <c r="G58" i="98"/>
  <c r="F58" i="98"/>
  <c r="E58" i="98"/>
  <c r="D58" i="98"/>
  <c r="C58" i="98"/>
  <c r="P57" i="98"/>
  <c r="O57" i="98"/>
  <c r="P56" i="98"/>
  <c r="O56" i="98"/>
  <c r="P55" i="98"/>
  <c r="O55" i="98"/>
  <c r="P54" i="98"/>
  <c r="AF21" i="98" s="1"/>
  <c r="O54" i="98"/>
  <c r="P53" i="98"/>
  <c r="O53" i="98"/>
  <c r="P52" i="98"/>
  <c r="O52" i="98"/>
  <c r="P51" i="98"/>
  <c r="O51" i="98"/>
  <c r="P50" i="98"/>
  <c r="AF20" i="98" s="1"/>
  <c r="O50" i="98"/>
  <c r="P49" i="98"/>
  <c r="O49" i="98"/>
  <c r="P48" i="98"/>
  <c r="O48" i="98"/>
  <c r="P47" i="98"/>
  <c r="O47" i="98"/>
  <c r="P46" i="98"/>
  <c r="O46" i="98"/>
  <c r="P45" i="98"/>
  <c r="O45" i="98"/>
  <c r="P44" i="98"/>
  <c r="O44" i="98"/>
  <c r="P43" i="98"/>
  <c r="O43" i="98"/>
  <c r="P42" i="98"/>
  <c r="AF18" i="98" s="1"/>
  <c r="O42" i="98"/>
  <c r="P41" i="98"/>
  <c r="O41" i="98"/>
  <c r="P40" i="98"/>
  <c r="O40" i="98"/>
  <c r="P39" i="98"/>
  <c r="O39" i="98"/>
  <c r="P38" i="98"/>
  <c r="AF17" i="98" s="1"/>
  <c r="O38" i="98"/>
  <c r="P37" i="98"/>
  <c r="O37" i="98"/>
  <c r="P36" i="98"/>
  <c r="O36" i="98"/>
  <c r="P35" i="98"/>
  <c r="O35" i="98"/>
  <c r="P34" i="98"/>
  <c r="AF16" i="98" s="1"/>
  <c r="O34" i="98"/>
  <c r="P33" i="98"/>
  <c r="O33" i="98"/>
  <c r="P32" i="98"/>
  <c r="O32" i="98"/>
  <c r="P31" i="98"/>
  <c r="O31" i="98"/>
  <c r="P30" i="98"/>
  <c r="O30" i="98"/>
  <c r="P29" i="98"/>
  <c r="O29" i="98"/>
  <c r="P28" i="98"/>
  <c r="O28" i="98"/>
  <c r="P27" i="98"/>
  <c r="O27" i="98"/>
  <c r="P26" i="98"/>
  <c r="AF14" i="98" s="1"/>
  <c r="O26" i="98"/>
  <c r="AE14" i="98" s="1"/>
  <c r="P25" i="98"/>
  <c r="O25" i="98"/>
  <c r="P24" i="98"/>
  <c r="O24" i="98"/>
  <c r="P23" i="98"/>
  <c r="O23" i="98"/>
  <c r="P22" i="98"/>
  <c r="AF13" i="98" s="1"/>
  <c r="O22" i="98"/>
  <c r="AE13" i="98" s="1"/>
  <c r="AD21" i="98"/>
  <c r="AC21" i="98"/>
  <c r="AB21" i="98"/>
  <c r="AA21" i="98"/>
  <c r="Z21" i="98"/>
  <c r="Y21" i="98"/>
  <c r="X21" i="98"/>
  <c r="W21" i="98"/>
  <c r="V21" i="98"/>
  <c r="U21" i="98"/>
  <c r="T21" i="98"/>
  <c r="S21" i="98"/>
  <c r="P21" i="98"/>
  <c r="O21" i="98"/>
  <c r="AD20" i="98"/>
  <c r="AC20" i="98"/>
  <c r="AB20" i="98"/>
  <c r="AA20" i="98"/>
  <c r="Z20" i="98"/>
  <c r="Y20" i="98"/>
  <c r="X20" i="98"/>
  <c r="W20" i="98"/>
  <c r="V20" i="98"/>
  <c r="U20" i="98"/>
  <c r="T20" i="98"/>
  <c r="S20" i="98"/>
  <c r="P20" i="98"/>
  <c r="O20" i="98"/>
  <c r="AF19" i="98"/>
  <c r="AD19" i="98"/>
  <c r="AC19" i="98"/>
  <c r="AB19" i="98"/>
  <c r="AA19" i="98"/>
  <c r="Z19" i="98"/>
  <c r="Y19" i="98"/>
  <c r="X19" i="98"/>
  <c r="W19" i="98"/>
  <c r="V19" i="98"/>
  <c r="U19" i="98"/>
  <c r="T19" i="98"/>
  <c r="S19" i="98"/>
  <c r="P19" i="98"/>
  <c r="O19" i="98"/>
  <c r="AD18" i="98"/>
  <c r="AC18" i="98"/>
  <c r="AB18" i="98"/>
  <c r="AA18" i="98"/>
  <c r="Z18" i="98"/>
  <c r="Y18" i="98"/>
  <c r="X18" i="98"/>
  <c r="W18" i="98"/>
  <c r="V18" i="98"/>
  <c r="U18" i="98"/>
  <c r="T18" i="98"/>
  <c r="S18" i="98"/>
  <c r="P18" i="98"/>
  <c r="AF12" i="98" s="1"/>
  <c r="O18" i="98"/>
  <c r="AD17" i="98"/>
  <c r="AC17" i="98"/>
  <c r="AB17" i="98"/>
  <c r="AA17" i="98"/>
  <c r="Z17" i="98"/>
  <c r="Y17" i="98"/>
  <c r="X17" i="98"/>
  <c r="W17" i="98"/>
  <c r="V17" i="98"/>
  <c r="U17" i="98"/>
  <c r="T17" i="98"/>
  <c r="S17" i="98"/>
  <c r="P17" i="98"/>
  <c r="O17" i="98"/>
  <c r="AD16" i="98"/>
  <c r="AC16" i="98"/>
  <c r="AB16" i="98"/>
  <c r="AA16" i="98"/>
  <c r="Z16" i="98"/>
  <c r="Y16" i="98"/>
  <c r="X16" i="98"/>
  <c r="W16" i="98"/>
  <c r="V16" i="98"/>
  <c r="U16" i="98"/>
  <c r="T16" i="98"/>
  <c r="S16" i="98"/>
  <c r="P16" i="98"/>
  <c r="O16" i="98"/>
  <c r="AF15" i="98"/>
  <c r="AD15" i="98"/>
  <c r="AC15" i="98"/>
  <c r="AB15" i="98"/>
  <c r="AA15" i="98"/>
  <c r="Z15" i="98"/>
  <c r="Y15" i="98"/>
  <c r="X15" i="98"/>
  <c r="W15" i="98"/>
  <c r="V15" i="98"/>
  <c r="U15" i="98"/>
  <c r="T15" i="98"/>
  <c r="S15" i="98"/>
  <c r="P15" i="98"/>
  <c r="O15" i="98"/>
  <c r="AD14" i="98"/>
  <c r="AC14" i="98"/>
  <c r="AB14" i="98"/>
  <c r="AA14" i="98"/>
  <c r="Z14" i="98"/>
  <c r="Y14" i="98"/>
  <c r="X14" i="98"/>
  <c r="W14" i="98"/>
  <c r="V14" i="98"/>
  <c r="U14" i="98"/>
  <c r="T14" i="98"/>
  <c r="S14" i="98"/>
  <c r="P14" i="98"/>
  <c r="O14" i="98"/>
  <c r="AD13" i="98"/>
  <c r="AC13" i="98"/>
  <c r="AB13" i="98"/>
  <c r="AA13" i="98"/>
  <c r="Z13" i="98"/>
  <c r="Y13" i="98"/>
  <c r="X13" i="98"/>
  <c r="W13" i="98"/>
  <c r="V13" i="98"/>
  <c r="U13" i="98"/>
  <c r="T13" i="98"/>
  <c r="S13" i="98"/>
  <c r="P13" i="98"/>
  <c r="O13" i="98"/>
  <c r="AD12" i="98"/>
  <c r="AC12" i="98"/>
  <c r="AB12" i="98"/>
  <c r="AA12" i="98"/>
  <c r="Z12" i="98"/>
  <c r="Y12" i="98"/>
  <c r="X12" i="98"/>
  <c r="W12" i="98"/>
  <c r="V12" i="98"/>
  <c r="U12" i="98"/>
  <c r="T12" i="98"/>
  <c r="S12" i="98"/>
  <c r="P12" i="98"/>
  <c r="O12" i="98"/>
  <c r="AD11" i="98"/>
  <c r="AC11" i="98"/>
  <c r="AB11" i="98"/>
  <c r="AA11" i="98"/>
  <c r="Z11" i="98"/>
  <c r="Y11" i="98"/>
  <c r="X11" i="98"/>
  <c r="W11" i="98"/>
  <c r="V11" i="98"/>
  <c r="U11" i="98"/>
  <c r="T11" i="98"/>
  <c r="S11" i="98"/>
  <c r="P11" i="98"/>
  <c r="O11" i="98"/>
  <c r="AD10" i="98"/>
  <c r="AC10" i="98"/>
  <c r="AB10" i="98"/>
  <c r="AA10" i="98"/>
  <c r="Z10" i="98"/>
  <c r="Y10" i="98"/>
  <c r="X10" i="98"/>
  <c r="X25" i="98" s="1"/>
  <c r="W10" i="98"/>
  <c r="V10" i="98"/>
  <c r="U10" i="98"/>
  <c r="T10" i="98"/>
  <c r="T22" i="98" s="1"/>
  <c r="S10" i="98"/>
  <c r="P10" i="98"/>
  <c r="O10" i="98"/>
  <c r="K6" i="98"/>
  <c r="K6" i="100" s="1"/>
  <c r="C3" i="98"/>
  <c r="N58" i="97"/>
  <c r="M58" i="97"/>
  <c r="L58" i="97"/>
  <c r="K58" i="97"/>
  <c r="J58" i="97"/>
  <c r="I58" i="97"/>
  <c r="H58" i="97"/>
  <c r="G58" i="97"/>
  <c r="F58" i="97"/>
  <c r="E58" i="97"/>
  <c r="D58" i="97"/>
  <c r="C58" i="97"/>
  <c r="P57" i="97"/>
  <c r="O57" i="97"/>
  <c r="P56" i="97"/>
  <c r="O56" i="97"/>
  <c r="P55" i="97"/>
  <c r="O55" i="97"/>
  <c r="P54" i="97"/>
  <c r="AF21" i="97" s="1"/>
  <c r="O54" i="97"/>
  <c r="P53" i="97"/>
  <c r="O53" i="97"/>
  <c r="P52" i="97"/>
  <c r="O52" i="97"/>
  <c r="P51" i="97"/>
  <c r="O51" i="97"/>
  <c r="P50" i="97"/>
  <c r="AF20" i="97" s="1"/>
  <c r="O50" i="97"/>
  <c r="P49" i="97"/>
  <c r="O49" i="97"/>
  <c r="P48" i="97"/>
  <c r="O48" i="97"/>
  <c r="P47" i="97"/>
  <c r="O47" i="97"/>
  <c r="P46" i="97"/>
  <c r="O46" i="97"/>
  <c r="P45" i="97"/>
  <c r="O45" i="97"/>
  <c r="P44" i="97"/>
  <c r="O44" i="97"/>
  <c r="P43" i="97"/>
  <c r="O43" i="97"/>
  <c r="P42" i="97"/>
  <c r="AF18" i="97" s="1"/>
  <c r="O42" i="97"/>
  <c r="P41" i="97"/>
  <c r="O41" i="97"/>
  <c r="P40" i="97"/>
  <c r="O40" i="97"/>
  <c r="P39" i="97"/>
  <c r="O39" i="97"/>
  <c r="P38" i="97"/>
  <c r="AF17" i="97" s="1"/>
  <c r="O38" i="97"/>
  <c r="P37" i="97"/>
  <c r="O37" i="97"/>
  <c r="P36" i="97"/>
  <c r="O36" i="97"/>
  <c r="P35" i="97"/>
  <c r="O35" i="97"/>
  <c r="P34" i="97"/>
  <c r="AF16" i="97" s="1"/>
  <c r="O34" i="97"/>
  <c r="P33" i="97"/>
  <c r="O33" i="97"/>
  <c r="P32" i="97"/>
  <c r="O32" i="97"/>
  <c r="P31" i="97"/>
  <c r="O31" i="97"/>
  <c r="P30" i="97"/>
  <c r="O30" i="97"/>
  <c r="P29" i="97"/>
  <c r="O29" i="97"/>
  <c r="P28" i="97"/>
  <c r="O28" i="97"/>
  <c r="P27" i="97"/>
  <c r="O27" i="97"/>
  <c r="P26" i="97"/>
  <c r="AF14" i="97" s="1"/>
  <c r="O26" i="97"/>
  <c r="P25" i="97"/>
  <c r="O25" i="97"/>
  <c r="P24" i="97"/>
  <c r="O24" i="97"/>
  <c r="P23" i="97"/>
  <c r="O23" i="97"/>
  <c r="P22" i="97"/>
  <c r="AF13" i="97" s="1"/>
  <c r="O22" i="97"/>
  <c r="AD21" i="97"/>
  <c r="AC21" i="97"/>
  <c r="AB21" i="97"/>
  <c r="AA21" i="97"/>
  <c r="Z21" i="97"/>
  <c r="Y21" i="97"/>
  <c r="X21" i="97"/>
  <c r="W21" i="97"/>
  <c r="V21" i="97"/>
  <c r="U21" i="97"/>
  <c r="T21" i="97"/>
  <c r="S21" i="97"/>
  <c r="P21" i="97"/>
  <c r="O21" i="97"/>
  <c r="AD20" i="97"/>
  <c r="AC20" i="97"/>
  <c r="AB20" i="97"/>
  <c r="AA20" i="97"/>
  <c r="Z20" i="97"/>
  <c r="Y20" i="97"/>
  <c r="X20" i="97"/>
  <c r="W20" i="97"/>
  <c r="V20" i="97"/>
  <c r="U20" i="97"/>
  <c r="T20" i="97"/>
  <c r="S20" i="97"/>
  <c r="P20" i="97"/>
  <c r="O20" i="97"/>
  <c r="AF19" i="97"/>
  <c r="AD19" i="97"/>
  <c r="AC19" i="97"/>
  <c r="AB19" i="97"/>
  <c r="AA19" i="97"/>
  <c r="AA27" i="97" s="1"/>
  <c r="Z19" i="97"/>
  <c r="Y19" i="97"/>
  <c r="X19" i="97"/>
  <c r="W19" i="97"/>
  <c r="W27" i="97" s="1"/>
  <c r="V19" i="97"/>
  <c r="U19" i="97"/>
  <c r="T19" i="97"/>
  <c r="S19" i="97"/>
  <c r="S27" i="97" s="1"/>
  <c r="P19" i="97"/>
  <c r="O19" i="97"/>
  <c r="AD18" i="97"/>
  <c r="AC18" i="97"/>
  <c r="AB18" i="97"/>
  <c r="AA18" i="97"/>
  <c r="Z18" i="97"/>
  <c r="Y18" i="97"/>
  <c r="X18" i="97"/>
  <c r="W18" i="97"/>
  <c r="V18" i="97"/>
  <c r="U18" i="97"/>
  <c r="T18" i="97"/>
  <c r="S18" i="97"/>
  <c r="P18" i="97"/>
  <c r="O18" i="97"/>
  <c r="AD17" i="97"/>
  <c r="AC17" i="97"/>
  <c r="AB17" i="97"/>
  <c r="AA17" i="97"/>
  <c r="Z17" i="97"/>
  <c r="Y17" i="97"/>
  <c r="X17" i="97"/>
  <c r="W17" i="97"/>
  <c r="V17" i="97"/>
  <c r="U17" i="97"/>
  <c r="T17" i="97"/>
  <c r="S17" i="97"/>
  <c r="P17" i="97"/>
  <c r="O17" i="97"/>
  <c r="AD16" i="97"/>
  <c r="AC16" i="97"/>
  <c r="AB16" i="97"/>
  <c r="AA16" i="97"/>
  <c r="Z16" i="97"/>
  <c r="Y16" i="97"/>
  <c r="X16" i="97"/>
  <c r="W16" i="97"/>
  <c r="V16" i="97"/>
  <c r="U16" i="97"/>
  <c r="T16" i="97"/>
  <c r="S16" i="97"/>
  <c r="P16" i="97"/>
  <c r="O16" i="97"/>
  <c r="AF15" i="97"/>
  <c r="AD15" i="97"/>
  <c r="AC15" i="97"/>
  <c r="AB15" i="97"/>
  <c r="AA15" i="97"/>
  <c r="Z15" i="97"/>
  <c r="Y15" i="97"/>
  <c r="X15" i="97"/>
  <c r="W15" i="97"/>
  <c r="V15" i="97"/>
  <c r="U15" i="97"/>
  <c r="T15" i="97"/>
  <c r="S15" i="97"/>
  <c r="P15" i="97"/>
  <c r="O15" i="97"/>
  <c r="AD14" i="97"/>
  <c r="AC14" i="97"/>
  <c r="AB14" i="97"/>
  <c r="AA14" i="97"/>
  <c r="Z14" i="97"/>
  <c r="Y14" i="97"/>
  <c r="X14" i="97"/>
  <c r="W14" i="97"/>
  <c r="V14" i="97"/>
  <c r="U14" i="97"/>
  <c r="T14" i="97"/>
  <c r="S14" i="97"/>
  <c r="P14" i="97"/>
  <c r="O14" i="97"/>
  <c r="AD13" i="97"/>
  <c r="AC13" i="97"/>
  <c r="AB13" i="97"/>
  <c r="AA13" i="97"/>
  <c r="Z13" i="97"/>
  <c r="Y13" i="97"/>
  <c r="X13" i="97"/>
  <c r="W13" i="97"/>
  <c r="V13" i="97"/>
  <c r="U13" i="97"/>
  <c r="T13" i="97"/>
  <c r="S13" i="97"/>
  <c r="P13" i="97"/>
  <c r="O13" i="97"/>
  <c r="AD12" i="97"/>
  <c r="AC12" i="97"/>
  <c r="AB12" i="97"/>
  <c r="AA12" i="97"/>
  <c r="Z12" i="97"/>
  <c r="Y12" i="97"/>
  <c r="X12" i="97"/>
  <c r="W12" i="97"/>
  <c r="V12" i="97"/>
  <c r="U12" i="97"/>
  <c r="T12" i="97"/>
  <c r="S12" i="97"/>
  <c r="P12" i="97"/>
  <c r="O12" i="97"/>
  <c r="AD11" i="97"/>
  <c r="AC11" i="97"/>
  <c r="AB11" i="97"/>
  <c r="AA11" i="97"/>
  <c r="Z11" i="97"/>
  <c r="Y11" i="97"/>
  <c r="X11" i="97"/>
  <c r="W11" i="97"/>
  <c r="V11" i="97"/>
  <c r="U11" i="97"/>
  <c r="T11" i="97"/>
  <c r="S11" i="97"/>
  <c r="P11" i="97"/>
  <c r="AF10" i="97" s="1"/>
  <c r="O11" i="97"/>
  <c r="AD10" i="97"/>
  <c r="AC10" i="97"/>
  <c r="AB10" i="97"/>
  <c r="AA10" i="97"/>
  <c r="Z10" i="97"/>
  <c r="Y10" i="97"/>
  <c r="X10" i="97"/>
  <c r="W10" i="97"/>
  <c r="V10" i="97"/>
  <c r="U10" i="97"/>
  <c r="T10" i="97"/>
  <c r="S10" i="97"/>
  <c r="P10" i="97"/>
  <c r="O10" i="97"/>
  <c r="K6" i="97"/>
  <c r="G6" i="97"/>
  <c r="D6" i="97"/>
  <c r="K5" i="97"/>
  <c r="G5" i="97"/>
  <c r="C3" i="97"/>
  <c r="AF22" i="111" l="1"/>
  <c r="AE28" i="111"/>
  <c r="AF24" i="111"/>
  <c r="Z41" i="111"/>
  <c r="Z42" i="111" s="1"/>
  <c r="AF26" i="111"/>
  <c r="U41" i="111"/>
  <c r="U42" i="111" s="1"/>
  <c r="V41" i="111"/>
  <c r="V42" i="111" s="1"/>
  <c r="AC41" i="111"/>
  <c r="AC42" i="111" s="1"/>
  <c r="T41" i="111"/>
  <c r="T42" i="111" s="1"/>
  <c r="AE32" i="111"/>
  <c r="AE25" i="111"/>
  <c r="AF27" i="111"/>
  <c r="AE29" i="111"/>
  <c r="AF33" i="111"/>
  <c r="S41" i="111"/>
  <c r="S42" i="111" s="1"/>
  <c r="AF32" i="111"/>
  <c r="AF28" i="111"/>
  <c r="AF25" i="111"/>
  <c r="AE31" i="111"/>
  <c r="AE22" i="111"/>
  <c r="AE30" i="111"/>
  <c r="AE26" i="111"/>
  <c r="AE23" i="111"/>
  <c r="AF31" i="111"/>
  <c r="AF29" i="111"/>
  <c r="AF30" i="111"/>
  <c r="AF23" i="111"/>
  <c r="AE27" i="111"/>
  <c r="AE33" i="111"/>
  <c r="AE24" i="111"/>
  <c r="AB41" i="111"/>
  <c r="AB42" i="111" s="1"/>
  <c r="AD41" i="111"/>
  <c r="AD42" i="111" s="1"/>
  <c r="V26" i="97"/>
  <c r="Z26" i="97"/>
  <c r="AD26" i="97"/>
  <c r="AF11" i="97"/>
  <c r="T27" i="97"/>
  <c r="X24" i="97"/>
  <c r="AB27" i="97"/>
  <c r="AF12" i="97"/>
  <c r="AE15" i="97"/>
  <c r="AE16" i="97"/>
  <c r="AE17" i="97"/>
  <c r="AE18" i="97"/>
  <c r="AE19" i="97"/>
  <c r="AE20" i="97"/>
  <c r="AE21" i="97"/>
  <c r="AE27" i="97" s="1"/>
  <c r="O58" i="98"/>
  <c r="U28" i="98"/>
  <c r="Y25" i="98"/>
  <c r="AC28" i="98"/>
  <c r="AF10" i="98"/>
  <c r="AF24" i="97"/>
  <c r="S28" i="97"/>
  <c r="W28" i="97"/>
  <c r="AA28" i="97"/>
  <c r="T26" i="98"/>
  <c r="X23" i="98"/>
  <c r="AB26" i="98"/>
  <c r="AE11" i="98"/>
  <c r="AF11" i="98"/>
  <c r="AF25" i="98" s="1"/>
  <c r="AE12" i="98"/>
  <c r="V27" i="98"/>
  <c r="Z27" i="98"/>
  <c r="AD27" i="98"/>
  <c r="I59" i="100"/>
  <c r="AF25" i="97"/>
  <c r="T28" i="97"/>
  <c r="X25" i="97"/>
  <c r="AB28" i="97"/>
  <c r="S26" i="97"/>
  <c r="W26" i="97"/>
  <c r="AA26" i="97"/>
  <c r="AF23" i="97"/>
  <c r="U24" i="97"/>
  <c r="Y27" i="97"/>
  <c r="AC27" i="97"/>
  <c r="V28" i="98"/>
  <c r="Z28" i="98"/>
  <c r="AD28" i="98"/>
  <c r="U23" i="98"/>
  <c r="Y26" i="98"/>
  <c r="AC26" i="98"/>
  <c r="S27" i="98"/>
  <c r="W27" i="98"/>
  <c r="AA27" i="98"/>
  <c r="AF27" i="98"/>
  <c r="P58" i="98"/>
  <c r="O58" i="97"/>
  <c r="U28" i="97"/>
  <c r="Y28" i="97"/>
  <c r="AC28" i="97"/>
  <c r="T26" i="97"/>
  <c r="X26" i="97"/>
  <c r="AB26" i="97"/>
  <c r="AE11" i="97"/>
  <c r="AE12" i="97"/>
  <c r="V27" i="97"/>
  <c r="Z27" i="97"/>
  <c r="AD27" i="97"/>
  <c r="AE13" i="97"/>
  <c r="AE14" i="97"/>
  <c r="AE23" i="97" s="1"/>
  <c r="S28" i="98"/>
  <c r="W28" i="98"/>
  <c r="AA28" i="98"/>
  <c r="V26" i="98"/>
  <c r="Z26" i="98"/>
  <c r="AD26" i="98"/>
  <c r="T24" i="98"/>
  <c r="X27" i="98"/>
  <c r="AB24" i="98"/>
  <c r="AE15" i="98"/>
  <c r="AE16" i="98"/>
  <c r="AE17" i="98"/>
  <c r="AE26" i="98" s="1"/>
  <c r="AE18" i="98"/>
  <c r="AE19" i="98"/>
  <c r="AE20" i="98"/>
  <c r="AE21" i="98"/>
  <c r="AE27" i="98" s="1"/>
  <c r="H59" i="100"/>
  <c r="V28" i="97"/>
  <c r="Z28" i="97"/>
  <c r="AD28" i="97"/>
  <c r="U23" i="97"/>
  <c r="Y26" i="97"/>
  <c r="AC26" i="97"/>
  <c r="P58" i="97"/>
  <c r="K59" i="97" s="1"/>
  <c r="AB28" i="98"/>
  <c r="S26" i="98"/>
  <c r="W26" i="98"/>
  <c r="AA26" i="98"/>
  <c r="AF26" i="98"/>
  <c r="U27" i="98"/>
  <c r="Y24" i="98"/>
  <c r="AC27" i="98"/>
  <c r="D59" i="100"/>
  <c r="AE28" i="100"/>
  <c r="AE25" i="100"/>
  <c r="AE22" i="100"/>
  <c r="K59" i="100"/>
  <c r="G59" i="100"/>
  <c r="C59" i="100"/>
  <c r="N59" i="100"/>
  <c r="J59" i="100"/>
  <c r="F59" i="100"/>
  <c r="K59" i="98"/>
  <c r="G59" i="98"/>
  <c r="C59" i="98"/>
  <c r="N59" i="98"/>
  <c r="J59" i="98"/>
  <c r="F59" i="98"/>
  <c r="D60" i="98"/>
  <c r="H60" i="98"/>
  <c r="E60" i="98"/>
  <c r="I60" i="98"/>
  <c r="M59" i="98"/>
  <c r="K60" i="98"/>
  <c r="G60" i="98"/>
  <c r="C60" i="98"/>
  <c r="F60" i="98"/>
  <c r="J60" i="98"/>
  <c r="L60" i="98"/>
  <c r="N60" i="98"/>
  <c r="X22" i="98"/>
  <c r="T23" i="98"/>
  <c r="AB23" i="98"/>
  <c r="AF24" i="98"/>
  <c r="AB25" i="98"/>
  <c r="X26" i="98"/>
  <c r="T27" i="98"/>
  <c r="T28" i="98"/>
  <c r="AB22" i="98"/>
  <c r="X24" i="98"/>
  <c r="T25" i="98"/>
  <c r="AB27" i="98"/>
  <c r="X28" i="98"/>
  <c r="AF28" i="98"/>
  <c r="U22" i="98"/>
  <c r="Y23" i="98"/>
  <c r="AC23" i="98"/>
  <c r="U24" i="98"/>
  <c r="AC24" i="98"/>
  <c r="U25" i="98"/>
  <c r="AC25" i="98"/>
  <c r="U26" i="98"/>
  <c r="Y27" i="98"/>
  <c r="Y28" i="98"/>
  <c r="V22" i="98"/>
  <c r="Z22" i="98"/>
  <c r="AD22" i="98"/>
  <c r="V23" i="98"/>
  <c r="Z23" i="98"/>
  <c r="AD23" i="98"/>
  <c r="V24" i="98"/>
  <c r="Z24" i="98"/>
  <c r="AD24" i="98"/>
  <c r="V25" i="98"/>
  <c r="Z25" i="98"/>
  <c r="AD25" i="98"/>
  <c r="D59" i="98"/>
  <c r="H59" i="98"/>
  <c r="L59" i="98"/>
  <c r="AF23" i="98"/>
  <c r="Y22" i="98"/>
  <c r="AC22" i="98"/>
  <c r="AE10" i="98"/>
  <c r="S22" i="98"/>
  <c r="W22" i="98"/>
  <c r="AA22" i="98"/>
  <c r="S23" i="98"/>
  <c r="W23" i="98"/>
  <c r="AA23" i="98"/>
  <c r="S24" i="98"/>
  <c r="W24" i="98"/>
  <c r="AA24" i="98"/>
  <c r="S25" i="98"/>
  <c r="W25" i="98"/>
  <c r="AA25" i="98"/>
  <c r="E59" i="98"/>
  <c r="I59" i="98"/>
  <c r="G60" i="97"/>
  <c r="J60" i="97"/>
  <c r="K60" i="97"/>
  <c r="C60" i="97"/>
  <c r="F60" i="97"/>
  <c r="D60" i="97"/>
  <c r="H60" i="97"/>
  <c r="L60" i="97"/>
  <c r="E60" i="97"/>
  <c r="I60" i="97"/>
  <c r="N60" i="97"/>
  <c r="X22" i="97"/>
  <c r="T23" i="97"/>
  <c r="AB23" i="97"/>
  <c r="T24" i="97"/>
  <c r="AB24" i="97"/>
  <c r="T25" i="97"/>
  <c r="AB25" i="97"/>
  <c r="AF26" i="97"/>
  <c r="X27" i="97"/>
  <c r="AF27" i="97"/>
  <c r="X28" i="97"/>
  <c r="AF28" i="97"/>
  <c r="Y23" i="97"/>
  <c r="AC23" i="97"/>
  <c r="Y24" i="97"/>
  <c r="Y25" i="97"/>
  <c r="AC25" i="97"/>
  <c r="U26" i="97"/>
  <c r="U27" i="97"/>
  <c r="V22" i="97"/>
  <c r="Z22" i="97"/>
  <c r="AD22" i="97"/>
  <c r="V23" i="97"/>
  <c r="Z23" i="97"/>
  <c r="AD23" i="97"/>
  <c r="V24" i="97"/>
  <c r="Z24" i="97"/>
  <c r="AD24" i="97"/>
  <c r="V25" i="97"/>
  <c r="Z25" i="97"/>
  <c r="AD25" i="97"/>
  <c r="T22" i="97"/>
  <c r="AB22" i="97"/>
  <c r="AF22" i="97"/>
  <c r="X23" i="97"/>
  <c r="U22" i="97"/>
  <c r="Y22" i="97"/>
  <c r="AC22" i="97"/>
  <c r="AC24" i="97"/>
  <c r="U25" i="97"/>
  <c r="AE10" i="97"/>
  <c r="S22" i="97"/>
  <c r="W22" i="97"/>
  <c r="AA22" i="97"/>
  <c r="S23" i="97"/>
  <c r="W23" i="97"/>
  <c r="AA23" i="97"/>
  <c r="S24" i="97"/>
  <c r="W24" i="97"/>
  <c r="AA24" i="97"/>
  <c r="S25" i="97"/>
  <c r="W25" i="97"/>
  <c r="AA25" i="97"/>
  <c r="AF41" i="111" l="1"/>
  <c r="AF42" i="111" s="1"/>
  <c r="AE41" i="111"/>
  <c r="AE42" i="111" s="1"/>
  <c r="AE24" i="97"/>
  <c r="AE24" i="98"/>
  <c r="D59" i="97"/>
  <c r="F59" i="97"/>
  <c r="AF22" i="98"/>
  <c r="AE26" i="97"/>
  <c r="M59" i="97"/>
  <c r="C59" i="97"/>
  <c r="J59" i="97"/>
  <c r="I59" i="97"/>
  <c r="L59" i="97"/>
  <c r="G59" i="97"/>
  <c r="N59" i="97"/>
  <c r="AE23" i="98"/>
  <c r="E59" i="97"/>
  <c r="H59" i="97"/>
  <c r="AE28" i="98"/>
  <c r="AE25" i="98"/>
  <c r="AE22" i="98"/>
  <c r="AE28" i="97"/>
  <c r="AE25" i="97"/>
  <c r="AE22" i="97"/>
  <c r="O14" i="96" l="1"/>
  <c r="P14" i="96"/>
  <c r="C3" i="94" l="1"/>
  <c r="K6" i="99" l="1"/>
  <c r="K6" i="101" s="1"/>
  <c r="K6" i="109" s="1"/>
  <c r="K6" i="105" s="1"/>
  <c r="K6" i="110" s="1"/>
  <c r="K6" i="103" s="1"/>
  <c r="K5" i="99"/>
  <c r="G5" i="99"/>
  <c r="G5" i="101" s="1"/>
  <c r="G5" i="109" s="1"/>
  <c r="G5" i="105" s="1"/>
  <c r="G5" i="110" s="1"/>
  <c r="G5" i="103" s="1"/>
  <c r="K6" i="96"/>
  <c r="K5" i="96"/>
  <c r="G5" i="96"/>
  <c r="K6" i="95"/>
  <c r="K5" i="95"/>
  <c r="G5" i="95"/>
  <c r="K6" i="94"/>
  <c r="G5" i="94"/>
  <c r="G6" i="108"/>
  <c r="G6" i="110"/>
  <c r="G6" i="96"/>
  <c r="G6" i="103"/>
  <c r="G6" i="107" s="1"/>
  <c r="G6" i="105"/>
  <c r="G6" i="101"/>
  <c r="G6" i="99"/>
  <c r="G6" i="95"/>
  <c r="D6" i="108"/>
  <c r="D6" i="110"/>
  <c r="D6" i="96"/>
  <c r="D6" i="103"/>
  <c r="D6" i="107" s="1"/>
  <c r="D6" i="105"/>
  <c r="D6" i="101"/>
  <c r="D6" i="99"/>
  <c r="D6" i="95"/>
  <c r="D5" i="104"/>
  <c r="D5" i="110"/>
  <c r="D5" i="109"/>
  <c r="D5" i="96"/>
  <c r="D5" i="94"/>
  <c r="K5" i="107" l="1"/>
  <c r="K5" i="108"/>
  <c r="K5" i="111" s="1"/>
  <c r="K6" i="104"/>
  <c r="K6" i="108" s="1"/>
  <c r="K6" i="111" s="1"/>
  <c r="K6" i="107"/>
  <c r="G5" i="107"/>
  <c r="G5" i="104"/>
  <c r="G5" i="108" s="1"/>
  <c r="G5" i="111" s="1"/>
  <c r="AC33" i="110"/>
  <c r="AA33" i="110"/>
  <c r="Y33" i="110"/>
  <c r="W33" i="110"/>
  <c r="U33" i="110"/>
  <c r="S33" i="110"/>
  <c r="AA32" i="110"/>
  <c r="W32" i="110"/>
  <c r="S32" i="110"/>
  <c r="AC31" i="110"/>
  <c r="AA31" i="110"/>
  <c r="Y31" i="110"/>
  <c r="W31" i="110"/>
  <c r="U31" i="110"/>
  <c r="S31" i="110"/>
  <c r="AA30" i="110"/>
  <c r="W30" i="110"/>
  <c r="S30" i="110"/>
  <c r="AC29" i="110"/>
  <c r="AA29" i="110"/>
  <c r="Y29" i="110"/>
  <c r="W29" i="110"/>
  <c r="U29" i="110"/>
  <c r="S29" i="110"/>
  <c r="AA28" i="110"/>
  <c r="W28" i="110"/>
  <c r="S28" i="110"/>
  <c r="AC27" i="110"/>
  <c r="AA27" i="110"/>
  <c r="Y27" i="110"/>
  <c r="W27" i="110"/>
  <c r="U27" i="110"/>
  <c r="S27" i="110"/>
  <c r="AA26" i="110"/>
  <c r="W26" i="110"/>
  <c r="S26" i="110"/>
  <c r="AC25" i="110"/>
  <c r="AA25" i="110"/>
  <c r="Y25" i="110"/>
  <c r="W25" i="110"/>
  <c r="U25" i="110"/>
  <c r="S25" i="110"/>
  <c r="AA24" i="110"/>
  <c r="W24" i="110"/>
  <c r="S24" i="110"/>
  <c r="AC23" i="110"/>
  <c r="AA23" i="110"/>
  <c r="Y23" i="110"/>
  <c r="W23" i="110"/>
  <c r="U23" i="110"/>
  <c r="S23" i="110"/>
  <c r="AA22" i="110"/>
  <c r="W22" i="110"/>
  <c r="S22" i="110"/>
  <c r="AA21" i="110"/>
  <c r="W21" i="110"/>
  <c r="S21" i="110"/>
  <c r="AA20" i="110"/>
  <c r="W20" i="110"/>
  <c r="S20" i="110"/>
  <c r="AA19" i="110"/>
  <c r="W19" i="110"/>
  <c r="S19" i="110"/>
  <c r="AA18" i="110"/>
  <c r="Y18" i="110"/>
  <c r="W18" i="110"/>
  <c r="U18" i="110"/>
  <c r="S18" i="110"/>
  <c r="AC17" i="110"/>
  <c r="AB17" i="110"/>
  <c r="AA17" i="110"/>
  <c r="Z17" i="110"/>
  <c r="Y17" i="110"/>
  <c r="X17" i="110"/>
  <c r="W17" i="110"/>
  <c r="V17" i="110"/>
  <c r="U17" i="110"/>
  <c r="T17" i="110"/>
  <c r="AD16" i="110"/>
  <c r="AC16" i="110"/>
  <c r="AB16" i="110"/>
  <c r="AA16" i="110"/>
  <c r="Z16" i="110"/>
  <c r="Y16" i="110"/>
  <c r="X16" i="110"/>
  <c r="W16" i="110"/>
  <c r="V16" i="110"/>
  <c r="U16" i="110"/>
  <c r="T16" i="110"/>
  <c r="S16" i="110"/>
  <c r="AD17" i="110"/>
  <c r="C3" i="110"/>
  <c r="AC33" i="109"/>
  <c r="AA33" i="109"/>
  <c r="Y33" i="109"/>
  <c r="W33" i="109"/>
  <c r="U33" i="109"/>
  <c r="AA32" i="109"/>
  <c r="Y32" i="109"/>
  <c r="W32" i="109"/>
  <c r="U32" i="109"/>
  <c r="S32" i="109"/>
  <c r="AC31" i="109"/>
  <c r="AA31" i="109"/>
  <c r="Y31" i="109"/>
  <c r="W31" i="109"/>
  <c r="U31" i="109"/>
  <c r="AC30" i="109"/>
  <c r="AA30" i="109"/>
  <c r="Y30" i="109"/>
  <c r="W30" i="109"/>
  <c r="U30" i="109"/>
  <c r="S30" i="109"/>
  <c r="AC29" i="109"/>
  <c r="AA29" i="109"/>
  <c r="Y29" i="109"/>
  <c r="W29" i="109"/>
  <c r="U29" i="109"/>
  <c r="AC28" i="109"/>
  <c r="AA28" i="109"/>
  <c r="Y28" i="109"/>
  <c r="W28" i="109"/>
  <c r="U28" i="109"/>
  <c r="S28" i="109"/>
  <c r="AC27" i="109"/>
  <c r="AA27" i="109"/>
  <c r="Y27" i="109"/>
  <c r="W27" i="109"/>
  <c r="U27" i="109"/>
  <c r="AC26" i="109"/>
  <c r="AA26" i="109"/>
  <c r="Y26" i="109"/>
  <c r="W26" i="109"/>
  <c r="U26" i="109"/>
  <c r="S26" i="109"/>
  <c r="AC25" i="109"/>
  <c r="AA25" i="109"/>
  <c r="Y25" i="109"/>
  <c r="W25" i="109"/>
  <c r="U25" i="109"/>
  <c r="AC24" i="109"/>
  <c r="AA24" i="109"/>
  <c r="Y24" i="109"/>
  <c r="W24" i="109"/>
  <c r="U24" i="109"/>
  <c r="S24" i="109"/>
  <c r="AC23" i="109"/>
  <c r="AA23" i="109"/>
  <c r="Y23" i="109"/>
  <c r="W23" i="109"/>
  <c r="U23" i="109"/>
  <c r="AC22" i="109"/>
  <c r="AA22" i="109"/>
  <c r="Y22" i="109"/>
  <c r="W22" i="109"/>
  <c r="S22" i="109"/>
  <c r="AC21" i="109"/>
  <c r="AA21" i="109"/>
  <c r="Y21" i="109"/>
  <c r="W21" i="109"/>
  <c r="U21" i="109"/>
  <c r="S21" i="109"/>
  <c r="AC20" i="109"/>
  <c r="AA20" i="109"/>
  <c r="Y20" i="109"/>
  <c r="W20" i="109"/>
  <c r="U20" i="109"/>
  <c r="S20" i="109"/>
  <c r="AC19" i="109"/>
  <c r="AC39" i="109" s="1"/>
  <c r="AA19" i="109"/>
  <c r="Y19" i="109"/>
  <c r="W19" i="109"/>
  <c r="U19" i="109"/>
  <c r="U39" i="109" s="1"/>
  <c r="S19" i="109"/>
  <c r="AC18" i="109"/>
  <c r="AA18" i="109"/>
  <c r="Y18" i="109"/>
  <c r="W18" i="109"/>
  <c r="U18" i="109"/>
  <c r="S18" i="109"/>
  <c r="AB17" i="109"/>
  <c r="AA17" i="109"/>
  <c r="Z17" i="109"/>
  <c r="Y17" i="109"/>
  <c r="X17" i="109"/>
  <c r="W17" i="109"/>
  <c r="V17" i="109"/>
  <c r="U17" i="109"/>
  <c r="T17" i="109"/>
  <c r="AD16" i="109"/>
  <c r="AC16" i="109"/>
  <c r="AB16" i="109"/>
  <c r="AA16" i="109"/>
  <c r="Z16" i="109"/>
  <c r="Y16" i="109"/>
  <c r="X16" i="109"/>
  <c r="W16" i="109"/>
  <c r="V16" i="109"/>
  <c r="U16" i="109"/>
  <c r="T16" i="109"/>
  <c r="Z15" i="109"/>
  <c r="AD14" i="109"/>
  <c r="AD17" i="109"/>
  <c r="C3" i="109"/>
  <c r="C3" i="104"/>
  <c r="C3" i="103"/>
  <c r="C3" i="105"/>
  <c r="C3" i="101"/>
  <c r="C3" i="99"/>
  <c r="C3" i="96"/>
  <c r="C3" i="95"/>
  <c r="AC33" i="105"/>
  <c r="AB33" i="105"/>
  <c r="Z33" i="105"/>
  <c r="Y33" i="105"/>
  <c r="X33" i="105"/>
  <c r="W33" i="105"/>
  <c r="V33" i="105"/>
  <c r="U33" i="105"/>
  <c r="T33" i="105"/>
  <c r="AD32" i="105"/>
  <c r="AC32" i="105"/>
  <c r="AB32" i="105"/>
  <c r="AA32" i="105"/>
  <c r="Z32" i="105"/>
  <c r="Y32" i="105"/>
  <c r="X32" i="105"/>
  <c r="W32" i="105"/>
  <c r="V32" i="105"/>
  <c r="U32" i="105"/>
  <c r="T32" i="105"/>
  <c r="AD31" i="105"/>
  <c r="AC31" i="105"/>
  <c r="AB31" i="105"/>
  <c r="AA31" i="105"/>
  <c r="Z31" i="105"/>
  <c r="Y31" i="105"/>
  <c r="X31" i="105"/>
  <c r="W31" i="105"/>
  <c r="V31" i="105"/>
  <c r="U31" i="105"/>
  <c r="T31" i="105"/>
  <c r="AD30" i="105"/>
  <c r="AC30" i="105"/>
  <c r="AB30" i="105"/>
  <c r="AA30" i="105"/>
  <c r="Z30" i="105"/>
  <c r="Y30" i="105"/>
  <c r="X30" i="105"/>
  <c r="W30" i="105"/>
  <c r="V30" i="105"/>
  <c r="U30" i="105"/>
  <c r="T30" i="105"/>
  <c r="AC29" i="105"/>
  <c r="AB29" i="105"/>
  <c r="AA29" i="105"/>
  <c r="Z29" i="105"/>
  <c r="Y29" i="105"/>
  <c r="X29" i="105"/>
  <c r="W29" i="105"/>
  <c r="V29" i="105"/>
  <c r="U29" i="105"/>
  <c r="T29" i="105"/>
  <c r="AD28" i="105"/>
  <c r="AC28" i="105"/>
  <c r="AB28" i="105"/>
  <c r="AA28" i="105"/>
  <c r="Z28" i="105"/>
  <c r="Y28" i="105"/>
  <c r="X28" i="105"/>
  <c r="W28" i="105"/>
  <c r="V28" i="105"/>
  <c r="U28" i="105"/>
  <c r="T28" i="105"/>
  <c r="AD27" i="105"/>
  <c r="AC27" i="105"/>
  <c r="AB27" i="105"/>
  <c r="AA27" i="105"/>
  <c r="Z27" i="105"/>
  <c r="Y27" i="105"/>
  <c r="X27" i="105"/>
  <c r="W27" i="105"/>
  <c r="V27" i="105"/>
  <c r="U27" i="105"/>
  <c r="T27" i="105"/>
  <c r="AD26" i="105"/>
  <c r="AC26" i="105"/>
  <c r="AB26" i="105"/>
  <c r="AA26" i="105"/>
  <c r="Z26" i="105"/>
  <c r="Y26" i="105"/>
  <c r="X26" i="105"/>
  <c r="W26" i="105"/>
  <c r="V26" i="105"/>
  <c r="U26" i="105"/>
  <c r="T26" i="105"/>
  <c r="AD25" i="105"/>
  <c r="AC25" i="105"/>
  <c r="AB25" i="105"/>
  <c r="AA25" i="105"/>
  <c r="Z25" i="105"/>
  <c r="Y25" i="105"/>
  <c r="X25" i="105"/>
  <c r="W25" i="105"/>
  <c r="V25" i="105"/>
  <c r="U25" i="105"/>
  <c r="T25" i="105"/>
  <c r="AD24" i="105"/>
  <c r="AC24" i="105"/>
  <c r="AB24" i="105"/>
  <c r="AA24" i="105"/>
  <c r="Z24" i="105"/>
  <c r="X24" i="105"/>
  <c r="W24" i="105"/>
  <c r="V24" i="105"/>
  <c r="U24" i="105"/>
  <c r="T24" i="105"/>
  <c r="AD23" i="105"/>
  <c r="AC23" i="105"/>
  <c r="AB23" i="105"/>
  <c r="AA23" i="105"/>
  <c r="Z23" i="105"/>
  <c r="Y23" i="105"/>
  <c r="X23" i="105"/>
  <c r="V23" i="105"/>
  <c r="U23" i="105"/>
  <c r="AD22" i="105"/>
  <c r="AC22" i="105"/>
  <c r="AB22" i="105"/>
  <c r="AA22" i="105"/>
  <c r="Z22" i="105"/>
  <c r="Y22" i="105"/>
  <c r="X22" i="105"/>
  <c r="W22" i="105"/>
  <c r="V22" i="105"/>
  <c r="U22" i="105"/>
  <c r="T22" i="105"/>
  <c r="S22" i="105"/>
  <c r="AD21" i="105"/>
  <c r="AC21" i="105"/>
  <c r="AB21" i="105"/>
  <c r="AA21" i="105"/>
  <c r="Z21" i="105"/>
  <c r="Y21" i="105"/>
  <c r="X21" i="105"/>
  <c r="W21" i="105"/>
  <c r="V21" i="105"/>
  <c r="U21" i="105"/>
  <c r="T21" i="105"/>
  <c r="AD20" i="105"/>
  <c r="AC20" i="105"/>
  <c r="AA20" i="105"/>
  <c r="Z20" i="105"/>
  <c r="Y20" i="105"/>
  <c r="X20" i="105"/>
  <c r="W20" i="105"/>
  <c r="V20" i="105"/>
  <c r="S20" i="105"/>
  <c r="AD19" i="105"/>
  <c r="AC19" i="105"/>
  <c r="AB19" i="105"/>
  <c r="AA19" i="105"/>
  <c r="AA39" i="105" s="1"/>
  <c r="Z19" i="105"/>
  <c r="Y19" i="105"/>
  <c r="X19" i="105"/>
  <c r="W19" i="105"/>
  <c r="W39" i="105" s="1"/>
  <c r="V19" i="105"/>
  <c r="V39" i="105" s="1"/>
  <c r="U19" i="105"/>
  <c r="T19" i="105"/>
  <c r="S19" i="105"/>
  <c r="AD18" i="105"/>
  <c r="AC18" i="105"/>
  <c r="AB18" i="105"/>
  <c r="AA18" i="105"/>
  <c r="Z18" i="105"/>
  <c r="Y18" i="105"/>
  <c r="X18" i="105"/>
  <c r="W18" i="105"/>
  <c r="V18" i="105"/>
  <c r="U18" i="105"/>
  <c r="T18" i="105"/>
  <c r="S18" i="105"/>
  <c r="AD17" i="105"/>
  <c r="AC17" i="105"/>
  <c r="AB17" i="105"/>
  <c r="AA17" i="105"/>
  <c r="Z17" i="105"/>
  <c r="Y17" i="105"/>
  <c r="X17" i="105"/>
  <c r="W17" i="105"/>
  <c r="V17" i="105"/>
  <c r="U17" i="105"/>
  <c r="T17" i="105"/>
  <c r="S17" i="105"/>
  <c r="AD16" i="105"/>
  <c r="AC16" i="105"/>
  <c r="AB16" i="105"/>
  <c r="AA16" i="105"/>
  <c r="Z16" i="105"/>
  <c r="Y16" i="105"/>
  <c r="X16" i="105"/>
  <c r="W16" i="105"/>
  <c r="V16" i="105"/>
  <c r="U16" i="105"/>
  <c r="T16" i="105"/>
  <c r="S16" i="105"/>
  <c r="AD33" i="105"/>
  <c r="X12" i="105"/>
  <c r="AB11" i="105"/>
  <c r="X11" i="105"/>
  <c r="T11" i="105"/>
  <c r="AA21" i="104"/>
  <c r="AC20" i="104"/>
  <c r="AA20" i="104"/>
  <c r="Y20" i="104"/>
  <c r="W20" i="104"/>
  <c r="U20" i="104"/>
  <c r="AA19" i="104"/>
  <c r="AC18" i="104"/>
  <c r="AA18" i="104"/>
  <c r="Y18" i="104"/>
  <c r="W18" i="104"/>
  <c r="U18" i="104"/>
  <c r="AA17" i="104"/>
  <c r="AC16" i="104"/>
  <c r="AA16" i="104"/>
  <c r="Y16" i="104"/>
  <c r="W16" i="104"/>
  <c r="U16" i="104"/>
  <c r="AA15" i="104"/>
  <c r="AD14" i="104"/>
  <c r="AC14" i="104"/>
  <c r="AB14" i="104"/>
  <c r="AA14" i="104"/>
  <c r="Z14" i="104"/>
  <c r="Y14" i="104"/>
  <c r="X14" i="104"/>
  <c r="W14" i="104"/>
  <c r="V14" i="104"/>
  <c r="U14" i="104"/>
  <c r="S14" i="104"/>
  <c r="AC13" i="104"/>
  <c r="AA13" i="104"/>
  <c r="Y13" i="104"/>
  <c r="W13" i="104"/>
  <c r="U13" i="104"/>
  <c r="AD12" i="104"/>
  <c r="Z12" i="104"/>
  <c r="V12" i="104"/>
  <c r="AD11" i="104"/>
  <c r="Z11" i="104"/>
  <c r="V11" i="104"/>
  <c r="AB16" i="103"/>
  <c r="Z16" i="103"/>
  <c r="X16" i="103"/>
  <c r="V16" i="103"/>
  <c r="T16" i="103"/>
  <c r="AD15" i="103"/>
  <c r="AB15" i="103"/>
  <c r="Z15" i="103"/>
  <c r="X15" i="103"/>
  <c r="V15" i="103"/>
  <c r="T15" i="103"/>
  <c r="AD14" i="103"/>
  <c r="AC14" i="103"/>
  <c r="AA14" i="103"/>
  <c r="Z14" i="103"/>
  <c r="Y14" i="103"/>
  <c r="W14" i="103"/>
  <c r="V14" i="103"/>
  <c r="U14" i="103"/>
  <c r="AD13" i="103"/>
  <c r="Z13" i="103"/>
  <c r="V13" i="103"/>
  <c r="AD21" i="103"/>
  <c r="AC21" i="103"/>
  <c r="AB21" i="103"/>
  <c r="AA21" i="103"/>
  <c r="Z21" i="103"/>
  <c r="Y21" i="103"/>
  <c r="X21" i="103"/>
  <c r="W21" i="103"/>
  <c r="V21" i="103"/>
  <c r="U21" i="103"/>
  <c r="T21" i="103"/>
  <c r="S21" i="103"/>
  <c r="AD20" i="103"/>
  <c r="AC20" i="103"/>
  <c r="AB20" i="103"/>
  <c r="AA20" i="103"/>
  <c r="Z20" i="103"/>
  <c r="Y20" i="103"/>
  <c r="X20" i="103"/>
  <c r="W20" i="103"/>
  <c r="V20" i="103"/>
  <c r="U20" i="103"/>
  <c r="T20" i="103"/>
  <c r="S20" i="103"/>
  <c r="AD19" i="103"/>
  <c r="AD27" i="103" s="1"/>
  <c r="AC19" i="103"/>
  <c r="AB19" i="103"/>
  <c r="AB27" i="103" s="1"/>
  <c r="AA19" i="103"/>
  <c r="AA27" i="103" s="1"/>
  <c r="Z19" i="103"/>
  <c r="Z27" i="103" s="1"/>
  <c r="Y19" i="103"/>
  <c r="Y27" i="103" s="1"/>
  <c r="X19" i="103"/>
  <c r="X27" i="103" s="1"/>
  <c r="W19" i="103"/>
  <c r="W27" i="103" s="1"/>
  <c r="V19" i="103"/>
  <c r="V27" i="103" s="1"/>
  <c r="U19" i="103"/>
  <c r="U24" i="103" s="1"/>
  <c r="T19" i="103"/>
  <c r="T27" i="103" s="1"/>
  <c r="S19" i="103"/>
  <c r="S27" i="103" s="1"/>
  <c r="AD18" i="103"/>
  <c r="AC18" i="103"/>
  <c r="AB18" i="103"/>
  <c r="AA18" i="103"/>
  <c r="Z18" i="103"/>
  <c r="Y18" i="103"/>
  <c r="X18" i="103"/>
  <c r="W18" i="103"/>
  <c r="V18" i="103"/>
  <c r="U18" i="103"/>
  <c r="T18" i="103"/>
  <c r="S18" i="103"/>
  <c r="AD12" i="103"/>
  <c r="AC12" i="103"/>
  <c r="AB12" i="103"/>
  <c r="AA12" i="103"/>
  <c r="Z12" i="103"/>
  <c r="Y12" i="103"/>
  <c r="X12" i="103"/>
  <c r="W12" i="103"/>
  <c r="V12" i="103"/>
  <c r="U12" i="103"/>
  <c r="T12" i="103"/>
  <c r="AD17" i="103"/>
  <c r="AC17" i="103"/>
  <c r="AB17" i="103"/>
  <c r="AA17" i="103"/>
  <c r="Z17" i="103"/>
  <c r="Y17" i="103"/>
  <c r="X17" i="103"/>
  <c r="W17" i="103"/>
  <c r="V17" i="103"/>
  <c r="U17" i="103"/>
  <c r="T17" i="103"/>
  <c r="S17" i="103"/>
  <c r="AD16" i="103"/>
  <c r="AD21" i="101"/>
  <c r="AC21" i="101"/>
  <c r="AB21" i="101"/>
  <c r="AA21" i="101"/>
  <c r="Z21" i="101"/>
  <c r="Y21" i="101"/>
  <c r="W21" i="101"/>
  <c r="V21" i="101"/>
  <c r="U21" i="101"/>
  <c r="T21" i="101"/>
  <c r="S21" i="101"/>
  <c r="AD20" i="101"/>
  <c r="AC20" i="101"/>
  <c r="AB20" i="101"/>
  <c r="AA20" i="101"/>
  <c r="Z20" i="101"/>
  <c r="Y20" i="101"/>
  <c r="X20" i="101"/>
  <c r="W20" i="101"/>
  <c r="V20" i="101"/>
  <c r="U20" i="101"/>
  <c r="T20" i="101"/>
  <c r="S20" i="101"/>
  <c r="AD19" i="101"/>
  <c r="AC19" i="101"/>
  <c r="AB19" i="101"/>
  <c r="AA19" i="101"/>
  <c r="Z19" i="101"/>
  <c r="Y19" i="101"/>
  <c r="X19" i="101"/>
  <c r="W19" i="101"/>
  <c r="W39" i="101" s="1"/>
  <c r="V19" i="101"/>
  <c r="V39" i="101" s="1"/>
  <c r="U19" i="101"/>
  <c r="T19" i="101"/>
  <c r="S19" i="101"/>
  <c r="S39" i="101" s="1"/>
  <c r="AD18" i="101"/>
  <c r="AC18" i="101"/>
  <c r="AB18" i="101"/>
  <c r="AA18" i="101"/>
  <c r="Z18" i="101"/>
  <c r="Y18" i="101"/>
  <c r="X18" i="101"/>
  <c r="W18" i="101"/>
  <c r="V18" i="101"/>
  <c r="U18" i="101"/>
  <c r="T18" i="101"/>
  <c r="S18" i="101"/>
  <c r="AD17" i="101"/>
  <c r="AC17" i="101"/>
  <c r="AB17" i="101"/>
  <c r="AA17" i="101"/>
  <c r="Y17" i="101"/>
  <c r="X17" i="101"/>
  <c r="W17" i="101"/>
  <c r="V17" i="101"/>
  <c r="U17" i="101"/>
  <c r="T17" i="101"/>
  <c r="AD16" i="101"/>
  <c r="AC16" i="101"/>
  <c r="AB16" i="101"/>
  <c r="AA16" i="101"/>
  <c r="Z16" i="101"/>
  <c r="Y16" i="101"/>
  <c r="X16" i="101"/>
  <c r="W16" i="101"/>
  <c r="V16" i="101"/>
  <c r="U16" i="101"/>
  <c r="T16" i="101"/>
  <c r="S16" i="101"/>
  <c r="AD15" i="101"/>
  <c r="AC15" i="101"/>
  <c r="AB15" i="101"/>
  <c r="AA15" i="101"/>
  <c r="Z15" i="101"/>
  <c r="X15" i="101"/>
  <c r="W15" i="101"/>
  <c r="V15" i="101"/>
  <c r="T15" i="101"/>
  <c r="S15" i="101"/>
  <c r="AD14" i="101"/>
  <c r="AC14" i="101"/>
  <c r="AA14" i="101"/>
  <c r="Z14" i="101"/>
  <c r="W14" i="101"/>
  <c r="U14" i="101"/>
  <c r="AD13" i="101"/>
  <c r="V13" i="101"/>
  <c r="AD21" i="99"/>
  <c r="AC21" i="99"/>
  <c r="AB21" i="99"/>
  <c r="AA21" i="99"/>
  <c r="Z21" i="99"/>
  <c r="Y21" i="99"/>
  <c r="X21" i="99"/>
  <c r="W21" i="99"/>
  <c r="V21" i="99"/>
  <c r="U21" i="99"/>
  <c r="T21" i="99"/>
  <c r="S21" i="99"/>
  <c r="AD20" i="99"/>
  <c r="AA20" i="99"/>
  <c r="Z20" i="99"/>
  <c r="W20" i="99"/>
  <c r="V20" i="99"/>
  <c r="U20" i="99"/>
  <c r="T20" i="99"/>
  <c r="S20" i="99"/>
  <c r="AD19" i="99"/>
  <c r="AD27" i="99" s="1"/>
  <c r="AC19" i="99"/>
  <c r="AB19" i="99"/>
  <c r="AA19" i="99"/>
  <c r="Z19" i="99"/>
  <c r="Y19" i="99"/>
  <c r="X19" i="99"/>
  <c r="W19" i="99"/>
  <c r="W27" i="99" s="1"/>
  <c r="V19" i="99"/>
  <c r="V27" i="99" s="1"/>
  <c r="U19" i="99"/>
  <c r="T19" i="99"/>
  <c r="T27" i="99" s="1"/>
  <c r="S19" i="99"/>
  <c r="S27" i="99" s="1"/>
  <c r="AD18" i="99"/>
  <c r="AC18" i="99"/>
  <c r="AB18" i="99"/>
  <c r="AA18" i="99"/>
  <c r="Z18" i="99"/>
  <c r="Y18" i="99"/>
  <c r="X18" i="99"/>
  <c r="W18" i="99"/>
  <c r="V18" i="99"/>
  <c r="U18" i="99"/>
  <c r="T18" i="99"/>
  <c r="S18" i="99"/>
  <c r="AD17" i="99"/>
  <c r="AC17" i="99"/>
  <c r="AB17" i="99"/>
  <c r="AA17" i="99"/>
  <c r="Z17" i="99"/>
  <c r="Y17" i="99"/>
  <c r="X17" i="99"/>
  <c r="W17" i="99"/>
  <c r="V17" i="99"/>
  <c r="U17" i="99"/>
  <c r="T17" i="99"/>
  <c r="S17" i="99"/>
  <c r="AD16" i="99"/>
  <c r="AC16" i="99"/>
  <c r="AB16" i="99"/>
  <c r="AA16" i="99"/>
  <c r="Z16" i="99"/>
  <c r="Y16" i="99"/>
  <c r="X16" i="99"/>
  <c r="V16" i="99"/>
  <c r="U16" i="99"/>
  <c r="T16" i="99"/>
  <c r="S16" i="99"/>
  <c r="AD15" i="99"/>
  <c r="AC15" i="99"/>
  <c r="AB15" i="99"/>
  <c r="AA15" i="99"/>
  <c r="Z15" i="99"/>
  <c r="Y15" i="99"/>
  <c r="X15" i="99"/>
  <c r="W15" i="99"/>
  <c r="V15" i="99"/>
  <c r="T15" i="99"/>
  <c r="S15" i="99"/>
  <c r="AD14" i="99"/>
  <c r="AC14" i="99"/>
  <c r="AA14" i="99"/>
  <c r="Z14" i="99"/>
  <c r="Y14" i="99"/>
  <c r="W14" i="99"/>
  <c r="U14" i="99"/>
  <c r="V13" i="99"/>
  <c r="AC21" i="96"/>
  <c r="AB21" i="96"/>
  <c r="AA21" i="96"/>
  <c r="Z21" i="96"/>
  <c r="X21" i="96"/>
  <c r="W21" i="96"/>
  <c r="V21" i="96"/>
  <c r="U21" i="96"/>
  <c r="T21" i="96"/>
  <c r="AD20" i="96"/>
  <c r="AC20" i="96"/>
  <c r="AB20" i="96"/>
  <c r="AA20" i="96"/>
  <c r="Z20" i="96"/>
  <c r="Y20" i="96"/>
  <c r="X20" i="96"/>
  <c r="V20" i="96"/>
  <c r="U20" i="96"/>
  <c r="T20" i="96"/>
  <c r="AD19" i="96"/>
  <c r="AC19" i="96"/>
  <c r="AB19" i="96"/>
  <c r="AA19" i="96"/>
  <c r="Z19" i="96"/>
  <c r="Y19" i="96"/>
  <c r="X19" i="96"/>
  <c r="W19" i="96"/>
  <c r="V19" i="96"/>
  <c r="U19" i="96"/>
  <c r="T19" i="96"/>
  <c r="AD18" i="96"/>
  <c r="AC18" i="96"/>
  <c r="AB18" i="96"/>
  <c r="Z18" i="96"/>
  <c r="X18" i="96"/>
  <c r="W18" i="96"/>
  <c r="V18" i="96"/>
  <c r="U18" i="96"/>
  <c r="T18" i="96"/>
  <c r="AD17" i="96"/>
  <c r="AC17" i="96"/>
  <c r="AB17" i="96"/>
  <c r="AA17" i="96"/>
  <c r="Z17" i="96"/>
  <c r="Y17" i="96"/>
  <c r="X17" i="96"/>
  <c r="V17" i="96"/>
  <c r="T17" i="96"/>
  <c r="AB16" i="96"/>
  <c r="AA16" i="96"/>
  <c r="Z16" i="96"/>
  <c r="X16" i="96"/>
  <c r="V16" i="96"/>
  <c r="U16" i="96"/>
  <c r="AD15" i="96"/>
  <c r="AC15" i="96"/>
  <c r="AB15" i="96"/>
  <c r="AA15" i="96"/>
  <c r="Z15" i="96"/>
  <c r="Y15" i="96"/>
  <c r="W15" i="96"/>
  <c r="V15" i="96"/>
  <c r="U15" i="96"/>
  <c r="T15" i="96"/>
  <c r="AD14" i="96"/>
  <c r="AB14" i="96"/>
  <c r="AA14" i="96"/>
  <c r="Z14" i="96"/>
  <c r="Y14" i="96"/>
  <c r="X14" i="96"/>
  <c r="W14" i="96"/>
  <c r="V14" i="96"/>
  <c r="T14" i="96"/>
  <c r="AD13" i="96"/>
  <c r="AC13" i="96"/>
  <c r="AA13" i="96"/>
  <c r="Z13" i="96"/>
  <c r="Y13" i="96"/>
  <c r="X13" i="96"/>
  <c r="W13" i="96"/>
  <c r="V13" i="96"/>
  <c r="U13" i="96"/>
  <c r="T13" i="96"/>
  <c r="AD21" i="96"/>
  <c r="AB21" i="95"/>
  <c r="AA21" i="95"/>
  <c r="Z21" i="95"/>
  <c r="Y21" i="95"/>
  <c r="X21" i="95"/>
  <c r="U21" i="95"/>
  <c r="T21" i="95"/>
  <c r="AD20" i="95"/>
  <c r="AB20" i="95"/>
  <c r="AA20" i="95"/>
  <c r="Z20" i="95"/>
  <c r="Y20" i="95"/>
  <c r="X20" i="95"/>
  <c r="W20" i="95"/>
  <c r="V20" i="95"/>
  <c r="T20" i="95"/>
  <c r="S20" i="95"/>
  <c r="AD19" i="95"/>
  <c r="AC19" i="95"/>
  <c r="AB19" i="95"/>
  <c r="AA19" i="95"/>
  <c r="Y19" i="95"/>
  <c r="X19" i="95"/>
  <c r="W19" i="95"/>
  <c r="U19" i="95"/>
  <c r="AD18" i="95"/>
  <c r="AB18" i="95"/>
  <c r="AA18" i="95"/>
  <c r="Y18" i="95"/>
  <c r="X18" i="95"/>
  <c r="W18" i="95"/>
  <c r="V18" i="95"/>
  <c r="U18" i="95"/>
  <c r="T18" i="95"/>
  <c r="AD17" i="95"/>
  <c r="AA17" i="95"/>
  <c r="Z17" i="95"/>
  <c r="Y17" i="95"/>
  <c r="X17" i="95"/>
  <c r="W17" i="95"/>
  <c r="V17" i="95"/>
  <c r="U17" i="95"/>
  <c r="T17" i="95"/>
  <c r="AD16" i="95"/>
  <c r="AA16" i="95"/>
  <c r="Z16" i="95"/>
  <c r="X16" i="95"/>
  <c r="W16" i="95"/>
  <c r="V16" i="95"/>
  <c r="U16" i="95"/>
  <c r="T16" i="95"/>
  <c r="AD15" i="95"/>
  <c r="AC15" i="95"/>
  <c r="AA15" i="95"/>
  <c r="Z15" i="95"/>
  <c r="Y15" i="95"/>
  <c r="X15" i="95"/>
  <c r="W15" i="95"/>
  <c r="U15" i="95"/>
  <c r="T15" i="95"/>
  <c r="AD14" i="95"/>
  <c r="AC14" i="95"/>
  <c r="AA14" i="95"/>
  <c r="Z14" i="95"/>
  <c r="Y14" i="95"/>
  <c r="X14" i="95"/>
  <c r="W14" i="95"/>
  <c r="V14" i="95"/>
  <c r="T14" i="95"/>
  <c r="AD13" i="95"/>
  <c r="AC13" i="95"/>
  <c r="AB13" i="95"/>
  <c r="AA13" i="95"/>
  <c r="W13" i="95"/>
  <c r="V13" i="95"/>
  <c r="U13" i="95"/>
  <c r="T13" i="95"/>
  <c r="AD21" i="95"/>
  <c r="AC20" i="95"/>
  <c r="T19" i="95"/>
  <c r="Y39" i="109" l="1"/>
  <c r="AD38" i="101"/>
  <c r="Z39" i="105"/>
  <c r="AD39" i="105"/>
  <c r="AA39" i="101"/>
  <c r="AA26" i="95"/>
  <c r="AA27" i="99"/>
  <c r="X39" i="105"/>
  <c r="Z39" i="101"/>
  <c r="AB39" i="101"/>
  <c r="AD39" i="101"/>
  <c r="W26" i="95"/>
  <c r="AD26" i="95"/>
  <c r="C3" i="108"/>
  <c r="C3" i="111"/>
  <c r="C3" i="107"/>
  <c r="X15" i="96"/>
  <c r="X23" i="96" s="1"/>
  <c r="T20" i="105"/>
  <c r="T39" i="105" s="1"/>
  <c r="AC17" i="95"/>
  <c r="AB13" i="96"/>
  <c r="AB26" i="96" s="1"/>
  <c r="AB16" i="95"/>
  <c r="T16" i="96"/>
  <c r="T26" i="96" s="1"/>
  <c r="AB20" i="99"/>
  <c r="AB27" i="99" s="1"/>
  <c r="X21" i="101"/>
  <c r="X39" i="101" s="1"/>
  <c r="U20" i="105"/>
  <c r="U39" i="105" s="1"/>
  <c r="AA33" i="105"/>
  <c r="U22" i="109"/>
  <c r="W20" i="96"/>
  <c r="W24" i="96" s="1"/>
  <c r="V14" i="101"/>
  <c r="V38" i="101" s="1"/>
  <c r="Y13" i="95"/>
  <c r="S17" i="101"/>
  <c r="T23" i="105"/>
  <c r="Z27" i="99"/>
  <c r="Y16" i="96"/>
  <c r="AC32" i="109"/>
  <c r="AC18" i="110"/>
  <c r="W21" i="95"/>
  <c r="AC21" i="95"/>
  <c r="AC24" i="95" s="1"/>
  <c r="W16" i="96"/>
  <c r="S14" i="94"/>
  <c r="S15" i="94"/>
  <c r="W15" i="94"/>
  <c r="S16" i="94"/>
  <c r="W17" i="94"/>
  <c r="W19" i="94"/>
  <c r="AA19" i="94"/>
  <c r="S20" i="94"/>
  <c r="U20" i="94"/>
  <c r="W20" i="94"/>
  <c r="Y20" i="94"/>
  <c r="AA20" i="94"/>
  <c r="AC21" i="94"/>
  <c r="AC14" i="96"/>
  <c r="W14" i="94"/>
  <c r="S17" i="94"/>
  <c r="S18" i="94"/>
  <c r="S19" i="94"/>
  <c r="AC19" i="94"/>
  <c r="S21" i="94"/>
  <c r="U21" i="94"/>
  <c r="W21" i="94"/>
  <c r="Y21" i="94"/>
  <c r="S39" i="110"/>
  <c r="AA39" i="110"/>
  <c r="T12" i="110"/>
  <c r="V12" i="110"/>
  <c r="X12" i="110"/>
  <c r="Z12" i="110"/>
  <c r="AB12" i="110"/>
  <c r="AD12" i="110"/>
  <c r="U12" i="110"/>
  <c r="W12" i="110"/>
  <c r="Y12" i="110"/>
  <c r="AA12" i="110"/>
  <c r="AC12" i="110"/>
  <c r="P21" i="110"/>
  <c r="T13" i="110"/>
  <c r="V13" i="110"/>
  <c r="X13" i="110"/>
  <c r="Z13" i="110"/>
  <c r="AB13" i="110"/>
  <c r="AD13" i="110"/>
  <c r="U13" i="110"/>
  <c r="W13" i="110"/>
  <c r="W38" i="110" s="1"/>
  <c r="Y13" i="110"/>
  <c r="AA13" i="110"/>
  <c r="AC13" i="110"/>
  <c r="P25" i="110"/>
  <c r="T14" i="110"/>
  <c r="V14" i="110"/>
  <c r="X14" i="110"/>
  <c r="Z14" i="110"/>
  <c r="AB14" i="110"/>
  <c r="AD14" i="110"/>
  <c r="U14" i="110"/>
  <c r="W14" i="110"/>
  <c r="Y14" i="110"/>
  <c r="AA14" i="110"/>
  <c r="AC14" i="110"/>
  <c r="P29" i="110"/>
  <c r="T15" i="110"/>
  <c r="V15" i="110"/>
  <c r="X15" i="110"/>
  <c r="Z15" i="110"/>
  <c r="AB15" i="110"/>
  <c r="AD15" i="110"/>
  <c r="U15" i="110"/>
  <c r="W15" i="110"/>
  <c r="Y15" i="110"/>
  <c r="AA15" i="110"/>
  <c r="AC15" i="110"/>
  <c r="P33" i="110"/>
  <c r="P45" i="110"/>
  <c r="P49" i="110"/>
  <c r="P53" i="110"/>
  <c r="P59" i="110"/>
  <c r="P63" i="110"/>
  <c r="P67" i="110"/>
  <c r="P71" i="110"/>
  <c r="P75" i="110"/>
  <c r="P79" i="110"/>
  <c r="P83" i="110"/>
  <c r="P87" i="110"/>
  <c r="P91" i="110"/>
  <c r="X20" i="99"/>
  <c r="X27" i="99" s="1"/>
  <c r="F13" i="108"/>
  <c r="J13" i="108"/>
  <c r="N13" i="108"/>
  <c r="J14" i="108"/>
  <c r="N14" i="108"/>
  <c r="F15" i="108"/>
  <c r="N15" i="108"/>
  <c r="J16" i="108"/>
  <c r="F17" i="108"/>
  <c r="N17" i="108"/>
  <c r="J18" i="108"/>
  <c r="N18" i="108"/>
  <c r="F19" i="108"/>
  <c r="N19" i="108"/>
  <c r="F20" i="108"/>
  <c r="J20" i="108"/>
  <c r="F21" i="108"/>
  <c r="AB15" i="95"/>
  <c r="J21" i="108"/>
  <c r="N21" i="108"/>
  <c r="J22" i="108"/>
  <c r="N22" i="108"/>
  <c r="F23" i="108"/>
  <c r="N23" i="108"/>
  <c r="J24" i="108"/>
  <c r="H46" i="108"/>
  <c r="J46" i="108"/>
  <c r="L46" i="108"/>
  <c r="N46" i="108"/>
  <c r="D47" i="108"/>
  <c r="F47" i="108"/>
  <c r="H47" i="108"/>
  <c r="J47" i="108"/>
  <c r="L47" i="108"/>
  <c r="N47" i="108"/>
  <c r="D48" i="108"/>
  <c r="F48" i="108"/>
  <c r="H48" i="108"/>
  <c r="J48" i="108"/>
  <c r="L48" i="108"/>
  <c r="N48" i="108"/>
  <c r="D49" i="108"/>
  <c r="F49" i="108"/>
  <c r="H49" i="108"/>
  <c r="J49" i="108"/>
  <c r="L49" i="108"/>
  <c r="N49" i="108"/>
  <c r="D50" i="108"/>
  <c r="F50" i="108"/>
  <c r="H50" i="108"/>
  <c r="J50" i="108"/>
  <c r="L50" i="108"/>
  <c r="N50" i="108"/>
  <c r="D51" i="108"/>
  <c r="F51" i="108"/>
  <c r="H51" i="108"/>
  <c r="J51" i="108"/>
  <c r="L51" i="108"/>
  <c r="N51" i="108"/>
  <c r="D52" i="108"/>
  <c r="F52" i="108"/>
  <c r="H52" i="108"/>
  <c r="J52" i="108"/>
  <c r="L52" i="108"/>
  <c r="N52" i="108"/>
  <c r="D53" i="108"/>
  <c r="F53" i="108"/>
  <c r="H53" i="108"/>
  <c r="J53" i="108"/>
  <c r="L53" i="108"/>
  <c r="N53" i="108"/>
  <c r="D54" i="108"/>
  <c r="F54" i="108"/>
  <c r="H54" i="108"/>
  <c r="J54" i="108"/>
  <c r="L54" i="108"/>
  <c r="N54" i="108"/>
  <c r="D55" i="108"/>
  <c r="F55" i="108"/>
  <c r="H55" i="108"/>
  <c r="J55" i="108"/>
  <c r="L55" i="108"/>
  <c r="N55" i="108"/>
  <c r="D56" i="108"/>
  <c r="F56" i="108"/>
  <c r="H56" i="108"/>
  <c r="J56" i="108"/>
  <c r="L56" i="108"/>
  <c r="N56" i="108"/>
  <c r="D57" i="108"/>
  <c r="F57" i="108"/>
  <c r="H57" i="108"/>
  <c r="J57" i="108"/>
  <c r="L57" i="108"/>
  <c r="N57" i="108"/>
  <c r="I47" i="108"/>
  <c r="M48" i="108"/>
  <c r="I51" i="108"/>
  <c r="M52" i="108"/>
  <c r="I55" i="108"/>
  <c r="M56" i="108"/>
  <c r="E10" i="108"/>
  <c r="G10" i="108"/>
  <c r="I10" i="108"/>
  <c r="K10" i="108"/>
  <c r="M10" i="108"/>
  <c r="C11" i="108"/>
  <c r="E11" i="108"/>
  <c r="G11" i="108"/>
  <c r="I11" i="108"/>
  <c r="K11" i="108"/>
  <c r="M11" i="108"/>
  <c r="C13" i="108"/>
  <c r="E13" i="108"/>
  <c r="G13" i="108"/>
  <c r="I13" i="108"/>
  <c r="K13" i="108"/>
  <c r="M13" i="108"/>
  <c r="C14" i="108"/>
  <c r="E14" i="108"/>
  <c r="G14" i="108"/>
  <c r="I14" i="108"/>
  <c r="K14" i="108"/>
  <c r="M14" i="108"/>
  <c r="C15" i="108"/>
  <c r="E15" i="108"/>
  <c r="G15" i="108"/>
  <c r="I15" i="108"/>
  <c r="K15" i="108"/>
  <c r="M15" i="108"/>
  <c r="C16" i="108"/>
  <c r="E16" i="108"/>
  <c r="G16" i="108"/>
  <c r="I16" i="108"/>
  <c r="K16" i="108"/>
  <c r="M16" i="108"/>
  <c r="C17" i="108"/>
  <c r="E17" i="108"/>
  <c r="G17" i="108"/>
  <c r="I17" i="108"/>
  <c r="K17" i="108"/>
  <c r="M17" i="108"/>
  <c r="C18" i="108"/>
  <c r="E18" i="108"/>
  <c r="G18" i="108"/>
  <c r="I18" i="108"/>
  <c r="K18" i="108"/>
  <c r="M18" i="108"/>
  <c r="C24" i="108"/>
  <c r="E24" i="108"/>
  <c r="G24" i="108"/>
  <c r="I24" i="108"/>
  <c r="K24" i="108"/>
  <c r="M24" i="108"/>
  <c r="C25" i="108"/>
  <c r="E25" i="108"/>
  <c r="G25" i="108"/>
  <c r="I25" i="108"/>
  <c r="K25" i="108"/>
  <c r="M25" i="108"/>
  <c r="E26" i="108"/>
  <c r="I26" i="108"/>
  <c r="M26" i="108"/>
  <c r="C27" i="108"/>
  <c r="E27" i="108"/>
  <c r="G27" i="108"/>
  <c r="I27" i="108"/>
  <c r="K27" i="108"/>
  <c r="M27" i="108"/>
  <c r="C28" i="108"/>
  <c r="E28" i="108"/>
  <c r="G28" i="108"/>
  <c r="I28" i="108"/>
  <c r="K28" i="108"/>
  <c r="M28" i="108"/>
  <c r="C29" i="108"/>
  <c r="E29" i="108"/>
  <c r="G29" i="108"/>
  <c r="I29" i="108"/>
  <c r="K29" i="108"/>
  <c r="M29" i="108"/>
  <c r="E30" i="108"/>
  <c r="I30" i="108"/>
  <c r="Y15" i="108" s="1"/>
  <c r="M30" i="108"/>
  <c r="C31" i="108"/>
  <c r="E31" i="108"/>
  <c r="G31" i="108"/>
  <c r="I31" i="108"/>
  <c r="K31" i="108"/>
  <c r="M31" i="108"/>
  <c r="C32" i="108"/>
  <c r="E32" i="108"/>
  <c r="G32" i="108"/>
  <c r="I32" i="108"/>
  <c r="K32" i="108"/>
  <c r="M32" i="108"/>
  <c r="C33" i="108"/>
  <c r="E33" i="108"/>
  <c r="G33" i="108"/>
  <c r="I33" i="108"/>
  <c r="K33" i="108"/>
  <c r="M33" i="108"/>
  <c r="E34" i="108"/>
  <c r="U16" i="108" s="1"/>
  <c r="G34" i="108"/>
  <c r="I34" i="108"/>
  <c r="M34" i="108"/>
  <c r="C35" i="108"/>
  <c r="E35" i="108"/>
  <c r="G35" i="108"/>
  <c r="I35" i="108"/>
  <c r="K35" i="108"/>
  <c r="M35" i="108"/>
  <c r="C36" i="108"/>
  <c r="E36" i="108"/>
  <c r="G36" i="108"/>
  <c r="I36" i="108"/>
  <c r="P23" i="110"/>
  <c r="S13" i="110"/>
  <c r="P31" i="110"/>
  <c r="S15" i="110"/>
  <c r="K36" i="108"/>
  <c r="M36" i="108"/>
  <c r="C37" i="108"/>
  <c r="E37" i="108"/>
  <c r="G37" i="108"/>
  <c r="I37" i="108"/>
  <c r="K37" i="108"/>
  <c r="M37" i="108"/>
  <c r="E38" i="108"/>
  <c r="I38" i="108"/>
  <c r="K38" i="108"/>
  <c r="M38" i="108"/>
  <c r="C39" i="108"/>
  <c r="E39" i="108"/>
  <c r="G39" i="108"/>
  <c r="I39" i="108"/>
  <c r="K39" i="108"/>
  <c r="M39" i="108"/>
  <c r="C40" i="108"/>
  <c r="E40" i="108"/>
  <c r="G40" i="108"/>
  <c r="I40" i="108"/>
  <c r="K40" i="108"/>
  <c r="M40" i="108"/>
  <c r="C41" i="108"/>
  <c r="E41" i="108"/>
  <c r="G41" i="108"/>
  <c r="I41" i="108"/>
  <c r="K41" i="108"/>
  <c r="M41" i="108"/>
  <c r="E42" i="108"/>
  <c r="U18" i="108" s="1"/>
  <c r="G42" i="108"/>
  <c r="I42" i="108"/>
  <c r="M42" i="108"/>
  <c r="C43" i="108"/>
  <c r="E43" i="108"/>
  <c r="G43" i="108"/>
  <c r="I43" i="108"/>
  <c r="K43" i="108"/>
  <c r="M43" i="108"/>
  <c r="C44" i="108"/>
  <c r="E44" i="108"/>
  <c r="G44" i="108"/>
  <c r="I44" i="108"/>
  <c r="K44" i="108"/>
  <c r="M44" i="108"/>
  <c r="C45" i="108"/>
  <c r="E45" i="108"/>
  <c r="G45" i="108"/>
  <c r="I45" i="108"/>
  <c r="K45" i="108"/>
  <c r="M45" i="108"/>
  <c r="E46" i="108"/>
  <c r="I46" i="108"/>
  <c r="E47" i="108"/>
  <c r="M47" i="108"/>
  <c r="I48" i="108"/>
  <c r="E49" i="108"/>
  <c r="M49" i="108"/>
  <c r="E51" i="108"/>
  <c r="M51" i="108"/>
  <c r="I52" i="108"/>
  <c r="E53" i="108"/>
  <c r="M53" i="108"/>
  <c r="E55" i="108"/>
  <c r="M55" i="108"/>
  <c r="I56" i="108"/>
  <c r="E57" i="108"/>
  <c r="M57" i="108"/>
  <c r="E48" i="108"/>
  <c r="I49" i="108"/>
  <c r="E52" i="108"/>
  <c r="I53" i="108"/>
  <c r="E56" i="108"/>
  <c r="I57" i="108"/>
  <c r="X10" i="110"/>
  <c r="P13" i="110"/>
  <c r="P15" i="110"/>
  <c r="W11" i="110"/>
  <c r="AA14" i="94"/>
  <c r="K26" i="108"/>
  <c r="AA15" i="94"/>
  <c r="K30" i="108"/>
  <c r="AA15" i="108" s="1"/>
  <c r="AA16" i="94"/>
  <c r="K34" i="108"/>
  <c r="AA18" i="94"/>
  <c r="K42" i="108"/>
  <c r="AA18" i="108" s="1"/>
  <c r="M54" i="108"/>
  <c r="M50" i="108"/>
  <c r="M46" i="108"/>
  <c r="C42" i="108"/>
  <c r="S18" i="108" s="1"/>
  <c r="C34" i="108"/>
  <c r="C26" i="108"/>
  <c r="F10" i="108"/>
  <c r="J10" i="108"/>
  <c r="N10" i="108"/>
  <c r="D11" i="108"/>
  <c r="F11" i="108"/>
  <c r="H11" i="108"/>
  <c r="J11" i="108"/>
  <c r="L11" i="108"/>
  <c r="N11" i="108"/>
  <c r="D12" i="108"/>
  <c r="F12" i="108"/>
  <c r="J12" i="108"/>
  <c r="P19" i="110"/>
  <c r="S12" i="110"/>
  <c r="E54" i="108"/>
  <c r="E50" i="108"/>
  <c r="C46" i="108"/>
  <c r="C38" i="108"/>
  <c r="S17" i="108" s="1"/>
  <c r="C30" i="108"/>
  <c r="C47" i="108"/>
  <c r="G47" i="108"/>
  <c r="K47" i="108"/>
  <c r="C48" i="108"/>
  <c r="G48" i="108"/>
  <c r="K48" i="108"/>
  <c r="C49" i="108"/>
  <c r="G49" i="108"/>
  <c r="K49" i="108"/>
  <c r="C51" i="108"/>
  <c r="G51" i="108"/>
  <c r="K51" i="108"/>
  <c r="C52" i="108"/>
  <c r="G52" i="108"/>
  <c r="K52" i="108"/>
  <c r="C53" i="108"/>
  <c r="G53" i="108"/>
  <c r="K53" i="108"/>
  <c r="K54" i="108"/>
  <c r="AA21" i="108" s="1"/>
  <c r="C55" i="108"/>
  <c r="G55" i="108"/>
  <c r="K55" i="108"/>
  <c r="C56" i="108"/>
  <c r="G56" i="108"/>
  <c r="K56" i="108"/>
  <c r="C57" i="108"/>
  <c r="G57" i="108"/>
  <c r="K57" i="108"/>
  <c r="N12" i="108"/>
  <c r="F14" i="108"/>
  <c r="V11" i="108" s="1"/>
  <c r="J15" i="108"/>
  <c r="N16" i="108"/>
  <c r="F18" i="108"/>
  <c r="J19" i="108"/>
  <c r="N20" i="108"/>
  <c r="J23" i="108"/>
  <c r="N24" i="108"/>
  <c r="F24" i="108"/>
  <c r="Z13" i="109"/>
  <c r="P12" i="110"/>
  <c r="F16" i="108"/>
  <c r="J17" i="108"/>
  <c r="I54" i="108"/>
  <c r="Y21" i="108" s="1"/>
  <c r="I50" i="108"/>
  <c r="C12" i="108"/>
  <c r="E12" i="108"/>
  <c r="G12" i="108"/>
  <c r="I12" i="108"/>
  <c r="K12" i="108"/>
  <c r="M12" i="108"/>
  <c r="C19" i="108"/>
  <c r="E19" i="108"/>
  <c r="G19" i="108"/>
  <c r="I19" i="108"/>
  <c r="K19" i="108"/>
  <c r="M19" i="108"/>
  <c r="C20" i="108"/>
  <c r="E20" i="108"/>
  <c r="G20" i="108"/>
  <c r="I20" i="108"/>
  <c r="K20" i="108"/>
  <c r="M20" i="108"/>
  <c r="C21" i="108"/>
  <c r="E21" i="108"/>
  <c r="G21" i="108"/>
  <c r="I21" i="108"/>
  <c r="K21" i="108"/>
  <c r="M21" i="108"/>
  <c r="C22" i="108"/>
  <c r="E22" i="108"/>
  <c r="U13" i="108" s="1"/>
  <c r="G22" i="108"/>
  <c r="W13" i="108" s="1"/>
  <c r="I22" i="108"/>
  <c r="K22" i="108"/>
  <c r="M22" i="108"/>
  <c r="AC13" i="108" s="1"/>
  <c r="C23" i="108"/>
  <c r="E23" i="108"/>
  <c r="G23" i="108"/>
  <c r="I23" i="108"/>
  <c r="K23" i="108"/>
  <c r="M23" i="108"/>
  <c r="D106" i="110"/>
  <c r="L106" i="110"/>
  <c r="P27" i="110"/>
  <c r="S14" i="110"/>
  <c r="G54" i="108"/>
  <c r="C54" i="108"/>
  <c r="K50" i="108"/>
  <c r="AA20" i="108" s="1"/>
  <c r="G50" i="108"/>
  <c r="C50" i="108"/>
  <c r="K46" i="108"/>
  <c r="G46" i="108"/>
  <c r="W19" i="108" s="1"/>
  <c r="G38" i="108"/>
  <c r="G30" i="108"/>
  <c r="G26" i="108"/>
  <c r="W14" i="108" s="1"/>
  <c r="F22" i="108"/>
  <c r="H12" i="108"/>
  <c r="L12" i="108"/>
  <c r="D13" i="108"/>
  <c r="H13" i="108"/>
  <c r="L13" i="108"/>
  <c r="D14" i="108"/>
  <c r="H14" i="108"/>
  <c r="L14" i="108"/>
  <c r="AB11" i="108" s="1"/>
  <c r="D15" i="108"/>
  <c r="H15" i="108"/>
  <c r="L15" i="108"/>
  <c r="D16" i="108"/>
  <c r="H16" i="108"/>
  <c r="L16" i="108"/>
  <c r="D17" i="108"/>
  <c r="H17" i="108"/>
  <c r="L17" i="108"/>
  <c r="D18" i="108"/>
  <c r="H18" i="108"/>
  <c r="L18" i="108"/>
  <c r="AB12" i="108" s="1"/>
  <c r="D19" i="108"/>
  <c r="H19" i="108"/>
  <c r="L19" i="108"/>
  <c r="D20" i="108"/>
  <c r="H20" i="108"/>
  <c r="L20" i="108"/>
  <c r="D21" i="108"/>
  <c r="H21" i="108"/>
  <c r="L21" i="108"/>
  <c r="D22" i="108"/>
  <c r="H22" i="108"/>
  <c r="X13" i="108" s="1"/>
  <c r="L22" i="108"/>
  <c r="AB13" i="108" s="1"/>
  <c r="D23" i="108"/>
  <c r="H23" i="108"/>
  <c r="L23" i="108"/>
  <c r="D24" i="108"/>
  <c r="H24" i="108"/>
  <c r="L24" i="108"/>
  <c r="D25" i="108"/>
  <c r="F25" i="108"/>
  <c r="H25" i="108"/>
  <c r="J25" i="108"/>
  <c r="L25" i="108"/>
  <c r="N25" i="108"/>
  <c r="D26" i="108"/>
  <c r="F26" i="108"/>
  <c r="H26" i="108"/>
  <c r="J26" i="108"/>
  <c r="L26" i="108"/>
  <c r="N26" i="108"/>
  <c r="D27" i="108"/>
  <c r="F27" i="108"/>
  <c r="H27" i="108"/>
  <c r="J27" i="108"/>
  <c r="L27" i="108"/>
  <c r="N27" i="108"/>
  <c r="D28" i="108"/>
  <c r="F28" i="108"/>
  <c r="H28" i="108"/>
  <c r="J28" i="108"/>
  <c r="L28" i="108"/>
  <c r="N28" i="108"/>
  <c r="D29" i="108"/>
  <c r="F29" i="108"/>
  <c r="H29" i="108"/>
  <c r="J29" i="108"/>
  <c r="L29" i="108"/>
  <c r="N29" i="108"/>
  <c r="D30" i="108"/>
  <c r="F30" i="108"/>
  <c r="H30" i="108"/>
  <c r="J30" i="108"/>
  <c r="L30" i="108"/>
  <c r="N30" i="108"/>
  <c r="D31" i="108"/>
  <c r="F31" i="108"/>
  <c r="H31" i="108"/>
  <c r="J31" i="108"/>
  <c r="L31" i="108"/>
  <c r="N31" i="108"/>
  <c r="D32" i="108"/>
  <c r="F32" i="108"/>
  <c r="H32" i="108"/>
  <c r="J32" i="108"/>
  <c r="L32" i="108"/>
  <c r="N32" i="108"/>
  <c r="D33" i="108"/>
  <c r="F33" i="108"/>
  <c r="H33" i="108"/>
  <c r="J33" i="108"/>
  <c r="L33" i="108"/>
  <c r="N33" i="108"/>
  <c r="D34" i="108"/>
  <c r="F34" i="108"/>
  <c r="H34" i="108"/>
  <c r="J34" i="108"/>
  <c r="Z16" i="108" s="1"/>
  <c r="L34" i="108"/>
  <c r="N34" i="108"/>
  <c r="D35" i="108"/>
  <c r="F35" i="108"/>
  <c r="H35" i="108"/>
  <c r="J35" i="108"/>
  <c r="L35" i="108"/>
  <c r="N35" i="108"/>
  <c r="D36" i="108"/>
  <c r="F36" i="108"/>
  <c r="H36" i="108"/>
  <c r="J36" i="108"/>
  <c r="L36" i="108"/>
  <c r="N36" i="108"/>
  <c r="D37" i="108"/>
  <c r="F37" i="108"/>
  <c r="H37" i="108"/>
  <c r="J37" i="108"/>
  <c r="L37" i="108"/>
  <c r="N37" i="108"/>
  <c r="D38" i="108"/>
  <c r="F38" i="108"/>
  <c r="H38" i="108"/>
  <c r="J38" i="108"/>
  <c r="L38" i="108"/>
  <c r="N38" i="108"/>
  <c r="D39" i="108"/>
  <c r="F39" i="108"/>
  <c r="H39" i="108"/>
  <c r="J39" i="108"/>
  <c r="L39" i="108"/>
  <c r="N39" i="108"/>
  <c r="D40" i="108"/>
  <c r="F40" i="108"/>
  <c r="H40" i="108"/>
  <c r="J40" i="108"/>
  <c r="L40" i="108"/>
  <c r="N40" i="108"/>
  <c r="D41" i="108"/>
  <c r="F41" i="108"/>
  <c r="H41" i="108"/>
  <c r="J41" i="108"/>
  <c r="L41" i="108"/>
  <c r="N41" i="108"/>
  <c r="D42" i="108"/>
  <c r="F42" i="108"/>
  <c r="H42" i="108"/>
  <c r="J42" i="108"/>
  <c r="L42" i="108"/>
  <c r="N42" i="108"/>
  <c r="D43" i="108"/>
  <c r="F43" i="108"/>
  <c r="H43" i="108"/>
  <c r="J43" i="108"/>
  <c r="L43" i="108"/>
  <c r="N43" i="108"/>
  <c r="D44" i="108"/>
  <c r="F44" i="108"/>
  <c r="H44" i="108"/>
  <c r="J44" i="108"/>
  <c r="L44" i="108"/>
  <c r="N44" i="108"/>
  <c r="D45" i="108"/>
  <c r="F45" i="108"/>
  <c r="H45" i="108"/>
  <c r="J45" i="108"/>
  <c r="L45" i="108"/>
  <c r="N45" i="108"/>
  <c r="D46" i="108"/>
  <c r="F46" i="108"/>
  <c r="V12" i="109"/>
  <c r="AD12" i="109"/>
  <c r="P14" i="110"/>
  <c r="U11" i="110"/>
  <c r="Y11" i="110"/>
  <c r="AA11" i="110"/>
  <c r="AC11" i="110"/>
  <c r="W23" i="105"/>
  <c r="S11" i="109"/>
  <c r="AC17" i="109"/>
  <c r="V14" i="109"/>
  <c r="W10" i="110"/>
  <c r="P11" i="110"/>
  <c r="S11" i="110"/>
  <c r="T11" i="110"/>
  <c r="V11" i="110"/>
  <c r="X11" i="110"/>
  <c r="Z11" i="110"/>
  <c r="AB11" i="110"/>
  <c r="AD11" i="110"/>
  <c r="L10" i="108"/>
  <c r="H10" i="108"/>
  <c r="D10" i="108"/>
  <c r="V13" i="109"/>
  <c r="AD13" i="109"/>
  <c r="V15" i="109"/>
  <c r="AD15" i="109"/>
  <c r="C10" i="108"/>
  <c r="AA11" i="109"/>
  <c r="Z12" i="109"/>
  <c r="Z14" i="109"/>
  <c r="S10" i="110"/>
  <c r="V18" i="110"/>
  <c r="X18" i="110"/>
  <c r="Z18" i="110"/>
  <c r="AB18" i="110"/>
  <c r="AD18" i="110"/>
  <c r="P18" i="110"/>
  <c r="W39" i="110"/>
  <c r="P20" i="110"/>
  <c r="P22" i="110"/>
  <c r="P24" i="110"/>
  <c r="P26" i="110"/>
  <c r="P28" i="110"/>
  <c r="P30" i="110"/>
  <c r="P32" i="110"/>
  <c r="P34" i="110"/>
  <c r="P35" i="110"/>
  <c r="P36" i="110"/>
  <c r="P37" i="110"/>
  <c r="P38" i="110"/>
  <c r="P39" i="110"/>
  <c r="P40" i="110"/>
  <c r="P41" i="110"/>
  <c r="P42" i="110"/>
  <c r="O44" i="110"/>
  <c r="U19" i="110"/>
  <c r="Y19" i="110"/>
  <c r="AC19" i="110"/>
  <c r="O48" i="110"/>
  <c r="U20" i="110"/>
  <c r="Y20" i="110"/>
  <c r="AC20" i="110"/>
  <c r="O52" i="110"/>
  <c r="U21" i="110"/>
  <c r="Y21" i="110"/>
  <c r="AC21" i="110"/>
  <c r="O56" i="110"/>
  <c r="O58" i="110"/>
  <c r="U22" i="110"/>
  <c r="Y22" i="110"/>
  <c r="AC22" i="110"/>
  <c r="O62" i="110"/>
  <c r="O66" i="110"/>
  <c r="U24" i="110"/>
  <c r="Y24" i="110"/>
  <c r="AC24" i="110"/>
  <c r="O70" i="110"/>
  <c r="O74" i="110"/>
  <c r="U26" i="110"/>
  <c r="Y26" i="110"/>
  <c r="AC26" i="110"/>
  <c r="O78" i="110"/>
  <c r="O82" i="110"/>
  <c r="U28" i="110"/>
  <c r="Y28" i="110"/>
  <c r="AC28" i="110"/>
  <c r="O86" i="110"/>
  <c r="O90" i="110"/>
  <c r="U30" i="110"/>
  <c r="Y30" i="110"/>
  <c r="AC30" i="110"/>
  <c r="O94" i="110"/>
  <c r="O98" i="110"/>
  <c r="U32" i="110"/>
  <c r="Y32" i="110"/>
  <c r="AC32" i="110"/>
  <c r="O102" i="110"/>
  <c r="AD13" i="99"/>
  <c r="AD26" i="99" s="1"/>
  <c r="P44" i="110"/>
  <c r="P48" i="110"/>
  <c r="V19" i="110"/>
  <c r="X19" i="110"/>
  <c r="Z19" i="110"/>
  <c r="AB19" i="110"/>
  <c r="AD19" i="110"/>
  <c r="P52" i="110"/>
  <c r="V20" i="110"/>
  <c r="X20" i="110"/>
  <c r="Z20" i="110"/>
  <c r="AB20" i="110"/>
  <c r="AD20" i="110"/>
  <c r="P56" i="110"/>
  <c r="P62" i="110"/>
  <c r="P70" i="110"/>
  <c r="P78" i="110"/>
  <c r="P86" i="110"/>
  <c r="P94" i="110"/>
  <c r="P102" i="110"/>
  <c r="T12" i="109"/>
  <c r="X12" i="109"/>
  <c r="AB12" i="109"/>
  <c r="P20" i="109"/>
  <c r="T13" i="109"/>
  <c r="X13" i="109"/>
  <c r="AB13" i="109"/>
  <c r="P24" i="109"/>
  <c r="T14" i="109"/>
  <c r="X14" i="109"/>
  <c r="AB14" i="109"/>
  <c r="P28" i="109"/>
  <c r="T15" i="109"/>
  <c r="X15" i="109"/>
  <c r="AB15" i="109"/>
  <c r="P32" i="109"/>
  <c r="E106" i="110"/>
  <c r="G106" i="110"/>
  <c r="I106" i="110"/>
  <c r="K106" i="110"/>
  <c r="M106" i="110"/>
  <c r="AA10" i="110"/>
  <c r="P17" i="110"/>
  <c r="S17" i="110"/>
  <c r="P43" i="110"/>
  <c r="O46" i="110"/>
  <c r="P46" i="110"/>
  <c r="P47" i="110"/>
  <c r="O50" i="110"/>
  <c r="P50" i="110"/>
  <c r="P51" i="110"/>
  <c r="O54" i="110"/>
  <c r="P54" i="110"/>
  <c r="P55" i="110"/>
  <c r="P58" i="110"/>
  <c r="P66" i="110"/>
  <c r="P74" i="110"/>
  <c r="P82" i="110"/>
  <c r="P90" i="110"/>
  <c r="P98" i="110"/>
  <c r="P57" i="110"/>
  <c r="V21" i="110"/>
  <c r="X21" i="110"/>
  <c r="Z21" i="110"/>
  <c r="AB21" i="110"/>
  <c r="AD21" i="110"/>
  <c r="O60" i="110"/>
  <c r="P60" i="110"/>
  <c r="P61" i="110"/>
  <c r="V22" i="110"/>
  <c r="X22" i="110"/>
  <c r="Z22" i="110"/>
  <c r="AB22" i="110"/>
  <c r="AD22" i="110"/>
  <c r="O64" i="110"/>
  <c r="P64" i="110"/>
  <c r="P65" i="110"/>
  <c r="V23" i="110"/>
  <c r="X23" i="110"/>
  <c r="Z23" i="110"/>
  <c r="AB23" i="110"/>
  <c r="AD23" i="110"/>
  <c r="O68" i="110"/>
  <c r="P68" i="110"/>
  <c r="P69" i="110"/>
  <c r="V24" i="110"/>
  <c r="X24" i="110"/>
  <c r="Z24" i="110"/>
  <c r="AB24" i="110"/>
  <c r="AD24" i="110"/>
  <c r="O72" i="110"/>
  <c r="P72" i="110"/>
  <c r="P73" i="110"/>
  <c r="V25" i="110"/>
  <c r="X25" i="110"/>
  <c r="Z25" i="110"/>
  <c r="AB25" i="110"/>
  <c r="AD25" i="110"/>
  <c r="O76" i="110"/>
  <c r="P76" i="110"/>
  <c r="P77" i="110"/>
  <c r="V26" i="110"/>
  <c r="X26" i="110"/>
  <c r="Z26" i="110"/>
  <c r="AB26" i="110"/>
  <c r="AD26" i="110"/>
  <c r="O80" i="110"/>
  <c r="P80" i="110"/>
  <c r="P81" i="110"/>
  <c r="V27" i="110"/>
  <c r="X27" i="110"/>
  <c r="Z27" i="110"/>
  <c r="AB27" i="110"/>
  <c r="AD27" i="110"/>
  <c r="O84" i="110"/>
  <c r="P84" i="110"/>
  <c r="P85" i="110"/>
  <c r="V28" i="110"/>
  <c r="X28" i="110"/>
  <c r="Z28" i="110"/>
  <c r="AB28" i="110"/>
  <c r="AD28" i="110"/>
  <c r="O88" i="110"/>
  <c r="P88" i="110"/>
  <c r="P89" i="110"/>
  <c r="V29" i="110"/>
  <c r="X29" i="110"/>
  <c r="Z29" i="110"/>
  <c r="AB29" i="110"/>
  <c r="AD29" i="110"/>
  <c r="O92" i="110"/>
  <c r="P92" i="110"/>
  <c r="P93" i="110"/>
  <c r="V30" i="110"/>
  <c r="X30" i="110"/>
  <c r="Z30" i="110"/>
  <c r="O96" i="110"/>
  <c r="P96" i="110"/>
  <c r="P97" i="110"/>
  <c r="O100" i="110"/>
  <c r="P100" i="110"/>
  <c r="P101" i="110"/>
  <c r="O104" i="110"/>
  <c r="P104" i="110"/>
  <c r="P105" i="110"/>
  <c r="C106" i="110"/>
  <c r="P10" i="110"/>
  <c r="O10" i="110"/>
  <c r="U10" i="110"/>
  <c r="Y10" i="110"/>
  <c r="AC10" i="110"/>
  <c r="O11" i="110"/>
  <c r="O12" i="110"/>
  <c r="O13" i="110"/>
  <c r="O14" i="110"/>
  <c r="O15" i="110"/>
  <c r="P16" i="110"/>
  <c r="O16" i="110"/>
  <c r="O17" i="110"/>
  <c r="O18" i="110"/>
  <c r="O19" i="110"/>
  <c r="O20" i="110"/>
  <c r="O21" i="110"/>
  <c r="O22" i="110"/>
  <c r="O23" i="110"/>
  <c r="O24" i="110"/>
  <c r="O25" i="110"/>
  <c r="O26" i="110"/>
  <c r="O27" i="110"/>
  <c r="O28" i="110"/>
  <c r="O29" i="110"/>
  <c r="O30" i="110"/>
  <c r="S36" i="110"/>
  <c r="W36" i="110"/>
  <c r="AA36" i="110"/>
  <c r="H106" i="110"/>
  <c r="C106" i="109"/>
  <c r="E106" i="109"/>
  <c r="G106" i="109"/>
  <c r="I106" i="109"/>
  <c r="K106" i="109"/>
  <c r="M106" i="109"/>
  <c r="P11" i="109"/>
  <c r="W11" i="109"/>
  <c r="P18" i="109"/>
  <c r="U12" i="109"/>
  <c r="W12" i="109"/>
  <c r="Y12" i="109"/>
  <c r="AA12" i="109"/>
  <c r="AC12" i="109"/>
  <c r="P22" i="109"/>
  <c r="U13" i="109"/>
  <c r="W13" i="109"/>
  <c r="Y13" i="109"/>
  <c r="AA13" i="109"/>
  <c r="AC13" i="109"/>
  <c r="P26" i="109"/>
  <c r="U14" i="109"/>
  <c r="W14" i="109"/>
  <c r="Y14" i="109"/>
  <c r="AA14" i="109"/>
  <c r="AC14" i="109"/>
  <c r="P30" i="109"/>
  <c r="U15" i="109"/>
  <c r="W15" i="109"/>
  <c r="Y15" i="109"/>
  <c r="AA15" i="109"/>
  <c r="AC15" i="109"/>
  <c r="P34" i="109"/>
  <c r="P35" i="109"/>
  <c r="P36" i="109"/>
  <c r="P37" i="109"/>
  <c r="P38" i="109"/>
  <c r="P39" i="109"/>
  <c r="P40" i="109"/>
  <c r="P41" i="109"/>
  <c r="P42" i="109"/>
  <c r="O44" i="109"/>
  <c r="S39" i="109"/>
  <c r="AA39" i="109"/>
  <c r="O48" i="109"/>
  <c r="O52" i="109"/>
  <c r="O56" i="109"/>
  <c r="O58" i="109"/>
  <c r="O62" i="109"/>
  <c r="O66" i="109"/>
  <c r="O70" i="109"/>
  <c r="O74" i="109"/>
  <c r="O78" i="109"/>
  <c r="O82" i="109"/>
  <c r="O86" i="109"/>
  <c r="O90" i="109"/>
  <c r="O94" i="109"/>
  <c r="O98" i="109"/>
  <c r="O102" i="109"/>
  <c r="F106" i="110"/>
  <c r="J106" i="110"/>
  <c r="N106" i="110"/>
  <c r="T10" i="110"/>
  <c r="V10" i="110"/>
  <c r="Z10" i="110"/>
  <c r="AB10" i="110"/>
  <c r="AD10" i="110"/>
  <c r="T18" i="110"/>
  <c r="T19" i="110"/>
  <c r="T20" i="110"/>
  <c r="T21" i="110"/>
  <c r="T22" i="110"/>
  <c r="T23" i="110"/>
  <c r="T24" i="110"/>
  <c r="T25" i="110"/>
  <c r="T26" i="110"/>
  <c r="T27" i="110"/>
  <c r="T28" i="110"/>
  <c r="T29" i="110"/>
  <c r="T30" i="110"/>
  <c r="O31" i="110"/>
  <c r="O32" i="110"/>
  <c r="O33" i="110"/>
  <c r="O34" i="110"/>
  <c r="O35" i="110"/>
  <c r="O36" i="110"/>
  <c r="O37" i="110"/>
  <c r="O38" i="110"/>
  <c r="O39" i="110"/>
  <c r="O40" i="110"/>
  <c r="O41" i="110"/>
  <c r="O42" i="110"/>
  <c r="AB30" i="110"/>
  <c r="AD30" i="110"/>
  <c r="P95" i="110"/>
  <c r="T31" i="110"/>
  <c r="V31" i="110"/>
  <c r="X31" i="110"/>
  <c r="Z31" i="110"/>
  <c r="AB31" i="110"/>
  <c r="AD31" i="110"/>
  <c r="P99" i="110"/>
  <c r="T32" i="110"/>
  <c r="V32" i="110"/>
  <c r="X32" i="110"/>
  <c r="Z32" i="110"/>
  <c r="AB32" i="110"/>
  <c r="AD32" i="110"/>
  <c r="P103" i="110"/>
  <c r="T33" i="110"/>
  <c r="V33" i="110"/>
  <c r="X33" i="110"/>
  <c r="Z33" i="110"/>
  <c r="AB33" i="110"/>
  <c r="AD33" i="110"/>
  <c r="O43" i="110"/>
  <c r="O45" i="110"/>
  <c r="O47" i="110"/>
  <c r="O49" i="110"/>
  <c r="O51" i="110"/>
  <c r="O53" i="110"/>
  <c r="O55" i="110"/>
  <c r="O57" i="110"/>
  <c r="O59" i="110"/>
  <c r="O61" i="110"/>
  <c r="O63" i="110"/>
  <c r="O65" i="110"/>
  <c r="O67" i="110"/>
  <c r="O69" i="110"/>
  <c r="O71" i="110"/>
  <c r="O73" i="110"/>
  <c r="O75" i="110"/>
  <c r="O77" i="110"/>
  <c r="O79" i="110"/>
  <c r="O81" i="110"/>
  <c r="O83" i="110"/>
  <c r="O85" i="110"/>
  <c r="O87" i="110"/>
  <c r="O89" i="110"/>
  <c r="O91" i="110"/>
  <c r="O93" i="110"/>
  <c r="O95" i="110"/>
  <c r="O97" i="110"/>
  <c r="O99" i="110"/>
  <c r="O101" i="110"/>
  <c r="O103" i="110"/>
  <c r="O105" i="110"/>
  <c r="V19" i="95"/>
  <c r="Y14" i="101"/>
  <c r="W39" i="109"/>
  <c r="X10" i="109"/>
  <c r="P12" i="109"/>
  <c r="S12" i="109"/>
  <c r="P13" i="109"/>
  <c r="S13" i="109"/>
  <c r="P14" i="109"/>
  <c r="U11" i="109"/>
  <c r="Y11" i="109"/>
  <c r="AC11" i="109"/>
  <c r="S14" i="109"/>
  <c r="P15" i="109"/>
  <c r="S15" i="109"/>
  <c r="P16" i="109"/>
  <c r="S16" i="109"/>
  <c r="T11" i="109"/>
  <c r="V11" i="109"/>
  <c r="X11" i="109"/>
  <c r="Z11" i="109"/>
  <c r="AB11" i="109"/>
  <c r="AD11" i="109"/>
  <c r="P19" i="109"/>
  <c r="P21" i="109"/>
  <c r="P23" i="109"/>
  <c r="S23" i="109"/>
  <c r="P25" i="109"/>
  <c r="S25" i="109"/>
  <c r="P27" i="109"/>
  <c r="S27" i="109"/>
  <c r="P29" i="109"/>
  <c r="S29" i="109"/>
  <c r="P31" i="109"/>
  <c r="S31" i="109"/>
  <c r="P33" i="109"/>
  <c r="S33" i="109"/>
  <c r="S17" i="109"/>
  <c r="P45" i="109"/>
  <c r="V18" i="109"/>
  <c r="X18" i="109"/>
  <c r="Z18" i="109"/>
  <c r="AB18" i="109"/>
  <c r="AD18" i="109"/>
  <c r="P49" i="109"/>
  <c r="P53" i="109"/>
  <c r="P59" i="109"/>
  <c r="P63" i="109"/>
  <c r="P67" i="109"/>
  <c r="P71" i="109"/>
  <c r="P75" i="109"/>
  <c r="P79" i="109"/>
  <c r="P83" i="109"/>
  <c r="P87" i="109"/>
  <c r="P91" i="109"/>
  <c r="P44" i="109"/>
  <c r="P48" i="109"/>
  <c r="V19" i="109"/>
  <c r="V39" i="109" s="1"/>
  <c r="X19" i="109"/>
  <c r="Z19" i="109"/>
  <c r="AB19" i="109"/>
  <c r="AD19" i="109"/>
  <c r="P52" i="109"/>
  <c r="V20" i="109"/>
  <c r="X20" i="109"/>
  <c r="Z20" i="109"/>
  <c r="AB20" i="109"/>
  <c r="AD20" i="109"/>
  <c r="P56" i="109"/>
  <c r="P62" i="109"/>
  <c r="P70" i="109"/>
  <c r="P78" i="109"/>
  <c r="P86" i="109"/>
  <c r="P94" i="109"/>
  <c r="P102" i="109"/>
  <c r="D106" i="109"/>
  <c r="L106" i="109"/>
  <c r="P17" i="109"/>
  <c r="P43" i="109"/>
  <c r="O46" i="109"/>
  <c r="P46" i="109"/>
  <c r="P47" i="109"/>
  <c r="O50" i="109"/>
  <c r="P50" i="109"/>
  <c r="P51" i="109"/>
  <c r="O54" i="109"/>
  <c r="P54" i="109"/>
  <c r="P55" i="109"/>
  <c r="P58" i="109"/>
  <c r="P66" i="109"/>
  <c r="P74" i="109"/>
  <c r="P82" i="109"/>
  <c r="P90" i="109"/>
  <c r="P98" i="109"/>
  <c r="P57" i="109"/>
  <c r="V21" i="109"/>
  <c r="X21" i="109"/>
  <c r="Z21" i="109"/>
  <c r="AB21" i="109"/>
  <c r="AD21" i="109"/>
  <c r="O60" i="109"/>
  <c r="P60" i="109"/>
  <c r="P61" i="109"/>
  <c r="V22" i="109"/>
  <c r="X22" i="109"/>
  <c r="Z22" i="109"/>
  <c r="AB22" i="109"/>
  <c r="AD22" i="109"/>
  <c r="O64" i="109"/>
  <c r="P64" i="109"/>
  <c r="P65" i="109"/>
  <c r="V23" i="109"/>
  <c r="X23" i="109"/>
  <c r="Z23" i="109"/>
  <c r="AB23" i="109"/>
  <c r="AD23" i="109"/>
  <c r="O68" i="109"/>
  <c r="P68" i="109"/>
  <c r="P69" i="109"/>
  <c r="V24" i="109"/>
  <c r="X24" i="109"/>
  <c r="Z24" i="109"/>
  <c r="AB24" i="109"/>
  <c r="AD24" i="109"/>
  <c r="O72" i="109"/>
  <c r="P72" i="109"/>
  <c r="P73" i="109"/>
  <c r="V25" i="109"/>
  <c r="X25" i="109"/>
  <c r="Z25" i="109"/>
  <c r="AB25" i="109"/>
  <c r="AD25" i="109"/>
  <c r="O76" i="109"/>
  <c r="P76" i="109"/>
  <c r="P77" i="109"/>
  <c r="V26" i="109"/>
  <c r="X26" i="109"/>
  <c r="Z26" i="109"/>
  <c r="AB26" i="109"/>
  <c r="AD26" i="109"/>
  <c r="O80" i="109"/>
  <c r="P80" i="109"/>
  <c r="P81" i="109"/>
  <c r="V27" i="109"/>
  <c r="X27" i="109"/>
  <c r="Z27" i="109"/>
  <c r="AB27" i="109"/>
  <c r="AD27" i="109"/>
  <c r="O84" i="109"/>
  <c r="P84" i="109"/>
  <c r="P85" i="109"/>
  <c r="V28" i="109"/>
  <c r="X28" i="109"/>
  <c r="Z28" i="109"/>
  <c r="AB28" i="109"/>
  <c r="AD28" i="109"/>
  <c r="O88" i="109"/>
  <c r="P88" i="109"/>
  <c r="P89" i="109"/>
  <c r="V29" i="109"/>
  <c r="X29" i="109"/>
  <c r="Z29" i="109"/>
  <c r="AB29" i="109"/>
  <c r="AD29" i="109"/>
  <c r="O92" i="109"/>
  <c r="P92" i="109"/>
  <c r="P93" i="109"/>
  <c r="V30" i="109"/>
  <c r="X30" i="109"/>
  <c r="Z30" i="109"/>
  <c r="O96" i="109"/>
  <c r="P96" i="109"/>
  <c r="P97" i="109"/>
  <c r="O100" i="109"/>
  <c r="P100" i="109"/>
  <c r="P101" i="109"/>
  <c r="O104" i="109"/>
  <c r="P104" i="109"/>
  <c r="P105" i="109"/>
  <c r="AD29" i="105"/>
  <c r="O10" i="109"/>
  <c r="S10" i="109"/>
  <c r="U10" i="109"/>
  <c r="W10" i="109"/>
  <c r="Y10" i="109"/>
  <c r="AA10" i="109"/>
  <c r="AC10" i="109"/>
  <c r="O11" i="109"/>
  <c r="O12" i="109"/>
  <c r="O13" i="109"/>
  <c r="O14" i="109"/>
  <c r="O15" i="109"/>
  <c r="O16" i="109"/>
  <c r="O17" i="109"/>
  <c r="O18" i="109"/>
  <c r="O19" i="109"/>
  <c r="O20" i="109"/>
  <c r="O21" i="109"/>
  <c r="O22" i="109"/>
  <c r="O23" i="109"/>
  <c r="O24" i="109"/>
  <c r="O25" i="109"/>
  <c r="O26" i="109"/>
  <c r="O27" i="109"/>
  <c r="O28" i="109"/>
  <c r="O29" i="109"/>
  <c r="O30" i="109"/>
  <c r="S36" i="109"/>
  <c r="W36" i="109"/>
  <c r="AA36" i="109"/>
  <c r="H106" i="109"/>
  <c r="F106" i="109"/>
  <c r="J106" i="109"/>
  <c r="N106" i="109"/>
  <c r="P10" i="109"/>
  <c r="T10" i="109"/>
  <c r="V10" i="109"/>
  <c r="Z10" i="109"/>
  <c r="AB10" i="109"/>
  <c r="AD10" i="109"/>
  <c r="T18" i="109"/>
  <c r="T19" i="109"/>
  <c r="T20" i="109"/>
  <c r="T21" i="109"/>
  <c r="T22" i="109"/>
  <c r="T23" i="109"/>
  <c r="T24" i="109"/>
  <c r="T25" i="109"/>
  <c r="T26" i="109"/>
  <c r="T27" i="109"/>
  <c r="T28" i="109"/>
  <c r="T29" i="109"/>
  <c r="T30" i="109"/>
  <c r="O31" i="109"/>
  <c r="O32" i="109"/>
  <c r="O33" i="109"/>
  <c r="O34" i="109"/>
  <c r="O35" i="109"/>
  <c r="O36" i="109"/>
  <c r="U36" i="109"/>
  <c r="Y36" i="109"/>
  <c r="AC36" i="109"/>
  <c r="O37" i="109"/>
  <c r="O38" i="109"/>
  <c r="O39" i="109"/>
  <c r="O40" i="109"/>
  <c r="O41" i="109"/>
  <c r="O42" i="109"/>
  <c r="AB30" i="109"/>
  <c r="AD30" i="109"/>
  <c r="P95" i="109"/>
  <c r="T31" i="109"/>
  <c r="V31" i="109"/>
  <c r="X31" i="109"/>
  <c r="Z31" i="109"/>
  <c r="AB31" i="109"/>
  <c r="AD31" i="109"/>
  <c r="P99" i="109"/>
  <c r="T32" i="109"/>
  <c r="V32" i="109"/>
  <c r="X32" i="109"/>
  <c r="Z32" i="109"/>
  <c r="AB32" i="109"/>
  <c r="AD32" i="109"/>
  <c r="P103" i="109"/>
  <c r="T33" i="109"/>
  <c r="V33" i="109"/>
  <c r="X33" i="109"/>
  <c r="Z33" i="109"/>
  <c r="AB33" i="109"/>
  <c r="AD33" i="109"/>
  <c r="O43" i="109"/>
  <c r="O45" i="109"/>
  <c r="O47" i="109"/>
  <c r="O49" i="109"/>
  <c r="O51" i="109"/>
  <c r="O53" i="109"/>
  <c r="O55" i="109"/>
  <c r="O57" i="109"/>
  <c r="O59" i="109"/>
  <c r="O61" i="109"/>
  <c r="O63" i="109"/>
  <c r="O65" i="109"/>
  <c r="O67" i="109"/>
  <c r="O69" i="109"/>
  <c r="O71" i="109"/>
  <c r="O73" i="109"/>
  <c r="O75" i="109"/>
  <c r="O77" i="109"/>
  <c r="O79" i="109"/>
  <c r="O81" i="109"/>
  <c r="O83" i="109"/>
  <c r="O85" i="109"/>
  <c r="O87" i="109"/>
  <c r="O89" i="109"/>
  <c r="O91" i="109"/>
  <c r="O93" i="109"/>
  <c r="O95" i="109"/>
  <c r="O97" i="109"/>
  <c r="O99" i="109"/>
  <c r="O101" i="109"/>
  <c r="O103" i="109"/>
  <c r="O105" i="109"/>
  <c r="U15" i="99"/>
  <c r="Z17" i="101"/>
  <c r="S21" i="105"/>
  <c r="S39" i="105" s="1"/>
  <c r="Y24" i="105"/>
  <c r="U20" i="95"/>
  <c r="AB20" i="105"/>
  <c r="AB39" i="105" s="1"/>
  <c r="U13" i="94"/>
  <c r="W13" i="94"/>
  <c r="Y13" i="94"/>
  <c r="AA13" i="94"/>
  <c r="AC13" i="94"/>
  <c r="Y15" i="94"/>
  <c r="AC15" i="94"/>
  <c r="U16" i="94"/>
  <c r="Y16" i="94"/>
  <c r="AC16" i="94"/>
  <c r="U17" i="94"/>
  <c r="AC17" i="94"/>
  <c r="Y18" i="94"/>
  <c r="AC18" i="94"/>
  <c r="U19" i="94"/>
  <c r="V14" i="94"/>
  <c r="X14" i="94"/>
  <c r="Z14" i="94"/>
  <c r="AB14" i="94"/>
  <c r="AD14" i="94"/>
  <c r="AA21" i="94"/>
  <c r="T13" i="105"/>
  <c r="AB13" i="105"/>
  <c r="T14" i="105"/>
  <c r="V14" i="105"/>
  <c r="X14" i="105"/>
  <c r="Z14" i="105"/>
  <c r="AB14" i="105"/>
  <c r="AD14" i="105"/>
  <c r="W15" i="105"/>
  <c r="Y39" i="105"/>
  <c r="T12" i="105"/>
  <c r="V12" i="105"/>
  <c r="Z12" i="105"/>
  <c r="AB12" i="105"/>
  <c r="AD12" i="105"/>
  <c r="V13" i="105"/>
  <c r="X13" i="105"/>
  <c r="Z13" i="105"/>
  <c r="AD13" i="105"/>
  <c r="V11" i="105"/>
  <c r="Z11" i="105"/>
  <c r="AD11" i="105"/>
  <c r="AC39" i="105"/>
  <c r="U12" i="105"/>
  <c r="W12" i="105"/>
  <c r="Y12" i="105"/>
  <c r="AA12" i="105"/>
  <c r="AC12" i="105"/>
  <c r="P16" i="105"/>
  <c r="U11" i="105"/>
  <c r="W11" i="105"/>
  <c r="Y11" i="105"/>
  <c r="AA11" i="105"/>
  <c r="AC11" i="105"/>
  <c r="O17" i="105"/>
  <c r="O18" i="105"/>
  <c r="O19" i="105"/>
  <c r="O20" i="105"/>
  <c r="P21" i="105"/>
  <c r="P22" i="105"/>
  <c r="U13" i="105"/>
  <c r="W13" i="105"/>
  <c r="Y13" i="105"/>
  <c r="AA13" i="105"/>
  <c r="AC13" i="105"/>
  <c r="S14" i="105"/>
  <c r="U14" i="105"/>
  <c r="W14" i="105"/>
  <c r="Y14" i="105"/>
  <c r="AA14" i="105"/>
  <c r="AC14" i="105"/>
  <c r="S15" i="105"/>
  <c r="AA15" i="105"/>
  <c r="U15" i="105"/>
  <c r="Y15" i="105"/>
  <c r="AC15" i="105"/>
  <c r="P12" i="105"/>
  <c r="S12" i="105"/>
  <c r="P13" i="105"/>
  <c r="S13" i="105"/>
  <c r="S38" i="105" s="1"/>
  <c r="P14" i="105"/>
  <c r="P15" i="105"/>
  <c r="P32" i="105"/>
  <c r="P34" i="105"/>
  <c r="P35" i="105"/>
  <c r="P36" i="105"/>
  <c r="P37" i="105"/>
  <c r="P38" i="105"/>
  <c r="P39" i="105"/>
  <c r="P40" i="105"/>
  <c r="P41" i="105"/>
  <c r="P42" i="105"/>
  <c r="P43" i="105"/>
  <c r="P44" i="105"/>
  <c r="P45" i="105"/>
  <c r="P46" i="105"/>
  <c r="P47" i="105"/>
  <c r="P48" i="105"/>
  <c r="P49" i="105"/>
  <c r="P50" i="105"/>
  <c r="P51" i="105"/>
  <c r="P52" i="105"/>
  <c r="P53" i="105"/>
  <c r="P54" i="105"/>
  <c r="P55" i="105"/>
  <c r="P56" i="105"/>
  <c r="P57" i="105"/>
  <c r="P58" i="105"/>
  <c r="P59" i="105"/>
  <c r="P60" i="105"/>
  <c r="P61" i="105"/>
  <c r="P63" i="105"/>
  <c r="P64" i="105"/>
  <c r="P65" i="105"/>
  <c r="P67" i="105"/>
  <c r="P68" i="105"/>
  <c r="P69" i="105"/>
  <c r="P71" i="105"/>
  <c r="P72" i="105"/>
  <c r="P73" i="105"/>
  <c r="P75" i="105"/>
  <c r="P76" i="105"/>
  <c r="P77" i="105"/>
  <c r="P79" i="105"/>
  <c r="P80" i="105"/>
  <c r="P81" i="105"/>
  <c r="P83" i="105"/>
  <c r="P84" i="105"/>
  <c r="P85" i="105"/>
  <c r="P87" i="105"/>
  <c r="P88" i="105"/>
  <c r="P89" i="105"/>
  <c r="P91" i="105"/>
  <c r="P92" i="105"/>
  <c r="P93" i="105"/>
  <c r="P95" i="105"/>
  <c r="P96" i="105"/>
  <c r="P97" i="105"/>
  <c r="P98" i="105"/>
  <c r="P99" i="105"/>
  <c r="P100" i="105"/>
  <c r="P101" i="105"/>
  <c r="P103" i="105"/>
  <c r="P104" i="105"/>
  <c r="P105" i="105"/>
  <c r="P62" i="105"/>
  <c r="S23" i="105"/>
  <c r="P66" i="105"/>
  <c r="S24" i="105"/>
  <c r="P70" i="105"/>
  <c r="S25" i="105"/>
  <c r="P74" i="105"/>
  <c r="S26" i="105"/>
  <c r="P78" i="105"/>
  <c r="S27" i="105"/>
  <c r="P82" i="105"/>
  <c r="S28" i="105"/>
  <c r="P86" i="105"/>
  <c r="S29" i="105"/>
  <c r="P90" i="105"/>
  <c r="S30" i="105"/>
  <c r="I106" i="105"/>
  <c r="K106" i="105"/>
  <c r="M106" i="105"/>
  <c r="P11" i="105"/>
  <c r="P23" i="105"/>
  <c r="P24" i="105"/>
  <c r="P25" i="105"/>
  <c r="P26" i="105"/>
  <c r="P27" i="105"/>
  <c r="P28" i="105"/>
  <c r="P29" i="105"/>
  <c r="P30" i="105"/>
  <c r="T15" i="105"/>
  <c r="V15" i="105"/>
  <c r="X15" i="105"/>
  <c r="Z15" i="105"/>
  <c r="AB15" i="105"/>
  <c r="AD15" i="105"/>
  <c r="S11" i="105"/>
  <c r="P94" i="105"/>
  <c r="S31" i="105"/>
  <c r="P102" i="105"/>
  <c r="S33" i="105"/>
  <c r="H106" i="105"/>
  <c r="J106" i="105"/>
  <c r="L106" i="105"/>
  <c r="N106" i="105"/>
  <c r="P17" i="105"/>
  <c r="P18" i="105"/>
  <c r="P19" i="105"/>
  <c r="P20" i="105"/>
  <c r="S32" i="105"/>
  <c r="P31" i="105"/>
  <c r="P33" i="105"/>
  <c r="D106" i="105"/>
  <c r="T10" i="105"/>
  <c r="F106" i="105"/>
  <c r="V10" i="105"/>
  <c r="C106" i="105"/>
  <c r="P10" i="105"/>
  <c r="S10" i="105"/>
  <c r="O10" i="105"/>
  <c r="E106" i="105"/>
  <c r="U10" i="105"/>
  <c r="G106" i="105"/>
  <c r="W10" i="105"/>
  <c r="Y10" i="105"/>
  <c r="AA10" i="105"/>
  <c r="AC10" i="105"/>
  <c r="O11" i="105"/>
  <c r="O12" i="105"/>
  <c r="O13" i="105"/>
  <c r="O14" i="105"/>
  <c r="O15" i="105"/>
  <c r="O16" i="105"/>
  <c r="O21" i="105"/>
  <c r="O22" i="105"/>
  <c r="O23" i="105"/>
  <c r="O24" i="105"/>
  <c r="O25" i="105"/>
  <c r="O26" i="105"/>
  <c r="O27" i="105"/>
  <c r="O28" i="105"/>
  <c r="O29" i="105"/>
  <c r="O30" i="105"/>
  <c r="O31" i="105"/>
  <c r="O32" i="105"/>
  <c r="O33" i="105"/>
  <c r="O34" i="105"/>
  <c r="O35" i="105"/>
  <c r="O36" i="105"/>
  <c r="W36" i="105"/>
  <c r="Y36" i="105"/>
  <c r="AA36" i="105"/>
  <c r="AC36" i="105"/>
  <c r="O37" i="105"/>
  <c r="O38" i="105"/>
  <c r="O39" i="105"/>
  <c r="O40" i="105"/>
  <c r="O41" i="105"/>
  <c r="O42" i="105"/>
  <c r="O43" i="105"/>
  <c r="O44" i="105"/>
  <c r="O45" i="105"/>
  <c r="O46" i="105"/>
  <c r="O47" i="105"/>
  <c r="O48" i="105"/>
  <c r="O49" i="105"/>
  <c r="O50" i="105"/>
  <c r="O51" i="105"/>
  <c r="O52" i="105"/>
  <c r="O53" i="105"/>
  <c r="O54" i="105"/>
  <c r="O55" i="105"/>
  <c r="O56" i="105"/>
  <c r="O57" i="105"/>
  <c r="O58" i="105"/>
  <c r="O59" i="105"/>
  <c r="O60" i="105"/>
  <c r="O61" i="105"/>
  <c r="O62" i="105"/>
  <c r="O63" i="105"/>
  <c r="O64" i="105"/>
  <c r="O65" i="105"/>
  <c r="O66" i="105"/>
  <c r="O67" i="105"/>
  <c r="O68" i="105"/>
  <c r="O69" i="105"/>
  <c r="O70" i="105"/>
  <c r="O71" i="105"/>
  <c r="O72" i="105"/>
  <c r="O73" i="105"/>
  <c r="O74" i="105"/>
  <c r="O75" i="105"/>
  <c r="O76" i="105"/>
  <c r="O77" i="105"/>
  <c r="O78" i="105"/>
  <c r="O79" i="105"/>
  <c r="O80" i="105"/>
  <c r="O81" i="105"/>
  <c r="O82" i="105"/>
  <c r="O83" i="105"/>
  <c r="O84" i="105"/>
  <c r="X10" i="105"/>
  <c r="Z10" i="105"/>
  <c r="AB10" i="105"/>
  <c r="AD10" i="105"/>
  <c r="V36" i="105"/>
  <c r="X36" i="105"/>
  <c r="Z36" i="105"/>
  <c r="AD36" i="105"/>
  <c r="O85" i="105"/>
  <c r="O86" i="105"/>
  <c r="O87" i="105"/>
  <c r="O88" i="105"/>
  <c r="O89" i="105"/>
  <c r="O90" i="105"/>
  <c r="O91" i="105"/>
  <c r="O92" i="105"/>
  <c r="O93" i="105"/>
  <c r="O94" i="105"/>
  <c r="O95" i="105"/>
  <c r="O96" i="105"/>
  <c r="O97" i="105"/>
  <c r="O98" i="105"/>
  <c r="O99" i="105"/>
  <c r="O100" i="105"/>
  <c r="O101" i="105"/>
  <c r="O102" i="105"/>
  <c r="O103" i="105"/>
  <c r="O104" i="105"/>
  <c r="O105" i="105"/>
  <c r="D106" i="101"/>
  <c r="F106" i="101"/>
  <c r="H106" i="101"/>
  <c r="J106" i="101"/>
  <c r="L106" i="101"/>
  <c r="N106" i="101"/>
  <c r="M106" i="101"/>
  <c r="K106" i="101"/>
  <c r="I106" i="101"/>
  <c r="G106" i="101"/>
  <c r="E106" i="101"/>
  <c r="C106" i="101"/>
  <c r="U17" i="96"/>
  <c r="AC16" i="96"/>
  <c r="U18" i="94"/>
  <c r="AC16" i="95"/>
  <c r="AC20" i="99"/>
  <c r="AC24" i="99" s="1"/>
  <c r="U14" i="95"/>
  <c r="U26" i="95" s="1"/>
  <c r="T39" i="101"/>
  <c r="AC18" i="95"/>
  <c r="W16" i="99"/>
  <c r="Y20" i="99"/>
  <c r="Y27" i="99" s="1"/>
  <c r="U14" i="96"/>
  <c r="AC32" i="101"/>
  <c r="AA32" i="101"/>
  <c r="Y32" i="101"/>
  <c r="W32" i="101"/>
  <c r="U32" i="101"/>
  <c r="AC30" i="101"/>
  <c r="AA30" i="101"/>
  <c r="Y30" i="101"/>
  <c r="W30" i="101"/>
  <c r="U30" i="101"/>
  <c r="AC28" i="101"/>
  <c r="AA28" i="101"/>
  <c r="Y28" i="101"/>
  <c r="W28" i="101"/>
  <c r="U28" i="101"/>
  <c r="AC26" i="101"/>
  <c r="AA26" i="101"/>
  <c r="Y26" i="101"/>
  <c r="W26" i="101"/>
  <c r="U26" i="101"/>
  <c r="AC24" i="101"/>
  <c r="AA24" i="101"/>
  <c r="Y24" i="101"/>
  <c r="W24" i="101"/>
  <c r="U24" i="101"/>
  <c r="AC22" i="101"/>
  <c r="AA22" i="101"/>
  <c r="Y22" i="101"/>
  <c r="W22" i="101"/>
  <c r="U22" i="101"/>
  <c r="AD33" i="101"/>
  <c r="AB33" i="101"/>
  <c r="Z33" i="101"/>
  <c r="X33" i="101"/>
  <c r="V33" i="101"/>
  <c r="T33" i="101"/>
  <c r="AD31" i="101"/>
  <c r="AB31" i="101"/>
  <c r="Z31" i="101"/>
  <c r="X31" i="101"/>
  <c r="V31" i="101"/>
  <c r="T31" i="101"/>
  <c r="AD29" i="101"/>
  <c r="AB29" i="101"/>
  <c r="Z29" i="101"/>
  <c r="X29" i="101"/>
  <c r="V29" i="101"/>
  <c r="T29" i="101"/>
  <c r="AD27" i="101"/>
  <c r="AB27" i="101"/>
  <c r="Z27" i="101"/>
  <c r="X27" i="101"/>
  <c r="V27" i="101"/>
  <c r="T27" i="101"/>
  <c r="AD25" i="101"/>
  <c r="AB25" i="101"/>
  <c r="Z25" i="101"/>
  <c r="X25" i="101"/>
  <c r="V25" i="101"/>
  <c r="T25" i="101"/>
  <c r="AD23" i="101"/>
  <c r="AC33" i="101"/>
  <c r="AA33" i="101"/>
  <c r="Y33" i="101"/>
  <c r="W33" i="101"/>
  <c r="U33" i="101"/>
  <c r="AC31" i="101"/>
  <c r="AA31" i="101"/>
  <c r="Y31" i="101"/>
  <c r="W31" i="101"/>
  <c r="U31" i="101"/>
  <c r="AC29" i="101"/>
  <c r="AA29" i="101"/>
  <c r="Y29" i="101"/>
  <c r="W29" i="101"/>
  <c r="U29" i="101"/>
  <c r="AC27" i="101"/>
  <c r="AA27" i="101"/>
  <c r="Y27" i="101"/>
  <c r="W27" i="101"/>
  <c r="U27" i="101"/>
  <c r="AC25" i="101"/>
  <c r="AA25" i="101"/>
  <c r="Y25" i="101"/>
  <c r="W25" i="101"/>
  <c r="U25" i="101"/>
  <c r="AC23" i="101"/>
  <c r="AA23" i="101"/>
  <c r="Y23" i="101"/>
  <c r="W23" i="101"/>
  <c r="U23" i="101"/>
  <c r="AD32" i="101"/>
  <c r="AB32" i="101"/>
  <c r="Z32" i="101"/>
  <c r="X32" i="101"/>
  <c r="V32" i="101"/>
  <c r="T32" i="101"/>
  <c r="AD30" i="101"/>
  <c r="AB30" i="101"/>
  <c r="Z30" i="101"/>
  <c r="X30" i="101"/>
  <c r="V30" i="101"/>
  <c r="T30" i="101"/>
  <c r="AD28" i="101"/>
  <c r="AB28" i="101"/>
  <c r="Z28" i="101"/>
  <c r="X28" i="101"/>
  <c r="V28" i="101"/>
  <c r="T28" i="101"/>
  <c r="AD26" i="101"/>
  <c r="AB26" i="101"/>
  <c r="Z26" i="101"/>
  <c r="X26" i="101"/>
  <c r="V26" i="101"/>
  <c r="T26" i="101"/>
  <c r="AD24" i="101"/>
  <c r="AB24" i="101"/>
  <c r="Z24" i="101"/>
  <c r="X24" i="101"/>
  <c r="V24" i="101"/>
  <c r="T24" i="101"/>
  <c r="AB23" i="101"/>
  <c r="Z23" i="101"/>
  <c r="X23" i="101"/>
  <c r="V23" i="101"/>
  <c r="T23" i="101"/>
  <c r="AD22" i="101"/>
  <c r="AB22" i="101"/>
  <c r="Z22" i="101"/>
  <c r="X22" i="101"/>
  <c r="V22" i="101"/>
  <c r="T22" i="101"/>
  <c r="S33" i="101"/>
  <c r="S32" i="101"/>
  <c r="S31" i="101"/>
  <c r="S30" i="101"/>
  <c r="S29" i="101"/>
  <c r="S28" i="101"/>
  <c r="S27" i="101"/>
  <c r="S26" i="101"/>
  <c r="S25" i="101"/>
  <c r="S24" i="101"/>
  <c r="AB17" i="95"/>
  <c r="S22" i="101"/>
  <c r="S23" i="101"/>
  <c r="Z19" i="95"/>
  <c r="Z27" i="95" s="1"/>
  <c r="Z13" i="95"/>
  <c r="V14" i="99"/>
  <c r="V26" i="99" s="1"/>
  <c r="AB14" i="95"/>
  <c r="U15" i="101"/>
  <c r="P105" i="101"/>
  <c r="Y17" i="94"/>
  <c r="P77" i="101"/>
  <c r="P22" i="104"/>
  <c r="P23" i="104"/>
  <c r="P24" i="104"/>
  <c r="O30" i="104"/>
  <c r="O34" i="104"/>
  <c r="O38" i="104"/>
  <c r="O42" i="104"/>
  <c r="O46" i="104"/>
  <c r="O50" i="104"/>
  <c r="O54" i="104"/>
  <c r="P69" i="101"/>
  <c r="P91" i="101"/>
  <c r="U15" i="94"/>
  <c r="W17" i="96"/>
  <c r="AC24" i="103"/>
  <c r="P81" i="101"/>
  <c r="P63" i="101"/>
  <c r="P97" i="101"/>
  <c r="P73" i="101"/>
  <c r="Y19" i="94"/>
  <c r="P95" i="101"/>
  <c r="P79" i="101"/>
  <c r="P71" i="101"/>
  <c r="P59" i="101"/>
  <c r="P101" i="101"/>
  <c r="P88" i="101"/>
  <c r="P83" i="101"/>
  <c r="P75" i="101"/>
  <c r="P67" i="101"/>
  <c r="P99" i="101"/>
  <c r="P93" i="101"/>
  <c r="P85" i="101"/>
  <c r="P65" i="101"/>
  <c r="P103" i="101"/>
  <c r="P61" i="101"/>
  <c r="O104" i="101"/>
  <c r="O102" i="101"/>
  <c r="O100" i="101"/>
  <c r="O98" i="101"/>
  <c r="O96" i="101"/>
  <c r="O94" i="101"/>
  <c r="O92" i="101"/>
  <c r="O89" i="101"/>
  <c r="O86" i="101"/>
  <c r="O84" i="101"/>
  <c r="O82" i="101"/>
  <c r="O80" i="101"/>
  <c r="O78" i="101"/>
  <c r="O76" i="101"/>
  <c r="O74" i="101"/>
  <c r="O72" i="101"/>
  <c r="O70" i="101"/>
  <c r="O68" i="101"/>
  <c r="O66" i="101"/>
  <c r="O64" i="101"/>
  <c r="O62" i="101"/>
  <c r="O60" i="101"/>
  <c r="O58" i="101"/>
  <c r="O105" i="101"/>
  <c r="P104" i="101"/>
  <c r="O103" i="101"/>
  <c r="P102" i="101"/>
  <c r="O101" i="101"/>
  <c r="P100" i="101"/>
  <c r="O99" i="101"/>
  <c r="P98" i="101"/>
  <c r="O97" i="101"/>
  <c r="P96" i="101"/>
  <c r="O95" i="101"/>
  <c r="P94" i="101"/>
  <c r="O93" i="101"/>
  <c r="P92" i="101"/>
  <c r="O91" i="101"/>
  <c r="P90" i="101"/>
  <c r="O90" i="101"/>
  <c r="P89" i="101"/>
  <c r="O88" i="101"/>
  <c r="P87" i="101"/>
  <c r="O87" i="101"/>
  <c r="P86" i="101"/>
  <c r="O85" i="101"/>
  <c r="P84" i="101"/>
  <c r="O83" i="101"/>
  <c r="P82" i="101"/>
  <c r="O81" i="101"/>
  <c r="P80" i="101"/>
  <c r="O79" i="101"/>
  <c r="P78" i="101"/>
  <c r="O77" i="101"/>
  <c r="P76" i="101"/>
  <c r="O75" i="101"/>
  <c r="P74" i="101"/>
  <c r="O73" i="101"/>
  <c r="P72" i="101"/>
  <c r="O71" i="101"/>
  <c r="P70" i="101"/>
  <c r="O69" i="101"/>
  <c r="P68" i="101"/>
  <c r="O67" i="101"/>
  <c r="P66" i="101"/>
  <c r="O65" i="101"/>
  <c r="P64" i="101"/>
  <c r="O63" i="101"/>
  <c r="P62" i="101"/>
  <c r="O61" i="101"/>
  <c r="P60" i="101"/>
  <c r="O59" i="101"/>
  <c r="P58" i="101"/>
  <c r="Y18" i="96"/>
  <c r="AC14" i="94"/>
  <c r="Y16" i="95"/>
  <c r="AA18" i="96"/>
  <c r="AA23" i="96" s="1"/>
  <c r="AD16" i="96"/>
  <c r="AD23" i="96" s="1"/>
  <c r="Z18" i="95"/>
  <c r="Y14" i="94"/>
  <c r="Y21" i="96"/>
  <c r="Y24" i="96" s="1"/>
  <c r="Y15" i="101"/>
  <c r="AA17" i="94"/>
  <c r="V21" i="95"/>
  <c r="X13" i="95"/>
  <c r="X23" i="95" s="1"/>
  <c r="W16" i="94"/>
  <c r="AC20" i="94"/>
  <c r="V15" i="95"/>
  <c r="V26" i="95" s="1"/>
  <c r="U14" i="94"/>
  <c r="P17" i="104"/>
  <c r="S17" i="104"/>
  <c r="V11" i="103"/>
  <c r="AD12" i="101"/>
  <c r="AD11" i="103"/>
  <c r="T11" i="104"/>
  <c r="X11" i="104"/>
  <c r="AB11" i="104"/>
  <c r="U12" i="101"/>
  <c r="W12" i="101"/>
  <c r="Y12" i="101"/>
  <c r="AA12" i="101"/>
  <c r="AC12" i="101"/>
  <c r="V26" i="103"/>
  <c r="AD26" i="103"/>
  <c r="T10" i="104"/>
  <c r="F58" i="104"/>
  <c r="X10" i="104"/>
  <c r="J58" i="104"/>
  <c r="AB10" i="104"/>
  <c r="N58" i="104"/>
  <c r="P14" i="104"/>
  <c r="U11" i="104"/>
  <c r="W11" i="104"/>
  <c r="Y11" i="104"/>
  <c r="AA11" i="104"/>
  <c r="AC11" i="104"/>
  <c r="P18" i="104"/>
  <c r="U12" i="104"/>
  <c r="W12" i="104"/>
  <c r="Y12" i="104"/>
  <c r="AA12" i="104"/>
  <c r="AC12" i="104"/>
  <c r="T12" i="104"/>
  <c r="X12" i="104"/>
  <c r="AB12" i="104"/>
  <c r="P21" i="104"/>
  <c r="S21" i="104"/>
  <c r="V11" i="101"/>
  <c r="T11" i="103"/>
  <c r="X11" i="103"/>
  <c r="Z11" i="103"/>
  <c r="AB11" i="103"/>
  <c r="S13" i="104"/>
  <c r="S15" i="104"/>
  <c r="S19" i="104"/>
  <c r="AC36" i="101"/>
  <c r="Y24" i="103"/>
  <c r="AC27" i="103"/>
  <c r="T14" i="103"/>
  <c r="X14" i="103"/>
  <c r="AB14" i="103"/>
  <c r="W15" i="104"/>
  <c r="W17" i="104"/>
  <c r="W19" i="104"/>
  <c r="W21" i="104"/>
  <c r="W18" i="94"/>
  <c r="D58" i="103"/>
  <c r="F58" i="103"/>
  <c r="H58" i="103"/>
  <c r="J58" i="103"/>
  <c r="L58" i="103"/>
  <c r="N58" i="103"/>
  <c r="Z26" i="103"/>
  <c r="U11" i="103"/>
  <c r="W11" i="103"/>
  <c r="Y11" i="103"/>
  <c r="AA11" i="103"/>
  <c r="AC11" i="103"/>
  <c r="T13" i="103"/>
  <c r="T26" i="103" s="1"/>
  <c r="X13" i="103"/>
  <c r="X23" i="103" s="1"/>
  <c r="AB13" i="103"/>
  <c r="AB26" i="103" s="1"/>
  <c r="P25" i="103"/>
  <c r="P26" i="103"/>
  <c r="P27" i="103"/>
  <c r="U27" i="103"/>
  <c r="P11" i="104"/>
  <c r="W10" i="104"/>
  <c r="S11" i="104"/>
  <c r="P12" i="104"/>
  <c r="S12" i="104"/>
  <c r="P13" i="104"/>
  <c r="P15" i="104"/>
  <c r="P16" i="104"/>
  <c r="P19" i="104"/>
  <c r="P20" i="104"/>
  <c r="X26" i="103"/>
  <c r="AA26" i="104"/>
  <c r="P34" i="104"/>
  <c r="P42" i="104"/>
  <c r="P50" i="104"/>
  <c r="V11" i="99"/>
  <c r="T12" i="99"/>
  <c r="V12" i="99"/>
  <c r="X12" i="99"/>
  <c r="Z12" i="99"/>
  <c r="AB12" i="99"/>
  <c r="AD12" i="99"/>
  <c r="T12" i="101"/>
  <c r="V12" i="101"/>
  <c r="X12" i="101"/>
  <c r="Z12" i="101"/>
  <c r="AB12" i="101"/>
  <c r="E58" i="103"/>
  <c r="G58" i="103"/>
  <c r="I58" i="103"/>
  <c r="K58" i="103"/>
  <c r="M58" i="103"/>
  <c r="P11" i="103"/>
  <c r="P12" i="103"/>
  <c r="P13" i="103"/>
  <c r="P14" i="103"/>
  <c r="P15" i="103"/>
  <c r="P16" i="103"/>
  <c r="P17" i="103"/>
  <c r="P18" i="103"/>
  <c r="P19" i="103"/>
  <c r="P20" i="103"/>
  <c r="P21" i="103"/>
  <c r="P22" i="103"/>
  <c r="U13" i="103"/>
  <c r="W13" i="103"/>
  <c r="Y13" i="103"/>
  <c r="AA13" i="103"/>
  <c r="AC13" i="103"/>
  <c r="P23" i="103"/>
  <c r="P24" i="103"/>
  <c r="P28" i="103"/>
  <c r="P29" i="103"/>
  <c r="P30" i="103"/>
  <c r="P31" i="103"/>
  <c r="U15" i="103"/>
  <c r="W15" i="103"/>
  <c r="Y15" i="103"/>
  <c r="AA15" i="103"/>
  <c r="AC15" i="103"/>
  <c r="P32" i="103"/>
  <c r="P33" i="103"/>
  <c r="P34" i="103"/>
  <c r="P35" i="103"/>
  <c r="U16" i="103"/>
  <c r="W16" i="103"/>
  <c r="Y16" i="103"/>
  <c r="AA16" i="103"/>
  <c r="S10" i="104"/>
  <c r="S16" i="104"/>
  <c r="S18" i="104"/>
  <c r="S20" i="104"/>
  <c r="U15" i="104"/>
  <c r="Y15" i="104"/>
  <c r="AC15" i="104"/>
  <c r="P30" i="104"/>
  <c r="U17" i="104"/>
  <c r="Y17" i="104"/>
  <c r="AC17" i="104"/>
  <c r="P38" i="104"/>
  <c r="U19" i="104"/>
  <c r="Y19" i="104"/>
  <c r="AC19" i="104"/>
  <c r="P46" i="104"/>
  <c r="U21" i="104"/>
  <c r="Y21" i="104"/>
  <c r="AC21" i="104"/>
  <c r="P54" i="104"/>
  <c r="AC16" i="103"/>
  <c r="P36" i="103"/>
  <c r="P37" i="103"/>
  <c r="P39" i="103"/>
  <c r="P40" i="103"/>
  <c r="P41" i="103"/>
  <c r="P42" i="103"/>
  <c r="P43" i="103"/>
  <c r="P44" i="103"/>
  <c r="P45" i="103"/>
  <c r="P46" i="103"/>
  <c r="P47" i="103"/>
  <c r="P48" i="103"/>
  <c r="P49" i="103"/>
  <c r="P50" i="103"/>
  <c r="P51" i="103"/>
  <c r="P52" i="103"/>
  <c r="P53" i="103"/>
  <c r="P54" i="103"/>
  <c r="P55" i="103"/>
  <c r="P56" i="103"/>
  <c r="P57" i="103"/>
  <c r="E58" i="104"/>
  <c r="G58" i="104"/>
  <c r="I58" i="104"/>
  <c r="K58" i="104"/>
  <c r="M58" i="104"/>
  <c r="AA10" i="104"/>
  <c r="V13" i="104"/>
  <c r="X13" i="104"/>
  <c r="Z13" i="104"/>
  <c r="AB13" i="104"/>
  <c r="AD13" i="104"/>
  <c r="P27" i="104"/>
  <c r="P28" i="104"/>
  <c r="P29" i="104"/>
  <c r="O32" i="104"/>
  <c r="P32" i="104"/>
  <c r="P33" i="104"/>
  <c r="O36" i="104"/>
  <c r="P36" i="104"/>
  <c r="P37" i="104"/>
  <c r="O40" i="104"/>
  <c r="P40" i="104"/>
  <c r="P41" i="104"/>
  <c r="O44" i="104"/>
  <c r="P44" i="104"/>
  <c r="P45" i="104"/>
  <c r="O48" i="104"/>
  <c r="P48" i="104"/>
  <c r="P49" i="104"/>
  <c r="O52" i="104"/>
  <c r="P52" i="104"/>
  <c r="P53" i="104"/>
  <c r="O56" i="104"/>
  <c r="P56" i="104"/>
  <c r="P57" i="104"/>
  <c r="P10" i="103"/>
  <c r="C58" i="103"/>
  <c r="O10" i="103"/>
  <c r="U10" i="103"/>
  <c r="Y10" i="103"/>
  <c r="AC10" i="103"/>
  <c r="O11" i="103"/>
  <c r="O12" i="103"/>
  <c r="O13" i="103"/>
  <c r="O14" i="103"/>
  <c r="O15" i="103"/>
  <c r="O16" i="103"/>
  <c r="O17" i="103"/>
  <c r="O18" i="103"/>
  <c r="O19" i="103"/>
  <c r="O20" i="103"/>
  <c r="O21" i="103"/>
  <c r="O22" i="103"/>
  <c r="O23" i="103"/>
  <c r="O24" i="103"/>
  <c r="O25" i="103"/>
  <c r="O26" i="103"/>
  <c r="O27" i="103"/>
  <c r="O28" i="103"/>
  <c r="O29" i="103"/>
  <c r="O31" i="103"/>
  <c r="O33" i="103"/>
  <c r="O35" i="103"/>
  <c r="O37" i="103"/>
  <c r="T11" i="101"/>
  <c r="X11" i="101"/>
  <c r="Z11" i="101"/>
  <c r="AB11" i="101"/>
  <c r="AD11" i="101"/>
  <c r="Y39" i="101"/>
  <c r="Y36" i="101"/>
  <c r="S10" i="103"/>
  <c r="W10" i="103"/>
  <c r="AA10" i="103"/>
  <c r="S11" i="103"/>
  <c r="S12" i="103"/>
  <c r="S13" i="103"/>
  <c r="S14" i="103"/>
  <c r="S15" i="103"/>
  <c r="S16" i="103"/>
  <c r="S24" i="103"/>
  <c r="W24" i="103"/>
  <c r="AA24" i="103"/>
  <c r="O30" i="103"/>
  <c r="O32" i="103"/>
  <c r="O34" i="103"/>
  <c r="O36" i="103"/>
  <c r="P38" i="103"/>
  <c r="O38" i="103"/>
  <c r="O39" i="103"/>
  <c r="O40" i="103"/>
  <c r="O41" i="103"/>
  <c r="O42" i="103"/>
  <c r="O43" i="103"/>
  <c r="O44" i="103"/>
  <c r="O45" i="103"/>
  <c r="O46" i="103"/>
  <c r="O47" i="103"/>
  <c r="O48" i="103"/>
  <c r="O49" i="103"/>
  <c r="O50" i="103"/>
  <c r="O51" i="103"/>
  <c r="O52" i="103"/>
  <c r="O53" i="103"/>
  <c r="O54" i="103"/>
  <c r="O55" i="103"/>
  <c r="O56" i="103"/>
  <c r="O57" i="103"/>
  <c r="AA27" i="104"/>
  <c r="AA24" i="104"/>
  <c r="AA23" i="104"/>
  <c r="P25" i="104"/>
  <c r="T13" i="104"/>
  <c r="P26" i="104"/>
  <c r="T14" i="104"/>
  <c r="H58" i="104"/>
  <c r="Z13" i="101"/>
  <c r="T10" i="103"/>
  <c r="V10" i="103"/>
  <c r="X10" i="103"/>
  <c r="Z10" i="103"/>
  <c r="AB10" i="103"/>
  <c r="AD10" i="103"/>
  <c r="V23" i="103"/>
  <c r="Z23" i="103"/>
  <c r="AD23" i="103"/>
  <c r="T24" i="103"/>
  <c r="V24" i="103"/>
  <c r="X24" i="103"/>
  <c r="Z24" i="103"/>
  <c r="AB24" i="103"/>
  <c r="AD24" i="103"/>
  <c r="C58" i="104"/>
  <c r="P10" i="104"/>
  <c r="O10" i="104"/>
  <c r="U10" i="104"/>
  <c r="Y10" i="104"/>
  <c r="AC10" i="104"/>
  <c r="O11" i="104"/>
  <c r="O12" i="104"/>
  <c r="O13" i="104"/>
  <c r="O14" i="104"/>
  <c r="O15" i="104"/>
  <c r="O16" i="104"/>
  <c r="O17" i="104"/>
  <c r="O18" i="104"/>
  <c r="O19" i="104"/>
  <c r="O20" i="104"/>
  <c r="O21" i="104"/>
  <c r="O22" i="104"/>
  <c r="O23" i="104"/>
  <c r="O24" i="104"/>
  <c r="P31" i="104"/>
  <c r="T15" i="104"/>
  <c r="V15" i="104"/>
  <c r="X15" i="104"/>
  <c r="Z15" i="104"/>
  <c r="AB15" i="104"/>
  <c r="AD15" i="104"/>
  <c r="P35" i="104"/>
  <c r="T16" i="104"/>
  <c r="V16" i="104"/>
  <c r="X16" i="104"/>
  <c r="Z16" i="104"/>
  <c r="AB16" i="104"/>
  <c r="AD16" i="104"/>
  <c r="P39" i="104"/>
  <c r="T17" i="104"/>
  <c r="V17" i="104"/>
  <c r="X17" i="104"/>
  <c r="Z17" i="104"/>
  <c r="AB17" i="104"/>
  <c r="AD17" i="104"/>
  <c r="P43" i="104"/>
  <c r="T18" i="104"/>
  <c r="V18" i="104"/>
  <c r="X18" i="104"/>
  <c r="Z18" i="104"/>
  <c r="AB18" i="104"/>
  <c r="AD18" i="104"/>
  <c r="P47" i="104"/>
  <c r="T19" i="104"/>
  <c r="V19" i="104"/>
  <c r="X19" i="104"/>
  <c r="Z19" i="104"/>
  <c r="AB19" i="104"/>
  <c r="AD19" i="104"/>
  <c r="P51" i="104"/>
  <c r="T20" i="104"/>
  <c r="V20" i="104"/>
  <c r="X20" i="104"/>
  <c r="Z20" i="104"/>
  <c r="AB20" i="104"/>
  <c r="AD20" i="104"/>
  <c r="P55" i="104"/>
  <c r="T21" i="104"/>
  <c r="V21" i="104"/>
  <c r="X21" i="104"/>
  <c r="Z21" i="104"/>
  <c r="AB21" i="104"/>
  <c r="AD21" i="104"/>
  <c r="D58" i="104"/>
  <c r="L58" i="104"/>
  <c r="V10" i="104"/>
  <c r="Z10" i="104"/>
  <c r="AD10" i="104"/>
  <c r="O25" i="104"/>
  <c r="O26" i="104"/>
  <c r="O27" i="104"/>
  <c r="O28" i="104"/>
  <c r="O29" i="104"/>
  <c r="O31" i="104"/>
  <c r="O33" i="104"/>
  <c r="O35" i="104"/>
  <c r="O37" i="104"/>
  <c r="O39" i="104"/>
  <c r="O41" i="104"/>
  <c r="O43" i="104"/>
  <c r="O45" i="104"/>
  <c r="O47" i="104"/>
  <c r="O49" i="104"/>
  <c r="O51" i="104"/>
  <c r="O53" i="104"/>
  <c r="O55" i="104"/>
  <c r="O57" i="104"/>
  <c r="U36" i="101"/>
  <c r="U39" i="101"/>
  <c r="AC39" i="101"/>
  <c r="T14" i="101"/>
  <c r="X14" i="101"/>
  <c r="AB14" i="101"/>
  <c r="U11" i="101"/>
  <c r="W11" i="101"/>
  <c r="Y11" i="101"/>
  <c r="AA11" i="101"/>
  <c r="AC11" i="101"/>
  <c r="T13" i="101"/>
  <c r="X13" i="101"/>
  <c r="AB13" i="101"/>
  <c r="P25" i="101"/>
  <c r="P26" i="101"/>
  <c r="P27" i="101"/>
  <c r="P11" i="101"/>
  <c r="P12" i="101"/>
  <c r="P13" i="101"/>
  <c r="P14" i="101"/>
  <c r="P15" i="101"/>
  <c r="P16" i="101"/>
  <c r="P17" i="101"/>
  <c r="P18" i="101"/>
  <c r="P19" i="101"/>
  <c r="P20" i="101"/>
  <c r="P21" i="101"/>
  <c r="P22" i="101"/>
  <c r="U13" i="101"/>
  <c r="W13" i="101"/>
  <c r="W35" i="101" s="1"/>
  <c r="Y13" i="101"/>
  <c r="AA13" i="101"/>
  <c r="AA35" i="101" s="1"/>
  <c r="AC13" i="101"/>
  <c r="AC35" i="101" s="1"/>
  <c r="P23" i="101"/>
  <c r="P24" i="101"/>
  <c r="P28" i="101"/>
  <c r="P29" i="101"/>
  <c r="P31" i="101"/>
  <c r="P32" i="101"/>
  <c r="P33" i="101"/>
  <c r="P34" i="101"/>
  <c r="P35" i="101"/>
  <c r="P36" i="101"/>
  <c r="P37" i="101"/>
  <c r="P38" i="101"/>
  <c r="P39" i="101"/>
  <c r="P40" i="101"/>
  <c r="P41" i="101"/>
  <c r="P42" i="101"/>
  <c r="P43" i="101"/>
  <c r="P44" i="101"/>
  <c r="P45" i="101"/>
  <c r="P46" i="101"/>
  <c r="P47" i="101"/>
  <c r="P48" i="101"/>
  <c r="P49" i="101"/>
  <c r="P50" i="101"/>
  <c r="P51" i="101"/>
  <c r="P52" i="101"/>
  <c r="P53" i="101"/>
  <c r="P54" i="101"/>
  <c r="P55" i="101"/>
  <c r="P56" i="101"/>
  <c r="P57" i="101"/>
  <c r="AC11" i="95"/>
  <c r="P10" i="101"/>
  <c r="O10" i="101"/>
  <c r="U10" i="101"/>
  <c r="Y10" i="101"/>
  <c r="AC10" i="101"/>
  <c r="O11" i="101"/>
  <c r="O12" i="101"/>
  <c r="O13" i="101"/>
  <c r="O14" i="101"/>
  <c r="O15" i="101"/>
  <c r="O16" i="101"/>
  <c r="O17" i="101"/>
  <c r="O18" i="101"/>
  <c r="O19" i="101"/>
  <c r="O20" i="101"/>
  <c r="O21" i="101"/>
  <c r="O22" i="101"/>
  <c r="O23" i="101"/>
  <c r="O24" i="101"/>
  <c r="O25" i="101"/>
  <c r="O26" i="101"/>
  <c r="O27" i="101"/>
  <c r="O28" i="101"/>
  <c r="O29" i="101"/>
  <c r="S10" i="101"/>
  <c r="W10" i="101"/>
  <c r="AA10" i="101"/>
  <c r="S11" i="101"/>
  <c r="S12" i="101"/>
  <c r="S13" i="101"/>
  <c r="S14" i="101"/>
  <c r="S36" i="101"/>
  <c r="W36" i="101"/>
  <c r="AA36" i="101"/>
  <c r="P30" i="101"/>
  <c r="O30" i="101"/>
  <c r="O31" i="101"/>
  <c r="O32" i="101"/>
  <c r="O33" i="101"/>
  <c r="O34" i="101"/>
  <c r="O35" i="101"/>
  <c r="O36" i="101"/>
  <c r="O37" i="101"/>
  <c r="O38" i="101"/>
  <c r="O39" i="101"/>
  <c r="O40" i="101"/>
  <c r="O41" i="101"/>
  <c r="O42" i="101"/>
  <c r="O43" i="101"/>
  <c r="O44" i="101"/>
  <c r="O45" i="101"/>
  <c r="O46" i="101"/>
  <c r="O47" i="101"/>
  <c r="O48" i="101"/>
  <c r="O49" i="101"/>
  <c r="O50" i="101"/>
  <c r="O51" i="101"/>
  <c r="O52" i="101"/>
  <c r="O53" i="101"/>
  <c r="O54" i="101"/>
  <c r="O55" i="101"/>
  <c r="O56" i="101"/>
  <c r="O57" i="101"/>
  <c r="U11" i="96"/>
  <c r="W11" i="96"/>
  <c r="Y11" i="96"/>
  <c r="AA11" i="96"/>
  <c r="AC11" i="96"/>
  <c r="T11" i="99"/>
  <c r="X11" i="99"/>
  <c r="Z11" i="99"/>
  <c r="AB11" i="99"/>
  <c r="AD11" i="99"/>
  <c r="U12" i="99"/>
  <c r="W12" i="99"/>
  <c r="Y12" i="99"/>
  <c r="AA12" i="99"/>
  <c r="AC12" i="99"/>
  <c r="T10" i="101"/>
  <c r="V10" i="101"/>
  <c r="X10" i="101"/>
  <c r="Z10" i="101"/>
  <c r="AB10" i="101"/>
  <c r="AD10" i="101"/>
  <c r="AD35" i="101"/>
  <c r="T36" i="101"/>
  <c r="V36" i="101"/>
  <c r="Z36" i="101"/>
  <c r="AB36" i="101"/>
  <c r="AD36" i="101"/>
  <c r="V27" i="96"/>
  <c r="Z13" i="99"/>
  <c r="Z26" i="99" s="1"/>
  <c r="U11" i="95"/>
  <c r="Y11" i="95"/>
  <c r="P13" i="96"/>
  <c r="P20" i="96"/>
  <c r="P22" i="96"/>
  <c r="P23" i="96"/>
  <c r="P24" i="96"/>
  <c r="O25" i="96"/>
  <c r="O26" i="96"/>
  <c r="O27" i="96"/>
  <c r="O28" i="96"/>
  <c r="O29" i="96"/>
  <c r="O31" i="96"/>
  <c r="O32" i="96"/>
  <c r="O33" i="96"/>
  <c r="O34" i="96"/>
  <c r="O35" i="96"/>
  <c r="O36" i="96"/>
  <c r="O37" i="96"/>
  <c r="O39" i="96"/>
  <c r="O40" i="96"/>
  <c r="O41" i="96"/>
  <c r="O43" i="96"/>
  <c r="O44" i="96"/>
  <c r="O45" i="96"/>
  <c r="O47" i="96"/>
  <c r="O48" i="96"/>
  <c r="O49" i="96"/>
  <c r="O50" i="96"/>
  <c r="O51" i="96"/>
  <c r="O52" i="96"/>
  <c r="O53" i="96"/>
  <c r="O55" i="96"/>
  <c r="O56" i="96"/>
  <c r="O57" i="96"/>
  <c r="D58" i="99"/>
  <c r="F58" i="99"/>
  <c r="H58" i="99"/>
  <c r="J58" i="99"/>
  <c r="L58" i="99"/>
  <c r="N58" i="99"/>
  <c r="U24" i="99"/>
  <c r="U27" i="99"/>
  <c r="T14" i="99"/>
  <c r="X14" i="99"/>
  <c r="AB14" i="99"/>
  <c r="U11" i="99"/>
  <c r="W11" i="99"/>
  <c r="Y11" i="99"/>
  <c r="AA11" i="99"/>
  <c r="AC11" i="99"/>
  <c r="T13" i="99"/>
  <c r="X13" i="99"/>
  <c r="AB13" i="99"/>
  <c r="P25" i="99"/>
  <c r="P26" i="99"/>
  <c r="P27" i="99"/>
  <c r="E58" i="99"/>
  <c r="G58" i="99"/>
  <c r="I58" i="99"/>
  <c r="K58" i="99"/>
  <c r="M58" i="99"/>
  <c r="P11" i="99"/>
  <c r="P12" i="99"/>
  <c r="P13" i="99"/>
  <c r="P14" i="99"/>
  <c r="P15" i="99"/>
  <c r="P16" i="99"/>
  <c r="P17" i="99"/>
  <c r="P18" i="99"/>
  <c r="P19" i="99"/>
  <c r="P21" i="99"/>
  <c r="P22" i="99"/>
  <c r="U13" i="99"/>
  <c r="W13" i="99"/>
  <c r="Y13" i="99"/>
  <c r="Y26" i="99" s="1"/>
  <c r="AA13" i="99"/>
  <c r="AA26" i="99" s="1"/>
  <c r="AC13" i="99"/>
  <c r="AC23" i="99" s="1"/>
  <c r="P23" i="99"/>
  <c r="P24" i="99"/>
  <c r="P28" i="99"/>
  <c r="P29" i="99"/>
  <c r="P30" i="99"/>
  <c r="P31" i="99"/>
  <c r="P32" i="99"/>
  <c r="P33" i="99"/>
  <c r="P34" i="99"/>
  <c r="P35" i="99"/>
  <c r="P36" i="99"/>
  <c r="P37" i="99"/>
  <c r="P38" i="99"/>
  <c r="P39" i="99"/>
  <c r="P40" i="99"/>
  <c r="P41" i="99"/>
  <c r="P42" i="99"/>
  <c r="P43" i="99"/>
  <c r="P44" i="99"/>
  <c r="P45" i="99"/>
  <c r="P46" i="99"/>
  <c r="P47" i="99"/>
  <c r="P48" i="99"/>
  <c r="P49" i="99"/>
  <c r="P50" i="99"/>
  <c r="P51" i="99"/>
  <c r="P52" i="99"/>
  <c r="P53" i="99"/>
  <c r="P54" i="99"/>
  <c r="P55" i="99"/>
  <c r="P56" i="99"/>
  <c r="P57" i="99"/>
  <c r="P10" i="99"/>
  <c r="C58" i="99"/>
  <c r="O10" i="99"/>
  <c r="U10" i="99"/>
  <c r="Y10" i="99"/>
  <c r="AC10" i="99"/>
  <c r="O11" i="99"/>
  <c r="O12" i="99"/>
  <c r="O13" i="99"/>
  <c r="O14" i="99"/>
  <c r="O15" i="99"/>
  <c r="O16" i="99"/>
  <c r="O17" i="99"/>
  <c r="O18" i="99"/>
  <c r="O19" i="99"/>
  <c r="O21" i="99"/>
  <c r="O22" i="99"/>
  <c r="O23" i="99"/>
  <c r="O24" i="99"/>
  <c r="O25" i="99"/>
  <c r="O26" i="99"/>
  <c r="O27" i="99"/>
  <c r="S10" i="99"/>
  <c r="W10" i="99"/>
  <c r="AA10" i="99"/>
  <c r="S11" i="99"/>
  <c r="S12" i="99"/>
  <c r="S13" i="99"/>
  <c r="S14" i="99"/>
  <c r="S24" i="99"/>
  <c r="W24" i="99"/>
  <c r="AA24" i="99"/>
  <c r="O28" i="99"/>
  <c r="O29" i="99"/>
  <c r="O30" i="99"/>
  <c r="O31" i="99"/>
  <c r="O32" i="99"/>
  <c r="O33" i="99"/>
  <c r="O34" i="99"/>
  <c r="O35" i="99"/>
  <c r="O36" i="99"/>
  <c r="O37" i="99"/>
  <c r="O38" i="99"/>
  <c r="O39" i="99"/>
  <c r="O40" i="99"/>
  <c r="O41" i="99"/>
  <c r="O42" i="99"/>
  <c r="O43" i="99"/>
  <c r="O44" i="99"/>
  <c r="O45" i="99"/>
  <c r="O46" i="99"/>
  <c r="O47" i="99"/>
  <c r="O48" i="99"/>
  <c r="O49" i="99"/>
  <c r="O50" i="99"/>
  <c r="O51" i="99"/>
  <c r="O52" i="99"/>
  <c r="O53" i="99"/>
  <c r="O54" i="99"/>
  <c r="O55" i="99"/>
  <c r="O56" i="99"/>
  <c r="O57" i="99"/>
  <c r="T10" i="99"/>
  <c r="V10" i="99"/>
  <c r="X10" i="99"/>
  <c r="Z10" i="99"/>
  <c r="AB10" i="99"/>
  <c r="AD10" i="99"/>
  <c r="T24" i="99"/>
  <c r="V24" i="99"/>
  <c r="Z24" i="99"/>
  <c r="AD24" i="99"/>
  <c r="V12" i="94"/>
  <c r="S11" i="95"/>
  <c r="W11" i="95"/>
  <c r="AA11" i="95"/>
  <c r="Z12" i="95"/>
  <c r="T11" i="95"/>
  <c r="V11" i="95"/>
  <c r="X11" i="95"/>
  <c r="Z11" i="95"/>
  <c r="AB11" i="95"/>
  <c r="AD11" i="95"/>
  <c r="Z11" i="94"/>
  <c r="AD12" i="94"/>
  <c r="V12" i="95"/>
  <c r="AD12" i="95"/>
  <c r="T11" i="96"/>
  <c r="V11" i="96"/>
  <c r="X11" i="96"/>
  <c r="Z11" i="96"/>
  <c r="AB11" i="96"/>
  <c r="AD11" i="96"/>
  <c r="S12" i="96"/>
  <c r="W12" i="96"/>
  <c r="AA12" i="96"/>
  <c r="O42" i="96"/>
  <c r="S18" i="96"/>
  <c r="T11" i="94"/>
  <c r="V11" i="94"/>
  <c r="X11" i="94"/>
  <c r="AB11" i="94"/>
  <c r="AD11" i="94"/>
  <c r="T12" i="94"/>
  <c r="X12" i="94"/>
  <c r="Z12" i="94"/>
  <c r="AB12" i="94"/>
  <c r="D58" i="95"/>
  <c r="F58" i="95"/>
  <c r="H58" i="95"/>
  <c r="J58" i="95"/>
  <c r="L58" i="95"/>
  <c r="N58" i="95"/>
  <c r="T26" i="95"/>
  <c r="AD27" i="95"/>
  <c r="S13" i="96"/>
  <c r="S11" i="96"/>
  <c r="S14" i="96"/>
  <c r="T12" i="95"/>
  <c r="X12" i="95"/>
  <c r="AB12" i="95"/>
  <c r="P21" i="95"/>
  <c r="P22" i="95"/>
  <c r="P23" i="95"/>
  <c r="P24" i="95"/>
  <c r="P25" i="95"/>
  <c r="P26" i="95"/>
  <c r="P27" i="95"/>
  <c r="P28" i="95"/>
  <c r="P29" i="95"/>
  <c r="P30" i="95"/>
  <c r="P31" i="95"/>
  <c r="P32" i="95"/>
  <c r="P33" i="95"/>
  <c r="P34" i="95"/>
  <c r="P35" i="95"/>
  <c r="O37" i="95"/>
  <c r="O39" i="95"/>
  <c r="O40" i="95"/>
  <c r="O41" i="95"/>
  <c r="O42" i="95"/>
  <c r="O43" i="95"/>
  <c r="O44" i="95"/>
  <c r="O45" i="95"/>
  <c r="O47" i="95"/>
  <c r="O48" i="95"/>
  <c r="O49" i="95"/>
  <c r="O50" i="95"/>
  <c r="O51" i="95"/>
  <c r="O52" i="95"/>
  <c r="O53" i="95"/>
  <c r="O54" i="95"/>
  <c r="O55" i="95"/>
  <c r="O56" i="95"/>
  <c r="O57" i="95"/>
  <c r="C58" i="96"/>
  <c r="E58" i="96"/>
  <c r="G58" i="96"/>
  <c r="I58" i="96"/>
  <c r="K58" i="96"/>
  <c r="M58" i="96"/>
  <c r="P11" i="96"/>
  <c r="S10" i="94"/>
  <c r="W10" i="94"/>
  <c r="P18" i="95"/>
  <c r="T27" i="95"/>
  <c r="X27" i="95"/>
  <c r="AB27" i="95"/>
  <c r="P20" i="95"/>
  <c r="U12" i="95"/>
  <c r="W12" i="95"/>
  <c r="Y12" i="95"/>
  <c r="AA12" i="95"/>
  <c r="AC12" i="95"/>
  <c r="P12" i="96"/>
  <c r="P16" i="96"/>
  <c r="P18" i="96"/>
  <c r="U12" i="96"/>
  <c r="Y12" i="96"/>
  <c r="AC12" i="96"/>
  <c r="T12" i="96"/>
  <c r="V12" i="96"/>
  <c r="X12" i="96"/>
  <c r="Z12" i="96"/>
  <c r="AB12" i="96"/>
  <c r="AD12" i="96"/>
  <c r="O38" i="95"/>
  <c r="S17" i="95"/>
  <c r="O46" i="95"/>
  <c r="S19" i="95"/>
  <c r="Y27" i="95"/>
  <c r="AA27" i="95"/>
  <c r="O30" i="96"/>
  <c r="S15" i="96"/>
  <c r="O38" i="96"/>
  <c r="S17" i="96"/>
  <c r="O46" i="96"/>
  <c r="S19" i="96"/>
  <c r="U27" i="96"/>
  <c r="O54" i="96"/>
  <c r="S21" i="96"/>
  <c r="P14" i="94"/>
  <c r="U11" i="94"/>
  <c r="W11" i="94"/>
  <c r="Y11" i="94"/>
  <c r="AA11" i="94"/>
  <c r="AC11" i="94"/>
  <c r="P16" i="94"/>
  <c r="P18" i="94"/>
  <c r="U12" i="94"/>
  <c r="W12" i="94"/>
  <c r="Y12" i="94"/>
  <c r="AA12" i="94"/>
  <c r="AC12" i="94"/>
  <c r="P20" i="94"/>
  <c r="P22" i="94"/>
  <c r="P23" i="94"/>
  <c r="P24" i="94"/>
  <c r="O30" i="94"/>
  <c r="O34" i="94"/>
  <c r="O38" i="94"/>
  <c r="O42" i="94"/>
  <c r="O46" i="94"/>
  <c r="O50" i="94"/>
  <c r="O54" i="94"/>
  <c r="C58" i="95"/>
  <c r="E58" i="95"/>
  <c r="G58" i="95"/>
  <c r="I58" i="95"/>
  <c r="K58" i="95"/>
  <c r="M58" i="95"/>
  <c r="P11" i="95"/>
  <c r="P12" i="95"/>
  <c r="S12" i="95"/>
  <c r="P13" i="95"/>
  <c r="S13" i="95"/>
  <c r="P14" i="95"/>
  <c r="S14" i="95"/>
  <c r="P15" i="95"/>
  <c r="S15" i="95"/>
  <c r="P16" i="95"/>
  <c r="S16" i="95"/>
  <c r="S18" i="95"/>
  <c r="S21" i="95"/>
  <c r="S16" i="96"/>
  <c r="T27" i="96"/>
  <c r="S20" i="96"/>
  <c r="P17" i="95"/>
  <c r="P19" i="95"/>
  <c r="P49" i="95"/>
  <c r="P50" i="95"/>
  <c r="P51" i="95"/>
  <c r="P52" i="95"/>
  <c r="P53" i="95"/>
  <c r="P54" i="95"/>
  <c r="P55" i="95"/>
  <c r="P56" i="95"/>
  <c r="P57" i="95"/>
  <c r="D58" i="96"/>
  <c r="F58" i="96"/>
  <c r="H58" i="96"/>
  <c r="J58" i="96"/>
  <c r="L58" i="96"/>
  <c r="N58" i="96"/>
  <c r="V26" i="96"/>
  <c r="Z26" i="96"/>
  <c r="P15" i="96"/>
  <c r="P17" i="96"/>
  <c r="P19" i="96"/>
  <c r="P21" i="96"/>
  <c r="O10" i="95"/>
  <c r="S10" i="95"/>
  <c r="U10" i="95"/>
  <c r="W10" i="95"/>
  <c r="Y10" i="95"/>
  <c r="AA10" i="95"/>
  <c r="AC10" i="95"/>
  <c r="O11" i="95"/>
  <c r="O12" i="95"/>
  <c r="O13" i="95"/>
  <c r="O14" i="95"/>
  <c r="O15" i="95"/>
  <c r="O16" i="95"/>
  <c r="O17" i="95"/>
  <c r="O18" i="95"/>
  <c r="O19" i="95"/>
  <c r="O20" i="95"/>
  <c r="O21" i="95"/>
  <c r="O22" i="95"/>
  <c r="O23" i="95"/>
  <c r="W23" i="95"/>
  <c r="AA23" i="95"/>
  <c r="O24" i="95"/>
  <c r="Y24" i="95"/>
  <c r="AA24" i="95"/>
  <c r="O25" i="95"/>
  <c r="O26" i="95"/>
  <c r="O27" i="95"/>
  <c r="O28" i="95"/>
  <c r="O29" i="95"/>
  <c r="O30" i="95"/>
  <c r="O31" i="95"/>
  <c r="O32" i="95"/>
  <c r="O33" i="95"/>
  <c r="O34" i="95"/>
  <c r="O35" i="95"/>
  <c r="O36" i="95"/>
  <c r="P36" i="95"/>
  <c r="T10" i="94"/>
  <c r="F58" i="94"/>
  <c r="X10" i="94"/>
  <c r="J58" i="94"/>
  <c r="AB10" i="94"/>
  <c r="N58" i="94"/>
  <c r="P11" i="94"/>
  <c r="S11" i="94"/>
  <c r="P12" i="94"/>
  <c r="S12" i="94"/>
  <c r="P13" i="94"/>
  <c r="S13" i="94"/>
  <c r="P15" i="94"/>
  <c r="P17" i="94"/>
  <c r="P19" i="94"/>
  <c r="P21" i="94"/>
  <c r="P10" i="95"/>
  <c r="T10" i="95"/>
  <c r="V10" i="95"/>
  <c r="X10" i="95"/>
  <c r="Z10" i="95"/>
  <c r="AB10" i="95"/>
  <c r="AD10" i="95"/>
  <c r="T23" i="95"/>
  <c r="AD23" i="95"/>
  <c r="T24" i="95"/>
  <c r="X24" i="95"/>
  <c r="AB24" i="95"/>
  <c r="AD24" i="95"/>
  <c r="P37" i="95"/>
  <c r="P38" i="95"/>
  <c r="P39" i="95"/>
  <c r="P40" i="95"/>
  <c r="P41" i="95"/>
  <c r="P42" i="95"/>
  <c r="P43" i="95"/>
  <c r="P44" i="95"/>
  <c r="P45" i="95"/>
  <c r="P46" i="95"/>
  <c r="P47" i="95"/>
  <c r="P48" i="95"/>
  <c r="O10" i="96"/>
  <c r="S10" i="96"/>
  <c r="U10" i="96"/>
  <c r="W10" i="96"/>
  <c r="Y10" i="96"/>
  <c r="AA10" i="96"/>
  <c r="AC10" i="96"/>
  <c r="O11" i="96"/>
  <c r="O12" i="96"/>
  <c r="O13" i="96"/>
  <c r="O15" i="96"/>
  <c r="O16" i="96"/>
  <c r="O17" i="96"/>
  <c r="O18" i="96"/>
  <c r="O19" i="96"/>
  <c r="AA27" i="96"/>
  <c r="AA24" i="96"/>
  <c r="AC27" i="96"/>
  <c r="AC24" i="96"/>
  <c r="O20" i="96"/>
  <c r="O21" i="96"/>
  <c r="O22" i="96"/>
  <c r="O23" i="96"/>
  <c r="O24" i="96"/>
  <c r="U24" i="96"/>
  <c r="P10" i="96"/>
  <c r="T10" i="96"/>
  <c r="V10" i="96"/>
  <c r="X10" i="96"/>
  <c r="Z10" i="96"/>
  <c r="AB10" i="96"/>
  <c r="AD10" i="96"/>
  <c r="X27" i="96"/>
  <c r="X24" i="96"/>
  <c r="Z27" i="96"/>
  <c r="Z24" i="96"/>
  <c r="AB27" i="96"/>
  <c r="AB24" i="96"/>
  <c r="AD27" i="96"/>
  <c r="AD24" i="96"/>
  <c r="V23" i="96"/>
  <c r="Z23" i="96"/>
  <c r="T24" i="96"/>
  <c r="V24" i="96"/>
  <c r="P25" i="96"/>
  <c r="P26" i="96"/>
  <c r="P27" i="96"/>
  <c r="P28" i="96"/>
  <c r="P29" i="96"/>
  <c r="P30" i="96"/>
  <c r="P31" i="96"/>
  <c r="P32" i="96"/>
  <c r="P33" i="96"/>
  <c r="P34" i="96"/>
  <c r="P35" i="96"/>
  <c r="P36" i="96"/>
  <c r="P37" i="96"/>
  <c r="P38" i="96"/>
  <c r="P39" i="96"/>
  <c r="P40" i="96"/>
  <c r="P41" i="96"/>
  <c r="P42" i="96"/>
  <c r="P43" i="96"/>
  <c r="P44" i="96"/>
  <c r="P45" i="96"/>
  <c r="P46" i="96"/>
  <c r="P47" i="96"/>
  <c r="P48" i="96"/>
  <c r="P49" i="96"/>
  <c r="P50" i="96"/>
  <c r="P51" i="96"/>
  <c r="P52" i="96"/>
  <c r="P53" i="96"/>
  <c r="P54" i="96"/>
  <c r="P55" i="96"/>
  <c r="P56" i="96"/>
  <c r="P57" i="96"/>
  <c r="P30" i="94"/>
  <c r="P34" i="94"/>
  <c r="P38" i="94"/>
  <c r="P42" i="94"/>
  <c r="P46" i="94"/>
  <c r="P50" i="94"/>
  <c r="P54" i="94"/>
  <c r="E58" i="94"/>
  <c r="G58" i="94"/>
  <c r="I58" i="94"/>
  <c r="K58" i="94"/>
  <c r="M58" i="94"/>
  <c r="AA10" i="94"/>
  <c r="V13" i="94"/>
  <c r="X13" i="94"/>
  <c r="Z13" i="94"/>
  <c r="AB13" i="94"/>
  <c r="AD13" i="94"/>
  <c r="P27" i="94"/>
  <c r="P28" i="94"/>
  <c r="P29" i="94"/>
  <c r="O32" i="94"/>
  <c r="P32" i="94"/>
  <c r="P33" i="94"/>
  <c r="O36" i="94"/>
  <c r="P36" i="94"/>
  <c r="P37" i="94"/>
  <c r="O40" i="94"/>
  <c r="P40" i="94"/>
  <c r="P41" i="94"/>
  <c r="O44" i="94"/>
  <c r="P44" i="94"/>
  <c r="P45" i="94"/>
  <c r="O48" i="94"/>
  <c r="P48" i="94"/>
  <c r="P49" i="94"/>
  <c r="O52" i="94"/>
  <c r="P52" i="94"/>
  <c r="P53" i="94"/>
  <c r="O56" i="94"/>
  <c r="P56" i="94"/>
  <c r="P57" i="94"/>
  <c r="P25" i="94"/>
  <c r="T13" i="94"/>
  <c r="P26" i="94"/>
  <c r="T14" i="94"/>
  <c r="H58" i="94"/>
  <c r="C58" i="94"/>
  <c r="P10" i="94"/>
  <c r="O10" i="94"/>
  <c r="U10" i="94"/>
  <c r="Y10" i="94"/>
  <c r="AC10" i="94"/>
  <c r="O11" i="94"/>
  <c r="O12" i="94"/>
  <c r="O13" i="94"/>
  <c r="O14" i="94"/>
  <c r="O15" i="94"/>
  <c r="O16" i="94"/>
  <c r="O17" i="94"/>
  <c r="O18" i="94"/>
  <c r="O19" i="94"/>
  <c r="O20" i="94"/>
  <c r="O21" i="94"/>
  <c r="O22" i="94"/>
  <c r="O23" i="94"/>
  <c r="O24" i="94"/>
  <c r="P31" i="94"/>
  <c r="T15" i="94"/>
  <c r="V15" i="94"/>
  <c r="X15" i="94"/>
  <c r="Z15" i="94"/>
  <c r="AB15" i="94"/>
  <c r="AD15" i="94"/>
  <c r="P35" i="94"/>
  <c r="T16" i="94"/>
  <c r="V16" i="94"/>
  <c r="X16" i="94"/>
  <c r="Z16" i="94"/>
  <c r="AB16" i="94"/>
  <c r="AD16" i="94"/>
  <c r="P39" i="94"/>
  <c r="T17" i="94"/>
  <c r="V17" i="94"/>
  <c r="X17" i="94"/>
  <c r="Z17" i="94"/>
  <c r="AB17" i="94"/>
  <c r="AD17" i="94"/>
  <c r="P43" i="94"/>
  <c r="T18" i="94"/>
  <c r="V18" i="94"/>
  <c r="X18" i="94"/>
  <c r="Z18" i="94"/>
  <c r="AB18" i="94"/>
  <c r="AD18" i="94"/>
  <c r="P47" i="94"/>
  <c r="T19" i="94"/>
  <c r="V19" i="94"/>
  <c r="X19" i="94"/>
  <c r="Z19" i="94"/>
  <c r="AB19" i="94"/>
  <c r="AD19" i="94"/>
  <c r="P51" i="94"/>
  <c r="T20" i="94"/>
  <c r="V20" i="94"/>
  <c r="X20" i="94"/>
  <c r="Z20" i="94"/>
  <c r="AB20" i="94"/>
  <c r="AD20" i="94"/>
  <c r="P55" i="94"/>
  <c r="T21" i="94"/>
  <c r="V21" i="94"/>
  <c r="X21" i="94"/>
  <c r="Z21" i="94"/>
  <c r="AB21" i="94"/>
  <c r="AD21" i="94"/>
  <c r="D58" i="94"/>
  <c r="L58" i="94"/>
  <c r="V10" i="94"/>
  <c r="Z10" i="94"/>
  <c r="AD10" i="94"/>
  <c r="O25" i="94"/>
  <c r="O26" i="94"/>
  <c r="O27" i="94"/>
  <c r="O28" i="94"/>
  <c r="O29" i="94"/>
  <c r="O31" i="94"/>
  <c r="O33" i="94"/>
  <c r="O35" i="94"/>
  <c r="O37" i="94"/>
  <c r="O39" i="94"/>
  <c r="O41" i="94"/>
  <c r="O43" i="94"/>
  <c r="O45" i="94"/>
  <c r="O47" i="94"/>
  <c r="O49" i="94"/>
  <c r="O51" i="94"/>
  <c r="O53" i="94"/>
  <c r="O55" i="94"/>
  <c r="O57" i="94"/>
  <c r="C11" i="107"/>
  <c r="D11" i="107"/>
  <c r="E11" i="107"/>
  <c r="F11" i="107"/>
  <c r="G11" i="107"/>
  <c r="H11" i="107"/>
  <c r="I11" i="107"/>
  <c r="J11" i="107"/>
  <c r="K11" i="107"/>
  <c r="L11" i="107"/>
  <c r="M11" i="107"/>
  <c r="N11" i="107"/>
  <c r="C12" i="107"/>
  <c r="D12" i="107"/>
  <c r="E12" i="107"/>
  <c r="F12" i="107"/>
  <c r="G12" i="107"/>
  <c r="H12" i="107"/>
  <c r="I12" i="107"/>
  <c r="J12" i="107"/>
  <c r="K12" i="107"/>
  <c r="L12" i="107"/>
  <c r="M12" i="107"/>
  <c r="N12" i="107"/>
  <c r="C13" i="107"/>
  <c r="D13" i="107"/>
  <c r="E13" i="107"/>
  <c r="F13" i="107"/>
  <c r="G13" i="107"/>
  <c r="H13" i="107"/>
  <c r="I13" i="107"/>
  <c r="J13" i="107"/>
  <c r="K13" i="107"/>
  <c r="L13" i="107"/>
  <c r="M13" i="107"/>
  <c r="N13" i="107"/>
  <c r="C14" i="107"/>
  <c r="D14" i="107"/>
  <c r="E14" i="107"/>
  <c r="F14" i="107"/>
  <c r="G14" i="107"/>
  <c r="H14" i="107"/>
  <c r="I14" i="107"/>
  <c r="J14" i="107"/>
  <c r="K14" i="107"/>
  <c r="L14" i="107"/>
  <c r="M14" i="107"/>
  <c r="N14" i="107"/>
  <c r="C15" i="107"/>
  <c r="D15" i="107"/>
  <c r="E15" i="107"/>
  <c r="F15" i="107"/>
  <c r="G15" i="107"/>
  <c r="H15" i="107"/>
  <c r="I15" i="107"/>
  <c r="J15" i="107"/>
  <c r="K15" i="107"/>
  <c r="L15" i="107"/>
  <c r="M15" i="107"/>
  <c r="N15" i="107"/>
  <c r="C16" i="107"/>
  <c r="D16" i="107"/>
  <c r="E16" i="107"/>
  <c r="F16" i="107"/>
  <c r="G16" i="107"/>
  <c r="H16" i="107"/>
  <c r="I16" i="107"/>
  <c r="J16" i="107"/>
  <c r="K16" i="107"/>
  <c r="L16" i="107"/>
  <c r="M16" i="107"/>
  <c r="N16" i="107"/>
  <c r="C17" i="107"/>
  <c r="D17" i="107"/>
  <c r="E17" i="107"/>
  <c r="F17" i="107"/>
  <c r="G17" i="107"/>
  <c r="H17" i="107"/>
  <c r="I17" i="107"/>
  <c r="J17" i="107"/>
  <c r="K17" i="107"/>
  <c r="L17" i="107"/>
  <c r="M17" i="107"/>
  <c r="N17" i="107"/>
  <c r="C18" i="107"/>
  <c r="D18" i="107"/>
  <c r="E18" i="107"/>
  <c r="F18" i="107"/>
  <c r="G18" i="107"/>
  <c r="H18" i="107"/>
  <c r="I18" i="107"/>
  <c r="J18" i="107"/>
  <c r="K18" i="107"/>
  <c r="L18" i="107"/>
  <c r="M18" i="107"/>
  <c r="N18" i="107"/>
  <c r="C19" i="107"/>
  <c r="D19" i="107"/>
  <c r="E19" i="107"/>
  <c r="F19" i="107"/>
  <c r="G19" i="107"/>
  <c r="H19" i="107"/>
  <c r="I19" i="107"/>
  <c r="J19" i="107"/>
  <c r="K19" i="107"/>
  <c r="L19" i="107"/>
  <c r="M19" i="107"/>
  <c r="N19" i="107"/>
  <c r="C20" i="107"/>
  <c r="D20" i="107"/>
  <c r="E20" i="107"/>
  <c r="F20" i="107"/>
  <c r="G20" i="107"/>
  <c r="H20" i="107"/>
  <c r="I20" i="107"/>
  <c r="J20" i="107"/>
  <c r="K20" i="107"/>
  <c r="L20" i="107"/>
  <c r="M20" i="107"/>
  <c r="N20" i="107"/>
  <c r="C21" i="107"/>
  <c r="D21" i="107"/>
  <c r="E21" i="107"/>
  <c r="F21" i="107"/>
  <c r="G21" i="107"/>
  <c r="H21" i="107"/>
  <c r="I21" i="107"/>
  <c r="J21" i="107"/>
  <c r="K21" i="107"/>
  <c r="L21" i="107"/>
  <c r="M21" i="107"/>
  <c r="N21" i="107"/>
  <c r="C22" i="107"/>
  <c r="D22" i="107"/>
  <c r="E22" i="107"/>
  <c r="F22" i="107"/>
  <c r="G22" i="107"/>
  <c r="H22" i="107"/>
  <c r="I22" i="107"/>
  <c r="J22" i="107"/>
  <c r="K22" i="107"/>
  <c r="L22" i="107"/>
  <c r="M22" i="107"/>
  <c r="N22" i="107"/>
  <c r="C23" i="107"/>
  <c r="D23" i="107"/>
  <c r="E23" i="107"/>
  <c r="F23" i="107"/>
  <c r="G23" i="107"/>
  <c r="H23" i="107"/>
  <c r="I23" i="107"/>
  <c r="J23" i="107"/>
  <c r="K23" i="107"/>
  <c r="L23" i="107"/>
  <c r="M23" i="107"/>
  <c r="N23" i="107"/>
  <c r="C24" i="107"/>
  <c r="D24" i="107"/>
  <c r="E24" i="107"/>
  <c r="F24" i="107"/>
  <c r="G24" i="107"/>
  <c r="H24" i="107"/>
  <c r="I24" i="107"/>
  <c r="J24" i="107"/>
  <c r="K24" i="107"/>
  <c r="L24" i="107"/>
  <c r="M24" i="107"/>
  <c r="N24" i="107"/>
  <c r="C25" i="107"/>
  <c r="D25" i="107"/>
  <c r="E25" i="107"/>
  <c r="F25" i="107"/>
  <c r="G25" i="107"/>
  <c r="H25" i="107"/>
  <c r="I25" i="107"/>
  <c r="J25" i="107"/>
  <c r="K25" i="107"/>
  <c r="L25" i="107"/>
  <c r="M25" i="107"/>
  <c r="N25" i="107"/>
  <c r="C26" i="107"/>
  <c r="D26" i="107"/>
  <c r="E26" i="107"/>
  <c r="F26" i="107"/>
  <c r="G26" i="107"/>
  <c r="H26" i="107"/>
  <c r="I26" i="107"/>
  <c r="J26" i="107"/>
  <c r="K26" i="107"/>
  <c r="L26" i="107"/>
  <c r="M26" i="107"/>
  <c r="N26" i="107"/>
  <c r="C27" i="107"/>
  <c r="D27" i="107"/>
  <c r="E27" i="107"/>
  <c r="F27" i="107"/>
  <c r="G27" i="107"/>
  <c r="H27" i="107"/>
  <c r="I27" i="107"/>
  <c r="J27" i="107"/>
  <c r="K27" i="107"/>
  <c r="L27" i="107"/>
  <c r="M27" i="107"/>
  <c r="N27" i="107"/>
  <c r="C28" i="107"/>
  <c r="D28" i="107"/>
  <c r="E28" i="107"/>
  <c r="F28" i="107"/>
  <c r="G28" i="107"/>
  <c r="H28" i="107"/>
  <c r="I28" i="107"/>
  <c r="J28" i="107"/>
  <c r="K28" i="107"/>
  <c r="L28" i="107"/>
  <c r="M28" i="107"/>
  <c r="N28" i="107"/>
  <c r="C29" i="107"/>
  <c r="D29" i="107"/>
  <c r="E29" i="107"/>
  <c r="F29" i="107"/>
  <c r="G29" i="107"/>
  <c r="H29" i="107"/>
  <c r="I29" i="107"/>
  <c r="J29" i="107"/>
  <c r="K29" i="107"/>
  <c r="L29" i="107"/>
  <c r="M29" i="107"/>
  <c r="N29" i="107"/>
  <c r="C30" i="107"/>
  <c r="D30" i="107"/>
  <c r="E30" i="107"/>
  <c r="F30" i="107"/>
  <c r="G30" i="107"/>
  <c r="H30" i="107"/>
  <c r="I30" i="107"/>
  <c r="J30" i="107"/>
  <c r="K30" i="107"/>
  <c r="L30" i="107"/>
  <c r="M30" i="107"/>
  <c r="N30" i="107"/>
  <c r="C31" i="107"/>
  <c r="D31" i="107"/>
  <c r="E31" i="107"/>
  <c r="F31" i="107"/>
  <c r="G31" i="107"/>
  <c r="H31" i="107"/>
  <c r="I31" i="107"/>
  <c r="J31" i="107"/>
  <c r="K31" i="107"/>
  <c r="L31" i="107"/>
  <c r="M31" i="107"/>
  <c r="N31" i="107"/>
  <c r="C32" i="107"/>
  <c r="D32" i="107"/>
  <c r="E32" i="107"/>
  <c r="F32" i="107"/>
  <c r="G32" i="107"/>
  <c r="H32" i="107"/>
  <c r="I32" i="107"/>
  <c r="J32" i="107"/>
  <c r="K32" i="107"/>
  <c r="L32" i="107"/>
  <c r="M32" i="107"/>
  <c r="N32" i="107"/>
  <c r="C33" i="107"/>
  <c r="D33" i="107"/>
  <c r="E33" i="107"/>
  <c r="F33" i="107"/>
  <c r="G33" i="107"/>
  <c r="H33" i="107"/>
  <c r="I33" i="107"/>
  <c r="J33" i="107"/>
  <c r="K33" i="107"/>
  <c r="L33" i="107"/>
  <c r="M33" i="107"/>
  <c r="N33" i="107"/>
  <c r="C34" i="107"/>
  <c r="D34" i="107"/>
  <c r="E34" i="107"/>
  <c r="F34" i="107"/>
  <c r="G34" i="107"/>
  <c r="H34" i="107"/>
  <c r="I34" i="107"/>
  <c r="J34" i="107"/>
  <c r="K34" i="107"/>
  <c r="L34" i="107"/>
  <c r="M34" i="107"/>
  <c r="N34" i="107"/>
  <c r="C35" i="107"/>
  <c r="D35" i="107"/>
  <c r="E35" i="107"/>
  <c r="F35" i="107"/>
  <c r="G35" i="107"/>
  <c r="H35" i="107"/>
  <c r="I35" i="107"/>
  <c r="J35" i="107"/>
  <c r="K35" i="107"/>
  <c r="L35" i="107"/>
  <c r="M35" i="107"/>
  <c r="N35" i="107"/>
  <c r="C36" i="107"/>
  <c r="D36" i="107"/>
  <c r="E36" i="107"/>
  <c r="F36" i="107"/>
  <c r="G36" i="107"/>
  <c r="H36" i="107"/>
  <c r="I36" i="107"/>
  <c r="J36" i="107"/>
  <c r="K36" i="107"/>
  <c r="L36" i="107"/>
  <c r="M36" i="107"/>
  <c r="N36" i="107"/>
  <c r="C37" i="107"/>
  <c r="D37" i="107"/>
  <c r="E37" i="107"/>
  <c r="F37" i="107"/>
  <c r="G37" i="107"/>
  <c r="H37" i="107"/>
  <c r="I37" i="107"/>
  <c r="J37" i="107"/>
  <c r="K37" i="107"/>
  <c r="L37" i="107"/>
  <c r="M37" i="107"/>
  <c r="N37" i="107"/>
  <c r="C38" i="107"/>
  <c r="D38" i="107"/>
  <c r="E38" i="107"/>
  <c r="F38" i="107"/>
  <c r="G38" i="107"/>
  <c r="H38" i="107"/>
  <c r="I38" i="107"/>
  <c r="J38" i="107"/>
  <c r="K38" i="107"/>
  <c r="L38" i="107"/>
  <c r="M38" i="107"/>
  <c r="N38" i="107"/>
  <c r="C39" i="107"/>
  <c r="D39" i="107"/>
  <c r="E39" i="107"/>
  <c r="F39" i="107"/>
  <c r="G39" i="107"/>
  <c r="H39" i="107"/>
  <c r="I39" i="107"/>
  <c r="J39" i="107"/>
  <c r="K39" i="107"/>
  <c r="L39" i="107"/>
  <c r="M39" i="107"/>
  <c r="N39" i="107"/>
  <c r="C40" i="107"/>
  <c r="D40" i="107"/>
  <c r="E40" i="107"/>
  <c r="F40" i="107"/>
  <c r="G40" i="107"/>
  <c r="H40" i="107"/>
  <c r="I40" i="107"/>
  <c r="J40" i="107"/>
  <c r="K40" i="107"/>
  <c r="L40" i="107"/>
  <c r="M40" i="107"/>
  <c r="N40" i="107"/>
  <c r="C41" i="107"/>
  <c r="D41" i="107"/>
  <c r="E41" i="107"/>
  <c r="F41" i="107"/>
  <c r="G41" i="107"/>
  <c r="H41" i="107"/>
  <c r="I41" i="107"/>
  <c r="J41" i="107"/>
  <c r="K41" i="107"/>
  <c r="L41" i="107"/>
  <c r="M41" i="107"/>
  <c r="N41" i="107"/>
  <c r="C42" i="107"/>
  <c r="D42" i="107"/>
  <c r="E42" i="107"/>
  <c r="F42" i="107"/>
  <c r="G42" i="107"/>
  <c r="H42" i="107"/>
  <c r="I42" i="107"/>
  <c r="J42" i="107"/>
  <c r="K42" i="107"/>
  <c r="L42" i="107"/>
  <c r="M42" i="107"/>
  <c r="N42" i="107"/>
  <c r="C43" i="107"/>
  <c r="D43" i="107"/>
  <c r="E43" i="107"/>
  <c r="F43" i="107"/>
  <c r="G43" i="107"/>
  <c r="H43" i="107"/>
  <c r="I43" i="107"/>
  <c r="J43" i="107"/>
  <c r="K43" i="107"/>
  <c r="L43" i="107"/>
  <c r="M43" i="107"/>
  <c r="N43" i="107"/>
  <c r="C44" i="107"/>
  <c r="D44" i="107"/>
  <c r="E44" i="107"/>
  <c r="F44" i="107"/>
  <c r="G44" i="107"/>
  <c r="H44" i="107"/>
  <c r="I44" i="107"/>
  <c r="J44" i="107"/>
  <c r="K44" i="107"/>
  <c r="L44" i="107"/>
  <c r="M44" i="107"/>
  <c r="N44" i="107"/>
  <c r="C45" i="107"/>
  <c r="D45" i="107"/>
  <c r="E45" i="107"/>
  <c r="F45" i="107"/>
  <c r="G45" i="107"/>
  <c r="H45" i="107"/>
  <c r="I45" i="107"/>
  <c r="J45" i="107"/>
  <c r="K45" i="107"/>
  <c r="L45" i="107"/>
  <c r="M45" i="107"/>
  <c r="N45" i="107"/>
  <c r="C46" i="107"/>
  <c r="D46" i="107"/>
  <c r="E46" i="107"/>
  <c r="F46" i="107"/>
  <c r="G46" i="107"/>
  <c r="H46" i="107"/>
  <c r="I46" i="107"/>
  <c r="J46" i="107"/>
  <c r="K46" i="107"/>
  <c r="L46" i="107"/>
  <c r="M46" i="107"/>
  <c r="N46" i="107"/>
  <c r="C47" i="107"/>
  <c r="D47" i="107"/>
  <c r="E47" i="107"/>
  <c r="F47" i="107"/>
  <c r="G47" i="107"/>
  <c r="H47" i="107"/>
  <c r="I47" i="107"/>
  <c r="J47" i="107"/>
  <c r="K47" i="107"/>
  <c r="L47" i="107"/>
  <c r="M47" i="107"/>
  <c r="N47" i="107"/>
  <c r="C48" i="107"/>
  <c r="D48" i="107"/>
  <c r="E48" i="107"/>
  <c r="F48" i="107"/>
  <c r="G48" i="107"/>
  <c r="H48" i="107"/>
  <c r="I48" i="107"/>
  <c r="J48" i="107"/>
  <c r="K48" i="107"/>
  <c r="L48" i="107"/>
  <c r="M48" i="107"/>
  <c r="N48" i="107"/>
  <c r="C49" i="107"/>
  <c r="D49" i="107"/>
  <c r="E49" i="107"/>
  <c r="F49" i="107"/>
  <c r="G49" i="107"/>
  <c r="H49" i="107"/>
  <c r="I49" i="107"/>
  <c r="J49" i="107"/>
  <c r="K49" i="107"/>
  <c r="L49" i="107"/>
  <c r="M49" i="107"/>
  <c r="N49" i="107"/>
  <c r="C50" i="107"/>
  <c r="D50" i="107"/>
  <c r="E50" i="107"/>
  <c r="F50" i="107"/>
  <c r="G50" i="107"/>
  <c r="H50" i="107"/>
  <c r="I50" i="107"/>
  <c r="J50" i="107"/>
  <c r="K50" i="107"/>
  <c r="L50" i="107"/>
  <c r="M50" i="107"/>
  <c r="N50" i="107"/>
  <c r="C51" i="107"/>
  <c r="D51" i="107"/>
  <c r="E51" i="107"/>
  <c r="F51" i="107"/>
  <c r="G51" i="107"/>
  <c r="H51" i="107"/>
  <c r="I51" i="107"/>
  <c r="J51" i="107"/>
  <c r="K51" i="107"/>
  <c r="L51" i="107"/>
  <c r="M51" i="107"/>
  <c r="N51" i="107"/>
  <c r="C52" i="107"/>
  <c r="D52" i="107"/>
  <c r="E52" i="107"/>
  <c r="F52" i="107"/>
  <c r="G52" i="107"/>
  <c r="H52" i="107"/>
  <c r="I52" i="107"/>
  <c r="J52" i="107"/>
  <c r="K52" i="107"/>
  <c r="L52" i="107"/>
  <c r="M52" i="107"/>
  <c r="N52" i="107"/>
  <c r="C53" i="107"/>
  <c r="D53" i="107"/>
  <c r="E53" i="107"/>
  <c r="F53" i="107"/>
  <c r="G53" i="107"/>
  <c r="H53" i="107"/>
  <c r="I53" i="107"/>
  <c r="J53" i="107"/>
  <c r="K53" i="107"/>
  <c r="L53" i="107"/>
  <c r="M53" i="107"/>
  <c r="N53" i="107"/>
  <c r="C54" i="107"/>
  <c r="D54" i="107"/>
  <c r="E54" i="107"/>
  <c r="F54" i="107"/>
  <c r="G54" i="107"/>
  <c r="H54" i="107"/>
  <c r="I54" i="107"/>
  <c r="J54" i="107"/>
  <c r="K54" i="107"/>
  <c r="L54" i="107"/>
  <c r="M54" i="107"/>
  <c r="N54" i="107"/>
  <c r="C55" i="107"/>
  <c r="D55" i="107"/>
  <c r="E55" i="107"/>
  <c r="F55" i="107"/>
  <c r="G55" i="107"/>
  <c r="H55" i="107"/>
  <c r="I55" i="107"/>
  <c r="J55" i="107"/>
  <c r="K55" i="107"/>
  <c r="L55" i="107"/>
  <c r="M55" i="107"/>
  <c r="N55" i="107"/>
  <c r="C56" i="107"/>
  <c r="D56" i="107"/>
  <c r="E56" i="107"/>
  <c r="F56" i="107"/>
  <c r="G56" i="107"/>
  <c r="H56" i="107"/>
  <c r="I56" i="107"/>
  <c r="J56" i="107"/>
  <c r="K56" i="107"/>
  <c r="L56" i="107"/>
  <c r="M56" i="107"/>
  <c r="N56" i="107"/>
  <c r="C57" i="107"/>
  <c r="D57" i="107"/>
  <c r="E57" i="107"/>
  <c r="F57" i="107"/>
  <c r="G57" i="107"/>
  <c r="H57" i="107"/>
  <c r="I57" i="107"/>
  <c r="J57" i="107"/>
  <c r="K57" i="107"/>
  <c r="L57" i="107"/>
  <c r="M57" i="107"/>
  <c r="N57" i="107"/>
  <c r="D10" i="107"/>
  <c r="E10" i="107"/>
  <c r="F10" i="107"/>
  <c r="G10" i="107"/>
  <c r="H10" i="107"/>
  <c r="I10" i="107"/>
  <c r="J10" i="107"/>
  <c r="K10" i="107"/>
  <c r="L10" i="107"/>
  <c r="M10" i="107"/>
  <c r="N10" i="107"/>
  <c r="C10" i="107"/>
  <c r="H106" i="107" l="1"/>
  <c r="X10" i="107"/>
  <c r="W21" i="107"/>
  <c r="AA20" i="107"/>
  <c r="S20" i="107"/>
  <c r="AA19" i="107"/>
  <c r="S19" i="107"/>
  <c r="AA18" i="107"/>
  <c r="S18" i="107"/>
  <c r="AA17" i="107"/>
  <c r="S17" i="107"/>
  <c r="AA16" i="107"/>
  <c r="S16" i="107"/>
  <c r="AA15" i="107"/>
  <c r="S15" i="107"/>
  <c r="W14" i="107"/>
  <c r="AA13" i="107"/>
  <c r="S13" i="107"/>
  <c r="AA12" i="107"/>
  <c r="W12" i="107"/>
  <c r="S12" i="107"/>
  <c r="AA11" i="107"/>
  <c r="W11" i="107"/>
  <c r="S11" i="107"/>
  <c r="Z18" i="108"/>
  <c r="Z15" i="108"/>
  <c r="Z10" i="108"/>
  <c r="J106" i="108"/>
  <c r="AA17" i="108"/>
  <c r="W10" i="108"/>
  <c r="G106" i="108"/>
  <c r="Z20" i="108"/>
  <c r="Z19" i="108"/>
  <c r="W10" i="107"/>
  <c r="G106" i="107"/>
  <c r="Z21" i="107"/>
  <c r="Z20" i="107"/>
  <c r="AD19" i="107"/>
  <c r="AD18" i="107"/>
  <c r="V17" i="107"/>
  <c r="V16" i="107"/>
  <c r="Z15" i="107"/>
  <c r="Z14" i="107"/>
  <c r="V13" i="107"/>
  <c r="V12" i="107"/>
  <c r="Z11" i="107"/>
  <c r="AB10" i="108"/>
  <c r="L106" i="108"/>
  <c r="X18" i="108"/>
  <c r="X17" i="108"/>
  <c r="X16" i="108"/>
  <c r="X15" i="108"/>
  <c r="X38" i="108" s="1"/>
  <c r="X14" i="108"/>
  <c r="X12" i="108"/>
  <c r="X11" i="108"/>
  <c r="AA19" i="108"/>
  <c r="S21" i="108"/>
  <c r="AC35" i="108"/>
  <c r="S19" i="108"/>
  <c r="V10" i="108"/>
  <c r="F106" i="108"/>
  <c r="AC19" i="108"/>
  <c r="Y19" i="108"/>
  <c r="AC18" i="108"/>
  <c r="Y17" i="108"/>
  <c r="AC16" i="108"/>
  <c r="U15" i="108"/>
  <c r="Y14" i="108"/>
  <c r="Y12" i="108"/>
  <c r="Y11" i="108"/>
  <c r="AC10" i="108"/>
  <c r="M106" i="108"/>
  <c r="U10" i="108"/>
  <c r="E106" i="108"/>
  <c r="X21" i="108"/>
  <c r="X20" i="108"/>
  <c r="X19" i="108"/>
  <c r="AD13" i="108"/>
  <c r="D106" i="107"/>
  <c r="T10" i="107"/>
  <c r="AA21" i="107"/>
  <c r="Z14" i="108"/>
  <c r="V13" i="108"/>
  <c r="AC14" i="108"/>
  <c r="AC38" i="108" s="1"/>
  <c r="AA12" i="108"/>
  <c r="S11" i="108"/>
  <c r="K106" i="107"/>
  <c r="AA10" i="107"/>
  <c r="V21" i="107"/>
  <c r="AD20" i="107"/>
  <c r="Z19" i="107"/>
  <c r="V18" i="107"/>
  <c r="AD17" i="107"/>
  <c r="Z16" i="107"/>
  <c r="V15" i="107"/>
  <c r="AD14" i="107"/>
  <c r="AD13" i="107"/>
  <c r="Z12" i="107"/>
  <c r="AD11" i="107"/>
  <c r="AD10" i="107"/>
  <c r="N106" i="107"/>
  <c r="Z10" i="107"/>
  <c r="J106" i="107"/>
  <c r="V10" i="107"/>
  <c r="F106" i="107"/>
  <c r="AC21" i="107"/>
  <c r="Y21" i="107"/>
  <c r="U21" i="107"/>
  <c r="AC20" i="107"/>
  <c r="Y20" i="107"/>
  <c r="U20" i="107"/>
  <c r="AC19" i="107"/>
  <c r="Y19" i="107"/>
  <c r="U19" i="107"/>
  <c r="AC18" i="107"/>
  <c r="Y18" i="107"/>
  <c r="U18" i="107"/>
  <c r="AC17" i="107"/>
  <c r="Y17" i="107"/>
  <c r="U17" i="107"/>
  <c r="AC16" i="107"/>
  <c r="Y16" i="107"/>
  <c r="U16" i="107"/>
  <c r="AC15" i="107"/>
  <c r="Y15" i="107"/>
  <c r="U15" i="107"/>
  <c r="AC14" i="107"/>
  <c r="Y14" i="107"/>
  <c r="U14" i="107"/>
  <c r="AC13" i="107"/>
  <c r="Y13" i="107"/>
  <c r="U13" i="107"/>
  <c r="AC12" i="107"/>
  <c r="Y12" i="107"/>
  <c r="U12" i="107"/>
  <c r="AC11" i="107"/>
  <c r="Y11" i="107"/>
  <c r="U11" i="107"/>
  <c r="X36" i="101"/>
  <c r="S10" i="108"/>
  <c r="C106" i="108"/>
  <c r="V19" i="108"/>
  <c r="AD18" i="108"/>
  <c r="V18" i="108"/>
  <c r="AD17" i="108"/>
  <c r="V17" i="108"/>
  <c r="AD16" i="108"/>
  <c r="V16" i="108"/>
  <c r="AD15" i="108"/>
  <c r="V15" i="108"/>
  <c r="AD14" i="108"/>
  <c r="V14" i="108"/>
  <c r="T13" i="108"/>
  <c r="T12" i="108"/>
  <c r="T11" i="108"/>
  <c r="W15" i="108"/>
  <c r="S20" i="108"/>
  <c r="W21" i="108"/>
  <c r="AA13" i="108"/>
  <c r="S13" i="108"/>
  <c r="V12" i="108"/>
  <c r="U20" i="108"/>
  <c r="S14" i="108"/>
  <c r="AC20" i="108"/>
  <c r="AA16" i="108"/>
  <c r="AA14" i="108"/>
  <c r="U19" i="108"/>
  <c r="Y18" i="108"/>
  <c r="U17" i="108"/>
  <c r="Y16" i="108"/>
  <c r="U14" i="108"/>
  <c r="U35" i="108" s="1"/>
  <c r="W12" i="108"/>
  <c r="W11" i="108"/>
  <c r="AA10" i="108"/>
  <c r="K106" i="108"/>
  <c r="AD21" i="108"/>
  <c r="V21" i="108"/>
  <c r="AD20" i="108"/>
  <c r="V20" i="108"/>
  <c r="AD19" i="108"/>
  <c r="Z13" i="108"/>
  <c r="AD11" i="108"/>
  <c r="L106" i="107"/>
  <c r="AB10" i="107"/>
  <c r="S21" i="107"/>
  <c r="W20" i="107"/>
  <c r="W19" i="107"/>
  <c r="W18" i="107"/>
  <c r="W17" i="107"/>
  <c r="W16" i="107"/>
  <c r="W15" i="107"/>
  <c r="AA14" i="107"/>
  <c r="S14" i="107"/>
  <c r="W13" i="107"/>
  <c r="X10" i="108"/>
  <c r="H106" i="108"/>
  <c r="Z17" i="108"/>
  <c r="AB35" i="108"/>
  <c r="S12" i="108"/>
  <c r="AA11" i="108"/>
  <c r="Z21" i="108"/>
  <c r="Z12" i="108"/>
  <c r="C106" i="107"/>
  <c r="S10" i="107"/>
  <c r="AD21" i="107"/>
  <c r="V20" i="107"/>
  <c r="V19" i="107"/>
  <c r="Z18" i="107"/>
  <c r="Z17" i="107"/>
  <c r="AD16" i="107"/>
  <c r="AD15" i="107"/>
  <c r="V14" i="107"/>
  <c r="Z13" i="107"/>
  <c r="AD12" i="107"/>
  <c r="V11" i="107"/>
  <c r="AC10" i="107"/>
  <c r="M106" i="107"/>
  <c r="Y10" i="107"/>
  <c r="I106" i="107"/>
  <c r="U10" i="107"/>
  <c r="E106" i="107"/>
  <c r="AB21" i="107"/>
  <c r="X21" i="107"/>
  <c r="T21" i="107"/>
  <c r="AB20" i="107"/>
  <c r="X20" i="107"/>
  <c r="T20" i="107"/>
  <c r="AB19" i="107"/>
  <c r="X19" i="107"/>
  <c r="T19" i="107"/>
  <c r="AB18" i="107"/>
  <c r="X18" i="107"/>
  <c r="T18" i="107"/>
  <c r="AB17" i="107"/>
  <c r="X17" i="107"/>
  <c r="T17" i="107"/>
  <c r="AB16" i="107"/>
  <c r="X16" i="107"/>
  <c r="T16" i="107"/>
  <c r="AB15" i="107"/>
  <c r="X15" i="107"/>
  <c r="T15" i="107"/>
  <c r="AB14" i="107"/>
  <c r="X14" i="107"/>
  <c r="T14" i="107"/>
  <c r="AB13" i="107"/>
  <c r="X13" i="107"/>
  <c r="T13" i="107"/>
  <c r="AB12" i="107"/>
  <c r="X12" i="107"/>
  <c r="T12" i="107"/>
  <c r="AB11" i="107"/>
  <c r="X11" i="107"/>
  <c r="T11" i="107"/>
  <c r="S35" i="110"/>
  <c r="T10" i="108"/>
  <c r="D106" i="108"/>
  <c r="T19" i="108"/>
  <c r="AB18" i="108"/>
  <c r="T18" i="108"/>
  <c r="AB17" i="108"/>
  <c r="T17" i="108"/>
  <c r="AB16" i="108"/>
  <c r="T16" i="108"/>
  <c r="AB15" i="108"/>
  <c r="AB38" i="108" s="1"/>
  <c r="T15" i="108"/>
  <c r="AB14" i="108"/>
  <c r="T14" i="108"/>
  <c r="W17" i="108"/>
  <c r="W20" i="108"/>
  <c r="W36" i="108" s="1"/>
  <c r="S38" i="110"/>
  <c r="Y13" i="108"/>
  <c r="Y20" i="108"/>
  <c r="S15" i="108"/>
  <c r="U21" i="108"/>
  <c r="AD10" i="108"/>
  <c r="N106" i="108"/>
  <c r="S16" i="108"/>
  <c r="AC21" i="108"/>
  <c r="W18" i="108"/>
  <c r="AC17" i="108"/>
  <c r="W16" i="108"/>
  <c r="W38" i="108" s="1"/>
  <c r="AC15" i="108"/>
  <c r="AC12" i="108"/>
  <c r="U12" i="108"/>
  <c r="AC11" i="108"/>
  <c r="U11" i="108"/>
  <c r="Y10" i="108"/>
  <c r="I106" i="108"/>
  <c r="AB21" i="108"/>
  <c r="T21" i="108"/>
  <c r="AB20" i="108"/>
  <c r="T20" i="108"/>
  <c r="AB19" i="108"/>
  <c r="AD12" i="108"/>
  <c r="Z11" i="108"/>
  <c r="X26" i="96"/>
  <c r="AF33" i="101"/>
  <c r="U38" i="109"/>
  <c r="U38" i="110"/>
  <c r="T36" i="105"/>
  <c r="AF32" i="101"/>
  <c r="AF28" i="101"/>
  <c r="AF25" i="101"/>
  <c r="Z26" i="95"/>
  <c r="Y38" i="105"/>
  <c r="AB23" i="96"/>
  <c r="AC26" i="95"/>
  <c r="T23" i="96"/>
  <c r="W27" i="96"/>
  <c r="V35" i="101"/>
  <c r="U36" i="105"/>
  <c r="Y26" i="95"/>
  <c r="AB24" i="99"/>
  <c r="Y26" i="96"/>
  <c r="U27" i="94"/>
  <c r="AC27" i="95"/>
  <c r="AB39" i="109"/>
  <c r="L10" i="111"/>
  <c r="J10" i="111"/>
  <c r="D10" i="111"/>
  <c r="M57" i="111"/>
  <c r="I57" i="111"/>
  <c r="G57" i="111"/>
  <c r="M56" i="111"/>
  <c r="K56" i="111"/>
  <c r="I56" i="111"/>
  <c r="C56" i="111"/>
  <c r="G55" i="111"/>
  <c r="E55" i="111"/>
  <c r="K54" i="111"/>
  <c r="I54" i="111"/>
  <c r="G54" i="111"/>
  <c r="I53" i="111"/>
  <c r="G53" i="111"/>
  <c r="E53" i="111"/>
  <c r="M52" i="111"/>
  <c r="K52" i="111"/>
  <c r="C52" i="111"/>
  <c r="M51" i="111"/>
  <c r="G51" i="111"/>
  <c r="M50" i="111"/>
  <c r="K50" i="111"/>
  <c r="E50" i="111"/>
  <c r="C50" i="111"/>
  <c r="M49" i="111"/>
  <c r="K49" i="111"/>
  <c r="I49" i="111"/>
  <c r="C49" i="111"/>
  <c r="M48" i="111"/>
  <c r="I48" i="111"/>
  <c r="G48" i="111"/>
  <c r="K47" i="111"/>
  <c r="E47" i="111"/>
  <c r="C47" i="111"/>
  <c r="G46" i="111"/>
  <c r="E46" i="111"/>
  <c r="K45" i="111"/>
  <c r="G45" i="111"/>
  <c r="C45" i="111"/>
  <c r="K44" i="111"/>
  <c r="G44" i="111"/>
  <c r="C44" i="111"/>
  <c r="K43" i="111"/>
  <c r="G43" i="111"/>
  <c r="C43" i="111"/>
  <c r="K42" i="111"/>
  <c r="I42" i="111"/>
  <c r="E42" i="111"/>
  <c r="C42" i="111"/>
  <c r="K41" i="111"/>
  <c r="G41" i="111"/>
  <c r="C41" i="111"/>
  <c r="K40" i="111"/>
  <c r="G40" i="111"/>
  <c r="C40" i="111"/>
  <c r="K39" i="111"/>
  <c r="G39" i="111"/>
  <c r="C39" i="111"/>
  <c r="K38" i="111"/>
  <c r="E38" i="111"/>
  <c r="C38" i="111"/>
  <c r="S24" i="94"/>
  <c r="C10" i="111"/>
  <c r="M10" i="111"/>
  <c r="I10" i="111"/>
  <c r="E10" i="111"/>
  <c r="L57" i="111"/>
  <c r="H57" i="111"/>
  <c r="D57" i="111"/>
  <c r="L56" i="111"/>
  <c r="H56" i="111"/>
  <c r="D56" i="111"/>
  <c r="L55" i="111"/>
  <c r="H55" i="111"/>
  <c r="D55" i="111"/>
  <c r="L54" i="111"/>
  <c r="H54" i="111"/>
  <c r="D54" i="111"/>
  <c r="L53" i="111"/>
  <c r="H53" i="111"/>
  <c r="D53" i="111"/>
  <c r="L52" i="111"/>
  <c r="H52" i="111"/>
  <c r="D52" i="111"/>
  <c r="L51" i="111"/>
  <c r="H51" i="111"/>
  <c r="D51" i="111"/>
  <c r="L50" i="111"/>
  <c r="H50" i="111"/>
  <c r="D50" i="111"/>
  <c r="L49" i="111"/>
  <c r="H49" i="111"/>
  <c r="D49" i="111"/>
  <c r="L48" i="111"/>
  <c r="H48" i="111"/>
  <c r="D48" i="111"/>
  <c r="L47" i="111"/>
  <c r="H47" i="111"/>
  <c r="D47" i="111"/>
  <c r="L46" i="111"/>
  <c r="H46" i="111"/>
  <c r="D46" i="111"/>
  <c r="L45" i="111"/>
  <c r="H45" i="111"/>
  <c r="D45" i="111"/>
  <c r="L44" i="111"/>
  <c r="H44" i="111"/>
  <c r="D44" i="111"/>
  <c r="L43" i="111"/>
  <c r="H43" i="111"/>
  <c r="D43" i="111"/>
  <c r="L42" i="111"/>
  <c r="H42" i="111"/>
  <c r="D42" i="111"/>
  <c r="L41" i="111"/>
  <c r="H41" i="111"/>
  <c r="D41" i="111"/>
  <c r="L40" i="111"/>
  <c r="H40" i="111"/>
  <c r="D40" i="111"/>
  <c r="L39" i="111"/>
  <c r="H39" i="111"/>
  <c r="D39" i="111"/>
  <c r="L38" i="111"/>
  <c r="H38" i="111"/>
  <c r="D38" i="111"/>
  <c r="L37" i="111"/>
  <c r="H37" i="111"/>
  <c r="D37" i="111"/>
  <c r="L36" i="111"/>
  <c r="H36" i="111"/>
  <c r="D36" i="111"/>
  <c r="L35" i="111"/>
  <c r="H35" i="111"/>
  <c r="D35" i="111"/>
  <c r="L34" i="111"/>
  <c r="H34" i="111"/>
  <c r="D34" i="111"/>
  <c r="L33" i="111"/>
  <c r="H33" i="111"/>
  <c r="D33" i="111"/>
  <c r="L32" i="111"/>
  <c r="H32" i="111"/>
  <c r="D32" i="111"/>
  <c r="L31" i="111"/>
  <c r="H31" i="111"/>
  <c r="D31" i="111"/>
  <c r="L30" i="111"/>
  <c r="H30" i="111"/>
  <c r="D30" i="111"/>
  <c r="L29" i="111"/>
  <c r="H29" i="111"/>
  <c r="D29" i="111"/>
  <c r="L28" i="111"/>
  <c r="H28" i="111"/>
  <c r="D28" i="111"/>
  <c r="L27" i="111"/>
  <c r="H27" i="111"/>
  <c r="D27" i="111"/>
  <c r="L26" i="111"/>
  <c r="H26" i="111"/>
  <c r="D26" i="111"/>
  <c r="L25" i="111"/>
  <c r="H25" i="111"/>
  <c r="D25" i="111"/>
  <c r="H24" i="111"/>
  <c r="F24" i="111"/>
  <c r="N23" i="111"/>
  <c r="L23" i="111"/>
  <c r="J23" i="111"/>
  <c r="D23" i="111"/>
  <c r="N22" i="111"/>
  <c r="H22" i="111"/>
  <c r="N21" i="111"/>
  <c r="L21" i="111"/>
  <c r="F21" i="111"/>
  <c r="D21" i="111"/>
  <c r="H20" i="111"/>
  <c r="F20" i="111"/>
  <c r="L19" i="111"/>
  <c r="J19" i="111"/>
  <c r="F19" i="111"/>
  <c r="D19" i="111"/>
  <c r="J18" i="111"/>
  <c r="H18" i="111"/>
  <c r="L17" i="111"/>
  <c r="J17" i="111"/>
  <c r="F17" i="111"/>
  <c r="D17" i="111"/>
  <c r="N16" i="111"/>
  <c r="H16" i="111"/>
  <c r="N15" i="111"/>
  <c r="L15" i="111"/>
  <c r="D15" i="111"/>
  <c r="N14" i="111"/>
  <c r="H14" i="111"/>
  <c r="F14" i="111"/>
  <c r="N13" i="111"/>
  <c r="L13" i="111"/>
  <c r="F13" i="111"/>
  <c r="D13" i="111"/>
  <c r="H12" i="111"/>
  <c r="F12" i="111"/>
  <c r="N11" i="111"/>
  <c r="J11" i="111"/>
  <c r="F11" i="111"/>
  <c r="W27" i="95"/>
  <c r="W24" i="95"/>
  <c r="K37" i="111"/>
  <c r="G37" i="111"/>
  <c r="C37" i="111"/>
  <c r="K36" i="111"/>
  <c r="G36" i="111"/>
  <c r="C36" i="111"/>
  <c r="K35" i="111"/>
  <c r="G35" i="111"/>
  <c r="C35" i="111"/>
  <c r="K34" i="111"/>
  <c r="I34" i="111"/>
  <c r="E34" i="111"/>
  <c r="K33" i="111"/>
  <c r="G33" i="111"/>
  <c r="C33" i="111"/>
  <c r="K32" i="111"/>
  <c r="G32" i="111"/>
  <c r="C32" i="111"/>
  <c r="K31" i="111"/>
  <c r="G31" i="111"/>
  <c r="C31" i="111"/>
  <c r="K30" i="111"/>
  <c r="I30" i="111"/>
  <c r="G30" i="111"/>
  <c r="M29" i="111"/>
  <c r="I29" i="111"/>
  <c r="E29" i="111"/>
  <c r="M28" i="111"/>
  <c r="I28" i="111"/>
  <c r="E28" i="111"/>
  <c r="M27" i="111"/>
  <c r="I27" i="111"/>
  <c r="E27" i="111"/>
  <c r="M26" i="111"/>
  <c r="K26" i="111"/>
  <c r="E26" i="111"/>
  <c r="C26" i="111"/>
  <c r="K25" i="111"/>
  <c r="G25" i="111"/>
  <c r="C25" i="111"/>
  <c r="K24" i="111"/>
  <c r="G24" i="111"/>
  <c r="C24" i="111"/>
  <c r="K23" i="111"/>
  <c r="G23" i="111"/>
  <c r="C23" i="111"/>
  <c r="K22" i="111"/>
  <c r="G22" i="111"/>
  <c r="C22" i="111"/>
  <c r="K21" i="111"/>
  <c r="G21" i="111"/>
  <c r="C21" i="111"/>
  <c r="K20" i="111"/>
  <c r="G20" i="111"/>
  <c r="C20" i="111"/>
  <c r="K19" i="111"/>
  <c r="G19" i="111"/>
  <c r="C19" i="111"/>
  <c r="K18" i="111"/>
  <c r="G18" i="111"/>
  <c r="C18" i="111"/>
  <c r="K17" i="111"/>
  <c r="G17" i="111"/>
  <c r="C17" i="111"/>
  <c r="K16" i="111"/>
  <c r="G16" i="111"/>
  <c r="C16" i="111"/>
  <c r="K15" i="111"/>
  <c r="G15" i="111"/>
  <c r="C15" i="111"/>
  <c r="K14" i="111"/>
  <c r="G14" i="111"/>
  <c r="C14" i="111"/>
  <c r="K13" i="111"/>
  <c r="G13" i="111"/>
  <c r="C13" i="111"/>
  <c r="K12" i="111"/>
  <c r="G12" i="111"/>
  <c r="C12" i="111"/>
  <c r="K11" i="111"/>
  <c r="G11" i="111"/>
  <c r="C11" i="111"/>
  <c r="W26" i="96"/>
  <c r="N57" i="111"/>
  <c r="J57" i="111"/>
  <c r="F57" i="111"/>
  <c r="N56" i="111"/>
  <c r="J56" i="111"/>
  <c r="F56" i="111"/>
  <c r="N55" i="111"/>
  <c r="J55" i="111"/>
  <c r="F55" i="111"/>
  <c r="N54" i="111"/>
  <c r="J54" i="111"/>
  <c r="F54" i="111"/>
  <c r="N53" i="111"/>
  <c r="J53" i="111"/>
  <c r="F53" i="111"/>
  <c r="N52" i="111"/>
  <c r="J52" i="111"/>
  <c r="F52" i="111"/>
  <c r="N51" i="111"/>
  <c r="J51" i="111"/>
  <c r="F51" i="111"/>
  <c r="N50" i="111"/>
  <c r="J50" i="111"/>
  <c r="F50" i="111"/>
  <c r="N49" i="111"/>
  <c r="J49" i="111"/>
  <c r="F49" i="111"/>
  <c r="N48" i="111"/>
  <c r="J48" i="111"/>
  <c r="F48" i="111"/>
  <c r="N47" i="111"/>
  <c r="J47" i="111"/>
  <c r="F47" i="111"/>
  <c r="N46" i="111"/>
  <c r="J46" i="111"/>
  <c r="F46" i="111"/>
  <c r="N45" i="111"/>
  <c r="J45" i="111"/>
  <c r="F45" i="111"/>
  <c r="N44" i="111"/>
  <c r="J44" i="111"/>
  <c r="F44" i="111"/>
  <c r="N43" i="111"/>
  <c r="J43" i="111"/>
  <c r="F43" i="111"/>
  <c r="N42" i="111"/>
  <c r="J42" i="111"/>
  <c r="F42" i="111"/>
  <c r="N41" i="111"/>
  <c r="J41" i="111"/>
  <c r="F41" i="111"/>
  <c r="N40" i="111"/>
  <c r="J40" i="111"/>
  <c r="F40" i="111"/>
  <c r="N39" i="111"/>
  <c r="J39" i="111"/>
  <c r="F39" i="111"/>
  <c r="N38" i="111"/>
  <c r="J38" i="111"/>
  <c r="F38" i="111"/>
  <c r="N37" i="111"/>
  <c r="J37" i="111"/>
  <c r="F37" i="111"/>
  <c r="N36" i="111"/>
  <c r="J36" i="111"/>
  <c r="F36" i="111"/>
  <c r="N35" i="111"/>
  <c r="J35" i="111"/>
  <c r="F35" i="111"/>
  <c r="N34" i="111"/>
  <c r="J34" i="111"/>
  <c r="F34" i="111"/>
  <c r="N33" i="111"/>
  <c r="J33" i="111"/>
  <c r="F33" i="111"/>
  <c r="N32" i="111"/>
  <c r="J32" i="111"/>
  <c r="F32" i="111"/>
  <c r="N31" i="111"/>
  <c r="J31" i="111"/>
  <c r="F31" i="111"/>
  <c r="N30" i="111"/>
  <c r="J30" i="111"/>
  <c r="F30" i="111"/>
  <c r="N29" i="111"/>
  <c r="J29" i="111"/>
  <c r="F29" i="111"/>
  <c r="N28" i="111"/>
  <c r="J28" i="111"/>
  <c r="F28" i="111"/>
  <c r="N27" i="111"/>
  <c r="J27" i="111"/>
  <c r="F27" i="111"/>
  <c r="N26" i="111"/>
  <c r="J26" i="111"/>
  <c r="F26" i="111"/>
  <c r="N25" i="111"/>
  <c r="J25" i="111"/>
  <c r="F25" i="111"/>
  <c r="N24" i="111"/>
  <c r="L24" i="111"/>
  <c r="J24" i="111"/>
  <c r="D24" i="111"/>
  <c r="H23" i="111"/>
  <c r="F23" i="111"/>
  <c r="L22" i="111"/>
  <c r="J22" i="111"/>
  <c r="F22" i="111"/>
  <c r="D22" i="111"/>
  <c r="J21" i="111"/>
  <c r="H21" i="111"/>
  <c r="N20" i="111"/>
  <c r="L20" i="111"/>
  <c r="J20" i="111"/>
  <c r="D20" i="111"/>
  <c r="N19" i="111"/>
  <c r="H19" i="111"/>
  <c r="N18" i="111"/>
  <c r="L18" i="111"/>
  <c r="F18" i="111"/>
  <c r="D18" i="111"/>
  <c r="N17" i="111"/>
  <c r="H17" i="111"/>
  <c r="L16" i="111"/>
  <c r="J16" i="111"/>
  <c r="F16" i="111"/>
  <c r="D16" i="111"/>
  <c r="J15" i="111"/>
  <c r="H15" i="111"/>
  <c r="F15" i="111"/>
  <c r="L14" i="111"/>
  <c r="J14" i="111"/>
  <c r="D14" i="111"/>
  <c r="J13" i="111"/>
  <c r="H13" i="111"/>
  <c r="N12" i="111"/>
  <c r="L12" i="111"/>
  <c r="J12" i="111"/>
  <c r="D12" i="111"/>
  <c r="L11" i="111"/>
  <c r="H11" i="111"/>
  <c r="D11" i="111"/>
  <c r="AC24" i="94"/>
  <c r="Y24" i="94"/>
  <c r="S27" i="94"/>
  <c r="AA38" i="110"/>
  <c r="W24" i="94"/>
  <c r="N10" i="111"/>
  <c r="H10" i="111"/>
  <c r="F10" i="111"/>
  <c r="K57" i="111"/>
  <c r="E57" i="111"/>
  <c r="C57" i="111"/>
  <c r="G56" i="111"/>
  <c r="E56" i="111"/>
  <c r="M55" i="111"/>
  <c r="K55" i="111"/>
  <c r="I55" i="111"/>
  <c r="C55" i="111"/>
  <c r="M54" i="111"/>
  <c r="E54" i="111"/>
  <c r="C54" i="111"/>
  <c r="M53" i="111"/>
  <c r="K53" i="111"/>
  <c r="C53" i="111"/>
  <c r="I52" i="111"/>
  <c r="G52" i="111"/>
  <c r="E52" i="111"/>
  <c r="K51" i="111"/>
  <c r="I51" i="111"/>
  <c r="E51" i="111"/>
  <c r="C51" i="111"/>
  <c r="I50" i="111"/>
  <c r="G50" i="111"/>
  <c r="G49" i="111"/>
  <c r="E49" i="111"/>
  <c r="K48" i="111"/>
  <c r="E48" i="111"/>
  <c r="C48" i="111"/>
  <c r="M47" i="111"/>
  <c r="I47" i="111"/>
  <c r="G47" i="111"/>
  <c r="M46" i="111"/>
  <c r="K46" i="111"/>
  <c r="I46" i="111"/>
  <c r="C46" i="111"/>
  <c r="M45" i="111"/>
  <c r="I45" i="111"/>
  <c r="E45" i="111"/>
  <c r="M44" i="111"/>
  <c r="I44" i="111"/>
  <c r="E44" i="111"/>
  <c r="M43" i="111"/>
  <c r="I43" i="111"/>
  <c r="E43" i="111"/>
  <c r="M42" i="111"/>
  <c r="G42" i="111"/>
  <c r="M41" i="111"/>
  <c r="I41" i="111"/>
  <c r="E41" i="111"/>
  <c r="M40" i="111"/>
  <c r="I40" i="111"/>
  <c r="E40" i="111"/>
  <c r="M39" i="111"/>
  <c r="I39" i="111"/>
  <c r="E39" i="111"/>
  <c r="M38" i="111"/>
  <c r="I38" i="111"/>
  <c r="G38" i="111"/>
  <c r="M37" i="111"/>
  <c r="W27" i="94"/>
  <c r="S26" i="94"/>
  <c r="AA27" i="94"/>
  <c r="U27" i="95"/>
  <c r="U24" i="95"/>
  <c r="I37" i="111"/>
  <c r="E37" i="111"/>
  <c r="M36" i="111"/>
  <c r="I36" i="111"/>
  <c r="E36" i="111"/>
  <c r="M35" i="111"/>
  <c r="I35" i="111"/>
  <c r="E35" i="111"/>
  <c r="M34" i="111"/>
  <c r="G34" i="111"/>
  <c r="C34" i="111"/>
  <c r="M33" i="111"/>
  <c r="I33" i="111"/>
  <c r="E33" i="111"/>
  <c r="M32" i="111"/>
  <c r="I32" i="111"/>
  <c r="E32" i="111"/>
  <c r="M31" i="111"/>
  <c r="I31" i="111"/>
  <c r="E31" i="111"/>
  <c r="M30" i="111"/>
  <c r="E30" i="111"/>
  <c r="C30" i="111"/>
  <c r="K29" i="111"/>
  <c r="G29" i="111"/>
  <c r="C29" i="111"/>
  <c r="K28" i="111"/>
  <c r="G28" i="111"/>
  <c r="C28" i="111"/>
  <c r="K27" i="111"/>
  <c r="G27" i="111"/>
  <c r="C27" i="111"/>
  <c r="I26" i="111"/>
  <c r="G26" i="111"/>
  <c r="M25" i="111"/>
  <c r="I25" i="111"/>
  <c r="E25" i="111"/>
  <c r="M24" i="111"/>
  <c r="I24" i="111"/>
  <c r="E24" i="111"/>
  <c r="M23" i="111"/>
  <c r="I23" i="111"/>
  <c r="E23" i="111"/>
  <c r="M22" i="111"/>
  <c r="I22" i="111"/>
  <c r="E22" i="111"/>
  <c r="M21" i="111"/>
  <c r="I21" i="111"/>
  <c r="E21" i="111"/>
  <c r="M20" i="111"/>
  <c r="I20" i="111"/>
  <c r="E20" i="111"/>
  <c r="M19" i="111"/>
  <c r="I19" i="111"/>
  <c r="E19" i="111"/>
  <c r="M18" i="111"/>
  <c r="I18" i="111"/>
  <c r="E18" i="111"/>
  <c r="M17" i="111"/>
  <c r="I17" i="111"/>
  <c r="E17" i="111"/>
  <c r="M16" i="111"/>
  <c r="I16" i="111"/>
  <c r="E16" i="111"/>
  <c r="M15" i="111"/>
  <c r="I15" i="111"/>
  <c r="E15" i="111"/>
  <c r="M14" i="111"/>
  <c r="I14" i="111"/>
  <c r="E14" i="111"/>
  <c r="M13" i="111"/>
  <c r="I13" i="111"/>
  <c r="E13" i="111"/>
  <c r="M12" i="111"/>
  <c r="I12" i="111"/>
  <c r="E12" i="111"/>
  <c r="M11" i="111"/>
  <c r="I11" i="111"/>
  <c r="E11" i="111"/>
  <c r="AC26" i="96"/>
  <c r="AA35" i="110"/>
  <c r="W35" i="110"/>
  <c r="Z39" i="110"/>
  <c r="AD38" i="110"/>
  <c r="Z38" i="110"/>
  <c r="V38" i="110"/>
  <c r="X37" i="110"/>
  <c r="AD36" i="110"/>
  <c r="V36" i="110"/>
  <c r="AC35" i="109"/>
  <c r="AC38" i="110"/>
  <c r="K10" i="111"/>
  <c r="G10" i="111"/>
  <c r="T38" i="110"/>
  <c r="AC36" i="110"/>
  <c r="Y35" i="110"/>
  <c r="AC35" i="110"/>
  <c r="U35" i="110"/>
  <c r="U26" i="99"/>
  <c r="Y38" i="110"/>
  <c r="X36" i="110"/>
  <c r="X24" i="99"/>
  <c r="U23" i="99"/>
  <c r="S36" i="105"/>
  <c r="T38" i="109"/>
  <c r="AD38" i="109"/>
  <c r="Z38" i="109"/>
  <c r="Z35" i="110"/>
  <c r="AB38" i="110"/>
  <c r="X35" i="110"/>
  <c r="AB36" i="110"/>
  <c r="X34" i="110"/>
  <c r="W37" i="110"/>
  <c r="AA35" i="109"/>
  <c r="U36" i="110"/>
  <c r="V35" i="109"/>
  <c r="S41" i="110"/>
  <c r="AF32" i="110"/>
  <c r="S35" i="109"/>
  <c r="AD23" i="99"/>
  <c r="AB38" i="109"/>
  <c r="AD35" i="110"/>
  <c r="V35" i="110"/>
  <c r="AA40" i="110"/>
  <c r="Y36" i="110"/>
  <c r="S37" i="110"/>
  <c r="W40" i="110"/>
  <c r="AD36" i="109"/>
  <c r="Z39" i="109"/>
  <c r="AF33" i="110"/>
  <c r="AF31" i="110"/>
  <c r="AB35" i="110"/>
  <c r="X38" i="110"/>
  <c r="AA41" i="110"/>
  <c r="W41" i="110"/>
  <c r="AF12" i="109"/>
  <c r="AE33" i="110"/>
  <c r="AE32" i="110"/>
  <c r="AE31" i="110"/>
  <c r="AE30" i="110"/>
  <c r="AE29" i="110"/>
  <c r="AE28" i="110"/>
  <c r="AE27" i="110"/>
  <c r="AE26" i="110"/>
  <c r="AE25" i="110"/>
  <c r="AE24" i="110"/>
  <c r="AE23" i="110"/>
  <c r="AE22" i="110"/>
  <c r="AE21" i="110"/>
  <c r="AE20" i="110"/>
  <c r="AE19" i="110"/>
  <c r="AA37" i="110"/>
  <c r="AD39" i="109"/>
  <c r="Z36" i="109"/>
  <c r="V36" i="109"/>
  <c r="AC38" i="109"/>
  <c r="U35" i="109"/>
  <c r="AD39" i="110"/>
  <c r="Z36" i="110"/>
  <c r="V39" i="110"/>
  <c r="S40" i="110"/>
  <c r="V38" i="109"/>
  <c r="X35" i="109"/>
  <c r="AA34" i="110"/>
  <c r="W34" i="110"/>
  <c r="S34" i="110"/>
  <c r="AF30" i="110"/>
  <c r="AB39" i="110"/>
  <c r="X40" i="110"/>
  <c r="AF15" i="110"/>
  <c r="AF14" i="110"/>
  <c r="AF13" i="110"/>
  <c r="Z35" i="109"/>
  <c r="AD35" i="109"/>
  <c r="X34" i="109"/>
  <c r="T35" i="110"/>
  <c r="Y38" i="109"/>
  <c r="AC39" i="110"/>
  <c r="U39" i="110"/>
  <c r="AF17" i="110"/>
  <c r="AF16" i="110"/>
  <c r="Z38" i="101"/>
  <c r="Y35" i="109"/>
  <c r="X39" i="110"/>
  <c r="AF11" i="110"/>
  <c r="Y39" i="110"/>
  <c r="AF12" i="110"/>
  <c r="AA38" i="109"/>
  <c r="W38" i="109"/>
  <c r="AF29" i="110"/>
  <c r="AF28" i="110"/>
  <c r="AF27" i="110"/>
  <c r="AF26" i="110"/>
  <c r="AF25" i="110"/>
  <c r="AF24" i="110"/>
  <c r="AF23" i="110"/>
  <c r="AF22" i="110"/>
  <c r="AF18" i="110"/>
  <c r="AF30" i="109"/>
  <c r="X39" i="109"/>
  <c r="X37" i="109"/>
  <c r="X41" i="110"/>
  <c r="AF21" i="110"/>
  <c r="AF20" i="110"/>
  <c r="AF19" i="110"/>
  <c r="AF15" i="109"/>
  <c r="AF14" i="109"/>
  <c r="AF13" i="109"/>
  <c r="AE18" i="110"/>
  <c r="AE17" i="110"/>
  <c r="T39" i="110"/>
  <c r="T36" i="110"/>
  <c r="AD41" i="110"/>
  <c r="AD40" i="110"/>
  <c r="AD37" i="110"/>
  <c r="AD34" i="110"/>
  <c r="Z41" i="110"/>
  <c r="Z40" i="110"/>
  <c r="Z37" i="110"/>
  <c r="Z34" i="110"/>
  <c r="AF17" i="109"/>
  <c r="AF16" i="109"/>
  <c r="AE11" i="110"/>
  <c r="Y41" i="110"/>
  <c r="Y40" i="110"/>
  <c r="Y37" i="110"/>
  <c r="Y34" i="110"/>
  <c r="O106" i="110"/>
  <c r="J108" i="110" s="1"/>
  <c r="AE10" i="110"/>
  <c r="AF10" i="110"/>
  <c r="P106" i="110"/>
  <c r="N107" i="110" s="1"/>
  <c r="T41" i="110"/>
  <c r="T40" i="110"/>
  <c r="T37" i="110"/>
  <c r="T34" i="110"/>
  <c r="AC27" i="99"/>
  <c r="W38" i="101"/>
  <c r="U35" i="101"/>
  <c r="V27" i="95"/>
  <c r="AE33" i="109"/>
  <c r="AE32" i="109"/>
  <c r="AE31" i="109"/>
  <c r="AE30" i="109"/>
  <c r="AE29" i="109"/>
  <c r="AF32" i="109"/>
  <c r="AB35" i="109"/>
  <c r="W35" i="109"/>
  <c r="AF11" i="109"/>
  <c r="S38" i="109"/>
  <c r="AE16" i="110"/>
  <c r="AB41" i="110"/>
  <c r="AB40" i="110"/>
  <c r="AB37" i="110"/>
  <c r="AB34" i="110"/>
  <c r="V41" i="110"/>
  <c r="V40" i="110"/>
  <c r="V37" i="110"/>
  <c r="V34" i="110"/>
  <c r="AE15" i="110"/>
  <c r="AE14" i="110"/>
  <c r="AE13" i="110"/>
  <c r="AE12" i="110"/>
  <c r="AC41" i="110"/>
  <c r="AC40" i="110"/>
  <c r="AC37" i="110"/>
  <c r="AC34" i="110"/>
  <c r="U41" i="110"/>
  <c r="U40" i="110"/>
  <c r="U37" i="110"/>
  <c r="U34" i="110"/>
  <c r="AB36" i="109"/>
  <c r="X36" i="109"/>
  <c r="X40" i="109"/>
  <c r="AD38" i="105"/>
  <c r="AF33" i="109"/>
  <c r="AF31" i="109"/>
  <c r="X38" i="109"/>
  <c r="X41" i="109"/>
  <c r="T35" i="109"/>
  <c r="AF29" i="109"/>
  <c r="AF28" i="109"/>
  <c r="AF27" i="109"/>
  <c r="AF26" i="109"/>
  <c r="AF25" i="109"/>
  <c r="AF24" i="109"/>
  <c r="AF23" i="109"/>
  <c r="AF22" i="109"/>
  <c r="AF18" i="109"/>
  <c r="AF21" i="109"/>
  <c r="AF20" i="109"/>
  <c r="AF19" i="109"/>
  <c r="T39" i="109"/>
  <c r="T36" i="109"/>
  <c r="AD41" i="109"/>
  <c r="AD40" i="109"/>
  <c r="AD37" i="109"/>
  <c r="AD34" i="109"/>
  <c r="Z41" i="109"/>
  <c r="Z40" i="109"/>
  <c r="Z37" i="109"/>
  <c r="Z34" i="109"/>
  <c r="T41" i="109"/>
  <c r="T40" i="109"/>
  <c r="T37" i="109"/>
  <c r="T34" i="109"/>
  <c r="AE15" i="109"/>
  <c r="AE14" i="109"/>
  <c r="AE13" i="109"/>
  <c r="AE12" i="109"/>
  <c r="AE11" i="109"/>
  <c r="AC41" i="109"/>
  <c r="AC40" i="109"/>
  <c r="AC37" i="109"/>
  <c r="AC34" i="109"/>
  <c r="Y41" i="109"/>
  <c r="Y40" i="109"/>
  <c r="Y37" i="109"/>
  <c r="Y34" i="109"/>
  <c r="U41" i="109"/>
  <c r="U40" i="109"/>
  <c r="U37" i="109"/>
  <c r="U34" i="109"/>
  <c r="O106" i="109"/>
  <c r="AE10" i="109"/>
  <c r="AE28" i="109"/>
  <c r="AE27" i="109"/>
  <c r="AE26" i="109"/>
  <c r="AE25" i="109"/>
  <c r="AE24" i="109"/>
  <c r="AE23" i="109"/>
  <c r="AE22" i="109"/>
  <c r="AE21" i="109"/>
  <c r="AE20" i="109"/>
  <c r="AE19" i="109"/>
  <c r="AE18" i="109"/>
  <c r="AE17" i="109"/>
  <c r="AE16" i="109"/>
  <c r="AB41" i="109"/>
  <c r="AB40" i="109"/>
  <c r="AB37" i="109"/>
  <c r="AB34" i="109"/>
  <c r="V41" i="109"/>
  <c r="V40" i="109"/>
  <c r="V37" i="109"/>
  <c r="V34" i="109"/>
  <c r="AF10" i="109"/>
  <c r="P106" i="109"/>
  <c r="J107" i="109" s="1"/>
  <c r="AA41" i="109"/>
  <c r="AA40" i="109"/>
  <c r="AA37" i="109"/>
  <c r="AA34" i="109"/>
  <c r="W41" i="109"/>
  <c r="W40" i="109"/>
  <c r="W37" i="109"/>
  <c r="W34" i="109"/>
  <c r="S41" i="109"/>
  <c r="S40" i="109"/>
  <c r="S37" i="109"/>
  <c r="S34" i="109"/>
  <c r="AA24" i="94"/>
  <c r="AC23" i="96"/>
  <c r="AB36" i="105"/>
  <c r="P16" i="108"/>
  <c r="O56" i="108"/>
  <c r="O11" i="108"/>
  <c r="O57" i="108"/>
  <c r="P40" i="108"/>
  <c r="O35" i="108"/>
  <c r="O10" i="108"/>
  <c r="AA26" i="94"/>
  <c r="P29" i="108"/>
  <c r="O16" i="108"/>
  <c r="P49" i="108"/>
  <c r="P22" i="108"/>
  <c r="O49" i="108"/>
  <c r="P43" i="108"/>
  <c r="O28" i="108"/>
  <c r="O36" i="108"/>
  <c r="O20" i="108"/>
  <c r="P57" i="108"/>
  <c r="P55" i="108"/>
  <c r="P52" i="108"/>
  <c r="P35" i="108"/>
  <c r="P21" i="108"/>
  <c r="O13" i="108"/>
  <c r="P12" i="108"/>
  <c r="O53" i="108"/>
  <c r="O48" i="108"/>
  <c r="P46" i="108"/>
  <c r="O38" i="108"/>
  <c r="P45" i="108"/>
  <c r="P38" i="108"/>
  <c r="P32" i="108"/>
  <c r="O30" i="108"/>
  <c r="O31" i="108"/>
  <c r="P24" i="108"/>
  <c r="P17" i="108"/>
  <c r="O14" i="108"/>
  <c r="O43" i="108"/>
  <c r="P56" i="108"/>
  <c r="O55" i="108"/>
  <c r="P53" i="108"/>
  <c r="P51" i="108"/>
  <c r="P48" i="108"/>
  <c r="O39" i="108"/>
  <c r="P37" i="108"/>
  <c r="P27" i="108"/>
  <c r="P13" i="108"/>
  <c r="O12" i="108"/>
  <c r="P11" i="108"/>
  <c r="P10" i="108"/>
  <c r="O52" i="108"/>
  <c r="P47" i="108"/>
  <c r="P26" i="108"/>
  <c r="U24" i="94"/>
  <c r="AC26" i="94"/>
  <c r="O51" i="108"/>
  <c r="O47" i="108"/>
  <c r="O26" i="108"/>
  <c r="O22" i="108"/>
  <c r="O18" i="108"/>
  <c r="P54" i="108"/>
  <c r="AF21" i="108" s="1"/>
  <c r="O50" i="108"/>
  <c r="AE20" i="108" s="1"/>
  <c r="O44" i="108"/>
  <c r="O46" i="108"/>
  <c r="O45" i="108"/>
  <c r="P41" i="108"/>
  <c r="P39" i="108"/>
  <c r="O37" i="108"/>
  <c r="O32" i="108"/>
  <c r="P30" i="108"/>
  <c r="AF15" i="108" s="1"/>
  <c r="P28" i="108"/>
  <c r="P25" i="108"/>
  <c r="P23" i="108"/>
  <c r="O21" i="108"/>
  <c r="P19" i="108"/>
  <c r="P44" i="108"/>
  <c r="O40" i="108"/>
  <c r="P36" i="108"/>
  <c r="P33" i="108"/>
  <c r="P31" i="108"/>
  <c r="O29" i="108"/>
  <c r="O27" i="108"/>
  <c r="O24" i="108"/>
  <c r="P20" i="108"/>
  <c r="O17" i="108"/>
  <c r="P15" i="108"/>
  <c r="P14" i="108"/>
  <c r="O41" i="108"/>
  <c r="O33" i="108"/>
  <c r="O25" i="108"/>
  <c r="O23" i="108"/>
  <c r="O19" i="108"/>
  <c r="O15" i="108"/>
  <c r="P50" i="108"/>
  <c r="AF20" i="108" s="1"/>
  <c r="P42" i="108"/>
  <c r="P34" i="108"/>
  <c r="O54" i="108"/>
  <c r="AE21" i="108" s="1"/>
  <c r="O42" i="108"/>
  <c r="AE18" i="108" s="1"/>
  <c r="O34" i="108"/>
  <c r="P18" i="108"/>
  <c r="Z38" i="105"/>
  <c r="V38" i="105"/>
  <c r="X38" i="105"/>
  <c r="O57" i="107"/>
  <c r="AC35" i="105"/>
  <c r="U38" i="105"/>
  <c r="O37" i="107"/>
  <c r="P36" i="107"/>
  <c r="P35" i="107"/>
  <c r="O32" i="107"/>
  <c r="P31" i="107"/>
  <c r="P28" i="107"/>
  <c r="O25" i="107"/>
  <c r="O19" i="107"/>
  <c r="P18" i="107"/>
  <c r="O17" i="107"/>
  <c r="O15" i="107"/>
  <c r="P14" i="107"/>
  <c r="P33" i="107"/>
  <c r="O33" i="107"/>
  <c r="O29" i="107"/>
  <c r="O27" i="107"/>
  <c r="P24" i="107"/>
  <c r="P22" i="107"/>
  <c r="O22" i="107"/>
  <c r="O20" i="107"/>
  <c r="O13" i="107"/>
  <c r="O11" i="107"/>
  <c r="P57" i="107"/>
  <c r="P56" i="107"/>
  <c r="O56" i="107"/>
  <c r="P55" i="107"/>
  <c r="O55" i="107"/>
  <c r="P54" i="107"/>
  <c r="AF21" i="107" s="1"/>
  <c r="O54" i="107"/>
  <c r="P53" i="107"/>
  <c r="O53" i="107"/>
  <c r="O52" i="107"/>
  <c r="P52" i="107"/>
  <c r="O51" i="107"/>
  <c r="P51" i="107"/>
  <c r="O50" i="107"/>
  <c r="AE20" i="107" s="1"/>
  <c r="P50" i="107"/>
  <c r="P49" i="107"/>
  <c r="O49" i="107"/>
  <c r="P48" i="107"/>
  <c r="O48" i="107"/>
  <c r="P47" i="107"/>
  <c r="O47" i="107"/>
  <c r="O46" i="107"/>
  <c r="AE19" i="107" s="1"/>
  <c r="P46" i="107"/>
  <c r="P45" i="107"/>
  <c r="O45" i="107"/>
  <c r="O44" i="107"/>
  <c r="P44" i="107"/>
  <c r="O43" i="107"/>
  <c r="P43" i="107"/>
  <c r="O42" i="107"/>
  <c r="AE18" i="107" s="1"/>
  <c r="P42" i="107"/>
  <c r="P41" i="107"/>
  <c r="O41" i="107"/>
  <c r="P40" i="107"/>
  <c r="P39" i="107"/>
  <c r="O38" i="107"/>
  <c r="P37" i="107"/>
  <c r="O36" i="107"/>
  <c r="O35" i="107"/>
  <c r="O34" i="107"/>
  <c r="P32" i="107"/>
  <c r="O31" i="107"/>
  <c r="P29" i="107"/>
  <c r="O28" i="107"/>
  <c r="P27" i="107"/>
  <c r="P25" i="107"/>
  <c r="O24" i="107"/>
  <c r="P23" i="107"/>
  <c r="P21" i="107"/>
  <c r="P17" i="107"/>
  <c r="O40" i="107"/>
  <c r="P20" i="107"/>
  <c r="P19" i="107"/>
  <c r="P16" i="107"/>
  <c r="P15" i="107"/>
  <c r="P13" i="107"/>
  <c r="P12" i="107"/>
  <c r="P11" i="107"/>
  <c r="O39" i="107"/>
  <c r="O26" i="107"/>
  <c r="O23" i="107"/>
  <c r="O21" i="107"/>
  <c r="O18" i="107"/>
  <c r="O16" i="107"/>
  <c r="O14" i="107"/>
  <c r="AE11" i="107" s="1"/>
  <c r="O12" i="107"/>
  <c r="P26" i="107"/>
  <c r="P38" i="107"/>
  <c r="P30" i="107"/>
  <c r="AF15" i="107" s="1"/>
  <c r="P34" i="107"/>
  <c r="AF16" i="107" s="1"/>
  <c r="O30" i="107"/>
  <c r="AB38" i="105"/>
  <c r="T38" i="105"/>
  <c r="P10" i="107"/>
  <c r="O10" i="107"/>
  <c r="X35" i="105"/>
  <c r="AC23" i="95"/>
  <c r="U23" i="96"/>
  <c r="AA35" i="105"/>
  <c r="U35" i="105"/>
  <c r="AB35" i="105"/>
  <c r="T35" i="105"/>
  <c r="AE12" i="105"/>
  <c r="AF33" i="105"/>
  <c r="AF31" i="105"/>
  <c r="AF13" i="105"/>
  <c r="AC38" i="105"/>
  <c r="AA38" i="105"/>
  <c r="W38" i="105"/>
  <c r="W35" i="105"/>
  <c r="S35" i="105"/>
  <c r="AF11" i="105"/>
  <c r="AF32" i="105"/>
  <c r="Y35" i="105"/>
  <c r="AF15" i="105"/>
  <c r="AF30" i="105"/>
  <c r="AF29" i="105"/>
  <c r="AF28" i="105"/>
  <c r="AF27" i="105"/>
  <c r="AF26" i="105"/>
  <c r="AF25" i="105"/>
  <c r="AF24" i="105"/>
  <c r="AF23" i="105"/>
  <c r="AF22" i="105"/>
  <c r="AF21" i="105"/>
  <c r="AF20" i="105"/>
  <c r="AF19" i="105"/>
  <c r="AF18" i="105"/>
  <c r="AF17" i="105"/>
  <c r="AF16" i="105"/>
  <c r="AF14" i="105"/>
  <c r="AD35" i="105"/>
  <c r="Z35" i="105"/>
  <c r="V35" i="105"/>
  <c r="AF12" i="105"/>
  <c r="AD41" i="105"/>
  <c r="AD40" i="105"/>
  <c r="AD37" i="105"/>
  <c r="AD34" i="105"/>
  <c r="Z41" i="105"/>
  <c r="Z40" i="105"/>
  <c r="Z37" i="105"/>
  <c r="Z34" i="105"/>
  <c r="AE28" i="105"/>
  <c r="AE27" i="105"/>
  <c r="AE26" i="105"/>
  <c r="AE25" i="105"/>
  <c r="AE24" i="105"/>
  <c r="AE23" i="105"/>
  <c r="AE22" i="105"/>
  <c r="AE21" i="105"/>
  <c r="AE20" i="105"/>
  <c r="AE19" i="105"/>
  <c r="AE18" i="105"/>
  <c r="AE17" i="105"/>
  <c r="AE16" i="105"/>
  <c r="AE15" i="105"/>
  <c r="AE14" i="105"/>
  <c r="AE13" i="105"/>
  <c r="AE11" i="105"/>
  <c r="AC41" i="105"/>
  <c r="AC40" i="105"/>
  <c r="AC37" i="105"/>
  <c r="AC34" i="105"/>
  <c r="Y41" i="105"/>
  <c r="Y40" i="105"/>
  <c r="Y37" i="105"/>
  <c r="Y34" i="105"/>
  <c r="W41" i="105"/>
  <c r="W40" i="105"/>
  <c r="W37" i="105"/>
  <c r="W34" i="105"/>
  <c r="U41" i="105"/>
  <c r="U40" i="105"/>
  <c r="U37" i="105"/>
  <c r="U34" i="105"/>
  <c r="O106" i="105"/>
  <c r="G108" i="105" s="1"/>
  <c r="AE10" i="105"/>
  <c r="P106" i="105"/>
  <c r="G107" i="105" s="1"/>
  <c r="AF10" i="105"/>
  <c r="V41" i="105"/>
  <c r="V40" i="105"/>
  <c r="V37" i="105"/>
  <c r="V34" i="105"/>
  <c r="T41" i="105"/>
  <c r="T40" i="105"/>
  <c r="T37" i="105"/>
  <c r="T34" i="105"/>
  <c r="AE33" i="105"/>
  <c r="AE32" i="105"/>
  <c r="AE31" i="105"/>
  <c r="AE30" i="105"/>
  <c r="AE29" i="105"/>
  <c r="AB41" i="105"/>
  <c r="AB40" i="105"/>
  <c r="AB37" i="105"/>
  <c r="AB34" i="105"/>
  <c r="X41" i="105"/>
  <c r="X40" i="105"/>
  <c r="X37" i="105"/>
  <c r="X34" i="105"/>
  <c r="AA41" i="105"/>
  <c r="AA40" i="105"/>
  <c r="AA37" i="105"/>
  <c r="AA34" i="105"/>
  <c r="S41" i="105"/>
  <c r="S40" i="105"/>
  <c r="S37" i="105"/>
  <c r="S34" i="105"/>
  <c r="O106" i="101"/>
  <c r="C108" i="101" s="1"/>
  <c r="Y24" i="99"/>
  <c r="P106" i="101"/>
  <c r="U26" i="96"/>
  <c r="W26" i="99"/>
  <c r="U26" i="94"/>
  <c r="U23" i="95"/>
  <c r="V41" i="101"/>
  <c r="AB41" i="101"/>
  <c r="X41" i="101"/>
  <c r="T41" i="101"/>
  <c r="W41" i="101"/>
  <c r="AC41" i="101"/>
  <c r="U41" i="101"/>
  <c r="AD41" i="101"/>
  <c r="Z41" i="101"/>
  <c r="AA41" i="101"/>
  <c r="Y41" i="101"/>
  <c r="S41" i="101"/>
  <c r="AE30" i="101"/>
  <c r="AE31" i="101"/>
  <c r="AE32" i="101"/>
  <c r="AE33" i="101"/>
  <c r="AF22" i="101"/>
  <c r="AF23" i="101"/>
  <c r="AF24" i="101"/>
  <c r="AF26" i="101"/>
  <c r="AF27" i="101"/>
  <c r="AF29" i="101"/>
  <c r="AF30" i="101"/>
  <c r="AF31" i="101"/>
  <c r="AE22" i="101"/>
  <c r="AE23" i="101"/>
  <c r="AE24" i="101"/>
  <c r="AE25" i="101"/>
  <c r="AE26" i="101"/>
  <c r="AE27" i="101"/>
  <c r="AE28" i="101"/>
  <c r="AE29" i="101"/>
  <c r="AB23" i="95"/>
  <c r="AB26" i="95"/>
  <c r="Z24" i="95"/>
  <c r="V23" i="99"/>
  <c r="Y27" i="94"/>
  <c r="Y23" i="96"/>
  <c r="Y26" i="94"/>
  <c r="Y23" i="95"/>
  <c r="AF13" i="104"/>
  <c r="W23" i="96"/>
  <c r="AA26" i="96"/>
  <c r="AD26" i="96"/>
  <c r="AC23" i="94"/>
  <c r="V24" i="95"/>
  <c r="Y27" i="96"/>
  <c r="Z23" i="95"/>
  <c r="AC27" i="94"/>
  <c r="AA23" i="94"/>
  <c r="X26" i="95"/>
  <c r="X38" i="101"/>
  <c r="Y23" i="94"/>
  <c r="Y38" i="101"/>
  <c r="W26" i="94"/>
  <c r="X35" i="101"/>
  <c r="AB38" i="101"/>
  <c r="T38" i="101"/>
  <c r="AB35" i="101"/>
  <c r="T35" i="101"/>
  <c r="U23" i="94"/>
  <c r="AC24" i="104"/>
  <c r="W28" i="104"/>
  <c r="V23" i="95"/>
  <c r="W23" i="104"/>
  <c r="X25" i="104"/>
  <c r="S24" i="104"/>
  <c r="AB25" i="104"/>
  <c r="W23" i="94"/>
  <c r="U24" i="104"/>
  <c r="AC23" i="104"/>
  <c r="S25" i="104"/>
  <c r="AA26" i="103"/>
  <c r="Y26" i="103"/>
  <c r="W25" i="104"/>
  <c r="W27" i="104"/>
  <c r="W26" i="104"/>
  <c r="AC27" i="104"/>
  <c r="U23" i="104"/>
  <c r="AF16" i="103"/>
  <c r="AC26" i="103"/>
  <c r="U26" i="103"/>
  <c r="AF12" i="104"/>
  <c r="AA28" i="104"/>
  <c r="AF11" i="104"/>
  <c r="AB22" i="104"/>
  <c r="T22" i="104"/>
  <c r="AB23" i="103"/>
  <c r="T23" i="103"/>
  <c r="W24" i="104"/>
  <c r="X22" i="104"/>
  <c r="AA38" i="101"/>
  <c r="T25" i="104"/>
  <c r="W22" i="104"/>
  <c r="S28" i="104"/>
  <c r="AA25" i="104"/>
  <c r="S27" i="104"/>
  <c r="Y27" i="104"/>
  <c r="W26" i="103"/>
  <c r="AC38" i="101"/>
  <c r="Y35" i="101"/>
  <c r="U38" i="101"/>
  <c r="AF18" i="104"/>
  <c r="AA22" i="104"/>
  <c r="S22" i="104"/>
  <c r="AC26" i="104"/>
  <c r="U26" i="104"/>
  <c r="Y23" i="103"/>
  <c r="U23" i="103"/>
  <c r="AF14" i="103"/>
  <c r="S26" i="104"/>
  <c r="AC23" i="103"/>
  <c r="AF15" i="103"/>
  <c r="AA23" i="103"/>
  <c r="W23" i="103"/>
  <c r="AF20" i="104"/>
  <c r="AF16" i="104"/>
  <c r="AE15" i="103"/>
  <c r="AF21" i="104"/>
  <c r="AF19" i="104"/>
  <c r="Y24" i="104"/>
  <c r="AF17" i="104"/>
  <c r="AF15" i="104"/>
  <c r="Y26" i="104"/>
  <c r="AD23" i="104"/>
  <c r="Z26" i="104"/>
  <c r="V23" i="104"/>
  <c r="Z23" i="104"/>
  <c r="AF13" i="103"/>
  <c r="AF12" i="103"/>
  <c r="AF11" i="103"/>
  <c r="AB26" i="99"/>
  <c r="T26" i="99"/>
  <c r="Z35" i="101"/>
  <c r="AB23" i="104"/>
  <c r="X26" i="104"/>
  <c r="T28" i="104"/>
  <c r="Y23" i="104"/>
  <c r="AF14" i="104"/>
  <c r="AD26" i="104"/>
  <c r="V26" i="104"/>
  <c r="S23" i="104"/>
  <c r="AF17" i="103"/>
  <c r="AF21" i="103"/>
  <c r="AF20" i="103"/>
  <c r="AF19" i="103"/>
  <c r="AF18" i="103"/>
  <c r="U27" i="104"/>
  <c r="Z28" i="104"/>
  <c r="Z25" i="104"/>
  <c r="Z22" i="104"/>
  <c r="AB27" i="104"/>
  <c r="AB24" i="104"/>
  <c r="X27" i="104"/>
  <c r="X24" i="104"/>
  <c r="T24" i="104"/>
  <c r="T27" i="104"/>
  <c r="AE13" i="104"/>
  <c r="Y28" i="104"/>
  <c r="Y25" i="104"/>
  <c r="Y22" i="104"/>
  <c r="O58" i="104"/>
  <c r="L60" i="104" s="1"/>
  <c r="AE10" i="104"/>
  <c r="AF10" i="104"/>
  <c r="P58" i="104"/>
  <c r="L59" i="104" s="1"/>
  <c r="AD28" i="103"/>
  <c r="AD25" i="103"/>
  <c r="AD22" i="103"/>
  <c r="Z28" i="103"/>
  <c r="Z25" i="103"/>
  <c r="Z22" i="103"/>
  <c r="V28" i="103"/>
  <c r="V25" i="103"/>
  <c r="V22" i="103"/>
  <c r="X28" i="104"/>
  <c r="X23" i="104"/>
  <c r="AE21" i="103"/>
  <c r="AE20" i="103"/>
  <c r="AE19" i="103"/>
  <c r="AE18" i="103"/>
  <c r="AE17" i="103"/>
  <c r="S26" i="103"/>
  <c r="S23" i="103"/>
  <c r="W28" i="103"/>
  <c r="W25" i="103"/>
  <c r="W22" i="103"/>
  <c r="Y28" i="103"/>
  <c r="Y25" i="103"/>
  <c r="Y22" i="103"/>
  <c r="O58" i="103"/>
  <c r="C60" i="103" s="1"/>
  <c r="AE10" i="103"/>
  <c r="AC26" i="99"/>
  <c r="AE21" i="104"/>
  <c r="AE20" i="104"/>
  <c r="AE19" i="104"/>
  <c r="AE18" i="104"/>
  <c r="AE17" i="104"/>
  <c r="AE16" i="104"/>
  <c r="AE15" i="104"/>
  <c r="AE14" i="104"/>
  <c r="AD28" i="104"/>
  <c r="AD25" i="104"/>
  <c r="AD22" i="104"/>
  <c r="V28" i="104"/>
  <c r="V25" i="104"/>
  <c r="V22" i="104"/>
  <c r="AD27" i="104"/>
  <c r="AD24" i="104"/>
  <c r="Z27" i="104"/>
  <c r="Z24" i="104"/>
  <c r="V27" i="104"/>
  <c r="V24" i="104"/>
  <c r="AB28" i="104"/>
  <c r="AB26" i="104"/>
  <c r="AE12" i="104"/>
  <c r="AE11" i="104"/>
  <c r="AC28" i="104"/>
  <c r="AC25" i="104"/>
  <c r="AC22" i="104"/>
  <c r="U28" i="104"/>
  <c r="U25" i="104"/>
  <c r="U22" i="104"/>
  <c r="AB28" i="103"/>
  <c r="AB25" i="103"/>
  <c r="AB22" i="103"/>
  <c r="X28" i="103"/>
  <c r="X25" i="103"/>
  <c r="X22" i="103"/>
  <c r="T28" i="103"/>
  <c r="T25" i="103"/>
  <c r="T22" i="103"/>
  <c r="T23" i="104"/>
  <c r="T26" i="104"/>
  <c r="AE16" i="103"/>
  <c r="AA28" i="103"/>
  <c r="AA25" i="103"/>
  <c r="AA22" i="103"/>
  <c r="S28" i="103"/>
  <c r="S25" i="103"/>
  <c r="S22" i="103"/>
  <c r="AE14" i="103"/>
  <c r="AE13" i="103"/>
  <c r="AE12" i="103"/>
  <c r="AE11" i="103"/>
  <c r="AC28" i="103"/>
  <c r="AC25" i="103"/>
  <c r="AC22" i="103"/>
  <c r="U28" i="103"/>
  <c r="U25" i="103"/>
  <c r="U22" i="103"/>
  <c r="P58" i="103"/>
  <c r="AF10" i="103"/>
  <c r="AB23" i="99"/>
  <c r="T23" i="99"/>
  <c r="X26" i="99"/>
  <c r="AF15" i="101"/>
  <c r="AF14" i="101"/>
  <c r="AF13" i="101"/>
  <c r="AF12" i="101"/>
  <c r="AF11" i="101"/>
  <c r="X23" i="99"/>
  <c r="AF21" i="101"/>
  <c r="AF20" i="101"/>
  <c r="AF19" i="101"/>
  <c r="AF18" i="101"/>
  <c r="AF17" i="101"/>
  <c r="AF16" i="101"/>
  <c r="AB40" i="101"/>
  <c r="AB37" i="101"/>
  <c r="AB34" i="101"/>
  <c r="X40" i="101"/>
  <c r="X37" i="101"/>
  <c r="X34" i="101"/>
  <c r="T40" i="101"/>
  <c r="T37" i="101"/>
  <c r="T34" i="101"/>
  <c r="AE21" i="101"/>
  <c r="AE20" i="101"/>
  <c r="AE19" i="101"/>
  <c r="AE18" i="101"/>
  <c r="AE17" i="101"/>
  <c r="AE16" i="101"/>
  <c r="AE15" i="101"/>
  <c r="S38" i="101"/>
  <c r="S35" i="101"/>
  <c r="W40" i="101"/>
  <c r="W37" i="101"/>
  <c r="W34" i="101"/>
  <c r="AE14" i="101"/>
  <c r="AE13" i="101"/>
  <c r="AE12" i="101"/>
  <c r="AE11" i="101"/>
  <c r="AC40" i="101"/>
  <c r="AC37" i="101"/>
  <c r="AC34" i="101"/>
  <c r="U40" i="101"/>
  <c r="U37" i="101"/>
  <c r="U34" i="101"/>
  <c r="AF10" i="101"/>
  <c r="Z23" i="99"/>
  <c r="Y23" i="99"/>
  <c r="AD40" i="101"/>
  <c r="AD37" i="101"/>
  <c r="AD34" i="101"/>
  <c r="Z40" i="101"/>
  <c r="Z37" i="101"/>
  <c r="Z34" i="101"/>
  <c r="V40" i="101"/>
  <c r="V37" i="101"/>
  <c r="V34" i="101"/>
  <c r="AA40" i="101"/>
  <c r="AA37" i="101"/>
  <c r="AA34" i="101"/>
  <c r="S40" i="101"/>
  <c r="S37" i="101"/>
  <c r="S34" i="101"/>
  <c r="Y40" i="101"/>
  <c r="Y37" i="101"/>
  <c r="Y34" i="101"/>
  <c r="AE10" i="101"/>
  <c r="AF13" i="96"/>
  <c r="AE19" i="96"/>
  <c r="AE17" i="96"/>
  <c r="AE15" i="96"/>
  <c r="S23" i="96"/>
  <c r="T25" i="94"/>
  <c r="AE18" i="96"/>
  <c r="AA23" i="99"/>
  <c r="W23" i="99"/>
  <c r="X25" i="94"/>
  <c r="AE16" i="96"/>
  <c r="AE21" i="96"/>
  <c r="AF14" i="99"/>
  <c r="AE20" i="96"/>
  <c r="AE14" i="96"/>
  <c r="S23" i="95"/>
  <c r="S25" i="94"/>
  <c r="AF21" i="99"/>
  <c r="AF20" i="99"/>
  <c r="AF19" i="99"/>
  <c r="AF18" i="99"/>
  <c r="AF17" i="99"/>
  <c r="AF16" i="99"/>
  <c r="AF15" i="99"/>
  <c r="AF13" i="99"/>
  <c r="AF12" i="99"/>
  <c r="AF11" i="99"/>
  <c r="AF13" i="94"/>
  <c r="S23" i="94"/>
  <c r="X22" i="94"/>
  <c r="AB28" i="99"/>
  <c r="AB25" i="99"/>
  <c r="AB22" i="99"/>
  <c r="X28" i="99"/>
  <c r="X25" i="99"/>
  <c r="X22" i="99"/>
  <c r="T28" i="99"/>
  <c r="T25" i="99"/>
  <c r="T22" i="99"/>
  <c r="S26" i="99"/>
  <c r="S23" i="99"/>
  <c r="W28" i="99"/>
  <c r="W25" i="99"/>
  <c r="W22" i="99"/>
  <c r="Y28" i="99"/>
  <c r="Y25" i="99"/>
  <c r="Y22" i="99"/>
  <c r="O58" i="99"/>
  <c r="C60" i="99" s="1"/>
  <c r="AE10" i="99"/>
  <c r="AA25" i="94"/>
  <c r="AF12" i="95"/>
  <c r="S24" i="96"/>
  <c r="S26" i="96"/>
  <c r="AD28" i="99"/>
  <c r="AD25" i="99"/>
  <c r="AD22" i="99"/>
  <c r="Z28" i="99"/>
  <c r="Z25" i="99"/>
  <c r="Z22" i="99"/>
  <c r="V28" i="99"/>
  <c r="V25" i="99"/>
  <c r="V22" i="99"/>
  <c r="AE21" i="99"/>
  <c r="AE20" i="99"/>
  <c r="AE19" i="99"/>
  <c r="AE18" i="99"/>
  <c r="AE17" i="99"/>
  <c r="AE16" i="99"/>
  <c r="AE15" i="99"/>
  <c r="AA28" i="99"/>
  <c r="AA25" i="99"/>
  <c r="AA22" i="99"/>
  <c r="S28" i="99"/>
  <c r="S25" i="99"/>
  <c r="S22" i="99"/>
  <c r="AE14" i="99"/>
  <c r="AE13" i="99"/>
  <c r="AE12" i="99"/>
  <c r="AE11" i="99"/>
  <c r="AC28" i="99"/>
  <c r="AC25" i="99"/>
  <c r="AC22" i="99"/>
  <c r="U28" i="99"/>
  <c r="U25" i="99"/>
  <c r="U22" i="99"/>
  <c r="P58" i="99"/>
  <c r="AF10" i="99"/>
  <c r="AB22" i="94"/>
  <c r="T22" i="94"/>
  <c r="AF12" i="96"/>
  <c r="W25" i="94"/>
  <c r="AE21" i="95"/>
  <c r="AE20" i="95"/>
  <c r="AB25" i="94"/>
  <c r="W22" i="94"/>
  <c r="AF11" i="94"/>
  <c r="W28" i="94"/>
  <c r="AE19" i="95"/>
  <c r="AE17" i="95"/>
  <c r="AE18" i="95"/>
  <c r="AF15" i="95"/>
  <c r="AF14" i="95"/>
  <c r="AF13" i="95"/>
  <c r="AF11" i="96"/>
  <c r="S27" i="95"/>
  <c r="S28" i="94"/>
  <c r="AA28" i="94"/>
  <c r="AF12" i="94"/>
  <c r="AF16" i="95"/>
  <c r="AF21" i="95"/>
  <c r="AF20" i="95"/>
  <c r="S26" i="95"/>
  <c r="AF20" i="94"/>
  <c r="AF18" i="94"/>
  <c r="AF16" i="94"/>
  <c r="AF14" i="94"/>
  <c r="AA22" i="94"/>
  <c r="S22" i="94"/>
  <c r="S24" i="95"/>
  <c r="AF11" i="95"/>
  <c r="S27" i="96"/>
  <c r="AF21" i="96"/>
  <c r="AF20" i="96"/>
  <c r="AF19" i="96"/>
  <c r="AF18" i="96"/>
  <c r="AF17" i="96"/>
  <c r="AF16" i="96"/>
  <c r="AF15" i="96"/>
  <c r="AF14" i="96"/>
  <c r="AD28" i="96"/>
  <c r="AD25" i="96"/>
  <c r="AD22" i="96"/>
  <c r="Z28" i="96"/>
  <c r="Z25" i="96"/>
  <c r="Z22" i="96"/>
  <c r="V28" i="96"/>
  <c r="V25" i="96"/>
  <c r="V22" i="96"/>
  <c r="P58" i="96"/>
  <c r="AF10" i="96"/>
  <c r="AA28" i="96"/>
  <c r="AA25" i="96"/>
  <c r="AA22" i="96"/>
  <c r="W28" i="96"/>
  <c r="W25" i="96"/>
  <c r="W22" i="96"/>
  <c r="S28" i="96"/>
  <c r="S25" i="96"/>
  <c r="S22" i="96"/>
  <c r="AB28" i="95"/>
  <c r="AB25" i="95"/>
  <c r="AB22" i="95"/>
  <c r="X28" i="95"/>
  <c r="X25" i="95"/>
  <c r="X22" i="95"/>
  <c r="T28" i="95"/>
  <c r="T25" i="95"/>
  <c r="T22" i="95"/>
  <c r="AE13" i="95"/>
  <c r="AE12" i="95"/>
  <c r="AE11" i="95"/>
  <c r="AC28" i="95"/>
  <c r="AC25" i="95"/>
  <c r="AC22" i="95"/>
  <c r="Y28" i="95"/>
  <c r="Y25" i="95"/>
  <c r="Y22" i="95"/>
  <c r="U28" i="95"/>
  <c r="U25" i="95"/>
  <c r="U22" i="95"/>
  <c r="O58" i="95"/>
  <c r="AE10" i="95"/>
  <c r="AB28" i="96"/>
  <c r="AB25" i="96"/>
  <c r="AB22" i="96"/>
  <c r="X28" i="96"/>
  <c r="X25" i="96"/>
  <c r="X22" i="96"/>
  <c r="T28" i="96"/>
  <c r="T25" i="96"/>
  <c r="T22" i="96"/>
  <c r="AE13" i="96"/>
  <c r="AE12" i="96"/>
  <c r="AE11" i="96"/>
  <c r="AC28" i="96"/>
  <c r="AC25" i="96"/>
  <c r="AC22" i="96"/>
  <c r="Y28" i="96"/>
  <c r="Y25" i="96"/>
  <c r="Y22" i="96"/>
  <c r="U28" i="96"/>
  <c r="U25" i="96"/>
  <c r="U22" i="96"/>
  <c r="O58" i="96"/>
  <c r="AE10" i="96"/>
  <c r="AF19" i="95"/>
  <c r="AF18" i="95"/>
  <c r="AF17" i="95"/>
  <c r="AD28" i="95"/>
  <c r="AD25" i="95"/>
  <c r="AD22" i="95"/>
  <c r="Z28" i="95"/>
  <c r="Z25" i="95"/>
  <c r="Z22" i="95"/>
  <c r="V28" i="95"/>
  <c r="V25" i="95"/>
  <c r="V22" i="95"/>
  <c r="P58" i="95"/>
  <c r="AF10" i="95"/>
  <c r="AE16" i="95"/>
  <c r="AE15" i="95"/>
  <c r="AE14" i="95"/>
  <c r="AA28" i="95"/>
  <c r="AA25" i="95"/>
  <c r="AA22" i="95"/>
  <c r="W28" i="95"/>
  <c r="W25" i="95"/>
  <c r="W22" i="95"/>
  <c r="S28" i="95"/>
  <c r="S25" i="95"/>
  <c r="S22" i="95"/>
  <c r="AB23" i="94"/>
  <c r="X26" i="94"/>
  <c r="AB28" i="94"/>
  <c r="X28" i="94"/>
  <c r="X23" i="94"/>
  <c r="AF21" i="94"/>
  <c r="AF19" i="94"/>
  <c r="AF17" i="94"/>
  <c r="AD23" i="94"/>
  <c r="Z26" i="94"/>
  <c r="V23" i="94"/>
  <c r="AF15" i="94"/>
  <c r="AB26" i="94"/>
  <c r="T28" i="94"/>
  <c r="Z28" i="94"/>
  <c r="Z25" i="94"/>
  <c r="Z22" i="94"/>
  <c r="AD27" i="94"/>
  <c r="AD24" i="94"/>
  <c r="Z27" i="94"/>
  <c r="Z24" i="94"/>
  <c r="V27" i="94"/>
  <c r="V24" i="94"/>
  <c r="AE12" i="94"/>
  <c r="AE11" i="94"/>
  <c r="AC28" i="94"/>
  <c r="AC25" i="94"/>
  <c r="AC22" i="94"/>
  <c r="U28" i="94"/>
  <c r="U25" i="94"/>
  <c r="U22" i="94"/>
  <c r="AD26" i="94"/>
  <c r="Z23" i="94"/>
  <c r="V26" i="94"/>
  <c r="AE21" i="94"/>
  <c r="AE20" i="94"/>
  <c r="AE19" i="94"/>
  <c r="AE18" i="94"/>
  <c r="AE17" i="94"/>
  <c r="AE16" i="94"/>
  <c r="AE15" i="94"/>
  <c r="AE14" i="94"/>
  <c r="AD28" i="94"/>
  <c r="AD25" i="94"/>
  <c r="AD22" i="94"/>
  <c r="V28" i="94"/>
  <c r="V25" i="94"/>
  <c r="V22" i="94"/>
  <c r="AB27" i="94"/>
  <c r="AB24" i="94"/>
  <c r="X27" i="94"/>
  <c r="X24" i="94"/>
  <c r="T24" i="94"/>
  <c r="T27" i="94"/>
  <c r="AE13" i="94"/>
  <c r="Y28" i="94"/>
  <c r="Y25" i="94"/>
  <c r="Y22" i="94"/>
  <c r="O58" i="94"/>
  <c r="C60" i="94" s="1"/>
  <c r="AE10" i="94"/>
  <c r="AF10" i="94"/>
  <c r="P58" i="94"/>
  <c r="H59" i="94" s="1"/>
  <c r="T23" i="94"/>
  <c r="T26" i="94"/>
  <c r="Z21" i="93"/>
  <c r="AD20" i="93"/>
  <c r="V20" i="93"/>
  <c r="Z19" i="93"/>
  <c r="AD18" i="93"/>
  <c r="V18" i="93"/>
  <c r="Z17" i="93"/>
  <c r="AD16" i="93"/>
  <c r="V16" i="93"/>
  <c r="Z15" i="93"/>
  <c r="AD14" i="93"/>
  <c r="V14" i="93"/>
  <c r="Z13" i="93"/>
  <c r="AD12" i="93"/>
  <c r="V12" i="93"/>
  <c r="Z11" i="93"/>
  <c r="AD21" i="93"/>
  <c r="V21" i="93"/>
  <c r="Z20" i="93"/>
  <c r="AD19" i="93"/>
  <c r="V19" i="93"/>
  <c r="Z18" i="93"/>
  <c r="AD17" i="93"/>
  <c r="V17" i="93"/>
  <c r="Z16" i="93"/>
  <c r="AD15" i="93"/>
  <c r="V15" i="93"/>
  <c r="Z14" i="93"/>
  <c r="AD13" i="93"/>
  <c r="V13" i="93"/>
  <c r="Z12" i="93"/>
  <c r="AD11" i="93"/>
  <c r="V11" i="93"/>
  <c r="AB21" i="93"/>
  <c r="X21" i="93"/>
  <c r="T21" i="93"/>
  <c r="AB20" i="93"/>
  <c r="X20" i="93"/>
  <c r="T20" i="93"/>
  <c r="AB19" i="93"/>
  <c r="X19" i="93"/>
  <c r="T19" i="93"/>
  <c r="AB18" i="93"/>
  <c r="X18" i="93"/>
  <c r="T18" i="93"/>
  <c r="AB17" i="93"/>
  <c r="X17" i="93"/>
  <c r="T17" i="93"/>
  <c r="AB16" i="93"/>
  <c r="X16" i="93"/>
  <c r="T16" i="93"/>
  <c r="AB15" i="93"/>
  <c r="X15" i="93"/>
  <c r="T15" i="93"/>
  <c r="AB14" i="93"/>
  <c r="X14" i="93"/>
  <c r="T14" i="93"/>
  <c r="AB13" i="93"/>
  <c r="X13" i="93"/>
  <c r="T13" i="93"/>
  <c r="AB12" i="93"/>
  <c r="X12" i="93"/>
  <c r="T12" i="93"/>
  <c r="AB11" i="93"/>
  <c r="X11" i="93"/>
  <c r="T11" i="93"/>
  <c r="AC21" i="93"/>
  <c r="AA21" i="93"/>
  <c r="Y21" i="93"/>
  <c r="W21" i="93"/>
  <c r="U21" i="93"/>
  <c r="S21" i="93"/>
  <c r="AC20" i="93"/>
  <c r="AA20" i="93"/>
  <c r="Y20" i="93"/>
  <c r="W20" i="93"/>
  <c r="U20" i="93"/>
  <c r="S20" i="93"/>
  <c r="AC19" i="93"/>
  <c r="AA19" i="93"/>
  <c r="Y19" i="93"/>
  <c r="W19" i="93"/>
  <c r="U19" i="93"/>
  <c r="S19" i="93"/>
  <c r="AC18" i="93"/>
  <c r="AA18" i="93"/>
  <c r="Y18" i="93"/>
  <c r="W18" i="93"/>
  <c r="U18" i="93"/>
  <c r="S18" i="93"/>
  <c r="AC17" i="93"/>
  <c r="AA17" i="93"/>
  <c r="Y17" i="93"/>
  <c r="W17" i="93"/>
  <c r="U17" i="93"/>
  <c r="S17" i="93"/>
  <c r="AC16" i="93"/>
  <c r="AA16" i="93"/>
  <c r="Y16" i="93"/>
  <c r="W16" i="93"/>
  <c r="U16" i="93"/>
  <c r="S16" i="93"/>
  <c r="AC15" i="93"/>
  <c r="AA15" i="93"/>
  <c r="Y15" i="93"/>
  <c r="W15" i="93"/>
  <c r="U15" i="93"/>
  <c r="S15" i="93"/>
  <c r="AC14" i="93"/>
  <c r="AA14" i="93"/>
  <c r="Y14" i="93"/>
  <c r="W14" i="93"/>
  <c r="U14" i="93"/>
  <c r="S14" i="93"/>
  <c r="AC13" i="93"/>
  <c r="AA13" i="93"/>
  <c r="Y13" i="93"/>
  <c r="W13" i="93"/>
  <c r="U13" i="93"/>
  <c r="S13" i="93"/>
  <c r="AC12" i="93"/>
  <c r="AA12" i="93"/>
  <c r="Y12" i="93"/>
  <c r="W12" i="93"/>
  <c r="U12" i="93"/>
  <c r="S12" i="93"/>
  <c r="AC11" i="93"/>
  <c r="AA11" i="93"/>
  <c r="Y11" i="93"/>
  <c r="W11" i="93"/>
  <c r="U11" i="93"/>
  <c r="S11" i="93"/>
  <c r="S10" i="93"/>
  <c r="AC10" i="93"/>
  <c r="AA10" i="93"/>
  <c r="Y10" i="93"/>
  <c r="W10" i="93"/>
  <c r="U10" i="93"/>
  <c r="AD10" i="93"/>
  <c r="AB10" i="93"/>
  <c r="Z10" i="93"/>
  <c r="X10" i="93"/>
  <c r="V10" i="93"/>
  <c r="T10" i="93"/>
  <c r="P34" i="93"/>
  <c r="P50" i="93"/>
  <c r="P18" i="93"/>
  <c r="N58" i="93"/>
  <c r="P42" i="93"/>
  <c r="P26" i="93"/>
  <c r="P56" i="93"/>
  <c r="P46" i="93"/>
  <c r="P38" i="93"/>
  <c r="P30" i="93"/>
  <c r="P22" i="93"/>
  <c r="P14" i="93"/>
  <c r="F58" i="93"/>
  <c r="P10" i="93"/>
  <c r="P52" i="93"/>
  <c r="P48" i="93"/>
  <c r="P44" i="93"/>
  <c r="P40" i="93"/>
  <c r="P36" i="93"/>
  <c r="P32" i="93"/>
  <c r="P28" i="93"/>
  <c r="P24" i="93"/>
  <c r="P23" i="93"/>
  <c r="P20" i="93"/>
  <c r="P16" i="93"/>
  <c r="P12" i="93"/>
  <c r="P54" i="93"/>
  <c r="P51" i="93"/>
  <c r="P49" i="93"/>
  <c r="P35" i="93"/>
  <c r="P33" i="93"/>
  <c r="P31" i="93"/>
  <c r="P21" i="93"/>
  <c r="P19" i="93"/>
  <c r="P17" i="93"/>
  <c r="P15" i="93"/>
  <c r="P13" i="93"/>
  <c r="P11" i="93"/>
  <c r="P47" i="93"/>
  <c r="P45" i="93"/>
  <c r="P43" i="93"/>
  <c r="P41" i="93"/>
  <c r="P39" i="93"/>
  <c r="P37" i="93"/>
  <c r="P29" i="93"/>
  <c r="P27" i="93"/>
  <c r="P25" i="93"/>
  <c r="K58" i="93"/>
  <c r="G58" i="93"/>
  <c r="P57" i="93"/>
  <c r="P55" i="93"/>
  <c r="H58" i="93"/>
  <c r="D58" i="93"/>
  <c r="L58" i="93"/>
  <c r="P53" i="93"/>
  <c r="J58" i="93"/>
  <c r="E58" i="93"/>
  <c r="I58" i="93"/>
  <c r="O27" i="93"/>
  <c r="O29" i="93"/>
  <c r="O31" i="93"/>
  <c r="O33" i="93"/>
  <c r="O35" i="93"/>
  <c r="O37" i="93"/>
  <c r="O39" i="93"/>
  <c r="O41" i="93"/>
  <c r="O43" i="93"/>
  <c r="O45" i="93"/>
  <c r="O47" i="93"/>
  <c r="O49" i="93"/>
  <c r="O51" i="93"/>
  <c r="O53" i="93"/>
  <c r="O55" i="93"/>
  <c r="O57" i="93"/>
  <c r="M58" i="93"/>
  <c r="O10" i="93"/>
  <c r="O11" i="93"/>
  <c r="O12" i="93"/>
  <c r="O13" i="93"/>
  <c r="O14" i="93"/>
  <c r="O15" i="93"/>
  <c r="O16" i="93"/>
  <c r="O17" i="93"/>
  <c r="O18" i="93"/>
  <c r="O19" i="93"/>
  <c r="O20" i="93"/>
  <c r="O21" i="93"/>
  <c r="O22" i="93"/>
  <c r="O23" i="93"/>
  <c r="O24" i="93"/>
  <c r="O25" i="93"/>
  <c r="O26" i="93"/>
  <c r="O28" i="93"/>
  <c r="O30" i="93"/>
  <c r="O34" i="93"/>
  <c r="O36" i="93"/>
  <c r="O38" i="93"/>
  <c r="O40" i="93"/>
  <c r="O42" i="93"/>
  <c r="O44" i="93"/>
  <c r="O46" i="93"/>
  <c r="O48" i="93"/>
  <c r="O50" i="93"/>
  <c r="O52" i="93"/>
  <c r="O54" i="93"/>
  <c r="O56" i="93"/>
  <c r="C58" i="93"/>
  <c r="AF11" i="107" l="1"/>
  <c r="F106" i="111"/>
  <c r="W35" i="108"/>
  <c r="X41" i="108"/>
  <c r="X34" i="108"/>
  <c r="X40" i="108"/>
  <c r="X37" i="108"/>
  <c r="W36" i="107"/>
  <c r="W39" i="107"/>
  <c r="Z39" i="107"/>
  <c r="Z36" i="107"/>
  <c r="AC34" i="108"/>
  <c r="AC37" i="108"/>
  <c r="AC40" i="108"/>
  <c r="AC41" i="108"/>
  <c r="AC42" i="108" s="1"/>
  <c r="Y39" i="108"/>
  <c r="Y36" i="108"/>
  <c r="S36" i="108"/>
  <c r="S39" i="108"/>
  <c r="V38" i="107"/>
  <c r="V35" i="107"/>
  <c r="AE13" i="107"/>
  <c r="AF14" i="108"/>
  <c r="AE11" i="108"/>
  <c r="AE15" i="108"/>
  <c r="AE17" i="108"/>
  <c r="AF13" i="108"/>
  <c r="H106" i="111"/>
  <c r="M106" i="111"/>
  <c r="D106" i="111"/>
  <c r="X39" i="107"/>
  <c r="X36" i="107"/>
  <c r="Z38" i="107"/>
  <c r="Z35" i="107"/>
  <c r="W38" i="107"/>
  <c r="W35" i="107"/>
  <c r="AA37" i="108"/>
  <c r="AA41" i="108"/>
  <c r="AA34" i="108"/>
  <c r="AA40" i="108"/>
  <c r="V39" i="108"/>
  <c r="V36" i="108"/>
  <c r="AC35" i="107"/>
  <c r="AC38" i="107"/>
  <c r="U39" i="107"/>
  <c r="U36" i="107"/>
  <c r="Z41" i="107"/>
  <c r="Z42" i="107" s="1"/>
  <c r="Z34" i="107"/>
  <c r="Z40" i="107"/>
  <c r="Z37" i="107"/>
  <c r="AD38" i="108"/>
  <c r="AD35" i="108"/>
  <c r="AC39" i="108"/>
  <c r="AC36" i="108"/>
  <c r="U38" i="108"/>
  <c r="X35" i="108"/>
  <c r="AB41" i="108"/>
  <c r="AB34" i="108"/>
  <c r="AB40" i="108"/>
  <c r="AB37" i="108"/>
  <c r="Z41" i="108"/>
  <c r="Z34" i="108"/>
  <c r="Z40" i="108"/>
  <c r="Z37" i="108"/>
  <c r="S36" i="107"/>
  <c r="S39" i="107"/>
  <c r="AE36" i="107"/>
  <c r="AF10" i="108"/>
  <c r="P106" i="108"/>
  <c r="U39" i="108"/>
  <c r="U36" i="108"/>
  <c r="AF17" i="107"/>
  <c r="AE14" i="107"/>
  <c r="AE16" i="107"/>
  <c r="AE17" i="107"/>
  <c r="AF13" i="107"/>
  <c r="AF12" i="108"/>
  <c r="AF16" i="108"/>
  <c r="AE19" i="108"/>
  <c r="AE12" i="108"/>
  <c r="AF19" i="108"/>
  <c r="AE10" i="108"/>
  <c r="O106" i="108"/>
  <c r="H108" i="108" s="1"/>
  <c r="G106" i="111"/>
  <c r="N106" i="111"/>
  <c r="C106" i="111"/>
  <c r="J106" i="111"/>
  <c r="Y34" i="108"/>
  <c r="Y37" i="108"/>
  <c r="Y40" i="108"/>
  <c r="Y41" i="108"/>
  <c r="Y42" i="108" s="1"/>
  <c r="AD41" i="108"/>
  <c r="AD42" i="108" s="1"/>
  <c r="AD37" i="108"/>
  <c r="AD34" i="108"/>
  <c r="AD40" i="108"/>
  <c r="Y35" i="108"/>
  <c r="Y38" i="108"/>
  <c r="T41" i="108"/>
  <c r="T37" i="108"/>
  <c r="T34" i="108"/>
  <c r="T40" i="108"/>
  <c r="T38" i="107"/>
  <c r="T35" i="107"/>
  <c r="AB39" i="107"/>
  <c r="AB36" i="107"/>
  <c r="U34" i="107"/>
  <c r="U37" i="107"/>
  <c r="U41" i="107"/>
  <c r="U42" i="107" s="1"/>
  <c r="U40" i="107"/>
  <c r="AC34" i="107"/>
  <c r="AC40" i="107"/>
  <c r="AC37" i="107"/>
  <c r="AC41" i="107"/>
  <c r="S37" i="107"/>
  <c r="S41" i="107"/>
  <c r="S40" i="107"/>
  <c r="S34" i="107"/>
  <c r="W39" i="108"/>
  <c r="Z38" i="108"/>
  <c r="Z35" i="108"/>
  <c r="T38" i="108"/>
  <c r="T35" i="108"/>
  <c r="Y39" i="107"/>
  <c r="Y36" i="107"/>
  <c r="AD38" i="107"/>
  <c r="AD35" i="107"/>
  <c r="X39" i="108"/>
  <c r="X36" i="108"/>
  <c r="U34" i="108"/>
  <c r="U41" i="108"/>
  <c r="U40" i="108"/>
  <c r="U37" i="108"/>
  <c r="AA36" i="108"/>
  <c r="AA39" i="108"/>
  <c r="AD39" i="107"/>
  <c r="AD36" i="107"/>
  <c r="W37" i="107"/>
  <c r="W41" i="107"/>
  <c r="W40" i="107"/>
  <c r="W34" i="107"/>
  <c r="W37" i="108"/>
  <c r="W41" i="108"/>
  <c r="W34" i="108"/>
  <c r="W40" i="108"/>
  <c r="S38" i="107"/>
  <c r="S35" i="107"/>
  <c r="AA36" i="107"/>
  <c r="AA39" i="107"/>
  <c r="X41" i="107"/>
  <c r="X34" i="107"/>
  <c r="X40" i="107"/>
  <c r="X37" i="107"/>
  <c r="P106" i="107"/>
  <c r="AF10" i="107"/>
  <c r="AE14" i="108"/>
  <c r="I106" i="111"/>
  <c r="AB39" i="108"/>
  <c r="AB36" i="108"/>
  <c r="T39" i="108"/>
  <c r="T36" i="108"/>
  <c r="AB38" i="107"/>
  <c r="AB35" i="107"/>
  <c r="T39" i="107"/>
  <c r="T36" i="107"/>
  <c r="Y34" i="107"/>
  <c r="Y37" i="107"/>
  <c r="Y40" i="107"/>
  <c r="Y41" i="107"/>
  <c r="Y42" i="107" s="1"/>
  <c r="AA38" i="108"/>
  <c r="AA35" i="108"/>
  <c r="Y35" i="107"/>
  <c r="Y38" i="107"/>
  <c r="V38" i="108"/>
  <c r="V35" i="108"/>
  <c r="AE10" i="107"/>
  <c r="O106" i="107"/>
  <c r="H108" i="107" s="1"/>
  <c r="AE15" i="107"/>
  <c r="AF14" i="107"/>
  <c r="AE12" i="107"/>
  <c r="AF18" i="107"/>
  <c r="AF19" i="107"/>
  <c r="AF20" i="107"/>
  <c r="AE21" i="107"/>
  <c r="AE39" i="107" s="1"/>
  <c r="AF12" i="107"/>
  <c r="AE16" i="108"/>
  <c r="AF18" i="108"/>
  <c r="AF11" i="108"/>
  <c r="AE13" i="108"/>
  <c r="AF17" i="108"/>
  <c r="K106" i="111"/>
  <c r="E106" i="111"/>
  <c r="L106" i="111"/>
  <c r="X38" i="107"/>
  <c r="X35" i="107"/>
  <c r="V39" i="107"/>
  <c r="V36" i="107"/>
  <c r="AB41" i="107"/>
  <c r="AB34" i="107"/>
  <c r="AB40" i="107"/>
  <c r="AB37" i="107"/>
  <c r="AD39" i="108"/>
  <c r="AD36" i="108"/>
  <c r="S38" i="108"/>
  <c r="S35" i="108"/>
  <c r="S37" i="108"/>
  <c r="S41" i="108"/>
  <c r="S40" i="108"/>
  <c r="S34" i="108"/>
  <c r="U35" i="107"/>
  <c r="U38" i="107"/>
  <c r="AC39" i="107"/>
  <c r="AC36" i="107"/>
  <c r="V41" i="107"/>
  <c r="V37" i="107"/>
  <c r="V40" i="107"/>
  <c r="V34" i="107"/>
  <c r="AD41" i="107"/>
  <c r="AD37" i="107"/>
  <c r="AD40" i="107"/>
  <c r="AD34" i="107"/>
  <c r="AA37" i="107"/>
  <c r="AA41" i="107"/>
  <c r="AA42" i="107" s="1"/>
  <c r="AA34" i="107"/>
  <c r="AA40" i="107"/>
  <c r="T41" i="107"/>
  <c r="T37" i="107"/>
  <c r="T34" i="107"/>
  <c r="T40" i="107"/>
  <c r="V41" i="108"/>
  <c r="V37" i="108"/>
  <c r="V40" i="108"/>
  <c r="V34" i="108"/>
  <c r="Z39" i="108"/>
  <c r="Z36" i="108"/>
  <c r="AA38" i="107"/>
  <c r="AA35" i="107"/>
  <c r="S42" i="110"/>
  <c r="AA42" i="110"/>
  <c r="X42" i="109"/>
  <c r="V22" i="93"/>
  <c r="O47" i="111"/>
  <c r="O52" i="111"/>
  <c r="O12" i="111"/>
  <c r="P26" i="111"/>
  <c r="P46" i="111"/>
  <c r="P10" i="111"/>
  <c r="O22" i="111"/>
  <c r="P31" i="111"/>
  <c r="O34" i="111"/>
  <c r="P17" i="111"/>
  <c r="O21" i="111"/>
  <c r="O37" i="111"/>
  <c r="P41" i="111"/>
  <c r="O42" i="111"/>
  <c r="P53" i="111"/>
  <c r="P13" i="111"/>
  <c r="O14" i="111"/>
  <c r="O15" i="111"/>
  <c r="O17" i="111"/>
  <c r="O19" i="111"/>
  <c r="P20" i="111"/>
  <c r="P25" i="111"/>
  <c r="O26" i="111"/>
  <c r="P28" i="111"/>
  <c r="P30" i="111"/>
  <c r="O32" i="111"/>
  <c r="P33" i="111"/>
  <c r="P38" i="111"/>
  <c r="P39" i="111"/>
  <c r="O40" i="111"/>
  <c r="P44" i="111"/>
  <c r="P47" i="111"/>
  <c r="P50" i="111"/>
  <c r="P51" i="111"/>
  <c r="P54" i="111"/>
  <c r="O55" i="111"/>
  <c r="P23" i="111"/>
  <c r="O23" i="111"/>
  <c r="O43" i="111"/>
  <c r="O49" i="111"/>
  <c r="P49" i="111"/>
  <c r="P56" i="111"/>
  <c r="O10" i="111"/>
  <c r="C108" i="110"/>
  <c r="P15" i="111"/>
  <c r="O28" i="111"/>
  <c r="O35" i="111"/>
  <c r="O25" i="111"/>
  <c r="O44" i="111"/>
  <c r="O54" i="111"/>
  <c r="P36" i="111"/>
  <c r="O57" i="111"/>
  <c r="O11" i="111"/>
  <c r="O13" i="111"/>
  <c r="O16" i="111"/>
  <c r="O20" i="111"/>
  <c r="P21" i="111"/>
  <c r="P24" i="111"/>
  <c r="P29" i="111"/>
  <c r="O30" i="111"/>
  <c r="O33" i="111"/>
  <c r="P34" i="111"/>
  <c r="P35" i="111"/>
  <c r="O36" i="111"/>
  <c r="P37" i="111"/>
  <c r="O38" i="111"/>
  <c r="O41" i="111"/>
  <c r="P42" i="111"/>
  <c r="P45" i="111"/>
  <c r="O46" i="111"/>
  <c r="O48" i="111"/>
  <c r="O50" i="111"/>
  <c r="O51" i="111"/>
  <c r="O53" i="111"/>
  <c r="P55" i="111"/>
  <c r="O56" i="111"/>
  <c r="P57" i="111"/>
  <c r="P14" i="111"/>
  <c r="P16" i="111"/>
  <c r="O18" i="111"/>
  <c r="O27" i="111"/>
  <c r="O29" i="111"/>
  <c r="O39" i="111"/>
  <c r="P48" i="111"/>
  <c r="P52" i="111"/>
  <c r="P12" i="111"/>
  <c r="P19" i="111"/>
  <c r="O24" i="111"/>
  <c r="O31" i="111"/>
  <c r="O45" i="111"/>
  <c r="P11" i="111"/>
  <c r="P18" i="111"/>
  <c r="P22" i="111"/>
  <c r="P27" i="111"/>
  <c r="P32" i="111"/>
  <c r="P40" i="111"/>
  <c r="P43" i="111"/>
  <c r="F108" i="110"/>
  <c r="H108" i="110"/>
  <c r="N108" i="110"/>
  <c r="AE39" i="110"/>
  <c r="W42" i="110"/>
  <c r="AE36" i="110"/>
  <c r="F107" i="110"/>
  <c r="C107" i="110"/>
  <c r="H107" i="110"/>
  <c r="T42" i="110"/>
  <c r="Y42" i="110"/>
  <c r="X42" i="110"/>
  <c r="AF36" i="110"/>
  <c r="AF39" i="110"/>
  <c r="AF35" i="110"/>
  <c r="AF38" i="110"/>
  <c r="U42" i="110"/>
  <c r="AC42" i="110"/>
  <c r="AE38" i="110"/>
  <c r="AE35" i="110"/>
  <c r="V42" i="110"/>
  <c r="AB42" i="110"/>
  <c r="M107" i="110"/>
  <c r="D107" i="110"/>
  <c r="L107" i="110"/>
  <c r="E107" i="110"/>
  <c r="G107" i="110"/>
  <c r="I107" i="110"/>
  <c r="K107" i="110"/>
  <c r="AE41" i="110"/>
  <c r="AE40" i="110"/>
  <c r="AE37" i="110"/>
  <c r="AE34" i="110"/>
  <c r="Z42" i="110"/>
  <c r="AD42" i="110"/>
  <c r="AF41" i="110"/>
  <c r="AF40" i="110"/>
  <c r="AF37" i="110"/>
  <c r="AF34" i="110"/>
  <c r="D108" i="110"/>
  <c r="L108" i="110"/>
  <c r="E108" i="110"/>
  <c r="G108" i="110"/>
  <c r="I108" i="110"/>
  <c r="K108" i="110"/>
  <c r="J107" i="110"/>
  <c r="H107" i="109"/>
  <c r="U42" i="109"/>
  <c r="Y42" i="109"/>
  <c r="AC42" i="109"/>
  <c r="AF39" i="109"/>
  <c r="AF36" i="109"/>
  <c r="AF38" i="109"/>
  <c r="AF35" i="109"/>
  <c r="M107" i="109"/>
  <c r="D107" i="109"/>
  <c r="L107" i="109"/>
  <c r="C107" i="109"/>
  <c r="E107" i="109"/>
  <c r="G107" i="109"/>
  <c r="I107" i="109"/>
  <c r="K107" i="109"/>
  <c r="D108" i="109"/>
  <c r="L108" i="109"/>
  <c r="C108" i="109"/>
  <c r="E108" i="109"/>
  <c r="G108" i="109"/>
  <c r="I108" i="109"/>
  <c r="K108" i="109"/>
  <c r="F108" i="109"/>
  <c r="N107" i="109"/>
  <c r="S42" i="109"/>
  <c r="W42" i="109"/>
  <c r="AA42" i="109"/>
  <c r="H108" i="109"/>
  <c r="J108" i="109"/>
  <c r="AF41" i="109"/>
  <c r="AF40" i="109"/>
  <c r="AF37" i="109"/>
  <c r="AF34" i="109"/>
  <c r="V42" i="109"/>
  <c r="AB42" i="109"/>
  <c r="AE39" i="109"/>
  <c r="AE36" i="109"/>
  <c r="AE41" i="109"/>
  <c r="AE40" i="109"/>
  <c r="AE37" i="109"/>
  <c r="AE34" i="109"/>
  <c r="AE38" i="109"/>
  <c r="AE35" i="109"/>
  <c r="F107" i="109"/>
  <c r="N108" i="109"/>
  <c r="T42" i="109"/>
  <c r="Z42" i="109"/>
  <c r="AD42" i="109"/>
  <c r="C107" i="107"/>
  <c r="F107" i="105"/>
  <c r="H107" i="108"/>
  <c r="E107" i="105"/>
  <c r="D107" i="105"/>
  <c r="C107" i="105"/>
  <c r="AF35" i="105"/>
  <c r="D108" i="105"/>
  <c r="F108" i="105"/>
  <c r="C108" i="105"/>
  <c r="E108" i="105"/>
  <c r="AF38" i="105"/>
  <c r="T42" i="105"/>
  <c r="V42" i="105"/>
  <c r="U42" i="105"/>
  <c r="W42" i="105"/>
  <c r="Y42" i="105"/>
  <c r="AC42" i="105"/>
  <c r="AF39" i="105"/>
  <c r="AF36" i="105"/>
  <c r="M107" i="105"/>
  <c r="N107" i="105"/>
  <c r="I107" i="105"/>
  <c r="K107" i="105"/>
  <c r="H107" i="105"/>
  <c r="J107" i="105"/>
  <c r="L107" i="105"/>
  <c r="I108" i="105"/>
  <c r="K108" i="105"/>
  <c r="H108" i="105"/>
  <c r="J108" i="105"/>
  <c r="L108" i="105"/>
  <c r="N108" i="105"/>
  <c r="AE38" i="105"/>
  <c r="AE35" i="105"/>
  <c r="AE39" i="105"/>
  <c r="AE36" i="105"/>
  <c r="S42" i="105"/>
  <c r="AA42" i="105"/>
  <c r="X42" i="105"/>
  <c r="AB42" i="105"/>
  <c r="AF41" i="105"/>
  <c r="AF40" i="105"/>
  <c r="AF37" i="105"/>
  <c r="AF34" i="105"/>
  <c r="AE41" i="105"/>
  <c r="AE40" i="105"/>
  <c r="AE37" i="105"/>
  <c r="AE34" i="105"/>
  <c r="Z42" i="105"/>
  <c r="AD42" i="105"/>
  <c r="Z42" i="101"/>
  <c r="U42" i="101"/>
  <c r="W42" i="101"/>
  <c r="X42" i="101"/>
  <c r="Y42" i="101"/>
  <c r="V42" i="101"/>
  <c r="AA42" i="101"/>
  <c r="AD42" i="101"/>
  <c r="AC42" i="101"/>
  <c r="T42" i="101"/>
  <c r="AB42" i="101"/>
  <c r="S42" i="101"/>
  <c r="AF41" i="101"/>
  <c r="AE41" i="101"/>
  <c r="AF23" i="104"/>
  <c r="AF27" i="104"/>
  <c r="H60" i="104"/>
  <c r="C60" i="104"/>
  <c r="AF26" i="104"/>
  <c r="AF24" i="104"/>
  <c r="H59" i="104"/>
  <c r="AF26" i="103"/>
  <c r="AF23" i="103"/>
  <c r="H60" i="94"/>
  <c r="C59" i="104"/>
  <c r="AF27" i="103"/>
  <c r="AF24" i="103"/>
  <c r="M59" i="103"/>
  <c r="D59" i="103"/>
  <c r="H59" i="103"/>
  <c r="L59" i="103"/>
  <c r="E59" i="103"/>
  <c r="G59" i="103"/>
  <c r="I59" i="103"/>
  <c r="K59" i="103"/>
  <c r="F59" i="103"/>
  <c r="J59" i="103"/>
  <c r="N59" i="103"/>
  <c r="AE27" i="104"/>
  <c r="AE24" i="104"/>
  <c r="E60" i="103"/>
  <c r="G60" i="103"/>
  <c r="I60" i="103"/>
  <c r="K60" i="103"/>
  <c r="F60" i="103"/>
  <c r="J60" i="103"/>
  <c r="N60" i="103"/>
  <c r="D60" i="103"/>
  <c r="H60" i="103"/>
  <c r="L60" i="103"/>
  <c r="AF22" i="104"/>
  <c r="AF28" i="104"/>
  <c r="AF25" i="104"/>
  <c r="F60" i="104"/>
  <c r="E60" i="104"/>
  <c r="G60" i="104"/>
  <c r="I60" i="104"/>
  <c r="K60" i="104"/>
  <c r="J60" i="104"/>
  <c r="N60" i="104"/>
  <c r="AE26" i="104"/>
  <c r="AE23" i="104"/>
  <c r="D60" i="104"/>
  <c r="AF35" i="101"/>
  <c r="AF28" i="103"/>
  <c r="AF25" i="103"/>
  <c r="AF22" i="103"/>
  <c r="AE26" i="103"/>
  <c r="AE23" i="103"/>
  <c r="C59" i="103"/>
  <c r="AE28" i="103"/>
  <c r="AE25" i="103"/>
  <c r="AE22" i="103"/>
  <c r="AE27" i="103"/>
  <c r="AE24" i="103"/>
  <c r="F59" i="104"/>
  <c r="M59" i="104"/>
  <c r="J59" i="104"/>
  <c r="E59" i="104"/>
  <c r="G59" i="104"/>
  <c r="I59" i="104"/>
  <c r="K59" i="104"/>
  <c r="N59" i="104"/>
  <c r="AE28" i="104"/>
  <c r="AE25" i="104"/>
  <c r="AE22" i="104"/>
  <c r="D59" i="104"/>
  <c r="AE27" i="96"/>
  <c r="AF36" i="101"/>
  <c r="AF39" i="101"/>
  <c r="AF38" i="101"/>
  <c r="F108" i="101"/>
  <c r="J108" i="101"/>
  <c r="N108" i="101"/>
  <c r="E108" i="101"/>
  <c r="G108" i="101"/>
  <c r="I108" i="101"/>
  <c r="K108" i="101"/>
  <c r="D108" i="101"/>
  <c r="H108" i="101"/>
  <c r="L108" i="101"/>
  <c r="E107" i="101"/>
  <c r="G107" i="101"/>
  <c r="I107" i="101"/>
  <c r="K107" i="101"/>
  <c r="D107" i="101"/>
  <c r="H107" i="101"/>
  <c r="L107" i="101"/>
  <c r="M107" i="101"/>
  <c r="F107" i="101"/>
  <c r="J107" i="101"/>
  <c r="N107" i="101"/>
  <c r="AE39" i="101"/>
  <c r="AE36" i="101"/>
  <c r="AE24" i="96"/>
  <c r="C107" i="101"/>
  <c r="AE40" i="101"/>
  <c r="AE37" i="101"/>
  <c r="AE34" i="101"/>
  <c r="AF40" i="101"/>
  <c r="AF37" i="101"/>
  <c r="AF34" i="101"/>
  <c r="AE38" i="101"/>
  <c r="AE35" i="101"/>
  <c r="AF23" i="99"/>
  <c r="AF26" i="99"/>
  <c r="AF24" i="99"/>
  <c r="AF27" i="99"/>
  <c r="AF28" i="99"/>
  <c r="AF25" i="99"/>
  <c r="AF22" i="99"/>
  <c r="AE26" i="99"/>
  <c r="AE23" i="99"/>
  <c r="AE27" i="99"/>
  <c r="AE24" i="99"/>
  <c r="E60" i="99"/>
  <c r="G60" i="99"/>
  <c r="I60" i="99"/>
  <c r="K60" i="99"/>
  <c r="F60" i="99"/>
  <c r="J60" i="99"/>
  <c r="N60" i="99"/>
  <c r="D60" i="99"/>
  <c r="H60" i="99"/>
  <c r="L60" i="99"/>
  <c r="M59" i="99"/>
  <c r="D59" i="99"/>
  <c r="H59" i="99"/>
  <c r="L59" i="99"/>
  <c r="E59" i="99"/>
  <c r="G59" i="99"/>
  <c r="I59" i="99"/>
  <c r="K59" i="99"/>
  <c r="F59" i="99"/>
  <c r="J59" i="99"/>
  <c r="N59" i="99"/>
  <c r="C59" i="99"/>
  <c r="AE28" i="99"/>
  <c r="AE25" i="99"/>
  <c r="AE22" i="99"/>
  <c r="AE27" i="95"/>
  <c r="AE24" i="95"/>
  <c r="AF23" i="94"/>
  <c r="AF27" i="94"/>
  <c r="AF26" i="96"/>
  <c r="AF24" i="94"/>
  <c r="AF26" i="94"/>
  <c r="AF26" i="95"/>
  <c r="AF28" i="95"/>
  <c r="AF25" i="95"/>
  <c r="AF22" i="95"/>
  <c r="AE28" i="96"/>
  <c r="AE25" i="96"/>
  <c r="AE22" i="96"/>
  <c r="C60" i="95"/>
  <c r="E60" i="95"/>
  <c r="G60" i="95"/>
  <c r="I60" i="95"/>
  <c r="K60" i="95"/>
  <c r="D60" i="95"/>
  <c r="F60" i="95"/>
  <c r="H60" i="95"/>
  <c r="J60" i="95"/>
  <c r="L60" i="95"/>
  <c r="N60" i="95"/>
  <c r="AE26" i="95"/>
  <c r="AE23" i="95"/>
  <c r="C59" i="96"/>
  <c r="E59" i="96"/>
  <c r="G59" i="96"/>
  <c r="I59" i="96"/>
  <c r="K59" i="96"/>
  <c r="D59" i="96"/>
  <c r="F59" i="96"/>
  <c r="H59" i="96"/>
  <c r="J59" i="96"/>
  <c r="L59" i="96"/>
  <c r="N59" i="96"/>
  <c r="M59" i="96"/>
  <c r="AF23" i="95"/>
  <c r="AF23" i="96"/>
  <c r="L60" i="94"/>
  <c r="M59" i="95"/>
  <c r="C59" i="95"/>
  <c r="E59" i="95"/>
  <c r="G59" i="95"/>
  <c r="I59" i="95"/>
  <c r="K59" i="95"/>
  <c r="D59" i="95"/>
  <c r="F59" i="95"/>
  <c r="H59" i="95"/>
  <c r="J59" i="95"/>
  <c r="L59" i="95"/>
  <c r="N59" i="95"/>
  <c r="AF27" i="95"/>
  <c r="AF24" i="95"/>
  <c r="C60" i="96"/>
  <c r="E60" i="96"/>
  <c r="G60" i="96"/>
  <c r="I60" i="96"/>
  <c r="K60" i="96"/>
  <c r="D60" i="96"/>
  <c r="F60" i="96"/>
  <c r="H60" i="96"/>
  <c r="J60" i="96"/>
  <c r="L60" i="96"/>
  <c r="N60" i="96"/>
  <c r="AE26" i="96"/>
  <c r="AE23" i="96"/>
  <c r="AE28" i="95"/>
  <c r="AE25" i="95"/>
  <c r="AE22" i="95"/>
  <c r="AF28" i="96"/>
  <c r="AF25" i="96"/>
  <c r="AF22" i="96"/>
  <c r="AF27" i="96"/>
  <c r="AF24" i="96"/>
  <c r="E59" i="94"/>
  <c r="G59" i="94"/>
  <c r="I59" i="94"/>
  <c r="K59" i="94"/>
  <c r="F59" i="94"/>
  <c r="J59" i="94"/>
  <c r="N59" i="94"/>
  <c r="M59" i="94"/>
  <c r="AE28" i="94"/>
  <c r="AE25" i="94"/>
  <c r="AE22" i="94"/>
  <c r="D59" i="94"/>
  <c r="AF22" i="94"/>
  <c r="AF28" i="94"/>
  <c r="AF25" i="94"/>
  <c r="F60" i="94"/>
  <c r="J60" i="94"/>
  <c r="N60" i="94"/>
  <c r="E60" i="94"/>
  <c r="G60" i="94"/>
  <c r="I60" i="94"/>
  <c r="K60" i="94"/>
  <c r="AE26" i="94"/>
  <c r="AE23" i="94"/>
  <c r="D60" i="94"/>
  <c r="AE27" i="94"/>
  <c r="AE24" i="94"/>
  <c r="C59" i="94"/>
  <c r="L59" i="94"/>
  <c r="T22" i="93"/>
  <c r="X22" i="93"/>
  <c r="AB22" i="93"/>
  <c r="U22" i="93"/>
  <c r="Y22" i="93"/>
  <c r="AC22" i="93"/>
  <c r="Z24" i="93"/>
  <c r="W26" i="93"/>
  <c r="W23" i="93"/>
  <c r="AA26" i="93"/>
  <c r="AA23" i="93"/>
  <c r="W27" i="93"/>
  <c r="W24" i="93"/>
  <c r="AA27" i="93"/>
  <c r="AA24" i="93"/>
  <c r="T26" i="93"/>
  <c r="T23" i="93"/>
  <c r="AB26" i="93"/>
  <c r="AB23" i="93"/>
  <c r="T27" i="93"/>
  <c r="T24" i="93"/>
  <c r="AB27" i="93"/>
  <c r="AB24" i="93"/>
  <c r="V26" i="93"/>
  <c r="V23" i="93"/>
  <c r="AD27" i="93"/>
  <c r="AD24" i="93"/>
  <c r="Z22" i="93"/>
  <c r="AD22" i="93"/>
  <c r="W22" i="93"/>
  <c r="AA22" i="93"/>
  <c r="U26" i="93"/>
  <c r="U23" i="93"/>
  <c r="Y26" i="93"/>
  <c r="Y23" i="93"/>
  <c r="AC26" i="93"/>
  <c r="AC23" i="93"/>
  <c r="U27" i="93"/>
  <c r="U24" i="93"/>
  <c r="Y27" i="93"/>
  <c r="Y24" i="93"/>
  <c r="AC27" i="93"/>
  <c r="AC24" i="93"/>
  <c r="X23" i="93"/>
  <c r="X24" i="93"/>
  <c r="AD23" i="93"/>
  <c r="V24" i="93"/>
  <c r="Z23" i="93"/>
  <c r="S27" i="93"/>
  <c r="S24" i="93"/>
  <c r="S26" i="93"/>
  <c r="S23" i="93"/>
  <c r="S22" i="93"/>
  <c r="Z27" i="93"/>
  <c r="T28" i="93"/>
  <c r="T25" i="93"/>
  <c r="X28" i="93"/>
  <c r="X25" i="93"/>
  <c r="AB28" i="93"/>
  <c r="AB25" i="93"/>
  <c r="U28" i="93"/>
  <c r="U25" i="93"/>
  <c r="Y28" i="93"/>
  <c r="Y25" i="93"/>
  <c r="AC28" i="93"/>
  <c r="AC25" i="93"/>
  <c r="V28" i="93"/>
  <c r="V25" i="93"/>
  <c r="Z28" i="93"/>
  <c r="Z25" i="93"/>
  <c r="AD28" i="93"/>
  <c r="AD25" i="93"/>
  <c r="W28" i="93"/>
  <c r="W25" i="93"/>
  <c r="AA28" i="93"/>
  <c r="AA25" i="93"/>
  <c r="S28" i="93"/>
  <c r="S25" i="93"/>
  <c r="X26" i="93"/>
  <c r="X27" i="93"/>
  <c r="AD26" i="93"/>
  <c r="V27" i="93"/>
  <c r="Z26" i="93"/>
  <c r="AF10" i="93"/>
  <c r="AF16" i="93"/>
  <c r="AF18" i="93"/>
  <c r="AF14" i="93"/>
  <c r="AF20" i="93"/>
  <c r="AF13" i="93"/>
  <c r="AF11" i="93"/>
  <c r="AF12" i="93"/>
  <c r="AF15" i="93"/>
  <c r="AF17" i="93"/>
  <c r="AF19" i="93"/>
  <c r="P58" i="93"/>
  <c r="G59" i="93" s="1"/>
  <c r="AF21" i="93"/>
  <c r="AE20" i="93"/>
  <c r="AE18" i="93"/>
  <c r="AE16" i="93"/>
  <c r="AE14" i="93"/>
  <c r="AE12" i="93"/>
  <c r="AE11" i="93"/>
  <c r="O58" i="93"/>
  <c r="C60" i="93" s="1"/>
  <c r="AE10" i="93"/>
  <c r="AE21" i="93"/>
  <c r="AE19" i="93"/>
  <c r="AE17" i="93"/>
  <c r="AE15" i="93"/>
  <c r="AE13" i="93"/>
  <c r="AB42" i="107" l="1"/>
  <c r="X42" i="107"/>
  <c r="X42" i="108"/>
  <c r="AB42" i="108"/>
  <c r="O106" i="111"/>
  <c r="K108" i="111" s="1"/>
  <c r="AE38" i="108"/>
  <c r="AE35" i="108"/>
  <c r="S42" i="108"/>
  <c r="AE37" i="107"/>
  <c r="AE41" i="107"/>
  <c r="AE40" i="107"/>
  <c r="AE34" i="107"/>
  <c r="S42" i="107"/>
  <c r="V42" i="108"/>
  <c r="AD42" i="107"/>
  <c r="V42" i="107"/>
  <c r="AF41" i="107"/>
  <c r="AF34" i="107"/>
  <c r="AF40" i="107"/>
  <c r="AF37" i="107"/>
  <c r="W42" i="108"/>
  <c r="W42" i="107"/>
  <c r="U42" i="108"/>
  <c r="AE39" i="108"/>
  <c r="AE36" i="108"/>
  <c r="AA42" i="108"/>
  <c r="AF39" i="108"/>
  <c r="AF36" i="108"/>
  <c r="AF38" i="108"/>
  <c r="AF35" i="108"/>
  <c r="P106" i="111"/>
  <c r="N107" i="111" s="1"/>
  <c r="AF38" i="107"/>
  <c r="AF35" i="107"/>
  <c r="AE38" i="107"/>
  <c r="AE35" i="107"/>
  <c r="T42" i="107"/>
  <c r="AF39" i="107"/>
  <c r="AF36" i="107"/>
  <c r="AC42" i="107"/>
  <c r="T42" i="108"/>
  <c r="AE37" i="108"/>
  <c r="AE41" i="108"/>
  <c r="AE40" i="108"/>
  <c r="AE34" i="108"/>
  <c r="AF41" i="108"/>
  <c r="AF34" i="108"/>
  <c r="AF40" i="108"/>
  <c r="AF37" i="108"/>
  <c r="Z42" i="108"/>
  <c r="M107" i="107"/>
  <c r="F108" i="107"/>
  <c r="J107" i="108"/>
  <c r="AF42" i="110"/>
  <c r="AE42" i="110"/>
  <c r="AE42" i="109"/>
  <c r="AF42" i="109"/>
  <c r="K107" i="107"/>
  <c r="C108" i="107"/>
  <c r="L107" i="108"/>
  <c r="G107" i="108"/>
  <c r="L107" i="107"/>
  <c r="G108" i="108"/>
  <c r="F108" i="108"/>
  <c r="C108" i="108"/>
  <c r="K108" i="108"/>
  <c r="N108" i="108"/>
  <c r="K108" i="107"/>
  <c r="L108" i="108"/>
  <c r="D108" i="108"/>
  <c r="I108" i="108"/>
  <c r="E108" i="108"/>
  <c r="J108" i="108"/>
  <c r="D107" i="107"/>
  <c r="G107" i="107"/>
  <c r="J107" i="107"/>
  <c r="N108" i="107"/>
  <c r="G108" i="107"/>
  <c r="D107" i="108"/>
  <c r="M107" i="108"/>
  <c r="K107" i="108"/>
  <c r="L108" i="107"/>
  <c r="F107" i="107"/>
  <c r="I107" i="107"/>
  <c r="E107" i="107"/>
  <c r="N107" i="107"/>
  <c r="C107" i="108"/>
  <c r="N107" i="108"/>
  <c r="F107" i="108"/>
  <c r="I107" i="108"/>
  <c r="E107" i="108"/>
  <c r="H107" i="107"/>
  <c r="D108" i="107"/>
  <c r="J108" i="107"/>
  <c r="I108" i="107"/>
  <c r="E108" i="107"/>
  <c r="AE42" i="105"/>
  <c r="AF42" i="105"/>
  <c r="AE42" i="101"/>
  <c r="AF42" i="101"/>
  <c r="M59" i="93"/>
  <c r="N60" i="93"/>
  <c r="G60" i="93"/>
  <c r="E60" i="93"/>
  <c r="H60" i="93"/>
  <c r="J60" i="93"/>
  <c r="F60" i="93"/>
  <c r="D60" i="93"/>
  <c r="K60" i="93"/>
  <c r="L60" i="93"/>
  <c r="I60" i="93"/>
  <c r="AE24" i="93"/>
  <c r="AE22" i="93"/>
  <c r="AF23" i="93"/>
  <c r="AE23" i="93"/>
  <c r="AF24" i="93"/>
  <c r="AF22" i="93"/>
  <c r="AE26" i="93"/>
  <c r="AF27" i="93"/>
  <c r="AF28" i="93"/>
  <c r="AF25" i="93"/>
  <c r="AE27" i="93"/>
  <c r="AE28" i="93"/>
  <c r="AE25" i="93"/>
  <c r="AF26" i="93"/>
  <c r="D59" i="93"/>
  <c r="C59" i="93"/>
  <c r="L59" i="93"/>
  <c r="F59" i="93"/>
  <c r="J59" i="93"/>
  <c r="E59" i="93"/>
  <c r="H59" i="93"/>
  <c r="K59" i="93"/>
  <c r="N59" i="93"/>
  <c r="I59" i="93"/>
  <c r="AE42" i="107" l="1"/>
  <c r="AF42" i="108"/>
  <c r="AF42" i="107"/>
  <c r="AE42" i="108"/>
  <c r="K107" i="111"/>
  <c r="E108" i="111"/>
  <c r="F108" i="111"/>
  <c r="H107" i="111"/>
  <c r="F107" i="111"/>
  <c r="E107" i="111"/>
  <c r="C107" i="111"/>
  <c r="I107" i="111"/>
  <c r="N108" i="111"/>
  <c r="H108" i="111"/>
  <c r="C108" i="111"/>
  <c r="M107" i="111"/>
  <c r="D107" i="111"/>
  <c r="L107" i="111"/>
  <c r="G107" i="111"/>
  <c r="J107" i="111"/>
  <c r="J108" i="111"/>
  <c r="I108" i="111"/>
  <c r="D108" i="111"/>
  <c r="L108" i="111"/>
  <c r="G108" i="111"/>
</calcChain>
</file>

<file path=xl/sharedStrings.xml><?xml version="1.0" encoding="utf-8"?>
<sst xmlns="http://schemas.openxmlformats.org/spreadsheetml/2006/main" count="2343" uniqueCount="186">
  <si>
    <t>Time / Veh Type</t>
  </si>
  <si>
    <t xml:space="preserve">  Location</t>
  </si>
  <si>
    <t xml:space="preserve">  Dir. To</t>
  </si>
  <si>
    <t>Date</t>
  </si>
  <si>
    <t>Dir. From</t>
  </si>
  <si>
    <t>Surveyor</t>
  </si>
  <si>
    <t>0700-0800</t>
  </si>
  <si>
    <t>0800-0900</t>
  </si>
  <si>
    <t>0900-1000</t>
  </si>
  <si>
    <t>1000-1100</t>
  </si>
  <si>
    <t>1100-1200</t>
  </si>
  <si>
    <t>1200-1300</t>
  </si>
  <si>
    <t>1300-1400</t>
  </si>
  <si>
    <t>1400-1500</t>
  </si>
  <si>
    <t>1500-1600</t>
  </si>
  <si>
    <t>1600-1700</t>
  </si>
  <si>
    <t>1700-1800</t>
  </si>
  <si>
    <t>12 Hours</t>
  </si>
  <si>
    <t>Totals</t>
  </si>
  <si>
    <t>Time</t>
  </si>
  <si>
    <t>1800-1900</t>
  </si>
  <si>
    <t>Supervisor</t>
  </si>
  <si>
    <t>Total All</t>
  </si>
  <si>
    <t>Consultancy services for Preparation of Expressway Development Master Plan (EDMP) for Uganda</t>
  </si>
  <si>
    <t>1. Car</t>
  </si>
  <si>
    <t>2. Station Wagon</t>
  </si>
  <si>
    <t>3. Pickups</t>
  </si>
  <si>
    <t>4. Minibus, matatu</t>
  </si>
  <si>
    <t xml:space="preserve">5. Medium bus </t>
  </si>
  <si>
    <t>6. Large Bus</t>
  </si>
  <si>
    <t xml:space="preserve">7. Light Truck </t>
  </si>
  <si>
    <t xml:space="preserve">8. Medium Truck </t>
  </si>
  <si>
    <t xml:space="preserve">9. Heavy truck </t>
  </si>
  <si>
    <t xml:space="preserve">10. Truck Trailer </t>
  </si>
  <si>
    <t>11. Motorcycles</t>
  </si>
  <si>
    <t>12. Tractors, Graders</t>
  </si>
  <si>
    <t>Total Excl M/Cycles</t>
  </si>
  <si>
    <t>07.00 - 07.15</t>
  </si>
  <si>
    <t>07.15 - 07.30</t>
  </si>
  <si>
    <t>07.30 - 07.45</t>
  </si>
  <si>
    <t>07.45 - 08.00</t>
  </si>
  <si>
    <t>08.00 - 08.15</t>
  </si>
  <si>
    <t>08.15 - 08.30</t>
  </si>
  <si>
    <t>08.30 - 08.45</t>
  </si>
  <si>
    <t>08.45 - 9.00</t>
  </si>
  <si>
    <t>09.00 - 09.15</t>
  </si>
  <si>
    <t>09.15 - 09.30</t>
  </si>
  <si>
    <t>09.30 - 09.45</t>
  </si>
  <si>
    <t>09.45 - 10.00</t>
  </si>
  <si>
    <t>10.00 - 10.15</t>
  </si>
  <si>
    <t>10.15 - 10.30</t>
  </si>
  <si>
    <t>10.30 - 10.45</t>
  </si>
  <si>
    <t>10.45 - 11.00</t>
  </si>
  <si>
    <t>11.00 - 11.15</t>
  </si>
  <si>
    <t>11.15 - 11.30</t>
  </si>
  <si>
    <t>11.30 - 11.45</t>
  </si>
  <si>
    <t>11.45 - 12.00</t>
  </si>
  <si>
    <t>12.00 - 12.15</t>
  </si>
  <si>
    <t>12.15 - 12.30</t>
  </si>
  <si>
    <t>12.30 - 12.45</t>
  </si>
  <si>
    <t>12.45 - 13.00</t>
  </si>
  <si>
    <t>13.00 - 13.15</t>
  </si>
  <si>
    <t>13.15 - 13.30</t>
  </si>
  <si>
    <t>13.30 - 13.45</t>
  </si>
  <si>
    <t>13.45 - 14.00</t>
  </si>
  <si>
    <t>14.00 - 14.15</t>
  </si>
  <si>
    <t>14.15 - 14.30</t>
  </si>
  <si>
    <t>14.30 - 14.45</t>
  </si>
  <si>
    <t>14.45 - 15.00</t>
  </si>
  <si>
    <t>15.00 - 15.15</t>
  </si>
  <si>
    <t>15.15 - 15.30</t>
  </si>
  <si>
    <t>15.30 - 15.45</t>
  </si>
  <si>
    <t>15.45 - 16.00</t>
  </si>
  <si>
    <t>16.00 - 16.15</t>
  </si>
  <si>
    <t>16.15 -16.30</t>
  </si>
  <si>
    <t>16.30 -16.45</t>
  </si>
  <si>
    <t>16.45 -17.00</t>
  </si>
  <si>
    <t>17.00 -17.15</t>
  </si>
  <si>
    <t>17.15 -17.30</t>
  </si>
  <si>
    <t>17.30 -17.45</t>
  </si>
  <si>
    <t>17.45 -18.00</t>
  </si>
  <si>
    <t>18.00 - 18.15</t>
  </si>
  <si>
    <t>18.15 - 18.30</t>
  </si>
  <si>
    <t>18.30 - 18.45</t>
  </si>
  <si>
    <t>18.45 - 19.00</t>
  </si>
  <si>
    <t>AM Period</t>
  </si>
  <si>
    <t>IP Period</t>
  </si>
  <si>
    <t>PM Period</t>
  </si>
  <si>
    <t>SUMMARY TRAFFIC VOLUMES</t>
  </si>
  <si>
    <t>Total Excl M/ Cycles</t>
  </si>
  <si>
    <t>AM Peak Hr</t>
  </si>
  <si>
    <t>IP Peak Hr</t>
  </si>
  <si>
    <t>PM Peak Hr</t>
  </si>
  <si>
    <t>%ges + MCs</t>
  </si>
  <si>
    <t>%ges w/o MCs</t>
  </si>
  <si>
    <t>MANUAL CLASSIFIED COUNT (MCC)</t>
  </si>
  <si>
    <t>ROAD NAME:</t>
  </si>
  <si>
    <t>12. Tractors</t>
  </si>
  <si>
    <t>11. Motor cycles</t>
  </si>
  <si>
    <t>19.00 - 19.15</t>
  </si>
  <si>
    <t>19.15 - 19.30</t>
  </si>
  <si>
    <t>19.30 - 19.45</t>
  </si>
  <si>
    <t>19.45 - 20.00</t>
  </si>
  <si>
    <t>21.00 - 21.15</t>
  </si>
  <si>
    <t>21.15 - 21.30</t>
  </si>
  <si>
    <t>21.30 - 21.45</t>
  </si>
  <si>
    <t>21.45 - 22.00</t>
  </si>
  <si>
    <t>20.00 - 20.15</t>
  </si>
  <si>
    <t>20.15 - 20.30</t>
  </si>
  <si>
    <t>20.30 - 20.45</t>
  </si>
  <si>
    <t>22.00 - 22.15</t>
  </si>
  <si>
    <t>22.15 - 22.30</t>
  </si>
  <si>
    <t>22.30 - 22.45</t>
  </si>
  <si>
    <t>22.45 - 23.00</t>
  </si>
  <si>
    <t>23.00 - 23.15</t>
  </si>
  <si>
    <t>23.15 - 23.30</t>
  </si>
  <si>
    <t>23.30 - 23.45</t>
  </si>
  <si>
    <t>23.45 - 00.00</t>
  </si>
  <si>
    <t>00.00 - 00.15</t>
  </si>
  <si>
    <t>00.15 - 00.30</t>
  </si>
  <si>
    <t>00.30 - 00.45</t>
  </si>
  <si>
    <t>00.45 - 01.00</t>
  </si>
  <si>
    <t>01.00 - 01.15</t>
  </si>
  <si>
    <t>01.15 - 01.30</t>
  </si>
  <si>
    <t>01.30 - 01.45</t>
  </si>
  <si>
    <t>01.45 - 02.00</t>
  </si>
  <si>
    <t>02.00 - 02.15</t>
  </si>
  <si>
    <t>02.15 - 02.30</t>
  </si>
  <si>
    <t>02.30 - 02.45</t>
  </si>
  <si>
    <t>02.45 - 03.00</t>
  </si>
  <si>
    <t>03.00 - 03.15</t>
  </si>
  <si>
    <t>03.15 - 03.30</t>
  </si>
  <si>
    <t>03.30 - 03.45</t>
  </si>
  <si>
    <t>03.45 - 04.00</t>
  </si>
  <si>
    <t>04.00 - 04.15</t>
  </si>
  <si>
    <t>04.15 - 04.30</t>
  </si>
  <si>
    <t>04.30 - 04.45</t>
  </si>
  <si>
    <t>04.45 - 05.00</t>
  </si>
  <si>
    <t>05.00 - 05.15</t>
  </si>
  <si>
    <t>05.15 - 05.30</t>
  </si>
  <si>
    <t>05.30 - 05.45</t>
  </si>
  <si>
    <t>05.45 - 06.00</t>
  </si>
  <si>
    <t>06.00 - 06.15</t>
  </si>
  <si>
    <t>06.15 - 06.30</t>
  </si>
  <si>
    <t>06.30 - 06.45</t>
  </si>
  <si>
    <t>06.45 - 07.00</t>
  </si>
  <si>
    <t>1900-2000</t>
  </si>
  <si>
    <t>2000-2100</t>
  </si>
  <si>
    <t>2100-2200</t>
  </si>
  <si>
    <t>2200-2300</t>
  </si>
  <si>
    <t>2300-0000</t>
  </si>
  <si>
    <t>0000-0100</t>
  </si>
  <si>
    <t>0100-0200</t>
  </si>
  <si>
    <t>0200-0300</t>
  </si>
  <si>
    <t>0300-0400</t>
  </si>
  <si>
    <t>0400-0500</t>
  </si>
  <si>
    <t>0500-0600</t>
  </si>
  <si>
    <t>0600-0700</t>
  </si>
  <si>
    <t>20.45 - 21.00</t>
  </si>
  <si>
    <t>24 Hrs/ADT</t>
  </si>
  <si>
    <t>NEF</t>
  </si>
  <si>
    <t>BOTH DIRECTIONS</t>
  </si>
  <si>
    <t>Kibuye</t>
  </si>
  <si>
    <t>Makindye</t>
  </si>
  <si>
    <t>AVERAGE WEEK</t>
  </si>
  <si>
    <t>MCC - C2 - STN074 - SONDE  ROAD</t>
  </si>
  <si>
    <t>23.09.19</t>
  </si>
  <si>
    <t>Seeta</t>
  </si>
  <si>
    <t>Mukono</t>
  </si>
  <si>
    <t>Tracy</t>
  </si>
  <si>
    <t>Namuddu. M</t>
  </si>
  <si>
    <t>Victor</t>
  </si>
  <si>
    <t>Gasco Petrol Sta'n</t>
  </si>
  <si>
    <t>24.09.19</t>
  </si>
  <si>
    <t>25.09.19</t>
  </si>
  <si>
    <t>STATION 74</t>
  </si>
  <si>
    <t>VICTOR</t>
  </si>
  <si>
    <t>MUKONO</t>
  </si>
  <si>
    <t>SEETA</t>
  </si>
  <si>
    <t>NAMUDDU MIRIAM</t>
  </si>
  <si>
    <t>28.09.19</t>
  </si>
  <si>
    <t>NAMUDDU MARIAM</t>
  </si>
  <si>
    <t>29.09.19</t>
  </si>
  <si>
    <t>26.09.19</t>
  </si>
  <si>
    <t>27.09.19</t>
  </si>
  <si>
    <t>24 Hours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</si>
</sst>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(* #,##0_);_(* \(#,##0\);_(* &quot;-&quot;_);_(@_)"/>
    <numFmt numFmtId="164" formatCode="0.0%"/>
    <numFmt numFmtId="165" formatCode="0.000"/>
  </numFmts>
  <fonts count="1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name val="Arial"/>
      <family val="2"/>
    </font>
    <font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0"/>
      <color theme="1"/>
      <name val="Calibri"/>
      <family val="2"/>
      <scheme val="minor"/>
    </font>
    <font>
      <b/>
      <sz val="12"/>
      <color theme="1"/>
      <name val="Arial"/>
      <family val="2"/>
    </font>
    <font>
      <i/>
      <sz val="11"/>
      <color theme="1"/>
      <name val="Calibri"/>
      <family val="2"/>
      <scheme val="minor"/>
    </font>
    <font>
      <b/>
      <sz val="14"/>
      <name val="Arial"/>
      <family val="2"/>
    </font>
    <font>
      <b/>
      <sz val="16"/>
      <name val="Arial"/>
      <family val="2"/>
    </font>
    <font>
      <sz val="8"/>
      <name val="Calibri"/>
      <family val="2"/>
      <scheme val="minor"/>
    </font>
    <font>
      <b/>
      <sz val="10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9FCD2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1" fontId="3" fillId="0" borderId="0" applyFont="0" applyFill="0" applyBorder="0" applyAlignment="0" applyProtection="0"/>
  </cellStyleXfs>
  <cellXfs count="76">
    <xf numFmtId="0" fontId="0" fillId="0" borderId="0" xfId="0"/>
    <xf numFmtId="0" fontId="0" fillId="0" borderId="1" xfId="0" applyBorder="1"/>
    <xf numFmtId="0" fontId="1" fillId="0" borderId="0" xfId="0" applyFont="1"/>
    <xf numFmtId="0" fontId="0" fillId="0" borderId="0" xfId="0" applyBorder="1"/>
    <xf numFmtId="0" fontId="1" fillId="0" borderId="0" xfId="0" applyFont="1" applyAlignment="1"/>
    <xf numFmtId="0" fontId="1" fillId="0" borderId="1" xfId="0" applyFont="1" applyBorder="1"/>
    <xf numFmtId="9" fontId="0" fillId="0" borderId="0" xfId="1" applyFont="1"/>
    <xf numFmtId="0" fontId="0" fillId="0" borderId="0" xfId="0" applyFont="1" applyFill="1"/>
    <xf numFmtId="0" fontId="0" fillId="0" borderId="0" xfId="0" applyFont="1" applyFill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0" fillId="0" borderId="0" xfId="0" applyBorder="1" applyAlignment="1">
      <alignment horizontal="center"/>
    </xf>
    <xf numFmtId="0" fontId="1" fillId="0" borderId="4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6" fillId="0" borderId="0" xfId="0" applyFont="1"/>
    <xf numFmtId="1" fontId="0" fillId="0" borderId="1" xfId="0" applyNumberFormat="1" applyFill="1" applyBorder="1" applyAlignment="1">
      <alignment horizontal="center"/>
    </xf>
    <xf numFmtId="1" fontId="1" fillId="0" borderId="1" xfId="0" applyNumberFormat="1" applyFont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164" fontId="0" fillId="0" borderId="0" xfId="0" applyNumberFormat="1"/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7" fillId="0" borderId="1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8" fillId="0" borderId="5" xfId="0" applyFont="1" applyFill="1" applyBorder="1" applyAlignment="1">
      <alignment horizontal="left" vertical="center"/>
    </xf>
    <xf numFmtId="0" fontId="9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left" wrapText="1"/>
    </xf>
    <xf numFmtId="0" fontId="1" fillId="0" borderId="1" xfId="0" applyFont="1" applyBorder="1" applyAlignment="1">
      <alignment wrapText="1"/>
    </xf>
    <xf numFmtId="0" fontId="9" fillId="3" borderId="4" xfId="0" applyFont="1" applyFill="1" applyBorder="1" applyAlignment="1">
      <alignment horizontal="center" vertical="center" wrapText="1"/>
    </xf>
    <xf numFmtId="1" fontId="0" fillId="3" borderId="1" xfId="0" applyNumberFormat="1" applyFill="1" applyBorder="1" applyAlignment="1">
      <alignment horizontal="center"/>
    </xf>
    <xf numFmtId="1" fontId="1" fillId="3" borderId="1" xfId="0" applyNumberFormat="1" applyFont="1" applyFill="1" applyBorder="1" applyAlignment="1">
      <alignment horizontal="center"/>
    </xf>
    <xf numFmtId="0" fontId="0" fillId="0" borderId="5" xfId="0" applyFont="1" applyFill="1" applyBorder="1"/>
    <xf numFmtId="1" fontId="0" fillId="0" borderId="4" xfId="0" applyNumberForma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0" fontId="0" fillId="0" borderId="4" xfId="0" applyBorder="1"/>
    <xf numFmtId="0" fontId="1" fillId="0" borderId="8" xfId="0" applyFont="1" applyBorder="1" applyAlignment="1">
      <alignment wrapText="1"/>
    </xf>
    <xf numFmtId="0" fontId="11" fillId="0" borderId="9" xfId="0" applyFont="1" applyFill="1" applyBorder="1"/>
    <xf numFmtId="1" fontId="11" fillId="0" borderId="9" xfId="0" applyNumberFormat="1" applyFont="1" applyFill="1" applyBorder="1" applyAlignment="1">
      <alignment horizontal="center"/>
    </xf>
    <xf numFmtId="1" fontId="11" fillId="3" borderId="1" xfId="0" applyNumberFormat="1" applyFont="1" applyFill="1" applyBorder="1" applyAlignment="1">
      <alignment horizontal="center"/>
    </xf>
    <xf numFmtId="0" fontId="1" fillId="0" borderId="0" xfId="0" applyFont="1" applyAlignment="1">
      <alignment horizontal="center"/>
    </xf>
    <xf numFmtId="0" fontId="8" fillId="0" borderId="7" xfId="0" applyFont="1" applyFill="1" applyBorder="1" applyAlignment="1">
      <alignment horizontal="center" vertical="center"/>
    </xf>
    <xf numFmtId="164" fontId="1" fillId="0" borderId="4" xfId="1" applyNumberFormat="1" applyFont="1" applyBorder="1" applyAlignment="1">
      <alignment horizontal="center"/>
    </xf>
    <xf numFmtId="10" fontId="1" fillId="0" borderId="9" xfId="1" applyNumberFormat="1" applyFont="1" applyBorder="1"/>
    <xf numFmtId="0" fontId="7" fillId="0" borderId="1" xfId="0" applyFont="1" applyBorder="1" applyAlignment="1">
      <alignment horizontal="left" vertical="center"/>
    </xf>
    <xf numFmtId="0" fontId="7" fillId="0" borderId="4" xfId="0" applyFont="1" applyBorder="1" applyAlignment="1">
      <alignment horizontal="left" vertical="center"/>
    </xf>
    <xf numFmtId="0" fontId="7" fillId="0" borderId="5" xfId="0" applyFont="1" applyBorder="1" applyAlignment="1">
      <alignment horizontal="left" vertical="center"/>
    </xf>
    <xf numFmtId="165" fontId="1" fillId="0" borderId="1" xfId="0" applyNumberFormat="1" applyFont="1" applyBorder="1" applyAlignment="1">
      <alignment horizontal="center"/>
    </xf>
    <xf numFmtId="1" fontId="0" fillId="0" borderId="1" xfId="0" applyNumberFormat="1" applyFill="1" applyBorder="1" applyAlignment="1">
      <alignment horizontal="center" vertical="center"/>
    </xf>
    <xf numFmtId="1" fontId="0" fillId="4" borderId="1" xfId="0" applyNumberFormat="1" applyFill="1" applyBorder="1" applyAlignment="1">
      <alignment horizontal="center" vertical="center"/>
    </xf>
    <xf numFmtId="0" fontId="11" fillId="0" borderId="9" xfId="0" applyFont="1" applyBorder="1"/>
    <xf numFmtId="1" fontId="11" fillId="0" borderId="9" xfId="0" applyNumberFormat="1" applyFont="1" applyBorder="1" applyAlignment="1">
      <alignment horizontal="center"/>
    </xf>
    <xf numFmtId="0" fontId="8" fillId="0" borderId="5" xfId="0" applyFont="1" applyBorder="1" applyAlignment="1">
      <alignment horizontal="left" vertical="center"/>
    </xf>
    <xf numFmtId="0" fontId="8" fillId="0" borderId="7" xfId="0" applyFont="1" applyBorder="1" applyAlignment="1">
      <alignment horizontal="center" vertical="center"/>
    </xf>
    <xf numFmtId="165" fontId="1" fillId="3" borderId="1" xfId="0" applyNumberFormat="1" applyFont="1" applyFill="1" applyBorder="1" applyAlignment="1">
      <alignment horizontal="center"/>
    </xf>
    <xf numFmtId="41" fontId="1" fillId="0" borderId="8" xfId="2" applyFont="1" applyBorder="1" applyAlignment="1">
      <alignment horizontal="center"/>
    </xf>
    <xf numFmtId="41" fontId="1" fillId="0" borderId="1" xfId="2" applyFont="1" applyBorder="1" applyAlignment="1">
      <alignment horizontal="center"/>
    </xf>
    <xf numFmtId="41" fontId="1" fillId="3" borderId="1" xfId="2" applyFont="1" applyFill="1" applyBorder="1" applyAlignment="1">
      <alignment horizontal="center"/>
    </xf>
    <xf numFmtId="0" fontId="8" fillId="2" borderId="2" xfId="0" applyFont="1" applyFill="1" applyBorder="1" applyAlignment="1">
      <alignment horizontal="left" vertical="center" wrapText="1"/>
    </xf>
    <xf numFmtId="0" fontId="8" fillId="2" borderId="3" xfId="0" applyFont="1" applyFill="1" applyBorder="1" applyAlignment="1">
      <alignment horizontal="left" vertical="center" wrapText="1"/>
    </xf>
    <xf numFmtId="0" fontId="10" fillId="0" borderId="6" xfId="0" applyFont="1" applyFill="1" applyBorder="1" applyAlignment="1">
      <alignment horizont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center"/>
    </xf>
    <xf numFmtId="0" fontId="2" fillId="2" borderId="9" xfId="0" applyFont="1" applyFill="1" applyBorder="1" applyAlignment="1">
      <alignment horizontal="center"/>
    </xf>
    <xf numFmtId="0" fontId="8" fillId="0" borderId="2" xfId="0" applyFont="1" applyFill="1" applyBorder="1" applyAlignment="1">
      <alignment horizontal="left" vertical="center" wrapText="1"/>
    </xf>
    <xf numFmtId="0" fontId="8" fillId="0" borderId="3" xfId="0" applyFont="1" applyFill="1" applyBorder="1" applyAlignment="1">
      <alignment horizontal="left" vertical="center" wrapText="1"/>
    </xf>
    <xf numFmtId="0" fontId="2" fillId="0" borderId="9" xfId="0" applyFont="1" applyFill="1" applyBorder="1" applyAlignment="1">
      <alignment horizontal="center"/>
    </xf>
    <xf numFmtId="0" fontId="8" fillId="0" borderId="2" xfId="0" applyFont="1" applyBorder="1" applyAlignment="1">
      <alignment horizontal="left" vertical="center" wrapText="1"/>
    </xf>
    <xf numFmtId="0" fontId="8" fillId="0" borderId="3" xfId="0" applyFont="1" applyBorder="1" applyAlignment="1">
      <alignment horizontal="left" vertical="center" wrapText="1"/>
    </xf>
    <xf numFmtId="0" fontId="10" fillId="0" borderId="6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1" fillId="0" borderId="2" xfId="0" applyFont="1" applyBorder="1" applyAlignment="1">
      <alignment horizontal="left"/>
    </xf>
    <xf numFmtId="0" fontId="1" fillId="0" borderId="3" xfId="0" applyFont="1" applyBorder="1" applyAlignment="1">
      <alignment horizontal="left"/>
    </xf>
    <xf numFmtId="0" fontId="15" fillId="0" borderId="2" xfId="0" applyFont="1" applyBorder="1" applyAlignment="1">
      <alignment horizontal="left" vertical="center" wrapText="1"/>
    </xf>
    <xf numFmtId="0" fontId="15" fillId="0" borderId="3" xfId="0" applyFont="1" applyBorder="1" applyAlignment="1">
      <alignment horizontal="left" vertical="center" wrapText="1"/>
    </xf>
  </cellXfs>
  <cellStyles count="3">
    <cellStyle name="Comma [0]" xfId="2" builtinId="6"/>
    <cellStyle name="Normal" xfId="0" builtinId="0"/>
    <cellStyle name="Percent" xfId="1" builtinId="5"/>
  </cellStyles>
  <dxfs count="0"/>
  <tableStyles count="0" defaultTableStyle="TableStyleMedium9" defaultPivotStyle="PivotStyleLight16"/>
  <colors>
    <mruColors>
      <color rgb="FFF9FCD2"/>
      <color rgb="FFF0F2D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'23.09 Seeta-Mukono'!$AE$9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'23.09 Seeta-Mukono'!$R$10:$R$21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'23.09 Seeta-Mukono'!$AE$10:$AE$21</c:f>
              <c:numCache>
                <c:formatCode>0</c:formatCode>
                <c:ptCount val="12"/>
                <c:pt idx="0">
                  <c:v>552</c:v>
                </c:pt>
                <c:pt idx="1">
                  <c:v>751</c:v>
                </c:pt>
                <c:pt idx="2">
                  <c:v>697</c:v>
                </c:pt>
                <c:pt idx="3">
                  <c:v>611</c:v>
                </c:pt>
                <c:pt idx="4">
                  <c:v>622</c:v>
                </c:pt>
                <c:pt idx="5">
                  <c:v>702</c:v>
                </c:pt>
                <c:pt idx="6">
                  <c:v>697</c:v>
                </c:pt>
                <c:pt idx="7">
                  <c:v>625</c:v>
                </c:pt>
                <c:pt idx="8">
                  <c:v>552</c:v>
                </c:pt>
                <c:pt idx="9">
                  <c:v>613</c:v>
                </c:pt>
                <c:pt idx="10">
                  <c:v>629</c:v>
                </c:pt>
                <c:pt idx="11">
                  <c:v>525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2E1-4581-8355-9A9D08B6A3D4}"/>
            </c:ext>
          </c:extLst>
        </c:ser>
        <c:ser>
          <c:idx val="1"/>
          <c:order val="1"/>
          <c:tx>
            <c:strRef>
              <c:f>'23.09 Seeta-Mukono'!$AF$9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'23.09 Seeta-Mukono'!$R$10:$R$21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'23.09 Seeta-Mukono'!$AF$10:$AF$21</c:f>
              <c:numCache>
                <c:formatCode>0</c:formatCode>
                <c:ptCount val="12"/>
                <c:pt idx="0">
                  <c:v>940</c:v>
                </c:pt>
                <c:pt idx="1">
                  <c:v>1227</c:v>
                </c:pt>
                <c:pt idx="2">
                  <c:v>1276</c:v>
                </c:pt>
                <c:pt idx="3">
                  <c:v>1119</c:v>
                </c:pt>
                <c:pt idx="4">
                  <c:v>1138</c:v>
                </c:pt>
                <c:pt idx="5">
                  <c:v>1157</c:v>
                </c:pt>
                <c:pt idx="6">
                  <c:v>1184</c:v>
                </c:pt>
                <c:pt idx="7">
                  <c:v>1086</c:v>
                </c:pt>
                <c:pt idx="8">
                  <c:v>957</c:v>
                </c:pt>
                <c:pt idx="9">
                  <c:v>1030</c:v>
                </c:pt>
                <c:pt idx="10">
                  <c:v>1146</c:v>
                </c:pt>
                <c:pt idx="11">
                  <c:v>1193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2E1-4581-8355-9A9D08B6A3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948288"/>
        <c:axId val="85949824"/>
      </c:lineChart>
      <c:catAx>
        <c:axId val="8594828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5949824"/>
        <c:crosses val="autoZero"/>
        <c:auto val="1"/>
        <c:lblAlgn val="ctr"/>
        <c:lblOffset val="100"/>
        <c:noMultiLvlLbl val="0"/>
      </c:catAx>
      <c:valAx>
        <c:axId val="8594982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59482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966C-49DF-A540-BEECCA775C9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966C-49DF-A540-BEECCA775C9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966C-49DF-A540-BEECCA775C9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966C-49DF-A540-BEECCA775C9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966C-49DF-A540-BEECCA775C9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966C-49DF-A540-BEECCA775C9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966C-49DF-A540-BEECCA775C9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966C-49DF-A540-BEECCA775C9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966C-49DF-A540-BEECCA775C95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966C-49DF-A540-BEECCA775C9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966C-49DF-A540-BEECCA775C95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966C-49DF-A540-BEECCA775C95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966C-49DF-A540-BEECCA775C9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'23.09 Seeta-Mukono'!$C$9:$N$9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'23.09 Seeta-Mukono'!$C$59:$N$59</c:f>
              <c:numCache>
                <c:formatCode>0.0%</c:formatCode>
                <c:ptCount val="12"/>
                <c:pt idx="0">
                  <c:v>0.18092618746747938</c:v>
                </c:pt>
                <c:pt idx="1">
                  <c:v>2.3935181743848954E-2</c:v>
                </c:pt>
                <c:pt idx="2">
                  <c:v>3.0773805099234372E-2</c:v>
                </c:pt>
                <c:pt idx="3">
                  <c:v>0.18137218464283059</c:v>
                </c:pt>
                <c:pt idx="4">
                  <c:v>1.010926930796105E-2</c:v>
                </c:pt>
                <c:pt idx="5">
                  <c:v>1.8583215639634283E-3</c:v>
                </c:pt>
                <c:pt idx="6">
                  <c:v>4.9059689288634509E-2</c:v>
                </c:pt>
                <c:pt idx="7">
                  <c:v>2.6685497658514828E-2</c:v>
                </c:pt>
                <c:pt idx="8">
                  <c:v>1.2116256597041552E-2</c:v>
                </c:pt>
                <c:pt idx="9">
                  <c:v>4.8316360663049132E-2</c:v>
                </c:pt>
                <c:pt idx="10">
                  <c:v>0.43358358730394708</c:v>
                </c:pt>
                <c:pt idx="11">
                  <c:v>1.2636586634951312E-3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966C-49DF-A540-BEECCA775C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EE16-490A-B833-4EE796B330D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EE16-490A-B833-4EE796B330D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EE16-490A-B833-4EE796B330D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EE16-490A-B833-4EE796B330D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EE16-490A-B833-4EE796B330D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EE16-490A-B833-4EE796B330D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EE16-490A-B833-4EE796B330D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EE16-490A-B833-4EE796B330D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EE16-490A-B833-4EE796B330D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EE16-490A-B833-4EE796B330D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EE16-490A-B833-4EE796B330D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EE16-490A-B833-4EE796B330D7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EE16-490A-B833-4EE796B330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'23.09 Seeta-Mukono'!$C$9:$N$9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'23.09 Seeta-Mukono'!$C$60:$N$60</c:f>
              <c:numCache>
                <c:formatCode>0.00%</c:formatCode>
                <c:ptCount val="12"/>
                <c:pt idx="0">
                  <c:v>0.32127771911298836</c:v>
                </c:pt>
                <c:pt idx="1">
                  <c:v>4.2502639915522701E-2</c:v>
                </c:pt>
                <c:pt idx="2">
                  <c:v>5.4646251319957762E-2</c:v>
                </c:pt>
                <c:pt idx="3">
                  <c:v>0.32206969376979938</c:v>
                </c:pt>
                <c:pt idx="4">
                  <c:v>1.7951425554382259E-2</c:v>
                </c:pt>
                <c:pt idx="5">
                  <c:v>3.2998944033790917E-3</c:v>
                </c:pt>
                <c:pt idx="6">
                  <c:v>8.7117212249208029E-2</c:v>
                </c:pt>
                <c:pt idx="7">
                  <c:v>4.7386483632523763E-2</c:v>
                </c:pt>
                <c:pt idx="8">
                  <c:v>2.1515311510031679E-2</c:v>
                </c:pt>
                <c:pt idx="9">
                  <c:v>8.5797254487856384E-2</c:v>
                </c:pt>
                <c:pt idx="11">
                  <c:v>2.2439281942977824E-3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EE16-490A-B833-4EE796B330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'23.09 Mukono-Seeta'!$AE$9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'23.09 Mukono-Seeta'!$R$10:$R$21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'23.09 Mukono-Seeta'!$AE$10:$AE$21</c:f>
              <c:numCache>
                <c:formatCode>0</c:formatCode>
                <c:ptCount val="12"/>
                <c:pt idx="0">
                  <c:v>371</c:v>
                </c:pt>
                <c:pt idx="1">
                  <c:v>525</c:v>
                </c:pt>
                <c:pt idx="2">
                  <c:v>570</c:v>
                </c:pt>
                <c:pt idx="3">
                  <c:v>404</c:v>
                </c:pt>
                <c:pt idx="4">
                  <c:v>417</c:v>
                </c:pt>
                <c:pt idx="5">
                  <c:v>520</c:v>
                </c:pt>
                <c:pt idx="6">
                  <c:v>497</c:v>
                </c:pt>
                <c:pt idx="7">
                  <c:v>512</c:v>
                </c:pt>
                <c:pt idx="8">
                  <c:v>586</c:v>
                </c:pt>
                <c:pt idx="9">
                  <c:v>514</c:v>
                </c:pt>
                <c:pt idx="10">
                  <c:v>604</c:v>
                </c:pt>
                <c:pt idx="11">
                  <c:v>598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89C-45BB-88A7-B65865997A3E}"/>
            </c:ext>
          </c:extLst>
        </c:ser>
        <c:ser>
          <c:idx val="1"/>
          <c:order val="1"/>
          <c:tx>
            <c:strRef>
              <c:f>'23.09 Mukono-Seeta'!$AF$9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'23.09 Mukono-Seeta'!$R$10:$R$21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'23.09 Mukono-Seeta'!$AF$10:$AF$21</c:f>
              <c:numCache>
                <c:formatCode>0</c:formatCode>
                <c:ptCount val="12"/>
                <c:pt idx="0">
                  <c:v>949</c:v>
                </c:pt>
                <c:pt idx="1">
                  <c:v>1267</c:v>
                </c:pt>
                <c:pt idx="2">
                  <c:v>1144</c:v>
                </c:pt>
                <c:pt idx="3">
                  <c:v>680</c:v>
                </c:pt>
                <c:pt idx="4">
                  <c:v>749</c:v>
                </c:pt>
                <c:pt idx="5">
                  <c:v>952</c:v>
                </c:pt>
                <c:pt idx="6">
                  <c:v>936</c:v>
                </c:pt>
                <c:pt idx="7">
                  <c:v>887</c:v>
                </c:pt>
                <c:pt idx="8">
                  <c:v>868</c:v>
                </c:pt>
                <c:pt idx="9">
                  <c:v>878</c:v>
                </c:pt>
                <c:pt idx="10">
                  <c:v>1077</c:v>
                </c:pt>
                <c:pt idx="11">
                  <c:v>1110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89C-45BB-88A7-B65865997A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6568320"/>
        <c:axId val="86590592"/>
      </c:lineChart>
      <c:catAx>
        <c:axId val="8656832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6590592"/>
        <c:crosses val="autoZero"/>
        <c:auto val="1"/>
        <c:lblAlgn val="ctr"/>
        <c:lblOffset val="100"/>
        <c:noMultiLvlLbl val="0"/>
      </c:catAx>
      <c:valAx>
        <c:axId val="8659059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65683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E8B9-4D32-9FA4-C5B7B71D021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E8B9-4D32-9FA4-C5B7B71D021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E8B9-4D32-9FA4-C5B7B71D021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E8B9-4D32-9FA4-C5B7B71D021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E8B9-4D32-9FA4-C5B7B71D021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E8B9-4D32-9FA4-C5B7B71D021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E8B9-4D32-9FA4-C5B7B71D021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E8B9-4D32-9FA4-C5B7B71D021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E8B9-4D32-9FA4-C5B7B71D021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E8B9-4D32-9FA4-C5B7B71D021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E8B9-4D32-9FA4-C5B7B71D021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E8B9-4D32-9FA4-C5B7B71D021F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E8B9-4D32-9FA4-C5B7B71D021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'23.09 Mukono-Seeta'!$C$9:$N$9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'23.09 Mukono-Seeta'!$C$59:$N$59</c:f>
              <c:numCache>
                <c:formatCode>0.0%</c:formatCode>
                <c:ptCount val="12"/>
                <c:pt idx="0">
                  <c:v>0.11733495694529007</c:v>
                </c:pt>
                <c:pt idx="1">
                  <c:v>5.4883882752022266E-2</c:v>
                </c:pt>
                <c:pt idx="2">
                  <c:v>3.3747934243715749E-2</c:v>
                </c:pt>
                <c:pt idx="3">
                  <c:v>0.17961207271462121</c:v>
                </c:pt>
                <c:pt idx="4">
                  <c:v>9.8286509524223714E-3</c:v>
                </c:pt>
                <c:pt idx="5">
                  <c:v>2.4354179351135079E-3</c:v>
                </c:pt>
                <c:pt idx="6">
                  <c:v>3.4095851091589108E-2</c:v>
                </c:pt>
                <c:pt idx="7">
                  <c:v>2.8790119161520397E-2</c:v>
                </c:pt>
                <c:pt idx="8">
                  <c:v>1.5830216578237803E-2</c:v>
                </c:pt>
                <c:pt idx="9">
                  <c:v>5.5492737235800643E-2</c:v>
                </c:pt>
                <c:pt idx="10">
                  <c:v>0.46786118117769854</c:v>
                </c:pt>
                <c:pt idx="11">
                  <c:v>8.6979211968339564E-5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E8B9-4D32-9FA4-C5B7B71D02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'23.09 Mukono-Seeta'!$S$9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'23.09 Mukono-Seeta'!$R$10:$R$21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'23.09 Mukono-Seeta'!$S$10:$S$21</c:f>
              <c:numCache>
                <c:formatCode>0</c:formatCode>
                <c:ptCount val="12"/>
                <c:pt idx="0">
                  <c:v>97</c:v>
                </c:pt>
                <c:pt idx="1">
                  <c:v>114</c:v>
                </c:pt>
                <c:pt idx="2">
                  <c:v>112</c:v>
                </c:pt>
                <c:pt idx="3">
                  <c:v>78</c:v>
                </c:pt>
                <c:pt idx="4">
                  <c:v>91</c:v>
                </c:pt>
                <c:pt idx="5">
                  <c:v>122</c:v>
                </c:pt>
                <c:pt idx="6">
                  <c:v>103</c:v>
                </c:pt>
                <c:pt idx="7">
                  <c:v>113</c:v>
                </c:pt>
                <c:pt idx="8">
                  <c:v>135</c:v>
                </c:pt>
                <c:pt idx="9">
                  <c:v>110</c:v>
                </c:pt>
                <c:pt idx="10">
                  <c:v>135</c:v>
                </c:pt>
                <c:pt idx="11">
                  <c:v>139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651-40BE-9A1E-5B6943FE144C}"/>
            </c:ext>
          </c:extLst>
        </c:ser>
        <c:ser>
          <c:idx val="1"/>
          <c:order val="1"/>
          <c:tx>
            <c:strRef>
              <c:f>'23.09 Mukono-Seeta'!$T$9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'23.09 Mukono-Seeta'!$R$10:$R$21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'23.09 Mukono-Seeta'!$T$10:$T$21</c:f>
              <c:numCache>
                <c:formatCode>0</c:formatCode>
                <c:ptCount val="12"/>
                <c:pt idx="0">
                  <c:v>37</c:v>
                </c:pt>
                <c:pt idx="1">
                  <c:v>60</c:v>
                </c:pt>
                <c:pt idx="2">
                  <c:v>44</c:v>
                </c:pt>
                <c:pt idx="3">
                  <c:v>38</c:v>
                </c:pt>
                <c:pt idx="4">
                  <c:v>38</c:v>
                </c:pt>
                <c:pt idx="5">
                  <c:v>48</c:v>
                </c:pt>
                <c:pt idx="6">
                  <c:v>53</c:v>
                </c:pt>
                <c:pt idx="7">
                  <c:v>67</c:v>
                </c:pt>
                <c:pt idx="8">
                  <c:v>64</c:v>
                </c:pt>
                <c:pt idx="9">
                  <c:v>58</c:v>
                </c:pt>
                <c:pt idx="10">
                  <c:v>77</c:v>
                </c:pt>
                <c:pt idx="11">
                  <c:v>47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651-40BE-9A1E-5B6943FE144C}"/>
            </c:ext>
          </c:extLst>
        </c:ser>
        <c:ser>
          <c:idx val="2"/>
          <c:order val="2"/>
          <c:tx>
            <c:strRef>
              <c:f>'23.09 Mukono-Seeta'!$U$9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'23.09 Mukono-Seeta'!$U$10:$U$21</c:f>
              <c:numCache>
                <c:formatCode>0</c:formatCode>
                <c:ptCount val="12"/>
                <c:pt idx="0">
                  <c:v>38</c:v>
                </c:pt>
                <c:pt idx="1">
                  <c:v>26</c:v>
                </c:pt>
                <c:pt idx="2">
                  <c:v>37</c:v>
                </c:pt>
                <c:pt idx="3">
                  <c:v>24</c:v>
                </c:pt>
                <c:pt idx="4">
                  <c:v>25</c:v>
                </c:pt>
                <c:pt idx="5">
                  <c:v>32</c:v>
                </c:pt>
                <c:pt idx="6">
                  <c:v>29</c:v>
                </c:pt>
                <c:pt idx="7">
                  <c:v>24</c:v>
                </c:pt>
                <c:pt idx="8">
                  <c:v>42</c:v>
                </c:pt>
                <c:pt idx="9">
                  <c:v>34</c:v>
                </c:pt>
                <c:pt idx="10">
                  <c:v>40</c:v>
                </c:pt>
                <c:pt idx="11">
                  <c:v>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651-40BE-9A1E-5B6943FE144C}"/>
            </c:ext>
          </c:extLst>
        </c:ser>
        <c:ser>
          <c:idx val="3"/>
          <c:order val="3"/>
          <c:tx>
            <c:strRef>
              <c:f>'23.09 Mukono-Seeta'!$V$9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'23.09 Mukono-Seeta'!$V$10:$V$21</c:f>
              <c:numCache>
                <c:formatCode>0</c:formatCode>
                <c:ptCount val="12"/>
                <c:pt idx="0">
                  <c:v>86</c:v>
                </c:pt>
                <c:pt idx="1">
                  <c:v>180</c:v>
                </c:pt>
                <c:pt idx="2">
                  <c:v>218</c:v>
                </c:pt>
                <c:pt idx="3">
                  <c:v>131</c:v>
                </c:pt>
                <c:pt idx="4">
                  <c:v>115</c:v>
                </c:pt>
                <c:pt idx="5">
                  <c:v>176</c:v>
                </c:pt>
                <c:pt idx="6">
                  <c:v>177</c:v>
                </c:pt>
                <c:pt idx="7">
                  <c:v>154</c:v>
                </c:pt>
                <c:pt idx="8">
                  <c:v>191</c:v>
                </c:pt>
                <c:pt idx="9">
                  <c:v>178</c:v>
                </c:pt>
                <c:pt idx="10">
                  <c:v>209</c:v>
                </c:pt>
                <c:pt idx="11">
                  <c:v>250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651-40BE-9A1E-5B6943FE144C}"/>
            </c:ext>
          </c:extLst>
        </c:ser>
        <c:ser>
          <c:idx val="4"/>
          <c:order val="4"/>
          <c:tx>
            <c:strRef>
              <c:f>'23.09 Mukono-Seeta'!$W$9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'23.09 Mukono-Seeta'!$W$10:$W$21</c:f>
              <c:numCache>
                <c:formatCode>0</c:formatCode>
                <c:ptCount val="12"/>
                <c:pt idx="0">
                  <c:v>8</c:v>
                </c:pt>
                <c:pt idx="1">
                  <c:v>9</c:v>
                </c:pt>
                <c:pt idx="2">
                  <c:v>11</c:v>
                </c:pt>
                <c:pt idx="3">
                  <c:v>5</c:v>
                </c:pt>
                <c:pt idx="4">
                  <c:v>6</c:v>
                </c:pt>
                <c:pt idx="5">
                  <c:v>9</c:v>
                </c:pt>
                <c:pt idx="6">
                  <c:v>10</c:v>
                </c:pt>
                <c:pt idx="7">
                  <c:v>4</c:v>
                </c:pt>
                <c:pt idx="8">
                  <c:v>7</c:v>
                </c:pt>
                <c:pt idx="9">
                  <c:v>14</c:v>
                </c:pt>
                <c:pt idx="10">
                  <c:v>14</c:v>
                </c:pt>
                <c:pt idx="11">
                  <c:v>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651-40BE-9A1E-5B6943FE144C}"/>
            </c:ext>
          </c:extLst>
        </c:ser>
        <c:ser>
          <c:idx val="5"/>
          <c:order val="5"/>
          <c:tx>
            <c:strRef>
              <c:f>'23.09 Mukono-Seeta'!$X$9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'23.09 Mukono-Seeta'!$X$10:$X$21</c:f>
              <c:numCache>
                <c:formatCode>0</c:formatCode>
                <c:ptCount val="12"/>
                <c:pt idx="0">
                  <c:v>3</c:v>
                </c:pt>
                <c:pt idx="1">
                  <c:v>3</c:v>
                </c:pt>
                <c:pt idx="2">
                  <c:v>1</c:v>
                </c:pt>
                <c:pt idx="3">
                  <c:v>1</c:v>
                </c:pt>
                <c:pt idx="4">
                  <c:v>0</c:v>
                </c:pt>
                <c:pt idx="5">
                  <c:v>3</c:v>
                </c:pt>
                <c:pt idx="6">
                  <c:v>4</c:v>
                </c:pt>
                <c:pt idx="7">
                  <c:v>2</c:v>
                </c:pt>
                <c:pt idx="8">
                  <c:v>0</c:v>
                </c:pt>
                <c:pt idx="9">
                  <c:v>3</c:v>
                </c:pt>
                <c:pt idx="10">
                  <c:v>7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651-40BE-9A1E-5B6943FE144C}"/>
            </c:ext>
          </c:extLst>
        </c:ser>
        <c:ser>
          <c:idx val="6"/>
          <c:order val="6"/>
          <c:tx>
            <c:strRef>
              <c:f>'23.09 Mukono-Seeta'!$Y$9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'23.09 Mukono-Seeta'!$Y$10:$Y$21</c:f>
              <c:numCache>
                <c:formatCode>0</c:formatCode>
                <c:ptCount val="12"/>
                <c:pt idx="0">
                  <c:v>12</c:v>
                </c:pt>
                <c:pt idx="1">
                  <c:v>30</c:v>
                </c:pt>
                <c:pt idx="2">
                  <c:v>34</c:v>
                </c:pt>
                <c:pt idx="3">
                  <c:v>33</c:v>
                </c:pt>
                <c:pt idx="4">
                  <c:v>32</c:v>
                </c:pt>
                <c:pt idx="5">
                  <c:v>32</c:v>
                </c:pt>
                <c:pt idx="6">
                  <c:v>37</c:v>
                </c:pt>
                <c:pt idx="7">
                  <c:v>49</c:v>
                </c:pt>
                <c:pt idx="8">
                  <c:v>34</c:v>
                </c:pt>
                <c:pt idx="9">
                  <c:v>34</c:v>
                </c:pt>
                <c:pt idx="10">
                  <c:v>36</c:v>
                </c:pt>
                <c:pt idx="11">
                  <c:v>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651-40BE-9A1E-5B6943FE144C}"/>
            </c:ext>
          </c:extLst>
        </c:ser>
        <c:ser>
          <c:idx val="7"/>
          <c:order val="7"/>
          <c:tx>
            <c:strRef>
              <c:f>'23.09 Mukono-Seeta'!$Z$9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'23.09 Mukono-Seeta'!$Z$10:$Z$21</c:f>
              <c:numCache>
                <c:formatCode>0</c:formatCode>
                <c:ptCount val="12"/>
                <c:pt idx="0">
                  <c:v>17</c:v>
                </c:pt>
                <c:pt idx="1">
                  <c:v>17</c:v>
                </c:pt>
                <c:pt idx="2">
                  <c:v>11</c:v>
                </c:pt>
                <c:pt idx="3">
                  <c:v>11</c:v>
                </c:pt>
                <c:pt idx="4">
                  <c:v>18</c:v>
                </c:pt>
                <c:pt idx="5">
                  <c:v>33</c:v>
                </c:pt>
                <c:pt idx="6">
                  <c:v>20</c:v>
                </c:pt>
                <c:pt idx="7">
                  <c:v>34</c:v>
                </c:pt>
                <c:pt idx="8">
                  <c:v>44</c:v>
                </c:pt>
                <c:pt idx="9">
                  <c:v>35</c:v>
                </c:pt>
                <c:pt idx="10">
                  <c:v>48</c:v>
                </c:pt>
                <c:pt idx="11">
                  <c:v>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651-40BE-9A1E-5B6943FE144C}"/>
            </c:ext>
          </c:extLst>
        </c:ser>
        <c:ser>
          <c:idx val="8"/>
          <c:order val="8"/>
          <c:tx>
            <c:strRef>
              <c:f>'23.09 Mukono-Seeta'!$AA$9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'23.09 Mukono-Seeta'!$AA$10:$AA$21</c:f>
              <c:numCache>
                <c:formatCode>0</c:formatCode>
                <c:ptCount val="12"/>
                <c:pt idx="0">
                  <c:v>6</c:v>
                </c:pt>
                <c:pt idx="1">
                  <c:v>10</c:v>
                </c:pt>
                <c:pt idx="2">
                  <c:v>29</c:v>
                </c:pt>
                <c:pt idx="3">
                  <c:v>12</c:v>
                </c:pt>
                <c:pt idx="4">
                  <c:v>19</c:v>
                </c:pt>
                <c:pt idx="5">
                  <c:v>13</c:v>
                </c:pt>
                <c:pt idx="6">
                  <c:v>13</c:v>
                </c:pt>
                <c:pt idx="7">
                  <c:v>21</c:v>
                </c:pt>
                <c:pt idx="8">
                  <c:v>26</c:v>
                </c:pt>
                <c:pt idx="9">
                  <c:v>11</c:v>
                </c:pt>
                <c:pt idx="10">
                  <c:v>10</c:v>
                </c:pt>
                <c:pt idx="11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651-40BE-9A1E-5B6943FE144C}"/>
            </c:ext>
          </c:extLst>
        </c:ser>
        <c:ser>
          <c:idx val="9"/>
          <c:order val="9"/>
          <c:tx>
            <c:strRef>
              <c:f>'23.09 Mukono-Seeta'!$AB$9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'23.09 Mukono-Seeta'!$AB$10:$AB$21</c:f>
              <c:numCache>
                <c:formatCode>0</c:formatCode>
                <c:ptCount val="12"/>
                <c:pt idx="0">
                  <c:v>67</c:v>
                </c:pt>
                <c:pt idx="1">
                  <c:v>76</c:v>
                </c:pt>
                <c:pt idx="2">
                  <c:v>73</c:v>
                </c:pt>
                <c:pt idx="3">
                  <c:v>71</c:v>
                </c:pt>
                <c:pt idx="4">
                  <c:v>73</c:v>
                </c:pt>
                <c:pt idx="5">
                  <c:v>52</c:v>
                </c:pt>
                <c:pt idx="6">
                  <c:v>51</c:v>
                </c:pt>
                <c:pt idx="7">
                  <c:v>43</c:v>
                </c:pt>
                <c:pt idx="8">
                  <c:v>43</c:v>
                </c:pt>
                <c:pt idx="9">
                  <c:v>37</c:v>
                </c:pt>
                <c:pt idx="10">
                  <c:v>28</c:v>
                </c:pt>
                <c:pt idx="11">
                  <c:v>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4651-40BE-9A1E-5B6943FE144C}"/>
            </c:ext>
          </c:extLst>
        </c:ser>
        <c:ser>
          <c:idx val="10"/>
          <c:order val="10"/>
          <c:tx>
            <c:strRef>
              <c:f>'23.09 Mukono-Seeta'!$AC$9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'23.09 Mukono-Seeta'!$AC$10:$AC$21</c:f>
              <c:numCache>
                <c:formatCode>0</c:formatCode>
                <c:ptCount val="12"/>
                <c:pt idx="0">
                  <c:v>578</c:v>
                </c:pt>
                <c:pt idx="1">
                  <c:v>742</c:v>
                </c:pt>
                <c:pt idx="2">
                  <c:v>574</c:v>
                </c:pt>
                <c:pt idx="3">
                  <c:v>276</c:v>
                </c:pt>
                <c:pt idx="4">
                  <c:v>332</c:v>
                </c:pt>
                <c:pt idx="5">
                  <c:v>432</c:v>
                </c:pt>
                <c:pt idx="6">
                  <c:v>439</c:v>
                </c:pt>
                <c:pt idx="7">
                  <c:v>375</c:v>
                </c:pt>
                <c:pt idx="8">
                  <c:v>282</c:v>
                </c:pt>
                <c:pt idx="9">
                  <c:v>364</c:v>
                </c:pt>
                <c:pt idx="10">
                  <c:v>473</c:v>
                </c:pt>
                <c:pt idx="11">
                  <c:v>512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4651-40BE-9A1E-5B6943FE144C}"/>
            </c:ext>
          </c:extLst>
        </c:ser>
        <c:ser>
          <c:idx val="11"/>
          <c:order val="11"/>
          <c:tx>
            <c:strRef>
              <c:f>'23.09 Mukono-Seeta'!$AD$9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'23.09 Mukono-Seeta'!$AD$10:$AD$21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4651-40BE-9A1E-5B6943FE14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6705664"/>
        <c:axId val="86707200"/>
      </c:lineChart>
      <c:catAx>
        <c:axId val="867056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6707200"/>
        <c:crosses val="autoZero"/>
        <c:auto val="1"/>
        <c:lblAlgn val="ctr"/>
        <c:lblOffset val="100"/>
        <c:noMultiLvlLbl val="0"/>
      </c:catAx>
      <c:valAx>
        <c:axId val="86707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67056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F2F-4319-A1B1-A94A163849D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F2F-4319-A1B1-A94A163849D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F2F-4319-A1B1-A94A163849D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F2F-4319-A1B1-A94A163849D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F2F-4319-A1B1-A94A163849D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F2F-4319-A1B1-A94A163849D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F2F-4319-A1B1-A94A163849D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F2F-4319-A1B1-A94A163849D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F2F-4319-A1B1-A94A163849D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F2F-4319-A1B1-A94A163849D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F2F-4319-A1B1-A94A163849D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F2F-4319-A1B1-A94A163849D9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F2F-4319-A1B1-A94A163849D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'23.09 Mukono-Seeta'!$C$9:$N$9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'23.09 Mukono-Seeta'!$C$60:$N$60</c:f>
              <c:numCache>
                <c:formatCode>0.00%</c:formatCode>
                <c:ptCount val="12"/>
                <c:pt idx="0">
                  <c:v>0.22049689440993789</c:v>
                </c:pt>
                <c:pt idx="1">
                  <c:v>0.10313828048381823</c:v>
                </c:pt>
                <c:pt idx="2">
                  <c:v>6.3419418110493619E-2</c:v>
                </c:pt>
                <c:pt idx="3">
                  <c:v>0.33752860411899316</c:v>
                </c:pt>
                <c:pt idx="4">
                  <c:v>1.8470088264138606E-2</c:v>
                </c:pt>
                <c:pt idx="5">
                  <c:v>4.5766590389016018E-3</c:v>
                </c:pt>
                <c:pt idx="6">
                  <c:v>6.4073226544622428E-2</c:v>
                </c:pt>
                <c:pt idx="7">
                  <c:v>5.4102647924158219E-2</c:v>
                </c:pt>
                <c:pt idx="8">
                  <c:v>2.9748283752860413E-2</c:v>
                </c:pt>
                <c:pt idx="9">
                  <c:v>0.10428244524354364</c:v>
                </c:pt>
                <c:pt idx="11">
                  <c:v>1.6345210853220007E-4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F2F-4319-A1B1-A94A163849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'24.09 Seeta-Mukono'!$AE$9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'24.09 Seeta-Mukono'!$R$10:$R$21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'24.09 Seeta-Mukono'!$AE$10:$AE$21</c:f>
              <c:numCache>
                <c:formatCode>0</c:formatCode>
                <c:ptCount val="12"/>
                <c:pt idx="0">
                  <c:v>561</c:v>
                </c:pt>
                <c:pt idx="1">
                  <c:v>645</c:v>
                </c:pt>
                <c:pt idx="2">
                  <c:v>655</c:v>
                </c:pt>
                <c:pt idx="3">
                  <c:v>588</c:v>
                </c:pt>
                <c:pt idx="4">
                  <c:v>574</c:v>
                </c:pt>
                <c:pt idx="5">
                  <c:v>608</c:v>
                </c:pt>
                <c:pt idx="6">
                  <c:v>766</c:v>
                </c:pt>
                <c:pt idx="7">
                  <c:v>594</c:v>
                </c:pt>
                <c:pt idx="8">
                  <c:v>532</c:v>
                </c:pt>
                <c:pt idx="9">
                  <c:v>602</c:v>
                </c:pt>
                <c:pt idx="10">
                  <c:v>585</c:v>
                </c:pt>
                <c:pt idx="11">
                  <c:v>561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6D6-4B77-8026-30DBF41B753F}"/>
            </c:ext>
          </c:extLst>
        </c:ser>
        <c:ser>
          <c:idx val="1"/>
          <c:order val="1"/>
          <c:tx>
            <c:strRef>
              <c:f>'24.09 Seeta-Mukono'!$AF$9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'24.09 Seeta-Mukono'!$R$10:$R$21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'24.09 Seeta-Mukono'!$AF$10:$AF$21</c:f>
              <c:numCache>
                <c:formatCode>0</c:formatCode>
                <c:ptCount val="12"/>
                <c:pt idx="0">
                  <c:v>887</c:v>
                </c:pt>
                <c:pt idx="1">
                  <c:v>1078</c:v>
                </c:pt>
                <c:pt idx="2">
                  <c:v>1145</c:v>
                </c:pt>
                <c:pt idx="3">
                  <c:v>944</c:v>
                </c:pt>
                <c:pt idx="4">
                  <c:v>1034</c:v>
                </c:pt>
                <c:pt idx="5">
                  <c:v>1094</c:v>
                </c:pt>
                <c:pt idx="6">
                  <c:v>1280</c:v>
                </c:pt>
                <c:pt idx="7">
                  <c:v>1035</c:v>
                </c:pt>
                <c:pt idx="8">
                  <c:v>982</c:v>
                </c:pt>
                <c:pt idx="9">
                  <c:v>997</c:v>
                </c:pt>
                <c:pt idx="10">
                  <c:v>990</c:v>
                </c:pt>
                <c:pt idx="11">
                  <c:v>1177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6D6-4B77-8026-30DBF41B75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9203456"/>
        <c:axId val="89204992"/>
      </c:lineChart>
      <c:catAx>
        <c:axId val="8920345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9204992"/>
        <c:crosses val="autoZero"/>
        <c:auto val="1"/>
        <c:lblAlgn val="ctr"/>
        <c:lblOffset val="100"/>
        <c:noMultiLvlLbl val="0"/>
      </c:catAx>
      <c:valAx>
        <c:axId val="8920499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92034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5BA-447C-A3CB-236E1F2B31F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F5BA-447C-A3CB-236E1F2B31F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F5BA-447C-A3CB-236E1F2B31F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F5BA-447C-A3CB-236E1F2B31F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F5BA-447C-A3CB-236E1F2B31F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F5BA-447C-A3CB-236E1F2B31F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F5BA-447C-A3CB-236E1F2B31F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F5BA-447C-A3CB-236E1F2B31F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F5BA-447C-A3CB-236E1F2B31F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F5BA-447C-A3CB-236E1F2B31F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F5BA-447C-A3CB-236E1F2B31F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F5BA-447C-A3CB-236E1F2B31F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F5BA-447C-A3CB-236E1F2B31F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'24.09 Seeta-Mukono'!$C$9:$N$9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'24.09 Seeta-Mukono'!$C$59:$N$59</c:f>
              <c:numCache>
                <c:formatCode>0.0%</c:formatCode>
                <c:ptCount val="12"/>
                <c:pt idx="0">
                  <c:v>0.19133117139919323</c:v>
                </c:pt>
                <c:pt idx="1">
                  <c:v>2.6338685438582615E-2</c:v>
                </c:pt>
                <c:pt idx="2">
                  <c:v>3.2982678161828677E-2</c:v>
                </c:pt>
                <c:pt idx="3">
                  <c:v>0.1686308629281025</c:v>
                </c:pt>
                <c:pt idx="4">
                  <c:v>9.1750375701969474E-3</c:v>
                </c:pt>
                <c:pt idx="5">
                  <c:v>1.5028078778770862E-3</c:v>
                </c:pt>
                <c:pt idx="6">
                  <c:v>5.4021988452107886E-2</c:v>
                </c:pt>
                <c:pt idx="7">
                  <c:v>2.2779403622557936E-2</c:v>
                </c:pt>
                <c:pt idx="8">
                  <c:v>1.3999841809697065E-2</c:v>
                </c:pt>
                <c:pt idx="9">
                  <c:v>5.4180178755042316E-2</c:v>
                </c:pt>
                <c:pt idx="10">
                  <c:v>0.4248991536818793</c:v>
                </c:pt>
                <c:pt idx="11">
                  <c:v>1.5819030293443012E-4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F5BA-447C-A3CB-236E1F2B31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'24.09 Seeta-Mukono'!$S$9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'24.09 Seeta-Mukono'!$R$10:$R$21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'24.09 Seeta-Mukono'!$S$10:$S$21</c:f>
              <c:numCache>
                <c:formatCode>0</c:formatCode>
                <c:ptCount val="12"/>
                <c:pt idx="0">
                  <c:v>236</c:v>
                </c:pt>
                <c:pt idx="1">
                  <c:v>260</c:v>
                </c:pt>
                <c:pt idx="2">
                  <c:v>244</c:v>
                </c:pt>
                <c:pt idx="3">
                  <c:v>211</c:v>
                </c:pt>
                <c:pt idx="4">
                  <c:v>179</c:v>
                </c:pt>
                <c:pt idx="5">
                  <c:v>202</c:v>
                </c:pt>
                <c:pt idx="6">
                  <c:v>210</c:v>
                </c:pt>
                <c:pt idx="7">
                  <c:v>184</c:v>
                </c:pt>
                <c:pt idx="8">
                  <c:v>129</c:v>
                </c:pt>
                <c:pt idx="9">
                  <c:v>152</c:v>
                </c:pt>
                <c:pt idx="10">
                  <c:v>220</c:v>
                </c:pt>
                <c:pt idx="11">
                  <c:v>192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D54-447E-B68D-E1368766DED9}"/>
            </c:ext>
          </c:extLst>
        </c:ser>
        <c:ser>
          <c:idx val="1"/>
          <c:order val="1"/>
          <c:tx>
            <c:strRef>
              <c:f>'24.09 Seeta-Mukono'!$T$9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'24.09 Seeta-Mukono'!$R$10:$R$21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'24.09 Seeta-Mukono'!$T$10:$T$21</c:f>
              <c:numCache>
                <c:formatCode>0</c:formatCode>
                <c:ptCount val="12"/>
                <c:pt idx="0">
                  <c:v>24</c:v>
                </c:pt>
                <c:pt idx="1">
                  <c:v>51</c:v>
                </c:pt>
                <c:pt idx="2">
                  <c:v>35</c:v>
                </c:pt>
                <c:pt idx="3">
                  <c:v>24</c:v>
                </c:pt>
                <c:pt idx="4">
                  <c:v>30</c:v>
                </c:pt>
                <c:pt idx="5">
                  <c:v>22</c:v>
                </c:pt>
                <c:pt idx="6">
                  <c:v>28</c:v>
                </c:pt>
                <c:pt idx="7">
                  <c:v>25</c:v>
                </c:pt>
                <c:pt idx="8">
                  <c:v>19</c:v>
                </c:pt>
                <c:pt idx="9">
                  <c:v>16</c:v>
                </c:pt>
                <c:pt idx="10">
                  <c:v>26</c:v>
                </c:pt>
                <c:pt idx="11">
                  <c:v>33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D54-447E-B68D-E1368766DED9}"/>
            </c:ext>
          </c:extLst>
        </c:ser>
        <c:ser>
          <c:idx val="2"/>
          <c:order val="2"/>
          <c:tx>
            <c:strRef>
              <c:f>'24.09 Seeta-Mukono'!$U$9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'24.09 Seeta-Mukono'!$U$10:$U$21</c:f>
              <c:numCache>
                <c:formatCode>0</c:formatCode>
                <c:ptCount val="12"/>
                <c:pt idx="0">
                  <c:v>50</c:v>
                </c:pt>
                <c:pt idx="1">
                  <c:v>49</c:v>
                </c:pt>
                <c:pt idx="2">
                  <c:v>42</c:v>
                </c:pt>
                <c:pt idx="3">
                  <c:v>34</c:v>
                </c:pt>
                <c:pt idx="4">
                  <c:v>28</c:v>
                </c:pt>
                <c:pt idx="5">
                  <c:v>36</c:v>
                </c:pt>
                <c:pt idx="6">
                  <c:v>29</c:v>
                </c:pt>
                <c:pt idx="7">
                  <c:v>28</c:v>
                </c:pt>
                <c:pt idx="8">
                  <c:v>38</c:v>
                </c:pt>
                <c:pt idx="9">
                  <c:v>26</c:v>
                </c:pt>
                <c:pt idx="10">
                  <c:v>29</c:v>
                </c:pt>
                <c:pt idx="11">
                  <c:v>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D54-447E-B68D-E1368766DED9}"/>
            </c:ext>
          </c:extLst>
        </c:ser>
        <c:ser>
          <c:idx val="3"/>
          <c:order val="3"/>
          <c:tx>
            <c:strRef>
              <c:f>'24.09 Seeta-Mukono'!$V$9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'24.09 Seeta-Mukono'!$V$10:$V$21</c:f>
              <c:numCache>
                <c:formatCode>0</c:formatCode>
                <c:ptCount val="12"/>
                <c:pt idx="0">
                  <c:v>179</c:v>
                </c:pt>
                <c:pt idx="1">
                  <c:v>176</c:v>
                </c:pt>
                <c:pt idx="2">
                  <c:v>204</c:v>
                </c:pt>
                <c:pt idx="3">
                  <c:v>211</c:v>
                </c:pt>
                <c:pt idx="4">
                  <c:v>153</c:v>
                </c:pt>
                <c:pt idx="5">
                  <c:v>181</c:v>
                </c:pt>
                <c:pt idx="6">
                  <c:v>235</c:v>
                </c:pt>
                <c:pt idx="7">
                  <c:v>180</c:v>
                </c:pt>
                <c:pt idx="8">
                  <c:v>168</c:v>
                </c:pt>
                <c:pt idx="9">
                  <c:v>159</c:v>
                </c:pt>
                <c:pt idx="10">
                  <c:v>148</c:v>
                </c:pt>
                <c:pt idx="11">
                  <c:v>138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D54-447E-B68D-E1368766DED9}"/>
            </c:ext>
          </c:extLst>
        </c:ser>
        <c:ser>
          <c:idx val="4"/>
          <c:order val="4"/>
          <c:tx>
            <c:strRef>
              <c:f>'24.09 Seeta-Mukono'!$W$9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'24.09 Seeta-Mukono'!$W$10:$W$21</c:f>
              <c:numCache>
                <c:formatCode>0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11</c:v>
                </c:pt>
                <c:pt idx="3">
                  <c:v>8</c:v>
                </c:pt>
                <c:pt idx="4">
                  <c:v>7</c:v>
                </c:pt>
                <c:pt idx="5">
                  <c:v>10</c:v>
                </c:pt>
                <c:pt idx="6">
                  <c:v>14</c:v>
                </c:pt>
                <c:pt idx="7">
                  <c:v>9</c:v>
                </c:pt>
                <c:pt idx="8">
                  <c:v>9</c:v>
                </c:pt>
                <c:pt idx="9">
                  <c:v>12</c:v>
                </c:pt>
                <c:pt idx="10">
                  <c:v>8</c:v>
                </c:pt>
                <c:pt idx="11">
                  <c:v>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D54-447E-B68D-E1368766DED9}"/>
            </c:ext>
          </c:extLst>
        </c:ser>
        <c:ser>
          <c:idx val="5"/>
          <c:order val="5"/>
          <c:tx>
            <c:strRef>
              <c:f>'24.09 Seeta-Mukono'!$X$9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'24.09 Seeta-Mukono'!$X$10:$X$21</c:f>
              <c:numCache>
                <c:formatCode>0</c:formatCode>
                <c:ptCount val="12"/>
                <c:pt idx="0">
                  <c:v>2</c:v>
                </c:pt>
                <c:pt idx="1">
                  <c:v>2</c:v>
                </c:pt>
                <c:pt idx="2">
                  <c:v>0</c:v>
                </c:pt>
                <c:pt idx="3">
                  <c:v>2</c:v>
                </c:pt>
                <c:pt idx="4">
                  <c:v>2</c:v>
                </c:pt>
                <c:pt idx="5">
                  <c:v>1</c:v>
                </c:pt>
                <c:pt idx="6">
                  <c:v>2</c:v>
                </c:pt>
                <c:pt idx="7">
                  <c:v>0</c:v>
                </c:pt>
                <c:pt idx="8">
                  <c:v>2</c:v>
                </c:pt>
                <c:pt idx="9">
                  <c:v>3</c:v>
                </c:pt>
                <c:pt idx="10">
                  <c:v>0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6D54-447E-B68D-E1368766DED9}"/>
            </c:ext>
          </c:extLst>
        </c:ser>
        <c:ser>
          <c:idx val="6"/>
          <c:order val="6"/>
          <c:tx>
            <c:strRef>
              <c:f>'24.09 Seeta-Mukono'!$Y$9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'24.09 Seeta-Mukono'!$Y$10:$Y$21</c:f>
              <c:numCache>
                <c:formatCode>0</c:formatCode>
                <c:ptCount val="12"/>
                <c:pt idx="0">
                  <c:v>29</c:v>
                </c:pt>
                <c:pt idx="1">
                  <c:v>56</c:v>
                </c:pt>
                <c:pt idx="2">
                  <c:v>56</c:v>
                </c:pt>
                <c:pt idx="3">
                  <c:v>49</c:v>
                </c:pt>
                <c:pt idx="4">
                  <c:v>62</c:v>
                </c:pt>
                <c:pt idx="5">
                  <c:v>72</c:v>
                </c:pt>
                <c:pt idx="6">
                  <c:v>73</c:v>
                </c:pt>
                <c:pt idx="7">
                  <c:v>71</c:v>
                </c:pt>
                <c:pt idx="8">
                  <c:v>66</c:v>
                </c:pt>
                <c:pt idx="9">
                  <c:v>52</c:v>
                </c:pt>
                <c:pt idx="10">
                  <c:v>55</c:v>
                </c:pt>
                <c:pt idx="11">
                  <c:v>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6D54-447E-B68D-E1368766DED9}"/>
            </c:ext>
          </c:extLst>
        </c:ser>
        <c:ser>
          <c:idx val="7"/>
          <c:order val="7"/>
          <c:tx>
            <c:strRef>
              <c:f>'24.09 Seeta-Mukono'!$Z$9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'24.09 Seeta-Mukono'!$Z$10:$Z$21</c:f>
              <c:numCache>
                <c:formatCode>0</c:formatCode>
                <c:ptCount val="12"/>
                <c:pt idx="0">
                  <c:v>14</c:v>
                </c:pt>
                <c:pt idx="1">
                  <c:v>19</c:v>
                </c:pt>
                <c:pt idx="2">
                  <c:v>21</c:v>
                </c:pt>
                <c:pt idx="3">
                  <c:v>20</c:v>
                </c:pt>
                <c:pt idx="4">
                  <c:v>29</c:v>
                </c:pt>
                <c:pt idx="5">
                  <c:v>27</c:v>
                </c:pt>
                <c:pt idx="6">
                  <c:v>42</c:v>
                </c:pt>
                <c:pt idx="7">
                  <c:v>32</c:v>
                </c:pt>
                <c:pt idx="8">
                  <c:v>17</c:v>
                </c:pt>
                <c:pt idx="9">
                  <c:v>30</c:v>
                </c:pt>
                <c:pt idx="10">
                  <c:v>19</c:v>
                </c:pt>
                <c:pt idx="11">
                  <c:v>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6D54-447E-B68D-E1368766DED9}"/>
            </c:ext>
          </c:extLst>
        </c:ser>
        <c:ser>
          <c:idx val="8"/>
          <c:order val="8"/>
          <c:tx>
            <c:strRef>
              <c:f>'24.09 Seeta-Mukono'!$AA$9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'24.09 Seeta-Mukono'!$AA$10:$AA$21</c:f>
              <c:numCache>
                <c:formatCode>0</c:formatCode>
                <c:ptCount val="12"/>
                <c:pt idx="0">
                  <c:v>8</c:v>
                </c:pt>
                <c:pt idx="1">
                  <c:v>13</c:v>
                </c:pt>
                <c:pt idx="2">
                  <c:v>12</c:v>
                </c:pt>
                <c:pt idx="3">
                  <c:v>10</c:v>
                </c:pt>
                <c:pt idx="4">
                  <c:v>21</c:v>
                </c:pt>
                <c:pt idx="5">
                  <c:v>12</c:v>
                </c:pt>
                <c:pt idx="6">
                  <c:v>31</c:v>
                </c:pt>
                <c:pt idx="7">
                  <c:v>15</c:v>
                </c:pt>
                <c:pt idx="8">
                  <c:v>25</c:v>
                </c:pt>
                <c:pt idx="9">
                  <c:v>18</c:v>
                </c:pt>
                <c:pt idx="10">
                  <c:v>7</c:v>
                </c:pt>
                <c:pt idx="11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6D54-447E-B68D-E1368766DED9}"/>
            </c:ext>
          </c:extLst>
        </c:ser>
        <c:ser>
          <c:idx val="9"/>
          <c:order val="9"/>
          <c:tx>
            <c:strRef>
              <c:f>'24.09 Seeta-Mukono'!$AB$9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'24.09 Seeta-Mukono'!$AB$10:$AB$21</c:f>
              <c:numCache>
                <c:formatCode>0</c:formatCode>
                <c:ptCount val="12"/>
                <c:pt idx="0">
                  <c:v>15</c:v>
                </c:pt>
                <c:pt idx="1">
                  <c:v>15</c:v>
                </c:pt>
                <c:pt idx="2">
                  <c:v>30</c:v>
                </c:pt>
                <c:pt idx="3">
                  <c:v>19</c:v>
                </c:pt>
                <c:pt idx="4">
                  <c:v>63</c:v>
                </c:pt>
                <c:pt idx="5">
                  <c:v>44</c:v>
                </c:pt>
                <c:pt idx="6">
                  <c:v>102</c:v>
                </c:pt>
                <c:pt idx="7">
                  <c:v>50</c:v>
                </c:pt>
                <c:pt idx="8">
                  <c:v>59</c:v>
                </c:pt>
                <c:pt idx="9">
                  <c:v>134</c:v>
                </c:pt>
                <c:pt idx="10">
                  <c:v>73</c:v>
                </c:pt>
                <c:pt idx="11">
                  <c:v>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6D54-447E-B68D-E1368766DED9}"/>
            </c:ext>
          </c:extLst>
        </c:ser>
        <c:ser>
          <c:idx val="10"/>
          <c:order val="10"/>
          <c:tx>
            <c:strRef>
              <c:f>'24.09 Seeta-Mukono'!$AC$9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'24.09 Seeta-Mukono'!$AC$10:$AC$21</c:f>
              <c:numCache>
                <c:formatCode>0</c:formatCode>
                <c:ptCount val="12"/>
                <c:pt idx="0">
                  <c:v>326</c:v>
                </c:pt>
                <c:pt idx="1">
                  <c:v>433</c:v>
                </c:pt>
                <c:pt idx="2">
                  <c:v>490</c:v>
                </c:pt>
                <c:pt idx="3">
                  <c:v>356</c:v>
                </c:pt>
                <c:pt idx="4">
                  <c:v>460</c:v>
                </c:pt>
                <c:pt idx="5">
                  <c:v>486</c:v>
                </c:pt>
                <c:pt idx="6">
                  <c:v>514</c:v>
                </c:pt>
                <c:pt idx="7">
                  <c:v>441</c:v>
                </c:pt>
                <c:pt idx="8">
                  <c:v>450</c:v>
                </c:pt>
                <c:pt idx="9">
                  <c:v>395</c:v>
                </c:pt>
                <c:pt idx="10">
                  <c:v>405</c:v>
                </c:pt>
                <c:pt idx="11">
                  <c:v>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6D54-447E-B68D-E1368766DED9}"/>
            </c:ext>
          </c:extLst>
        </c:ser>
        <c:ser>
          <c:idx val="11"/>
          <c:order val="11"/>
          <c:tx>
            <c:strRef>
              <c:f>'24.09 Seeta-Mukono'!$AD$9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'24.09 Seeta-Mukono'!$AD$10:$AD$21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6D54-447E-B68D-E1368766DE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9287296"/>
        <c:axId val="89297280"/>
      </c:lineChart>
      <c:catAx>
        <c:axId val="892872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9297280"/>
        <c:crosses val="autoZero"/>
        <c:auto val="1"/>
        <c:lblAlgn val="ctr"/>
        <c:lblOffset val="100"/>
        <c:noMultiLvlLbl val="0"/>
      </c:catAx>
      <c:valAx>
        <c:axId val="892972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9287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B73-46DF-8DE2-8B27C2F90D1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B73-46DF-8DE2-8B27C2F90D1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B73-46DF-8DE2-8B27C2F90D1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B73-46DF-8DE2-8B27C2F90D1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B73-46DF-8DE2-8B27C2F90D1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B73-46DF-8DE2-8B27C2F90D1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B73-46DF-8DE2-8B27C2F90D1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B73-46DF-8DE2-8B27C2F90D1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B73-46DF-8DE2-8B27C2F90D1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B73-46DF-8DE2-8B27C2F90D1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B73-46DF-8DE2-8B27C2F90D1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B73-46DF-8DE2-8B27C2F90D10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B73-46DF-8DE2-8B27C2F90D1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'24.09 Seeta-Mukono'!$C$9:$N$9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'24.09 Seeta-Mukono'!$C$60:$N$60</c:f>
              <c:numCache>
                <c:formatCode>0.00%</c:formatCode>
                <c:ptCount val="12"/>
                <c:pt idx="0">
                  <c:v>0.33269151423463073</c:v>
                </c:pt>
                <c:pt idx="1">
                  <c:v>4.5798377114564706E-2</c:v>
                </c:pt>
                <c:pt idx="2">
                  <c:v>5.7351120891211665E-2</c:v>
                </c:pt>
                <c:pt idx="3">
                  <c:v>0.29321963966442027</c:v>
                </c:pt>
                <c:pt idx="4">
                  <c:v>1.5953789024893413E-2</c:v>
                </c:pt>
                <c:pt idx="5">
                  <c:v>2.6131206161463349E-3</c:v>
                </c:pt>
                <c:pt idx="6">
                  <c:v>9.3934809517260354E-2</c:v>
                </c:pt>
                <c:pt idx="7">
                  <c:v>3.960940723421813E-2</c:v>
                </c:pt>
                <c:pt idx="8">
                  <c:v>2.4343281529363225E-2</c:v>
                </c:pt>
                <c:pt idx="9">
                  <c:v>9.4209874845275751E-2</c:v>
                </c:pt>
                <c:pt idx="11">
                  <c:v>2.7506532801540364E-4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B73-46DF-8DE2-8B27C2F90D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'24.09 Mukono-Seeta'!$AE$9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'24.09 Mukono-Seeta'!$R$10:$R$21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'24.09 Mukono-Seeta'!$AE$10:$AE$21</c:f>
              <c:numCache>
                <c:formatCode>0</c:formatCode>
                <c:ptCount val="12"/>
                <c:pt idx="0">
                  <c:v>456</c:v>
                </c:pt>
                <c:pt idx="1">
                  <c:v>440</c:v>
                </c:pt>
                <c:pt idx="2">
                  <c:v>529</c:v>
                </c:pt>
                <c:pt idx="3">
                  <c:v>512</c:v>
                </c:pt>
                <c:pt idx="4">
                  <c:v>515</c:v>
                </c:pt>
                <c:pt idx="5">
                  <c:v>517</c:v>
                </c:pt>
                <c:pt idx="6">
                  <c:v>509</c:v>
                </c:pt>
                <c:pt idx="7">
                  <c:v>517</c:v>
                </c:pt>
                <c:pt idx="8">
                  <c:v>539</c:v>
                </c:pt>
                <c:pt idx="9">
                  <c:v>457</c:v>
                </c:pt>
                <c:pt idx="10">
                  <c:v>469</c:v>
                </c:pt>
                <c:pt idx="11">
                  <c:v>490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D5F-499C-8247-FFF3D6EFDA44}"/>
            </c:ext>
          </c:extLst>
        </c:ser>
        <c:ser>
          <c:idx val="1"/>
          <c:order val="1"/>
          <c:tx>
            <c:strRef>
              <c:f>'24.09 Mukono-Seeta'!$AF$9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'24.09 Mukono-Seeta'!$R$10:$R$21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'24.09 Mukono-Seeta'!$AF$10:$AF$21</c:f>
              <c:numCache>
                <c:formatCode>0</c:formatCode>
                <c:ptCount val="12"/>
                <c:pt idx="0">
                  <c:v>1011</c:v>
                </c:pt>
                <c:pt idx="1">
                  <c:v>928</c:v>
                </c:pt>
                <c:pt idx="2">
                  <c:v>1119</c:v>
                </c:pt>
                <c:pt idx="3">
                  <c:v>1008</c:v>
                </c:pt>
                <c:pt idx="4">
                  <c:v>1014</c:v>
                </c:pt>
                <c:pt idx="5">
                  <c:v>935</c:v>
                </c:pt>
                <c:pt idx="6">
                  <c:v>886</c:v>
                </c:pt>
                <c:pt idx="7">
                  <c:v>869</c:v>
                </c:pt>
                <c:pt idx="8">
                  <c:v>891</c:v>
                </c:pt>
                <c:pt idx="9">
                  <c:v>813</c:v>
                </c:pt>
                <c:pt idx="10">
                  <c:v>828</c:v>
                </c:pt>
                <c:pt idx="11">
                  <c:v>994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D5F-499C-8247-FFF3D6EFDA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0888832"/>
        <c:axId val="110890368"/>
      </c:lineChart>
      <c:catAx>
        <c:axId val="11088883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0890368"/>
        <c:crosses val="autoZero"/>
        <c:auto val="1"/>
        <c:lblAlgn val="ctr"/>
        <c:lblOffset val="100"/>
        <c:noMultiLvlLbl val="0"/>
      </c:catAx>
      <c:valAx>
        <c:axId val="11089036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08888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AD9-43D2-B994-F66788B4CE1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AD9-43D2-B994-F66788B4CE1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AD9-43D2-B994-F66788B4CE1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AD9-43D2-B994-F66788B4CE1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AD9-43D2-B994-F66788B4CE1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AD9-43D2-B994-F66788B4CE12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AD9-43D2-B994-F66788B4CE12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AD9-43D2-B994-F66788B4CE12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AD9-43D2-B994-F66788B4CE12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AD9-43D2-B994-F66788B4CE12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AD9-43D2-B994-F66788B4CE12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AD9-43D2-B994-F66788B4CE12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AD9-43D2-B994-F66788B4CE1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'24.09 Mukono-Seeta'!$C$9:$N$9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'24.09 Mukono-Seeta'!$C$59:$N$59</c:f>
              <c:numCache>
                <c:formatCode>0.0%</c:formatCode>
                <c:ptCount val="12"/>
                <c:pt idx="0">
                  <c:v>0.10472733711048159</c:v>
                </c:pt>
                <c:pt idx="1">
                  <c:v>5.3912889518413595E-2</c:v>
                </c:pt>
                <c:pt idx="2">
                  <c:v>2.9922096317280454E-2</c:v>
                </c:pt>
                <c:pt idx="3">
                  <c:v>0.18811968838526913</c:v>
                </c:pt>
                <c:pt idx="4">
                  <c:v>1.0269121813031162E-2</c:v>
                </c:pt>
                <c:pt idx="5">
                  <c:v>2.8328611898016999E-3</c:v>
                </c:pt>
                <c:pt idx="6">
                  <c:v>2.7620396600566571E-2</c:v>
                </c:pt>
                <c:pt idx="7">
                  <c:v>2.8771246458923514E-2</c:v>
                </c:pt>
                <c:pt idx="8">
                  <c:v>1.8059490084985835E-2</c:v>
                </c:pt>
                <c:pt idx="9">
                  <c:v>6.2145892351274788E-2</c:v>
                </c:pt>
                <c:pt idx="10">
                  <c:v>0.47326487252124644</c:v>
                </c:pt>
                <c:pt idx="11">
                  <c:v>3.5410764872521248E-4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AD9-43D2-B994-F66788B4CE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'24.09 Mukono-Seeta'!$S$9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'24.09 Mukono-Seeta'!$R$10:$R$21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'24.09 Mukono-Seeta'!$S$10:$S$21</c:f>
              <c:numCache>
                <c:formatCode>0</c:formatCode>
                <c:ptCount val="12"/>
                <c:pt idx="0">
                  <c:v>105</c:v>
                </c:pt>
                <c:pt idx="1">
                  <c:v>88</c:v>
                </c:pt>
                <c:pt idx="2">
                  <c:v>100</c:v>
                </c:pt>
                <c:pt idx="3">
                  <c:v>102</c:v>
                </c:pt>
                <c:pt idx="4">
                  <c:v>98</c:v>
                </c:pt>
                <c:pt idx="5">
                  <c:v>108</c:v>
                </c:pt>
                <c:pt idx="6">
                  <c:v>89</c:v>
                </c:pt>
                <c:pt idx="7">
                  <c:v>99</c:v>
                </c:pt>
                <c:pt idx="8">
                  <c:v>115</c:v>
                </c:pt>
                <c:pt idx="9">
                  <c:v>100</c:v>
                </c:pt>
                <c:pt idx="10">
                  <c:v>88</c:v>
                </c:pt>
                <c:pt idx="11">
                  <c:v>91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232-4340-AED5-CD3F6DAF145D}"/>
            </c:ext>
          </c:extLst>
        </c:ser>
        <c:ser>
          <c:idx val="1"/>
          <c:order val="1"/>
          <c:tx>
            <c:strRef>
              <c:f>'24.09 Mukono-Seeta'!$T$9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'24.09 Mukono-Seeta'!$R$10:$R$21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'24.09 Mukono-Seeta'!$T$10:$T$21</c:f>
              <c:numCache>
                <c:formatCode>0</c:formatCode>
                <c:ptCount val="12"/>
                <c:pt idx="0">
                  <c:v>38</c:v>
                </c:pt>
                <c:pt idx="1">
                  <c:v>41</c:v>
                </c:pt>
                <c:pt idx="2">
                  <c:v>58</c:v>
                </c:pt>
                <c:pt idx="3">
                  <c:v>35</c:v>
                </c:pt>
                <c:pt idx="4">
                  <c:v>54</c:v>
                </c:pt>
                <c:pt idx="5">
                  <c:v>49</c:v>
                </c:pt>
                <c:pt idx="6">
                  <c:v>62</c:v>
                </c:pt>
                <c:pt idx="7">
                  <c:v>52</c:v>
                </c:pt>
                <c:pt idx="8">
                  <c:v>62</c:v>
                </c:pt>
                <c:pt idx="9">
                  <c:v>55</c:v>
                </c:pt>
                <c:pt idx="10">
                  <c:v>53</c:v>
                </c:pt>
                <c:pt idx="11">
                  <c:v>50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232-4340-AED5-CD3F6DAF145D}"/>
            </c:ext>
          </c:extLst>
        </c:ser>
        <c:ser>
          <c:idx val="2"/>
          <c:order val="2"/>
          <c:tx>
            <c:strRef>
              <c:f>'24.09 Mukono-Seeta'!$U$9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'24.09 Mukono-Seeta'!$U$10:$U$21</c:f>
              <c:numCache>
                <c:formatCode>0</c:formatCode>
                <c:ptCount val="12"/>
                <c:pt idx="0">
                  <c:v>25</c:v>
                </c:pt>
                <c:pt idx="1">
                  <c:v>14</c:v>
                </c:pt>
                <c:pt idx="2">
                  <c:v>25</c:v>
                </c:pt>
                <c:pt idx="3">
                  <c:v>25</c:v>
                </c:pt>
                <c:pt idx="4">
                  <c:v>41</c:v>
                </c:pt>
                <c:pt idx="5">
                  <c:v>28</c:v>
                </c:pt>
                <c:pt idx="6">
                  <c:v>30</c:v>
                </c:pt>
                <c:pt idx="7">
                  <c:v>38</c:v>
                </c:pt>
                <c:pt idx="8">
                  <c:v>23</c:v>
                </c:pt>
                <c:pt idx="9">
                  <c:v>28</c:v>
                </c:pt>
                <c:pt idx="10">
                  <c:v>36</c:v>
                </c:pt>
                <c:pt idx="11">
                  <c:v>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232-4340-AED5-CD3F6DAF145D}"/>
            </c:ext>
          </c:extLst>
        </c:ser>
        <c:ser>
          <c:idx val="3"/>
          <c:order val="3"/>
          <c:tx>
            <c:strRef>
              <c:f>'24.09 Mukono-Seeta'!$V$9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'24.09 Mukono-Seeta'!$V$10:$V$21</c:f>
              <c:numCache>
                <c:formatCode>0</c:formatCode>
                <c:ptCount val="12"/>
                <c:pt idx="0">
                  <c:v>184</c:v>
                </c:pt>
                <c:pt idx="1">
                  <c:v>181</c:v>
                </c:pt>
                <c:pt idx="2">
                  <c:v>183</c:v>
                </c:pt>
                <c:pt idx="3">
                  <c:v>204</c:v>
                </c:pt>
                <c:pt idx="4">
                  <c:v>161</c:v>
                </c:pt>
                <c:pt idx="5">
                  <c:v>173</c:v>
                </c:pt>
                <c:pt idx="6">
                  <c:v>169</c:v>
                </c:pt>
                <c:pt idx="7">
                  <c:v>155</c:v>
                </c:pt>
                <c:pt idx="8">
                  <c:v>175</c:v>
                </c:pt>
                <c:pt idx="9">
                  <c:v>144</c:v>
                </c:pt>
                <c:pt idx="10">
                  <c:v>186</c:v>
                </c:pt>
                <c:pt idx="11">
                  <c:v>210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232-4340-AED5-CD3F6DAF145D}"/>
            </c:ext>
          </c:extLst>
        </c:ser>
        <c:ser>
          <c:idx val="4"/>
          <c:order val="4"/>
          <c:tx>
            <c:strRef>
              <c:f>'24.09 Mukono-Seeta'!$W$9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'24.09 Mukono-Seeta'!$W$10:$W$21</c:f>
              <c:numCache>
                <c:formatCode>0</c:formatCode>
                <c:ptCount val="12"/>
                <c:pt idx="0">
                  <c:v>12</c:v>
                </c:pt>
                <c:pt idx="1">
                  <c:v>6</c:v>
                </c:pt>
                <c:pt idx="2">
                  <c:v>6</c:v>
                </c:pt>
                <c:pt idx="3">
                  <c:v>7</c:v>
                </c:pt>
                <c:pt idx="4">
                  <c:v>9</c:v>
                </c:pt>
                <c:pt idx="5">
                  <c:v>9</c:v>
                </c:pt>
                <c:pt idx="6">
                  <c:v>10</c:v>
                </c:pt>
                <c:pt idx="7">
                  <c:v>5</c:v>
                </c:pt>
                <c:pt idx="8">
                  <c:v>6</c:v>
                </c:pt>
                <c:pt idx="9">
                  <c:v>11</c:v>
                </c:pt>
                <c:pt idx="10">
                  <c:v>21</c:v>
                </c:pt>
                <c:pt idx="11">
                  <c:v>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232-4340-AED5-CD3F6DAF145D}"/>
            </c:ext>
          </c:extLst>
        </c:ser>
        <c:ser>
          <c:idx val="5"/>
          <c:order val="5"/>
          <c:tx>
            <c:strRef>
              <c:f>'24.09 Mukono-Seeta'!$X$9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'24.09 Mukono-Seeta'!$X$10:$X$21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7</c:v>
                </c:pt>
                <c:pt idx="3">
                  <c:v>2</c:v>
                </c:pt>
                <c:pt idx="4">
                  <c:v>0</c:v>
                </c:pt>
                <c:pt idx="5">
                  <c:v>1</c:v>
                </c:pt>
                <c:pt idx="6">
                  <c:v>3</c:v>
                </c:pt>
                <c:pt idx="7">
                  <c:v>5</c:v>
                </c:pt>
                <c:pt idx="8">
                  <c:v>5</c:v>
                </c:pt>
                <c:pt idx="9">
                  <c:v>4</c:v>
                </c:pt>
                <c:pt idx="10">
                  <c:v>4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232-4340-AED5-CD3F6DAF145D}"/>
            </c:ext>
          </c:extLst>
        </c:ser>
        <c:ser>
          <c:idx val="6"/>
          <c:order val="6"/>
          <c:tx>
            <c:strRef>
              <c:f>'24.09 Mukono-Seeta'!$Y$9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'24.09 Mukono-Seeta'!$Y$10:$Y$21</c:f>
              <c:numCache>
                <c:formatCode>0</c:formatCode>
                <c:ptCount val="12"/>
                <c:pt idx="0">
                  <c:v>4</c:v>
                </c:pt>
                <c:pt idx="1">
                  <c:v>9</c:v>
                </c:pt>
                <c:pt idx="2">
                  <c:v>17</c:v>
                </c:pt>
                <c:pt idx="3">
                  <c:v>25</c:v>
                </c:pt>
                <c:pt idx="4">
                  <c:v>36</c:v>
                </c:pt>
                <c:pt idx="5">
                  <c:v>37</c:v>
                </c:pt>
                <c:pt idx="6">
                  <c:v>35</c:v>
                </c:pt>
                <c:pt idx="7">
                  <c:v>35</c:v>
                </c:pt>
                <c:pt idx="8">
                  <c:v>37</c:v>
                </c:pt>
                <c:pt idx="9">
                  <c:v>32</c:v>
                </c:pt>
                <c:pt idx="10">
                  <c:v>23</c:v>
                </c:pt>
                <c:pt idx="11">
                  <c:v>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232-4340-AED5-CD3F6DAF145D}"/>
            </c:ext>
          </c:extLst>
        </c:ser>
        <c:ser>
          <c:idx val="7"/>
          <c:order val="7"/>
          <c:tx>
            <c:strRef>
              <c:f>'24.09 Mukono-Seeta'!$Z$9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'24.09 Mukono-Seeta'!$Z$10:$Z$21</c:f>
              <c:numCache>
                <c:formatCode>0</c:formatCode>
                <c:ptCount val="12"/>
                <c:pt idx="0">
                  <c:v>17</c:v>
                </c:pt>
                <c:pt idx="1">
                  <c:v>13</c:v>
                </c:pt>
                <c:pt idx="2">
                  <c:v>31</c:v>
                </c:pt>
                <c:pt idx="3">
                  <c:v>32</c:v>
                </c:pt>
                <c:pt idx="4">
                  <c:v>42</c:v>
                </c:pt>
                <c:pt idx="5">
                  <c:v>34</c:v>
                </c:pt>
                <c:pt idx="6">
                  <c:v>32</c:v>
                </c:pt>
                <c:pt idx="7">
                  <c:v>33</c:v>
                </c:pt>
                <c:pt idx="8">
                  <c:v>20</c:v>
                </c:pt>
                <c:pt idx="9">
                  <c:v>29</c:v>
                </c:pt>
                <c:pt idx="10">
                  <c:v>17</c:v>
                </c:pt>
                <c:pt idx="11">
                  <c:v>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5232-4340-AED5-CD3F6DAF145D}"/>
            </c:ext>
          </c:extLst>
        </c:ser>
        <c:ser>
          <c:idx val="8"/>
          <c:order val="8"/>
          <c:tx>
            <c:strRef>
              <c:f>'24.09 Mukono-Seeta'!$AA$9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'24.09 Mukono-Seeta'!$AA$10:$AA$21</c:f>
              <c:numCache>
                <c:formatCode>0</c:formatCode>
                <c:ptCount val="12"/>
                <c:pt idx="0">
                  <c:v>11</c:v>
                </c:pt>
                <c:pt idx="1">
                  <c:v>12</c:v>
                </c:pt>
                <c:pt idx="2">
                  <c:v>20</c:v>
                </c:pt>
                <c:pt idx="3">
                  <c:v>15</c:v>
                </c:pt>
                <c:pt idx="4">
                  <c:v>28</c:v>
                </c:pt>
                <c:pt idx="5">
                  <c:v>16</c:v>
                </c:pt>
                <c:pt idx="6">
                  <c:v>23</c:v>
                </c:pt>
                <c:pt idx="7">
                  <c:v>19</c:v>
                </c:pt>
                <c:pt idx="8">
                  <c:v>20</c:v>
                </c:pt>
                <c:pt idx="9">
                  <c:v>15</c:v>
                </c:pt>
                <c:pt idx="10">
                  <c:v>11</c:v>
                </c:pt>
                <c:pt idx="11">
                  <c:v>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5232-4340-AED5-CD3F6DAF145D}"/>
            </c:ext>
          </c:extLst>
        </c:ser>
        <c:ser>
          <c:idx val="9"/>
          <c:order val="9"/>
          <c:tx>
            <c:strRef>
              <c:f>'24.09 Mukono-Seeta'!$AB$9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'24.09 Mukono-Seeta'!$AB$10:$AB$21</c:f>
              <c:numCache>
                <c:formatCode>0</c:formatCode>
                <c:ptCount val="12"/>
                <c:pt idx="0">
                  <c:v>60</c:v>
                </c:pt>
                <c:pt idx="1">
                  <c:v>76</c:v>
                </c:pt>
                <c:pt idx="2">
                  <c:v>82</c:v>
                </c:pt>
                <c:pt idx="3">
                  <c:v>65</c:v>
                </c:pt>
                <c:pt idx="4">
                  <c:v>46</c:v>
                </c:pt>
                <c:pt idx="5">
                  <c:v>62</c:v>
                </c:pt>
                <c:pt idx="6">
                  <c:v>55</c:v>
                </c:pt>
                <c:pt idx="7">
                  <c:v>76</c:v>
                </c:pt>
                <c:pt idx="8">
                  <c:v>74</c:v>
                </c:pt>
                <c:pt idx="9">
                  <c:v>39</c:v>
                </c:pt>
                <c:pt idx="10">
                  <c:v>30</c:v>
                </c:pt>
                <c:pt idx="11">
                  <c:v>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5232-4340-AED5-CD3F6DAF145D}"/>
            </c:ext>
          </c:extLst>
        </c:ser>
        <c:ser>
          <c:idx val="10"/>
          <c:order val="10"/>
          <c:tx>
            <c:strRef>
              <c:f>'24.09 Mukono-Seeta'!$AC$9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'24.09 Mukono-Seeta'!$AC$10:$AC$21</c:f>
              <c:numCache>
                <c:formatCode>0</c:formatCode>
                <c:ptCount val="12"/>
                <c:pt idx="0">
                  <c:v>555</c:v>
                </c:pt>
                <c:pt idx="1">
                  <c:v>488</c:v>
                </c:pt>
                <c:pt idx="2">
                  <c:v>590</c:v>
                </c:pt>
                <c:pt idx="3">
                  <c:v>496</c:v>
                </c:pt>
                <c:pt idx="4">
                  <c:v>499</c:v>
                </c:pt>
                <c:pt idx="5">
                  <c:v>418</c:v>
                </c:pt>
                <c:pt idx="6">
                  <c:v>377</c:v>
                </c:pt>
                <c:pt idx="7">
                  <c:v>352</c:v>
                </c:pt>
                <c:pt idx="8">
                  <c:v>352</c:v>
                </c:pt>
                <c:pt idx="9">
                  <c:v>356</c:v>
                </c:pt>
                <c:pt idx="10">
                  <c:v>359</c:v>
                </c:pt>
                <c:pt idx="11">
                  <c:v>504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5232-4340-AED5-CD3F6DAF145D}"/>
            </c:ext>
          </c:extLst>
        </c:ser>
        <c:ser>
          <c:idx val="11"/>
          <c:order val="11"/>
          <c:tx>
            <c:strRef>
              <c:f>'24.09 Mukono-Seeta'!$AD$9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'24.09 Mukono-Seeta'!$AD$10:$AD$21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2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5232-4340-AED5-CD3F6DAF14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1140864"/>
        <c:axId val="111142400"/>
      </c:lineChart>
      <c:catAx>
        <c:axId val="1111408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1142400"/>
        <c:crosses val="autoZero"/>
        <c:auto val="1"/>
        <c:lblAlgn val="ctr"/>
        <c:lblOffset val="100"/>
        <c:noMultiLvlLbl val="0"/>
      </c:catAx>
      <c:valAx>
        <c:axId val="111142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11408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496-4C9C-BA89-19C872160E0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496-4C9C-BA89-19C872160E0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496-4C9C-BA89-19C872160E0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496-4C9C-BA89-19C872160E0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496-4C9C-BA89-19C872160E0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496-4C9C-BA89-19C872160E0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496-4C9C-BA89-19C872160E0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496-4C9C-BA89-19C872160E0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496-4C9C-BA89-19C872160E0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496-4C9C-BA89-19C872160E0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496-4C9C-BA89-19C872160E0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496-4C9C-BA89-19C872160E0D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496-4C9C-BA89-19C872160E0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'24.09 Mukono-Seeta'!$C$9:$N$9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'24.09 Mukono-Seeta'!$C$60:$N$60</c:f>
              <c:numCache>
                <c:formatCode>0.00%</c:formatCode>
                <c:ptCount val="12"/>
                <c:pt idx="0">
                  <c:v>0.1988235294117647</c:v>
                </c:pt>
                <c:pt idx="1">
                  <c:v>0.10235294117647059</c:v>
                </c:pt>
                <c:pt idx="2">
                  <c:v>5.6806722689075627E-2</c:v>
                </c:pt>
                <c:pt idx="3">
                  <c:v>0.35714285714285715</c:v>
                </c:pt>
                <c:pt idx="4">
                  <c:v>1.9495798319327733E-2</c:v>
                </c:pt>
                <c:pt idx="5">
                  <c:v>5.3781512605042018E-3</c:v>
                </c:pt>
                <c:pt idx="6">
                  <c:v>5.2436974789915963E-2</c:v>
                </c:pt>
                <c:pt idx="7">
                  <c:v>5.4621848739495799E-2</c:v>
                </c:pt>
                <c:pt idx="8">
                  <c:v>3.4285714285714287E-2</c:v>
                </c:pt>
                <c:pt idx="9">
                  <c:v>0.11798319327731092</c:v>
                </c:pt>
                <c:pt idx="11">
                  <c:v>6.7226890756302523E-4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496-4C9C-BA89-19C872160E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'25.09 Seeta-Mukono'!$AE$9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'25.09 Seeta-Mukono'!$R$10:$R$21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'25.09 Seeta-Mukono'!$AE$10:$AE$21</c:f>
              <c:numCache>
                <c:formatCode>0</c:formatCode>
                <c:ptCount val="12"/>
                <c:pt idx="0">
                  <c:v>598</c:v>
                </c:pt>
                <c:pt idx="1">
                  <c:v>603</c:v>
                </c:pt>
                <c:pt idx="2">
                  <c:v>665</c:v>
                </c:pt>
                <c:pt idx="3">
                  <c:v>635</c:v>
                </c:pt>
                <c:pt idx="4">
                  <c:v>623</c:v>
                </c:pt>
                <c:pt idx="5">
                  <c:v>575</c:v>
                </c:pt>
                <c:pt idx="6">
                  <c:v>622</c:v>
                </c:pt>
                <c:pt idx="7">
                  <c:v>602</c:v>
                </c:pt>
                <c:pt idx="8">
                  <c:v>557</c:v>
                </c:pt>
                <c:pt idx="9">
                  <c:v>655</c:v>
                </c:pt>
                <c:pt idx="10">
                  <c:v>609</c:v>
                </c:pt>
                <c:pt idx="11">
                  <c:v>570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6D8-486C-94F6-6CD386BE52F0}"/>
            </c:ext>
          </c:extLst>
        </c:ser>
        <c:ser>
          <c:idx val="1"/>
          <c:order val="1"/>
          <c:tx>
            <c:strRef>
              <c:f>'25.09 Seeta-Mukono'!$AF$9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'25.09 Seeta-Mukono'!$R$10:$R$21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'25.09 Seeta-Mukono'!$AF$10:$AF$21</c:f>
              <c:numCache>
                <c:formatCode>0</c:formatCode>
                <c:ptCount val="12"/>
                <c:pt idx="0">
                  <c:v>991</c:v>
                </c:pt>
                <c:pt idx="1">
                  <c:v>1056</c:v>
                </c:pt>
                <c:pt idx="2">
                  <c:v>1116</c:v>
                </c:pt>
                <c:pt idx="3">
                  <c:v>1086</c:v>
                </c:pt>
                <c:pt idx="4">
                  <c:v>1097</c:v>
                </c:pt>
                <c:pt idx="5">
                  <c:v>1049</c:v>
                </c:pt>
                <c:pt idx="6">
                  <c:v>1020</c:v>
                </c:pt>
                <c:pt idx="7">
                  <c:v>944</c:v>
                </c:pt>
                <c:pt idx="8">
                  <c:v>962</c:v>
                </c:pt>
                <c:pt idx="9">
                  <c:v>1063</c:v>
                </c:pt>
                <c:pt idx="10">
                  <c:v>1140</c:v>
                </c:pt>
                <c:pt idx="11">
                  <c:v>1121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6D8-486C-94F6-6CD386BE52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1352832"/>
        <c:axId val="111403776"/>
      </c:lineChart>
      <c:catAx>
        <c:axId val="11135283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1403776"/>
        <c:crosses val="autoZero"/>
        <c:auto val="1"/>
        <c:lblAlgn val="ctr"/>
        <c:lblOffset val="100"/>
        <c:noMultiLvlLbl val="0"/>
      </c:catAx>
      <c:valAx>
        <c:axId val="11140377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13528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7B3F-4B31-952A-3E8EFBAD12A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7B3F-4B31-952A-3E8EFBAD12A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7B3F-4B31-952A-3E8EFBAD12A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7B3F-4B31-952A-3E8EFBAD12A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7B3F-4B31-952A-3E8EFBAD12A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7B3F-4B31-952A-3E8EFBAD12A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7B3F-4B31-952A-3E8EFBAD12A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7B3F-4B31-952A-3E8EFBAD12A4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7B3F-4B31-952A-3E8EFBAD12A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7B3F-4B31-952A-3E8EFBAD12A4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7B3F-4B31-952A-3E8EFBAD12A4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7B3F-4B31-952A-3E8EFBAD12A4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7B3F-4B31-952A-3E8EFBAD12A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'25.09 Seeta-Mukono'!$C$9:$N$9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'25.09 Seeta-Mukono'!$C$59:$N$59</c:f>
              <c:numCache>
                <c:formatCode>0.0%</c:formatCode>
                <c:ptCount val="12"/>
                <c:pt idx="0">
                  <c:v>0.19422696718070384</c:v>
                </c:pt>
                <c:pt idx="1">
                  <c:v>2.2854883353103993E-2</c:v>
                </c:pt>
                <c:pt idx="2">
                  <c:v>2.933965994464215E-2</c:v>
                </c:pt>
                <c:pt idx="3">
                  <c:v>0.15421115065243179</c:v>
                </c:pt>
                <c:pt idx="4">
                  <c:v>1.2574139976275208E-2</c:v>
                </c:pt>
                <c:pt idx="5">
                  <c:v>1.0359826018189007E-2</c:v>
                </c:pt>
                <c:pt idx="6">
                  <c:v>5.0771055753262156E-2</c:v>
                </c:pt>
                <c:pt idx="7">
                  <c:v>2.6729932779754845E-2</c:v>
                </c:pt>
                <c:pt idx="8">
                  <c:v>2.151047844998023E-2</c:v>
                </c:pt>
                <c:pt idx="9">
                  <c:v>5.5832344800316333E-2</c:v>
                </c:pt>
                <c:pt idx="10">
                  <c:v>0.42158956109134044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7B3F-4B31-952A-3E8EFBAD12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'25.09 Seeta-Mukono'!$S$9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'25.09 Seeta-Mukono'!$R$10:$R$21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'25.09 Seeta-Mukono'!$S$10:$S$21</c:f>
              <c:numCache>
                <c:formatCode>0</c:formatCode>
                <c:ptCount val="12"/>
                <c:pt idx="0">
                  <c:v>283</c:v>
                </c:pt>
                <c:pt idx="1">
                  <c:v>273</c:v>
                </c:pt>
                <c:pt idx="2">
                  <c:v>250</c:v>
                </c:pt>
                <c:pt idx="3">
                  <c:v>231</c:v>
                </c:pt>
                <c:pt idx="4">
                  <c:v>188</c:v>
                </c:pt>
                <c:pt idx="5">
                  <c:v>176</c:v>
                </c:pt>
                <c:pt idx="6">
                  <c:v>186</c:v>
                </c:pt>
                <c:pt idx="7">
                  <c:v>167</c:v>
                </c:pt>
                <c:pt idx="8">
                  <c:v>142</c:v>
                </c:pt>
                <c:pt idx="9">
                  <c:v>163</c:v>
                </c:pt>
                <c:pt idx="10">
                  <c:v>190</c:v>
                </c:pt>
                <c:pt idx="11">
                  <c:v>207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EE7-484C-BD81-92E397547986}"/>
            </c:ext>
          </c:extLst>
        </c:ser>
        <c:ser>
          <c:idx val="1"/>
          <c:order val="1"/>
          <c:tx>
            <c:strRef>
              <c:f>'25.09 Seeta-Mukono'!$T$9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'25.09 Seeta-Mukono'!$R$10:$R$21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'25.09 Seeta-Mukono'!$T$10:$T$21</c:f>
              <c:numCache>
                <c:formatCode>0</c:formatCode>
                <c:ptCount val="12"/>
                <c:pt idx="0">
                  <c:v>28</c:v>
                </c:pt>
                <c:pt idx="1">
                  <c:v>31</c:v>
                </c:pt>
                <c:pt idx="2">
                  <c:v>41</c:v>
                </c:pt>
                <c:pt idx="3">
                  <c:v>19</c:v>
                </c:pt>
                <c:pt idx="4">
                  <c:v>29</c:v>
                </c:pt>
                <c:pt idx="5">
                  <c:v>26</c:v>
                </c:pt>
                <c:pt idx="6">
                  <c:v>26</c:v>
                </c:pt>
                <c:pt idx="7">
                  <c:v>7</c:v>
                </c:pt>
                <c:pt idx="8">
                  <c:v>28</c:v>
                </c:pt>
                <c:pt idx="9">
                  <c:v>19</c:v>
                </c:pt>
                <c:pt idx="10">
                  <c:v>15</c:v>
                </c:pt>
                <c:pt idx="11">
                  <c:v>20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EE7-484C-BD81-92E397547986}"/>
            </c:ext>
          </c:extLst>
        </c:ser>
        <c:ser>
          <c:idx val="2"/>
          <c:order val="2"/>
          <c:tx>
            <c:strRef>
              <c:f>'25.09 Seeta-Mukono'!$U$9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'25.09 Seeta-Mukono'!$U$10:$U$21</c:f>
              <c:numCache>
                <c:formatCode>0</c:formatCode>
                <c:ptCount val="12"/>
                <c:pt idx="0">
                  <c:v>45</c:v>
                </c:pt>
                <c:pt idx="1">
                  <c:v>31</c:v>
                </c:pt>
                <c:pt idx="2">
                  <c:v>42</c:v>
                </c:pt>
                <c:pt idx="3">
                  <c:v>34</c:v>
                </c:pt>
                <c:pt idx="4">
                  <c:v>36</c:v>
                </c:pt>
                <c:pt idx="5">
                  <c:v>30</c:v>
                </c:pt>
                <c:pt idx="6">
                  <c:v>25</c:v>
                </c:pt>
                <c:pt idx="7">
                  <c:v>25</c:v>
                </c:pt>
                <c:pt idx="8">
                  <c:v>30</c:v>
                </c:pt>
                <c:pt idx="9">
                  <c:v>22</c:v>
                </c:pt>
                <c:pt idx="10">
                  <c:v>23</c:v>
                </c:pt>
                <c:pt idx="11">
                  <c:v>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EE7-484C-BD81-92E397547986}"/>
            </c:ext>
          </c:extLst>
        </c:ser>
        <c:ser>
          <c:idx val="3"/>
          <c:order val="3"/>
          <c:tx>
            <c:strRef>
              <c:f>'25.09 Seeta-Mukono'!$V$9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'25.09 Seeta-Mukono'!$V$10:$V$21</c:f>
              <c:numCache>
                <c:formatCode>0</c:formatCode>
                <c:ptCount val="12"/>
                <c:pt idx="0">
                  <c:v>134</c:v>
                </c:pt>
                <c:pt idx="1">
                  <c:v>150</c:v>
                </c:pt>
                <c:pt idx="2">
                  <c:v>221</c:v>
                </c:pt>
                <c:pt idx="3">
                  <c:v>188</c:v>
                </c:pt>
                <c:pt idx="4">
                  <c:v>175</c:v>
                </c:pt>
                <c:pt idx="5">
                  <c:v>154</c:v>
                </c:pt>
                <c:pt idx="6">
                  <c:v>160</c:v>
                </c:pt>
                <c:pt idx="7">
                  <c:v>159</c:v>
                </c:pt>
                <c:pt idx="8">
                  <c:v>151</c:v>
                </c:pt>
                <c:pt idx="9">
                  <c:v>136</c:v>
                </c:pt>
                <c:pt idx="10">
                  <c:v>159</c:v>
                </c:pt>
                <c:pt idx="11">
                  <c:v>163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EE7-484C-BD81-92E397547986}"/>
            </c:ext>
          </c:extLst>
        </c:ser>
        <c:ser>
          <c:idx val="4"/>
          <c:order val="4"/>
          <c:tx>
            <c:strRef>
              <c:f>'25.09 Seeta-Mukono'!$W$9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'25.09 Seeta-Mukono'!$W$10:$W$21</c:f>
              <c:numCache>
                <c:formatCode>0</c:formatCode>
                <c:ptCount val="12"/>
                <c:pt idx="0">
                  <c:v>5</c:v>
                </c:pt>
                <c:pt idx="1">
                  <c:v>8</c:v>
                </c:pt>
                <c:pt idx="2">
                  <c:v>14</c:v>
                </c:pt>
                <c:pt idx="3">
                  <c:v>7</c:v>
                </c:pt>
                <c:pt idx="4">
                  <c:v>7</c:v>
                </c:pt>
                <c:pt idx="5">
                  <c:v>7</c:v>
                </c:pt>
                <c:pt idx="6">
                  <c:v>8</c:v>
                </c:pt>
                <c:pt idx="7">
                  <c:v>11</c:v>
                </c:pt>
                <c:pt idx="8">
                  <c:v>7</c:v>
                </c:pt>
                <c:pt idx="9">
                  <c:v>9</c:v>
                </c:pt>
                <c:pt idx="10">
                  <c:v>65</c:v>
                </c:pt>
                <c:pt idx="11">
                  <c:v>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EE7-484C-BD81-92E397547986}"/>
            </c:ext>
          </c:extLst>
        </c:ser>
        <c:ser>
          <c:idx val="5"/>
          <c:order val="5"/>
          <c:tx>
            <c:strRef>
              <c:f>'25.09 Seeta-Mukono'!$X$9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'25.09 Seeta-Mukono'!$X$10:$X$21</c:f>
              <c:numCache>
                <c:formatCode>0</c:formatCode>
                <c:ptCount val="12"/>
                <c:pt idx="0">
                  <c:v>24</c:v>
                </c:pt>
                <c:pt idx="1">
                  <c:v>12</c:v>
                </c:pt>
                <c:pt idx="2">
                  <c:v>1</c:v>
                </c:pt>
                <c:pt idx="3">
                  <c:v>3</c:v>
                </c:pt>
                <c:pt idx="4">
                  <c:v>0</c:v>
                </c:pt>
                <c:pt idx="5">
                  <c:v>18</c:v>
                </c:pt>
                <c:pt idx="6">
                  <c:v>1</c:v>
                </c:pt>
                <c:pt idx="7">
                  <c:v>3</c:v>
                </c:pt>
                <c:pt idx="8">
                  <c:v>20</c:v>
                </c:pt>
                <c:pt idx="9">
                  <c:v>22</c:v>
                </c:pt>
                <c:pt idx="10">
                  <c:v>5</c:v>
                </c:pt>
                <c:pt idx="11">
                  <c:v>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EE7-484C-BD81-92E397547986}"/>
            </c:ext>
          </c:extLst>
        </c:ser>
        <c:ser>
          <c:idx val="6"/>
          <c:order val="6"/>
          <c:tx>
            <c:strRef>
              <c:f>'25.09 Seeta-Mukono'!$Y$9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'25.09 Seeta-Mukono'!$Y$10:$Y$21</c:f>
              <c:numCache>
                <c:formatCode>0</c:formatCode>
                <c:ptCount val="12"/>
                <c:pt idx="0">
                  <c:v>42</c:v>
                </c:pt>
                <c:pt idx="1">
                  <c:v>54</c:v>
                </c:pt>
                <c:pt idx="2">
                  <c:v>38</c:v>
                </c:pt>
                <c:pt idx="3">
                  <c:v>69</c:v>
                </c:pt>
                <c:pt idx="4">
                  <c:v>67</c:v>
                </c:pt>
                <c:pt idx="5">
                  <c:v>53</c:v>
                </c:pt>
                <c:pt idx="6">
                  <c:v>64</c:v>
                </c:pt>
                <c:pt idx="7">
                  <c:v>78</c:v>
                </c:pt>
                <c:pt idx="8">
                  <c:v>43</c:v>
                </c:pt>
                <c:pt idx="9">
                  <c:v>55</c:v>
                </c:pt>
                <c:pt idx="10">
                  <c:v>36</c:v>
                </c:pt>
                <c:pt idx="11">
                  <c:v>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EE7-484C-BD81-92E397547986}"/>
            </c:ext>
          </c:extLst>
        </c:ser>
        <c:ser>
          <c:idx val="7"/>
          <c:order val="7"/>
          <c:tx>
            <c:strRef>
              <c:f>'25.09 Seeta-Mukono'!$Z$9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'25.09 Seeta-Mukono'!$Z$10:$Z$21</c:f>
              <c:numCache>
                <c:formatCode>0</c:formatCode>
                <c:ptCount val="12"/>
                <c:pt idx="0">
                  <c:v>13</c:v>
                </c:pt>
                <c:pt idx="1">
                  <c:v>26</c:v>
                </c:pt>
                <c:pt idx="2">
                  <c:v>36</c:v>
                </c:pt>
                <c:pt idx="3">
                  <c:v>23</c:v>
                </c:pt>
                <c:pt idx="4">
                  <c:v>38</c:v>
                </c:pt>
                <c:pt idx="5">
                  <c:v>35</c:v>
                </c:pt>
                <c:pt idx="6">
                  <c:v>32</c:v>
                </c:pt>
                <c:pt idx="7">
                  <c:v>33</c:v>
                </c:pt>
                <c:pt idx="8">
                  <c:v>36</c:v>
                </c:pt>
                <c:pt idx="9">
                  <c:v>19</c:v>
                </c:pt>
                <c:pt idx="10">
                  <c:v>31</c:v>
                </c:pt>
                <c:pt idx="11">
                  <c:v>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EEE7-484C-BD81-92E397547986}"/>
            </c:ext>
          </c:extLst>
        </c:ser>
        <c:ser>
          <c:idx val="8"/>
          <c:order val="8"/>
          <c:tx>
            <c:strRef>
              <c:f>'25.09 Seeta-Mukono'!$AA$9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'25.09 Seeta-Mukono'!$AA$10:$AA$21</c:f>
              <c:numCache>
                <c:formatCode>0</c:formatCode>
                <c:ptCount val="12"/>
                <c:pt idx="0">
                  <c:v>14</c:v>
                </c:pt>
                <c:pt idx="1">
                  <c:v>7</c:v>
                </c:pt>
                <c:pt idx="2">
                  <c:v>14</c:v>
                </c:pt>
                <c:pt idx="3">
                  <c:v>17</c:v>
                </c:pt>
                <c:pt idx="4">
                  <c:v>19</c:v>
                </c:pt>
                <c:pt idx="5">
                  <c:v>32</c:v>
                </c:pt>
                <c:pt idx="6">
                  <c:v>28</c:v>
                </c:pt>
                <c:pt idx="7">
                  <c:v>23</c:v>
                </c:pt>
                <c:pt idx="8">
                  <c:v>41</c:v>
                </c:pt>
                <c:pt idx="9">
                  <c:v>29</c:v>
                </c:pt>
                <c:pt idx="10">
                  <c:v>23</c:v>
                </c:pt>
                <c:pt idx="11">
                  <c:v>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EEE7-484C-BD81-92E397547986}"/>
            </c:ext>
          </c:extLst>
        </c:ser>
        <c:ser>
          <c:idx val="9"/>
          <c:order val="9"/>
          <c:tx>
            <c:strRef>
              <c:f>'25.09 Seeta-Mukono'!$AB$9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'25.09 Seeta-Mukono'!$AB$10:$AB$21</c:f>
              <c:numCache>
                <c:formatCode>0</c:formatCode>
                <c:ptCount val="12"/>
                <c:pt idx="0">
                  <c:v>10</c:v>
                </c:pt>
                <c:pt idx="1">
                  <c:v>11</c:v>
                </c:pt>
                <c:pt idx="2">
                  <c:v>8</c:v>
                </c:pt>
                <c:pt idx="3">
                  <c:v>44</c:v>
                </c:pt>
                <c:pt idx="4">
                  <c:v>64</c:v>
                </c:pt>
                <c:pt idx="5">
                  <c:v>44</c:v>
                </c:pt>
                <c:pt idx="6">
                  <c:v>92</c:v>
                </c:pt>
                <c:pt idx="7">
                  <c:v>96</c:v>
                </c:pt>
                <c:pt idx="8">
                  <c:v>59</c:v>
                </c:pt>
                <c:pt idx="9">
                  <c:v>181</c:v>
                </c:pt>
                <c:pt idx="10">
                  <c:v>62</c:v>
                </c:pt>
                <c:pt idx="11">
                  <c:v>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EEE7-484C-BD81-92E397547986}"/>
            </c:ext>
          </c:extLst>
        </c:ser>
        <c:ser>
          <c:idx val="10"/>
          <c:order val="10"/>
          <c:tx>
            <c:strRef>
              <c:f>'25.09 Seeta-Mukono'!$AC$9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'25.09 Seeta-Mukono'!$AC$10:$AC$21</c:f>
              <c:numCache>
                <c:formatCode>0</c:formatCode>
                <c:ptCount val="12"/>
                <c:pt idx="0">
                  <c:v>393</c:v>
                </c:pt>
                <c:pt idx="1">
                  <c:v>453</c:v>
                </c:pt>
                <c:pt idx="2">
                  <c:v>451</c:v>
                </c:pt>
                <c:pt idx="3">
                  <c:v>451</c:v>
                </c:pt>
                <c:pt idx="4">
                  <c:v>474</c:v>
                </c:pt>
                <c:pt idx="5">
                  <c:v>474</c:v>
                </c:pt>
                <c:pt idx="6">
                  <c:v>398</c:v>
                </c:pt>
                <c:pt idx="7">
                  <c:v>342</c:v>
                </c:pt>
                <c:pt idx="8">
                  <c:v>405</c:v>
                </c:pt>
                <c:pt idx="9">
                  <c:v>408</c:v>
                </c:pt>
                <c:pt idx="10">
                  <c:v>531</c:v>
                </c:pt>
                <c:pt idx="11">
                  <c:v>551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EEE7-484C-BD81-92E397547986}"/>
            </c:ext>
          </c:extLst>
        </c:ser>
        <c:ser>
          <c:idx val="11"/>
          <c:order val="11"/>
          <c:tx>
            <c:strRef>
              <c:f>'25.09 Seeta-Mukono'!$AD$9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'25.09 Seeta-Mukono'!$AD$10:$AD$21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EEE7-484C-BD81-92E3975479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1752320"/>
        <c:axId val="111753856"/>
      </c:lineChart>
      <c:catAx>
        <c:axId val="1117523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1753856"/>
        <c:crosses val="autoZero"/>
        <c:auto val="1"/>
        <c:lblAlgn val="ctr"/>
        <c:lblOffset val="100"/>
        <c:noMultiLvlLbl val="0"/>
      </c:catAx>
      <c:valAx>
        <c:axId val="111753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17523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13E-4D2A-8551-63DD0883CC0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13E-4D2A-8551-63DD0883CC0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13E-4D2A-8551-63DD0883CC0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13E-4D2A-8551-63DD0883CC0B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13E-4D2A-8551-63DD0883CC0B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13E-4D2A-8551-63DD0883CC0B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13E-4D2A-8551-63DD0883CC0B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13E-4D2A-8551-63DD0883CC0B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13E-4D2A-8551-63DD0883CC0B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13E-4D2A-8551-63DD0883CC0B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13E-4D2A-8551-63DD0883CC0B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13E-4D2A-8551-63DD0883CC0B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13E-4D2A-8551-63DD0883CC0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'25.09 Seeta-Mukono'!$C$9:$N$9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'25.09 Seeta-Mukono'!$C$60:$N$60</c:f>
              <c:numCache>
                <c:formatCode>0.00%</c:formatCode>
                <c:ptCount val="12"/>
                <c:pt idx="0">
                  <c:v>0.33579436696745968</c:v>
                </c:pt>
                <c:pt idx="1">
                  <c:v>3.9513262236806124E-2</c:v>
                </c:pt>
                <c:pt idx="2">
                  <c:v>5.0724637681159424E-2</c:v>
                </c:pt>
                <c:pt idx="3">
                  <c:v>0.26661197703035278</c:v>
                </c:pt>
                <c:pt idx="4">
                  <c:v>2.1739130434782608E-2</c:v>
                </c:pt>
                <c:pt idx="5">
                  <c:v>1.7910855892808313E-2</c:v>
                </c:pt>
                <c:pt idx="6">
                  <c:v>8.7776866283839211E-2</c:v>
                </c:pt>
                <c:pt idx="7">
                  <c:v>4.6212742685261141E-2</c:v>
                </c:pt>
                <c:pt idx="8">
                  <c:v>3.7188952693464589E-2</c:v>
                </c:pt>
                <c:pt idx="9">
                  <c:v>9.6527208094066175E-2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13E-4D2A-8551-63DD0883CC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'[1]25.09 Seeta-Mukono'!$AE$9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'[1]25.09 Seeta-Mukono'!$R$10:$R$21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'[1]25.09 Seeta-Mukono'!$AE$10:$AE$21</c:f>
              <c:numCache>
                <c:formatCode>General</c:formatCode>
                <c:ptCount val="12"/>
                <c:pt idx="0">
                  <c:v>598</c:v>
                </c:pt>
                <c:pt idx="1">
                  <c:v>603</c:v>
                </c:pt>
                <c:pt idx="2">
                  <c:v>665</c:v>
                </c:pt>
                <c:pt idx="3">
                  <c:v>635</c:v>
                </c:pt>
                <c:pt idx="4">
                  <c:v>623</c:v>
                </c:pt>
                <c:pt idx="5">
                  <c:v>575</c:v>
                </c:pt>
                <c:pt idx="6">
                  <c:v>622</c:v>
                </c:pt>
                <c:pt idx="7">
                  <c:v>602</c:v>
                </c:pt>
                <c:pt idx="8">
                  <c:v>557</c:v>
                </c:pt>
                <c:pt idx="9">
                  <c:v>655</c:v>
                </c:pt>
                <c:pt idx="10">
                  <c:v>609</c:v>
                </c:pt>
                <c:pt idx="11">
                  <c:v>570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71E-4B9A-98DA-42189BF0D1A1}"/>
            </c:ext>
          </c:extLst>
        </c:ser>
        <c:ser>
          <c:idx val="1"/>
          <c:order val="1"/>
          <c:tx>
            <c:strRef>
              <c:f>'[1]25.09 Seeta-Mukono'!$AF$9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'[1]25.09 Seeta-Mukono'!$R$10:$R$21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'[1]25.09 Seeta-Mukono'!$AF$10:$AF$21</c:f>
              <c:numCache>
                <c:formatCode>General</c:formatCode>
                <c:ptCount val="12"/>
                <c:pt idx="0">
                  <c:v>991</c:v>
                </c:pt>
                <c:pt idx="1">
                  <c:v>1056</c:v>
                </c:pt>
                <c:pt idx="2">
                  <c:v>1116</c:v>
                </c:pt>
                <c:pt idx="3">
                  <c:v>1086</c:v>
                </c:pt>
                <c:pt idx="4">
                  <c:v>1097</c:v>
                </c:pt>
                <c:pt idx="5">
                  <c:v>1049</c:v>
                </c:pt>
                <c:pt idx="6">
                  <c:v>1020</c:v>
                </c:pt>
                <c:pt idx="7">
                  <c:v>944</c:v>
                </c:pt>
                <c:pt idx="8">
                  <c:v>962</c:v>
                </c:pt>
                <c:pt idx="9">
                  <c:v>1063</c:v>
                </c:pt>
                <c:pt idx="10">
                  <c:v>1140</c:v>
                </c:pt>
                <c:pt idx="11">
                  <c:v>1121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71E-4B9A-98DA-42189BF0D1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1352832"/>
        <c:axId val="111403776"/>
      </c:lineChart>
      <c:catAx>
        <c:axId val="11135283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1403776"/>
        <c:crosses val="autoZero"/>
        <c:auto val="1"/>
        <c:lblAlgn val="ctr"/>
        <c:lblOffset val="100"/>
        <c:noMultiLvlLbl val="0"/>
      </c:catAx>
      <c:valAx>
        <c:axId val="11140377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13528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9C41-4419-A2AA-F13D3BEC7C3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9C41-4419-A2AA-F13D3BEC7C3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9C41-4419-A2AA-F13D3BEC7C3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9C41-4419-A2AA-F13D3BEC7C3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9C41-4419-A2AA-F13D3BEC7C3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9C41-4419-A2AA-F13D3BEC7C3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9C41-4419-A2AA-F13D3BEC7C3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9C41-4419-A2AA-F13D3BEC7C3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9C41-4419-A2AA-F13D3BEC7C3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9C41-4419-A2AA-F13D3BEC7C3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9C41-4419-A2AA-F13D3BEC7C3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9C41-4419-A2AA-F13D3BEC7C3F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9C41-4419-A2AA-F13D3BEC7C3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'[1]25.09 Seeta-Mukono'!$C$9:$N$9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'[1]25.09 Seeta-Mukono'!$C$59:$N$59</c:f>
              <c:numCache>
                <c:formatCode>General</c:formatCode>
                <c:ptCount val="12"/>
                <c:pt idx="0">
                  <c:v>0.19422696718070384</c:v>
                </c:pt>
                <c:pt idx="1">
                  <c:v>2.2854883353103993E-2</c:v>
                </c:pt>
                <c:pt idx="2">
                  <c:v>2.933965994464215E-2</c:v>
                </c:pt>
                <c:pt idx="3">
                  <c:v>0.15421115065243179</c:v>
                </c:pt>
                <c:pt idx="4">
                  <c:v>1.2574139976275208E-2</c:v>
                </c:pt>
                <c:pt idx="5">
                  <c:v>1.0359826018189007E-2</c:v>
                </c:pt>
                <c:pt idx="6">
                  <c:v>5.0771055753262156E-2</c:v>
                </c:pt>
                <c:pt idx="7">
                  <c:v>2.6729932779754845E-2</c:v>
                </c:pt>
                <c:pt idx="8">
                  <c:v>2.151047844998023E-2</c:v>
                </c:pt>
                <c:pt idx="9">
                  <c:v>5.5832344800316333E-2</c:v>
                </c:pt>
                <c:pt idx="10">
                  <c:v>0.42158956109134044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9C41-4419-A2AA-F13D3BEC7C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8DD6-43D9-9AB8-1CDA2F3AFF6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8DD6-43D9-9AB8-1CDA2F3AFF6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8DD6-43D9-9AB8-1CDA2F3AFF6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8DD6-43D9-9AB8-1CDA2F3AFF6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8DD6-43D9-9AB8-1CDA2F3AFF6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8DD6-43D9-9AB8-1CDA2F3AFF6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8DD6-43D9-9AB8-1CDA2F3AFF6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8DD6-43D9-9AB8-1CDA2F3AFF6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8DD6-43D9-9AB8-1CDA2F3AFF65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8DD6-43D9-9AB8-1CDA2F3AFF6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8DD6-43D9-9AB8-1CDA2F3AFF65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8DD6-43D9-9AB8-1CDA2F3AFF65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8DD6-43D9-9AB8-1CDA2F3AFF6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'[1]25.09 Seeta-Mukono'!$C$9:$N$9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'[1]25.09 Seeta-Mukono'!$C$60:$N$60</c:f>
              <c:numCache>
                <c:formatCode>General</c:formatCode>
                <c:ptCount val="12"/>
                <c:pt idx="0">
                  <c:v>0.33579436696745968</c:v>
                </c:pt>
                <c:pt idx="1">
                  <c:v>3.9513262236806124E-2</c:v>
                </c:pt>
                <c:pt idx="2">
                  <c:v>5.0724637681159424E-2</c:v>
                </c:pt>
                <c:pt idx="3">
                  <c:v>0.26661197703035278</c:v>
                </c:pt>
                <c:pt idx="4">
                  <c:v>2.1739130434782608E-2</c:v>
                </c:pt>
                <c:pt idx="5">
                  <c:v>1.7910855892808313E-2</c:v>
                </c:pt>
                <c:pt idx="6">
                  <c:v>8.7776866283839211E-2</c:v>
                </c:pt>
                <c:pt idx="7">
                  <c:v>4.6212742685261141E-2</c:v>
                </c:pt>
                <c:pt idx="8">
                  <c:v>3.7188952693464589E-2</c:v>
                </c:pt>
                <c:pt idx="9">
                  <c:v>9.6527208094066175E-2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8DD6-43D9-9AB8-1CDA2F3AFF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'25.09 Mukono-Seeta'!$AE$9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'25.09 Mukono-Seeta'!$R$10:$R$21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'25.09 Mukono-Seeta'!$AE$10:$AE$21</c:f>
              <c:numCache>
                <c:formatCode>0</c:formatCode>
                <c:ptCount val="12"/>
                <c:pt idx="0">
                  <c:v>693</c:v>
                </c:pt>
                <c:pt idx="1">
                  <c:v>392</c:v>
                </c:pt>
                <c:pt idx="2">
                  <c:v>366</c:v>
                </c:pt>
                <c:pt idx="3">
                  <c:v>432</c:v>
                </c:pt>
                <c:pt idx="4">
                  <c:v>560</c:v>
                </c:pt>
                <c:pt idx="5">
                  <c:v>517</c:v>
                </c:pt>
                <c:pt idx="6">
                  <c:v>435</c:v>
                </c:pt>
                <c:pt idx="7">
                  <c:v>414</c:v>
                </c:pt>
                <c:pt idx="8">
                  <c:v>494</c:v>
                </c:pt>
                <c:pt idx="9">
                  <c:v>537</c:v>
                </c:pt>
                <c:pt idx="10">
                  <c:v>547</c:v>
                </c:pt>
                <c:pt idx="11">
                  <c:v>597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E57-4E01-B444-33D7FA1808CD}"/>
            </c:ext>
          </c:extLst>
        </c:ser>
        <c:ser>
          <c:idx val="1"/>
          <c:order val="1"/>
          <c:tx>
            <c:strRef>
              <c:f>'25.09 Mukono-Seeta'!$AF$9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'25.09 Mukono-Seeta'!$R$10:$R$21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'25.09 Mukono-Seeta'!$AF$10:$AF$21</c:f>
              <c:numCache>
                <c:formatCode>0</c:formatCode>
                <c:ptCount val="12"/>
                <c:pt idx="0">
                  <c:v>1364</c:v>
                </c:pt>
                <c:pt idx="1">
                  <c:v>941</c:v>
                </c:pt>
                <c:pt idx="2">
                  <c:v>839</c:v>
                </c:pt>
                <c:pt idx="3">
                  <c:v>888</c:v>
                </c:pt>
                <c:pt idx="4">
                  <c:v>1053</c:v>
                </c:pt>
                <c:pt idx="5">
                  <c:v>952</c:v>
                </c:pt>
                <c:pt idx="6">
                  <c:v>713</c:v>
                </c:pt>
                <c:pt idx="7">
                  <c:v>670</c:v>
                </c:pt>
                <c:pt idx="8">
                  <c:v>863</c:v>
                </c:pt>
                <c:pt idx="9">
                  <c:v>929</c:v>
                </c:pt>
                <c:pt idx="10">
                  <c:v>1034</c:v>
                </c:pt>
                <c:pt idx="11">
                  <c:v>1073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E57-4E01-B444-33D7FA1808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1841664"/>
        <c:axId val="111843200"/>
      </c:lineChart>
      <c:catAx>
        <c:axId val="11184166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1843200"/>
        <c:crosses val="autoZero"/>
        <c:auto val="1"/>
        <c:lblAlgn val="ctr"/>
        <c:lblOffset val="100"/>
        <c:noMultiLvlLbl val="0"/>
      </c:catAx>
      <c:valAx>
        <c:axId val="11184320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18416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161-4E7D-9CEC-CABF73E743E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161-4E7D-9CEC-CABF73E743E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161-4E7D-9CEC-CABF73E743E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161-4E7D-9CEC-CABF73E743E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161-4E7D-9CEC-CABF73E743E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161-4E7D-9CEC-CABF73E743E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161-4E7D-9CEC-CABF73E743E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161-4E7D-9CEC-CABF73E743E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161-4E7D-9CEC-CABF73E743E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161-4E7D-9CEC-CABF73E743EC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161-4E7D-9CEC-CABF73E743EC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161-4E7D-9CEC-CABF73E743EC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161-4E7D-9CEC-CABF73E743E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'25.09 Mukono-Seeta'!$C$9:$N$9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'25.09 Mukono-Seeta'!$C$59:$N$59</c:f>
              <c:numCache>
                <c:formatCode>0.0%</c:formatCode>
                <c:ptCount val="12"/>
                <c:pt idx="0">
                  <c:v>0.12668963689371854</c:v>
                </c:pt>
                <c:pt idx="1">
                  <c:v>5.6895485466914038E-2</c:v>
                </c:pt>
                <c:pt idx="2">
                  <c:v>3.0833112465765526E-2</c:v>
                </c:pt>
                <c:pt idx="3">
                  <c:v>0.17793091262479019</c:v>
                </c:pt>
                <c:pt idx="4">
                  <c:v>8.7463556851311956E-3</c:v>
                </c:pt>
                <c:pt idx="5">
                  <c:v>2.8271048679211945E-3</c:v>
                </c:pt>
                <c:pt idx="6">
                  <c:v>2.9772948140295078E-2</c:v>
                </c:pt>
                <c:pt idx="7">
                  <c:v>2.8271048679211944E-2</c:v>
                </c:pt>
                <c:pt idx="8">
                  <c:v>2.014312218393851E-2</c:v>
                </c:pt>
                <c:pt idx="9">
                  <c:v>4.6470536266454636E-2</c:v>
                </c:pt>
                <c:pt idx="10">
                  <c:v>0.47133138969873661</c:v>
                </c:pt>
                <c:pt idx="11">
                  <c:v>8.8347027122537329E-5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161-4E7D-9CEC-CABF73E743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6E42-4CDD-86E3-A4C2F2E44AF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6E42-4CDD-86E3-A4C2F2E44AF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6E42-4CDD-86E3-A4C2F2E44AF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6E42-4CDD-86E3-A4C2F2E44AF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6E42-4CDD-86E3-A4C2F2E44AF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6E42-4CDD-86E3-A4C2F2E44AF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6E42-4CDD-86E3-A4C2F2E44AF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6E42-4CDD-86E3-A4C2F2E44AF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6E42-4CDD-86E3-A4C2F2E44AF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6E42-4CDD-86E3-A4C2F2E44AF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6E42-4CDD-86E3-A4C2F2E44AF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6E42-4CDD-86E3-A4C2F2E44AF9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6E42-4CDD-86E3-A4C2F2E44AF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'25.09 Mukono-Seeta'!$C$9:$N$9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'25.09 Mukono-Seeta'!$C$60:$N$60</c:f>
              <c:numCache>
                <c:formatCode>0.00%</c:formatCode>
                <c:ptCount val="12"/>
                <c:pt idx="0">
                  <c:v>0.23963903743315507</c:v>
                </c:pt>
                <c:pt idx="1">
                  <c:v>0.10762032085561497</c:v>
                </c:pt>
                <c:pt idx="2">
                  <c:v>5.8322192513368981E-2</c:v>
                </c:pt>
                <c:pt idx="3">
                  <c:v>0.33656417112299464</c:v>
                </c:pt>
                <c:pt idx="4">
                  <c:v>1.6544117647058824E-2</c:v>
                </c:pt>
                <c:pt idx="5">
                  <c:v>5.3475935828877002E-3</c:v>
                </c:pt>
                <c:pt idx="6">
                  <c:v>5.6316844919786099E-2</c:v>
                </c:pt>
                <c:pt idx="7">
                  <c:v>5.3475935828877004E-2</c:v>
                </c:pt>
                <c:pt idx="8">
                  <c:v>3.8101604278074866E-2</c:v>
                </c:pt>
                <c:pt idx="9">
                  <c:v>8.7901069518716582E-2</c:v>
                </c:pt>
                <c:pt idx="11">
                  <c:v>1.6711229946524063E-4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6E42-4CDD-86E3-A4C2F2E44A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'[1]25.09 Mukono-Seeta'!$AE$9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'[1]25.09 Mukono-Seeta'!$R$10:$R$21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'[1]25.09 Mukono-Seeta'!$AE$10:$AE$21</c:f>
              <c:numCache>
                <c:formatCode>General</c:formatCode>
                <c:ptCount val="12"/>
                <c:pt idx="0">
                  <c:v>693</c:v>
                </c:pt>
                <c:pt idx="1">
                  <c:v>392</c:v>
                </c:pt>
                <c:pt idx="2">
                  <c:v>366</c:v>
                </c:pt>
                <c:pt idx="3">
                  <c:v>432</c:v>
                </c:pt>
                <c:pt idx="4">
                  <c:v>560</c:v>
                </c:pt>
                <c:pt idx="5">
                  <c:v>517</c:v>
                </c:pt>
                <c:pt idx="6">
                  <c:v>435</c:v>
                </c:pt>
                <c:pt idx="7">
                  <c:v>414</c:v>
                </c:pt>
                <c:pt idx="8">
                  <c:v>494</c:v>
                </c:pt>
                <c:pt idx="9">
                  <c:v>537</c:v>
                </c:pt>
                <c:pt idx="10">
                  <c:v>547</c:v>
                </c:pt>
                <c:pt idx="11">
                  <c:v>597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449-4C16-91CE-DE2303F6D85D}"/>
            </c:ext>
          </c:extLst>
        </c:ser>
        <c:ser>
          <c:idx val="1"/>
          <c:order val="1"/>
          <c:tx>
            <c:strRef>
              <c:f>'[1]25.09 Mukono-Seeta'!$AF$9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'[1]25.09 Mukono-Seeta'!$R$10:$R$21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'[1]25.09 Mukono-Seeta'!$AF$10:$AF$21</c:f>
              <c:numCache>
                <c:formatCode>General</c:formatCode>
                <c:ptCount val="12"/>
                <c:pt idx="0">
                  <c:v>1364</c:v>
                </c:pt>
                <c:pt idx="1">
                  <c:v>941</c:v>
                </c:pt>
                <c:pt idx="2">
                  <c:v>839</c:v>
                </c:pt>
                <c:pt idx="3">
                  <c:v>888</c:v>
                </c:pt>
                <c:pt idx="4">
                  <c:v>1053</c:v>
                </c:pt>
                <c:pt idx="5">
                  <c:v>952</c:v>
                </c:pt>
                <c:pt idx="6">
                  <c:v>713</c:v>
                </c:pt>
                <c:pt idx="7">
                  <c:v>670</c:v>
                </c:pt>
                <c:pt idx="8">
                  <c:v>863</c:v>
                </c:pt>
                <c:pt idx="9">
                  <c:v>929</c:v>
                </c:pt>
                <c:pt idx="10">
                  <c:v>1034</c:v>
                </c:pt>
                <c:pt idx="11">
                  <c:v>1073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449-4C16-91CE-DE2303F6D8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1841664"/>
        <c:axId val="111843200"/>
      </c:lineChart>
      <c:catAx>
        <c:axId val="11184166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1843200"/>
        <c:crosses val="autoZero"/>
        <c:auto val="1"/>
        <c:lblAlgn val="ctr"/>
        <c:lblOffset val="100"/>
        <c:noMultiLvlLbl val="0"/>
      </c:catAx>
      <c:valAx>
        <c:axId val="11184320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18416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E67-4625-9673-AA009905F6B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E67-4625-9673-AA009905F6B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E67-4625-9673-AA009905F6B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E67-4625-9673-AA009905F6B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E67-4625-9673-AA009905F6B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E67-4625-9673-AA009905F6B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E67-4625-9673-AA009905F6B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E67-4625-9673-AA009905F6B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E67-4625-9673-AA009905F6B5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E67-4625-9673-AA009905F6B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E67-4625-9673-AA009905F6B5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E67-4625-9673-AA009905F6B5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E67-4625-9673-AA009905F6B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'[1]25.09 Mukono-Seeta'!$C$9:$N$9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'[1]25.09 Mukono-Seeta'!$C$59:$N$59</c:f>
              <c:numCache>
                <c:formatCode>General</c:formatCode>
                <c:ptCount val="12"/>
                <c:pt idx="0">
                  <c:v>0.12668963689371854</c:v>
                </c:pt>
                <c:pt idx="1">
                  <c:v>5.6895485466914038E-2</c:v>
                </c:pt>
                <c:pt idx="2">
                  <c:v>3.0833112465765526E-2</c:v>
                </c:pt>
                <c:pt idx="3">
                  <c:v>0.17793091262479019</c:v>
                </c:pt>
                <c:pt idx="4">
                  <c:v>8.7463556851311956E-3</c:v>
                </c:pt>
                <c:pt idx="5">
                  <c:v>2.8271048679211945E-3</c:v>
                </c:pt>
                <c:pt idx="6">
                  <c:v>2.9772948140295078E-2</c:v>
                </c:pt>
                <c:pt idx="7">
                  <c:v>2.8271048679211944E-2</c:v>
                </c:pt>
                <c:pt idx="8">
                  <c:v>2.014312218393851E-2</c:v>
                </c:pt>
                <c:pt idx="9">
                  <c:v>4.6470536266454636E-2</c:v>
                </c:pt>
                <c:pt idx="10">
                  <c:v>0.47133138969873661</c:v>
                </c:pt>
                <c:pt idx="11">
                  <c:v>8.8347027122537329E-5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E67-4625-9673-AA009905F6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5E2-4090-89B7-037B39044E0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F5E2-4090-89B7-037B39044E0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F5E2-4090-89B7-037B39044E0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F5E2-4090-89B7-037B39044E0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F5E2-4090-89B7-037B39044E0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F5E2-4090-89B7-037B39044E0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F5E2-4090-89B7-037B39044E0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F5E2-4090-89B7-037B39044E0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F5E2-4090-89B7-037B39044E0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F5E2-4090-89B7-037B39044E0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F5E2-4090-89B7-037B39044E0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F5E2-4090-89B7-037B39044E00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F5E2-4090-89B7-037B39044E0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'[1]25.09 Mukono-Seeta'!$C$9:$N$9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'[1]25.09 Mukono-Seeta'!$C$60:$N$60</c:f>
              <c:numCache>
                <c:formatCode>General</c:formatCode>
                <c:ptCount val="12"/>
                <c:pt idx="0">
                  <c:v>0.23963903743315507</c:v>
                </c:pt>
                <c:pt idx="1">
                  <c:v>0.10762032085561497</c:v>
                </c:pt>
                <c:pt idx="2">
                  <c:v>5.8322192513368981E-2</c:v>
                </c:pt>
                <c:pt idx="3">
                  <c:v>0.33656417112299464</c:v>
                </c:pt>
                <c:pt idx="4">
                  <c:v>1.6544117647058824E-2</c:v>
                </c:pt>
                <c:pt idx="5">
                  <c:v>5.3475935828877002E-3</c:v>
                </c:pt>
                <c:pt idx="6">
                  <c:v>5.6316844919786099E-2</c:v>
                </c:pt>
                <c:pt idx="7">
                  <c:v>5.3475935828877004E-2</c:v>
                </c:pt>
                <c:pt idx="8">
                  <c:v>3.8101604278074866E-2</c:v>
                </c:pt>
                <c:pt idx="9">
                  <c:v>8.7901069518716582E-2</c:v>
                </c:pt>
                <c:pt idx="11">
                  <c:v>1.6711229946524063E-4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F5E2-4090-89B7-037B39044E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'26.09 Seeta-Mukono-24h'!$AE$9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'26.09 Seeta-Mukono-24h'!$R$10:$R$33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'26.09 Seeta-Mukono-24h'!$AE$10:$AE$33</c:f>
              <c:numCache>
                <c:formatCode>0</c:formatCode>
                <c:ptCount val="24"/>
                <c:pt idx="0">
                  <c:v>540</c:v>
                </c:pt>
                <c:pt idx="1">
                  <c:v>615</c:v>
                </c:pt>
                <c:pt idx="2">
                  <c:v>600</c:v>
                </c:pt>
                <c:pt idx="3">
                  <c:v>631</c:v>
                </c:pt>
                <c:pt idx="4">
                  <c:v>564</c:v>
                </c:pt>
                <c:pt idx="5">
                  <c:v>547</c:v>
                </c:pt>
                <c:pt idx="6">
                  <c:v>680</c:v>
                </c:pt>
                <c:pt idx="7">
                  <c:v>695</c:v>
                </c:pt>
                <c:pt idx="8">
                  <c:v>678</c:v>
                </c:pt>
                <c:pt idx="9">
                  <c:v>638</c:v>
                </c:pt>
                <c:pt idx="10">
                  <c:v>748</c:v>
                </c:pt>
                <c:pt idx="11">
                  <c:v>607</c:v>
                </c:pt>
                <c:pt idx="12">
                  <c:v>393</c:v>
                </c:pt>
                <c:pt idx="13">
                  <c:v>656</c:v>
                </c:pt>
                <c:pt idx="14">
                  <c:v>496</c:v>
                </c:pt>
                <c:pt idx="15">
                  <c:v>562</c:v>
                </c:pt>
                <c:pt idx="16">
                  <c:v>390</c:v>
                </c:pt>
                <c:pt idx="17">
                  <c:v>153</c:v>
                </c:pt>
                <c:pt idx="18">
                  <c:v>106</c:v>
                </c:pt>
                <c:pt idx="19">
                  <c:v>85</c:v>
                </c:pt>
                <c:pt idx="20">
                  <c:v>102</c:v>
                </c:pt>
                <c:pt idx="21">
                  <c:v>117</c:v>
                </c:pt>
                <c:pt idx="22">
                  <c:v>198</c:v>
                </c:pt>
                <c:pt idx="23">
                  <c:v>357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FC2-4A7B-9B5C-FEA0112544F4}"/>
            </c:ext>
          </c:extLst>
        </c:ser>
        <c:ser>
          <c:idx val="1"/>
          <c:order val="1"/>
          <c:tx>
            <c:strRef>
              <c:f>'26.09 Seeta-Mukono-24h'!$AF$9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'26.09 Seeta-Mukono-24h'!$R$10:$R$33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'26.09 Seeta-Mukono-24h'!$AF$10:$AF$33</c:f>
              <c:numCache>
                <c:formatCode>0</c:formatCode>
                <c:ptCount val="24"/>
                <c:pt idx="0">
                  <c:v>880</c:v>
                </c:pt>
                <c:pt idx="1">
                  <c:v>1021</c:v>
                </c:pt>
                <c:pt idx="2">
                  <c:v>1038</c:v>
                </c:pt>
                <c:pt idx="3">
                  <c:v>1166</c:v>
                </c:pt>
                <c:pt idx="4">
                  <c:v>945</c:v>
                </c:pt>
                <c:pt idx="5">
                  <c:v>909</c:v>
                </c:pt>
                <c:pt idx="6">
                  <c:v>1081</c:v>
                </c:pt>
                <c:pt idx="7">
                  <c:v>1062</c:v>
                </c:pt>
                <c:pt idx="8">
                  <c:v>1005</c:v>
                </c:pt>
                <c:pt idx="9">
                  <c:v>1039</c:v>
                </c:pt>
                <c:pt idx="10">
                  <c:v>1383</c:v>
                </c:pt>
                <c:pt idx="11">
                  <c:v>1160</c:v>
                </c:pt>
                <c:pt idx="12">
                  <c:v>1012</c:v>
                </c:pt>
                <c:pt idx="13">
                  <c:v>1416</c:v>
                </c:pt>
                <c:pt idx="14">
                  <c:v>1028</c:v>
                </c:pt>
                <c:pt idx="15">
                  <c:v>908</c:v>
                </c:pt>
                <c:pt idx="16">
                  <c:v>587</c:v>
                </c:pt>
                <c:pt idx="17">
                  <c:v>251</c:v>
                </c:pt>
                <c:pt idx="18">
                  <c:v>145</c:v>
                </c:pt>
                <c:pt idx="19">
                  <c:v>104</c:v>
                </c:pt>
                <c:pt idx="20">
                  <c:v>110</c:v>
                </c:pt>
                <c:pt idx="21">
                  <c:v>135</c:v>
                </c:pt>
                <c:pt idx="22">
                  <c:v>219</c:v>
                </c:pt>
                <c:pt idx="23">
                  <c:v>432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FC2-4A7B-9B5C-FEA0112544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3521792"/>
        <c:axId val="113522944"/>
      </c:lineChart>
      <c:catAx>
        <c:axId val="11352179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3522944"/>
        <c:crosses val="autoZero"/>
        <c:auto val="1"/>
        <c:lblAlgn val="ctr"/>
        <c:lblOffset val="100"/>
        <c:noMultiLvlLbl val="0"/>
      </c:catAx>
      <c:valAx>
        <c:axId val="11352294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35217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43B-4B95-BFC1-AB46B6A1DAB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43B-4B95-BFC1-AB46B6A1DAB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43B-4B95-BFC1-AB46B6A1DAB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43B-4B95-BFC1-AB46B6A1DAB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43B-4B95-BFC1-AB46B6A1DAB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43B-4B95-BFC1-AB46B6A1DAB2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43B-4B95-BFC1-AB46B6A1DAB2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43B-4B95-BFC1-AB46B6A1DAB2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43B-4B95-BFC1-AB46B6A1DAB2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43B-4B95-BFC1-AB46B6A1DAB2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43B-4B95-BFC1-AB46B6A1DAB2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43B-4B95-BFC1-AB46B6A1DAB2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43B-4B95-BFC1-AB46B6A1DAB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'26.09 Seeta-Mukono-24h'!$C$9:$N$9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'26.09 Seeta-Mukono-24h'!$C$107:$N$107</c:f>
              <c:numCache>
                <c:formatCode>0.0%</c:formatCode>
                <c:ptCount val="12"/>
                <c:pt idx="0">
                  <c:v>0.17992225257407019</c:v>
                </c:pt>
                <c:pt idx="1">
                  <c:v>3.4776213490229038E-2</c:v>
                </c:pt>
                <c:pt idx="2">
                  <c:v>2.6266022273586889E-2</c:v>
                </c:pt>
                <c:pt idx="3">
                  <c:v>0.17382853540659801</c:v>
                </c:pt>
                <c:pt idx="4">
                  <c:v>1.3920991805001051E-2</c:v>
                </c:pt>
                <c:pt idx="5">
                  <c:v>4.780416053792814E-3</c:v>
                </c:pt>
                <c:pt idx="6">
                  <c:v>5.8468165581004414E-2</c:v>
                </c:pt>
                <c:pt idx="7">
                  <c:v>2.6108426139945368E-2</c:v>
                </c:pt>
                <c:pt idx="8">
                  <c:v>1.5286824963227568E-2</c:v>
                </c:pt>
                <c:pt idx="9">
                  <c:v>5.2794704769909648E-2</c:v>
                </c:pt>
                <c:pt idx="10">
                  <c:v>0.41384744694263503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43B-4B95-BFC1-AB46B6A1DA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889-4F07-A028-107AA614C72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889-4F07-A028-107AA614C72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889-4F07-A028-107AA614C72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889-4F07-A028-107AA614C72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889-4F07-A028-107AA614C72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889-4F07-A028-107AA614C72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889-4F07-A028-107AA614C72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889-4F07-A028-107AA614C72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889-4F07-A028-107AA614C72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889-4F07-A028-107AA614C72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889-4F07-A028-107AA614C72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889-4F07-A028-107AA614C720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889-4F07-A028-107AA614C72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'26.09 Seeta-Mukono-24h'!$C$9:$N$9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'26.09 Seeta-Mukono-24h'!$C$108:$N$108</c:f>
              <c:numCache>
                <c:formatCode>0.00%</c:formatCode>
                <c:ptCount val="12"/>
                <c:pt idx="0">
                  <c:v>0.30695465137121347</c:v>
                </c:pt>
                <c:pt idx="1">
                  <c:v>5.9329628965764471E-2</c:v>
                </c:pt>
                <c:pt idx="2">
                  <c:v>4.481089801039613E-2</c:v>
                </c:pt>
                <c:pt idx="3">
                  <c:v>0.29655852303280156</c:v>
                </c:pt>
                <c:pt idx="4">
                  <c:v>2.3749775945509949E-2</c:v>
                </c:pt>
                <c:pt idx="5">
                  <c:v>8.1555834378920951E-3</c:v>
                </c:pt>
                <c:pt idx="6">
                  <c:v>9.974905897114178E-2</c:v>
                </c:pt>
                <c:pt idx="7">
                  <c:v>4.4542032622333749E-2</c:v>
                </c:pt>
                <c:pt idx="8">
                  <c:v>2.6079942642050546E-2</c:v>
                </c:pt>
                <c:pt idx="9">
                  <c:v>9.0069905000896219E-2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889-4F07-A028-107AA614C7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'26.09 Mukono-Seeta-24h'!$AE$9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'26.09 Mukono-Seeta-24h'!$R$10:$R$33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'26.09 Mukono-Seeta-24h'!$AE$10:$AE$33</c:f>
              <c:numCache>
                <c:formatCode>0</c:formatCode>
                <c:ptCount val="24"/>
                <c:pt idx="0">
                  <c:v>250</c:v>
                </c:pt>
                <c:pt idx="1">
                  <c:v>395</c:v>
                </c:pt>
                <c:pt idx="2">
                  <c:v>415</c:v>
                </c:pt>
                <c:pt idx="3">
                  <c:v>368</c:v>
                </c:pt>
                <c:pt idx="4">
                  <c:v>373</c:v>
                </c:pt>
                <c:pt idx="5">
                  <c:v>459</c:v>
                </c:pt>
                <c:pt idx="6">
                  <c:v>506</c:v>
                </c:pt>
                <c:pt idx="7">
                  <c:v>559</c:v>
                </c:pt>
                <c:pt idx="8">
                  <c:v>422</c:v>
                </c:pt>
                <c:pt idx="9">
                  <c:v>563</c:v>
                </c:pt>
                <c:pt idx="10">
                  <c:v>579</c:v>
                </c:pt>
                <c:pt idx="11">
                  <c:v>509</c:v>
                </c:pt>
                <c:pt idx="12">
                  <c:v>485</c:v>
                </c:pt>
                <c:pt idx="13">
                  <c:v>447</c:v>
                </c:pt>
                <c:pt idx="14">
                  <c:v>409</c:v>
                </c:pt>
                <c:pt idx="15">
                  <c:v>413</c:v>
                </c:pt>
                <c:pt idx="16">
                  <c:v>326</c:v>
                </c:pt>
                <c:pt idx="17">
                  <c:v>155</c:v>
                </c:pt>
                <c:pt idx="18">
                  <c:v>127</c:v>
                </c:pt>
                <c:pt idx="19">
                  <c:v>92</c:v>
                </c:pt>
                <c:pt idx="20">
                  <c:v>95</c:v>
                </c:pt>
                <c:pt idx="21">
                  <c:v>148</c:v>
                </c:pt>
                <c:pt idx="22">
                  <c:v>413</c:v>
                </c:pt>
                <c:pt idx="23">
                  <c:v>746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D7C-43E4-8D98-AF01AC8ABB92}"/>
            </c:ext>
          </c:extLst>
        </c:ser>
        <c:ser>
          <c:idx val="1"/>
          <c:order val="1"/>
          <c:tx>
            <c:strRef>
              <c:f>'26.09 Mukono-Seeta-24h'!$AF$9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'26.09 Mukono-Seeta-24h'!$R$10:$R$33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'26.09 Mukono-Seeta-24h'!$AF$10:$AF$33</c:f>
              <c:numCache>
                <c:formatCode>0</c:formatCode>
                <c:ptCount val="24"/>
                <c:pt idx="0">
                  <c:v>644</c:v>
                </c:pt>
                <c:pt idx="1">
                  <c:v>899</c:v>
                </c:pt>
                <c:pt idx="2">
                  <c:v>1011</c:v>
                </c:pt>
                <c:pt idx="3">
                  <c:v>886</c:v>
                </c:pt>
                <c:pt idx="4">
                  <c:v>851</c:v>
                </c:pt>
                <c:pt idx="5">
                  <c:v>880</c:v>
                </c:pt>
                <c:pt idx="6">
                  <c:v>880</c:v>
                </c:pt>
                <c:pt idx="7">
                  <c:v>896</c:v>
                </c:pt>
                <c:pt idx="8">
                  <c:v>839</c:v>
                </c:pt>
                <c:pt idx="9">
                  <c:v>984</c:v>
                </c:pt>
                <c:pt idx="10">
                  <c:v>1102</c:v>
                </c:pt>
                <c:pt idx="11">
                  <c:v>973</c:v>
                </c:pt>
                <c:pt idx="12">
                  <c:v>842</c:v>
                </c:pt>
                <c:pt idx="13">
                  <c:v>636</c:v>
                </c:pt>
                <c:pt idx="14">
                  <c:v>572</c:v>
                </c:pt>
                <c:pt idx="15">
                  <c:v>463</c:v>
                </c:pt>
                <c:pt idx="16">
                  <c:v>387</c:v>
                </c:pt>
                <c:pt idx="17">
                  <c:v>180</c:v>
                </c:pt>
                <c:pt idx="18">
                  <c:v>158</c:v>
                </c:pt>
                <c:pt idx="19">
                  <c:v>101</c:v>
                </c:pt>
                <c:pt idx="20">
                  <c:v>105</c:v>
                </c:pt>
                <c:pt idx="21">
                  <c:v>159</c:v>
                </c:pt>
                <c:pt idx="22">
                  <c:v>451</c:v>
                </c:pt>
                <c:pt idx="23">
                  <c:v>793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D7C-43E4-8D98-AF01AC8ABB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3789952"/>
        <c:axId val="113820032"/>
      </c:lineChart>
      <c:catAx>
        <c:axId val="11378995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3820032"/>
        <c:crosses val="autoZero"/>
        <c:auto val="1"/>
        <c:lblAlgn val="ctr"/>
        <c:lblOffset val="100"/>
        <c:noMultiLvlLbl val="0"/>
      </c:catAx>
      <c:valAx>
        <c:axId val="11382003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37899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B533-467E-9052-E80B684A022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B533-467E-9052-E80B684A022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B533-467E-9052-E80B684A022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B533-467E-9052-E80B684A022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B533-467E-9052-E80B684A022A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B533-467E-9052-E80B684A022A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B533-467E-9052-E80B684A022A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B533-467E-9052-E80B684A022A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B533-467E-9052-E80B684A022A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B533-467E-9052-E80B684A022A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B533-467E-9052-E80B684A022A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B533-467E-9052-E80B684A022A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B533-467E-9052-E80B684A022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'26.09 Mukono-Seeta-24h'!$C$9:$N$9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'26.09 Mukono-Seeta-24h'!$C$107:$N$107</c:f>
              <c:numCache>
                <c:formatCode>0.0%</c:formatCode>
                <c:ptCount val="12"/>
                <c:pt idx="0">
                  <c:v>0.11725720112159062</c:v>
                </c:pt>
                <c:pt idx="1">
                  <c:v>6.4300280397654855E-2</c:v>
                </c:pt>
                <c:pt idx="2">
                  <c:v>3.5049706856997195E-2</c:v>
                </c:pt>
                <c:pt idx="3">
                  <c:v>0.18793015549324496</c:v>
                </c:pt>
                <c:pt idx="4">
                  <c:v>1.1343359673719092E-2</c:v>
                </c:pt>
                <c:pt idx="5">
                  <c:v>6.8824878919194494E-3</c:v>
                </c:pt>
                <c:pt idx="6">
                  <c:v>4.014784603619679E-2</c:v>
                </c:pt>
                <c:pt idx="7">
                  <c:v>3.1034922253377516E-2</c:v>
                </c:pt>
                <c:pt idx="8">
                  <c:v>2.1794544991078257E-2</c:v>
                </c:pt>
                <c:pt idx="9">
                  <c:v>7.3859291358654086E-2</c:v>
                </c:pt>
                <c:pt idx="10">
                  <c:v>0.41027275044608719</c:v>
                </c:pt>
                <c:pt idx="11">
                  <c:v>1.2745347947998981E-4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B533-467E-9052-E80B684A02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529-4064-B18B-726F86F6119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529-4064-B18B-726F86F6119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529-4064-B18B-726F86F6119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529-4064-B18B-726F86F6119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529-4064-B18B-726F86F6119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529-4064-B18B-726F86F6119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529-4064-B18B-726F86F6119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529-4064-B18B-726F86F6119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529-4064-B18B-726F86F6119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529-4064-B18B-726F86F6119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529-4064-B18B-726F86F6119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529-4064-B18B-726F86F6119F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529-4064-B18B-726F86F6119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'26.09 Mukono-Seeta-24h'!$C$9:$N$9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'26.09 Mukono-Seeta-24h'!$C$108:$N$108</c:f>
              <c:numCache>
                <c:formatCode>0.00%</c:formatCode>
                <c:ptCount val="12"/>
                <c:pt idx="0">
                  <c:v>0.19883293710827751</c:v>
                </c:pt>
                <c:pt idx="1">
                  <c:v>0.10903393127296304</c:v>
                </c:pt>
                <c:pt idx="2">
                  <c:v>5.9433758374756861E-2</c:v>
                </c:pt>
                <c:pt idx="3">
                  <c:v>0.31867300626755996</c:v>
                </c:pt>
                <c:pt idx="4">
                  <c:v>1.9234925437648584E-2</c:v>
                </c:pt>
                <c:pt idx="5">
                  <c:v>1.1670628917224984E-2</c:v>
                </c:pt>
                <c:pt idx="6">
                  <c:v>6.8078668683812404E-2</c:v>
                </c:pt>
                <c:pt idx="7">
                  <c:v>5.2625891506375623E-2</c:v>
                </c:pt>
                <c:pt idx="8">
                  <c:v>3.6956991571212447E-2</c:v>
                </c:pt>
                <c:pt idx="9">
                  <c:v>0.1252431381024422</c:v>
                </c:pt>
                <c:pt idx="11">
                  <c:v>2.1612275772638859E-4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529-4064-B18B-726F86F611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'27.09 Seeta-Mukono'!$AE$9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'27.09 Seeta-Mukono'!$R$10:$R$21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'27.09 Seeta-Mukono'!$AE$10:$AE$21</c:f>
              <c:numCache>
                <c:formatCode>0</c:formatCode>
                <c:ptCount val="12"/>
                <c:pt idx="0">
                  <c:v>522</c:v>
                </c:pt>
                <c:pt idx="1">
                  <c:v>675</c:v>
                </c:pt>
                <c:pt idx="2">
                  <c:v>707</c:v>
                </c:pt>
                <c:pt idx="3">
                  <c:v>608</c:v>
                </c:pt>
                <c:pt idx="4">
                  <c:v>698</c:v>
                </c:pt>
                <c:pt idx="5">
                  <c:v>669</c:v>
                </c:pt>
                <c:pt idx="6">
                  <c:v>624</c:v>
                </c:pt>
                <c:pt idx="7">
                  <c:v>563</c:v>
                </c:pt>
                <c:pt idx="8">
                  <c:v>527</c:v>
                </c:pt>
                <c:pt idx="9">
                  <c:v>704</c:v>
                </c:pt>
                <c:pt idx="10">
                  <c:v>629</c:v>
                </c:pt>
                <c:pt idx="11">
                  <c:v>634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C61-4EFF-B3FE-B7ED65A6BB38}"/>
            </c:ext>
          </c:extLst>
        </c:ser>
        <c:ser>
          <c:idx val="1"/>
          <c:order val="1"/>
          <c:tx>
            <c:strRef>
              <c:f>'27.09 Seeta-Mukono'!$AF$9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'27.09 Seeta-Mukono'!$R$10:$R$21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'27.09 Seeta-Mukono'!$AF$10:$AF$21</c:f>
              <c:numCache>
                <c:formatCode>0</c:formatCode>
                <c:ptCount val="12"/>
                <c:pt idx="0">
                  <c:v>810</c:v>
                </c:pt>
                <c:pt idx="1">
                  <c:v>1176</c:v>
                </c:pt>
                <c:pt idx="2">
                  <c:v>1219</c:v>
                </c:pt>
                <c:pt idx="3">
                  <c:v>1134</c:v>
                </c:pt>
                <c:pt idx="4">
                  <c:v>1285</c:v>
                </c:pt>
                <c:pt idx="5">
                  <c:v>1223</c:v>
                </c:pt>
                <c:pt idx="6">
                  <c:v>810</c:v>
                </c:pt>
                <c:pt idx="7">
                  <c:v>851</c:v>
                </c:pt>
                <c:pt idx="8">
                  <c:v>825</c:v>
                </c:pt>
                <c:pt idx="9">
                  <c:v>1226</c:v>
                </c:pt>
                <c:pt idx="10">
                  <c:v>1134</c:v>
                </c:pt>
                <c:pt idx="11">
                  <c:v>1548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C61-4EFF-B3FE-B7ED65A6BB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2530944"/>
        <c:axId val="112532480"/>
      </c:lineChart>
      <c:catAx>
        <c:axId val="11253094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2532480"/>
        <c:crosses val="autoZero"/>
        <c:auto val="1"/>
        <c:lblAlgn val="ctr"/>
        <c:lblOffset val="100"/>
        <c:noMultiLvlLbl val="0"/>
      </c:catAx>
      <c:valAx>
        <c:axId val="11253248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25309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385-42DE-9260-DCACDBA6D28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385-42DE-9260-DCACDBA6D28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385-42DE-9260-DCACDBA6D28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385-42DE-9260-DCACDBA6D28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385-42DE-9260-DCACDBA6D28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385-42DE-9260-DCACDBA6D28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385-42DE-9260-DCACDBA6D28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385-42DE-9260-DCACDBA6D28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385-42DE-9260-DCACDBA6D28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385-42DE-9260-DCACDBA6D28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385-42DE-9260-DCACDBA6D28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385-42DE-9260-DCACDBA6D289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385-42DE-9260-DCACDBA6D28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'27.09 Seeta-Mukono'!$C$9:$N$9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'27.09 Seeta-Mukono'!$C$59:$N$59</c:f>
              <c:numCache>
                <c:formatCode>0.0%</c:formatCode>
                <c:ptCount val="12"/>
                <c:pt idx="0">
                  <c:v>0.19741711351106411</c:v>
                </c:pt>
                <c:pt idx="1">
                  <c:v>2.6735140850388944E-2</c:v>
                </c:pt>
                <c:pt idx="2">
                  <c:v>2.8698738765954232E-2</c:v>
                </c:pt>
                <c:pt idx="3">
                  <c:v>0.17611962842685597</c:v>
                </c:pt>
                <c:pt idx="4">
                  <c:v>7.8543916622611579E-3</c:v>
                </c:pt>
                <c:pt idx="5">
                  <c:v>1.5104599350502228E-3</c:v>
                </c:pt>
                <c:pt idx="6">
                  <c:v>5.1657729778717618E-2</c:v>
                </c:pt>
                <c:pt idx="7">
                  <c:v>1.7445812249830075E-2</c:v>
                </c:pt>
                <c:pt idx="8">
                  <c:v>1.1328449512876671E-2</c:v>
                </c:pt>
                <c:pt idx="9">
                  <c:v>5.2110867759232689E-2</c:v>
                </c:pt>
                <c:pt idx="10">
                  <c:v>0.42904614455101581</c:v>
                </c:pt>
                <c:pt idx="11">
                  <c:v>7.5522996752511135E-5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385-42DE-9260-DCACDBA6D2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'27.09 Seeta-Mukono'!$S$9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'27.09 Seeta-Mukono'!$R$10:$R$21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'27.09 Seeta-Mukono'!$S$10:$S$21</c:f>
              <c:numCache>
                <c:formatCode>0</c:formatCode>
                <c:ptCount val="12"/>
                <c:pt idx="0">
                  <c:v>240</c:v>
                </c:pt>
                <c:pt idx="1">
                  <c:v>269</c:v>
                </c:pt>
                <c:pt idx="2">
                  <c:v>282</c:v>
                </c:pt>
                <c:pt idx="3">
                  <c:v>206</c:v>
                </c:pt>
                <c:pt idx="4">
                  <c:v>222</c:v>
                </c:pt>
                <c:pt idx="5">
                  <c:v>207</c:v>
                </c:pt>
                <c:pt idx="6">
                  <c:v>193</c:v>
                </c:pt>
                <c:pt idx="7">
                  <c:v>175</c:v>
                </c:pt>
                <c:pt idx="8">
                  <c:v>160</c:v>
                </c:pt>
                <c:pt idx="9">
                  <c:v>241</c:v>
                </c:pt>
                <c:pt idx="10">
                  <c:v>174</c:v>
                </c:pt>
                <c:pt idx="11">
                  <c:v>245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F565-49B4-8ABB-8A67B7CF0463}"/>
            </c:ext>
          </c:extLst>
        </c:ser>
        <c:ser>
          <c:idx val="1"/>
          <c:order val="1"/>
          <c:tx>
            <c:strRef>
              <c:f>'27.09 Seeta-Mukono'!$T$9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'27.09 Seeta-Mukono'!$R$10:$R$21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'27.09 Seeta-Mukono'!$T$10:$T$21</c:f>
              <c:numCache>
                <c:formatCode>0</c:formatCode>
                <c:ptCount val="12"/>
                <c:pt idx="0">
                  <c:v>21</c:v>
                </c:pt>
                <c:pt idx="1">
                  <c:v>39</c:v>
                </c:pt>
                <c:pt idx="2">
                  <c:v>37</c:v>
                </c:pt>
                <c:pt idx="3">
                  <c:v>39</c:v>
                </c:pt>
                <c:pt idx="4">
                  <c:v>32</c:v>
                </c:pt>
                <c:pt idx="5">
                  <c:v>26</c:v>
                </c:pt>
                <c:pt idx="6">
                  <c:v>27</c:v>
                </c:pt>
                <c:pt idx="7">
                  <c:v>36</c:v>
                </c:pt>
                <c:pt idx="8">
                  <c:v>11</c:v>
                </c:pt>
                <c:pt idx="9">
                  <c:v>36</c:v>
                </c:pt>
                <c:pt idx="10">
                  <c:v>25</c:v>
                </c:pt>
                <c:pt idx="11">
                  <c:v>25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F565-49B4-8ABB-8A67B7CF0463}"/>
            </c:ext>
          </c:extLst>
        </c:ser>
        <c:ser>
          <c:idx val="2"/>
          <c:order val="2"/>
          <c:tx>
            <c:strRef>
              <c:f>'27.09 Seeta-Mukono'!$U$9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'27.09 Seeta-Mukono'!$U$10:$U$21</c:f>
              <c:numCache>
                <c:formatCode>0</c:formatCode>
                <c:ptCount val="12"/>
                <c:pt idx="0">
                  <c:v>15</c:v>
                </c:pt>
                <c:pt idx="1">
                  <c:v>51</c:v>
                </c:pt>
                <c:pt idx="2">
                  <c:v>40</c:v>
                </c:pt>
                <c:pt idx="3">
                  <c:v>34</c:v>
                </c:pt>
                <c:pt idx="4">
                  <c:v>46</c:v>
                </c:pt>
                <c:pt idx="5">
                  <c:v>24</c:v>
                </c:pt>
                <c:pt idx="6">
                  <c:v>30</c:v>
                </c:pt>
                <c:pt idx="7">
                  <c:v>27</c:v>
                </c:pt>
                <c:pt idx="8">
                  <c:v>28</c:v>
                </c:pt>
                <c:pt idx="9">
                  <c:v>26</c:v>
                </c:pt>
                <c:pt idx="10">
                  <c:v>23</c:v>
                </c:pt>
                <c:pt idx="11">
                  <c:v>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565-49B4-8ABB-8A67B7CF0463}"/>
            </c:ext>
          </c:extLst>
        </c:ser>
        <c:ser>
          <c:idx val="3"/>
          <c:order val="3"/>
          <c:tx>
            <c:strRef>
              <c:f>'27.09 Seeta-Mukono'!$V$9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'27.09 Seeta-Mukono'!$V$10:$V$21</c:f>
              <c:numCache>
                <c:formatCode>0</c:formatCode>
                <c:ptCount val="12"/>
                <c:pt idx="0">
                  <c:v>183</c:v>
                </c:pt>
                <c:pt idx="1">
                  <c:v>209</c:v>
                </c:pt>
                <c:pt idx="2">
                  <c:v>226</c:v>
                </c:pt>
                <c:pt idx="3">
                  <c:v>185</c:v>
                </c:pt>
                <c:pt idx="4">
                  <c:v>213</c:v>
                </c:pt>
                <c:pt idx="5">
                  <c:v>227</c:v>
                </c:pt>
                <c:pt idx="6">
                  <c:v>196</c:v>
                </c:pt>
                <c:pt idx="7">
                  <c:v>171</c:v>
                </c:pt>
                <c:pt idx="8">
                  <c:v>164</c:v>
                </c:pt>
                <c:pt idx="9">
                  <c:v>185</c:v>
                </c:pt>
                <c:pt idx="10">
                  <c:v>214</c:v>
                </c:pt>
                <c:pt idx="11">
                  <c:v>159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565-49B4-8ABB-8A67B7CF0463}"/>
            </c:ext>
          </c:extLst>
        </c:ser>
        <c:ser>
          <c:idx val="4"/>
          <c:order val="4"/>
          <c:tx>
            <c:strRef>
              <c:f>'27.09 Seeta-Mukono'!$W$9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'27.09 Seeta-Mukono'!$W$10:$W$21</c:f>
              <c:numCache>
                <c:formatCode>0</c:formatCode>
                <c:ptCount val="12"/>
                <c:pt idx="0">
                  <c:v>7</c:v>
                </c:pt>
                <c:pt idx="1">
                  <c:v>7</c:v>
                </c:pt>
                <c:pt idx="2">
                  <c:v>9</c:v>
                </c:pt>
                <c:pt idx="3">
                  <c:v>12</c:v>
                </c:pt>
                <c:pt idx="4">
                  <c:v>12</c:v>
                </c:pt>
                <c:pt idx="5">
                  <c:v>8</c:v>
                </c:pt>
                <c:pt idx="6">
                  <c:v>11</c:v>
                </c:pt>
                <c:pt idx="7">
                  <c:v>10</c:v>
                </c:pt>
                <c:pt idx="8">
                  <c:v>0</c:v>
                </c:pt>
                <c:pt idx="9">
                  <c:v>11</c:v>
                </c:pt>
                <c:pt idx="10">
                  <c:v>6</c:v>
                </c:pt>
                <c:pt idx="11">
                  <c:v>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565-49B4-8ABB-8A67B7CF0463}"/>
            </c:ext>
          </c:extLst>
        </c:ser>
        <c:ser>
          <c:idx val="5"/>
          <c:order val="5"/>
          <c:tx>
            <c:strRef>
              <c:f>'27.09 Seeta-Mukono'!$X$9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'27.09 Seeta-Mukono'!$X$10:$X$21</c:f>
              <c:numCache>
                <c:formatCode>0</c:formatCode>
                <c:ptCount val="12"/>
                <c:pt idx="0">
                  <c:v>5</c:v>
                </c:pt>
                <c:pt idx="1">
                  <c:v>1</c:v>
                </c:pt>
                <c:pt idx="2">
                  <c:v>3</c:v>
                </c:pt>
                <c:pt idx="3">
                  <c:v>1</c:v>
                </c:pt>
                <c:pt idx="4">
                  <c:v>1</c:v>
                </c:pt>
                <c:pt idx="5">
                  <c:v>2</c:v>
                </c:pt>
                <c:pt idx="6">
                  <c:v>0</c:v>
                </c:pt>
                <c:pt idx="7">
                  <c:v>2</c:v>
                </c:pt>
                <c:pt idx="8">
                  <c:v>1</c:v>
                </c:pt>
                <c:pt idx="9">
                  <c:v>0</c:v>
                </c:pt>
                <c:pt idx="10">
                  <c:v>4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565-49B4-8ABB-8A67B7CF0463}"/>
            </c:ext>
          </c:extLst>
        </c:ser>
        <c:ser>
          <c:idx val="6"/>
          <c:order val="6"/>
          <c:tx>
            <c:strRef>
              <c:f>'27.09 Seeta-Mukono'!$Y$9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'27.09 Seeta-Mukono'!$Y$10:$Y$21</c:f>
              <c:numCache>
                <c:formatCode>0</c:formatCode>
                <c:ptCount val="12"/>
                <c:pt idx="0">
                  <c:v>14</c:v>
                </c:pt>
                <c:pt idx="1">
                  <c:v>61</c:v>
                </c:pt>
                <c:pt idx="2">
                  <c:v>64</c:v>
                </c:pt>
                <c:pt idx="3">
                  <c:v>53</c:v>
                </c:pt>
                <c:pt idx="4">
                  <c:v>80</c:v>
                </c:pt>
                <c:pt idx="5">
                  <c:v>68</c:v>
                </c:pt>
                <c:pt idx="6">
                  <c:v>62</c:v>
                </c:pt>
                <c:pt idx="7">
                  <c:v>64</c:v>
                </c:pt>
                <c:pt idx="8">
                  <c:v>60</c:v>
                </c:pt>
                <c:pt idx="9">
                  <c:v>65</c:v>
                </c:pt>
                <c:pt idx="10">
                  <c:v>53</c:v>
                </c:pt>
                <c:pt idx="11">
                  <c:v>40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565-49B4-8ABB-8A67B7CF0463}"/>
            </c:ext>
          </c:extLst>
        </c:ser>
        <c:ser>
          <c:idx val="7"/>
          <c:order val="7"/>
          <c:tx>
            <c:strRef>
              <c:f>'27.09 Seeta-Mukono'!$Z$9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'27.09 Seeta-Mukono'!$Z$10:$Z$21</c:f>
              <c:numCache>
                <c:formatCode>0</c:formatCode>
                <c:ptCount val="12"/>
                <c:pt idx="0">
                  <c:v>8</c:v>
                </c:pt>
                <c:pt idx="1">
                  <c:v>11</c:v>
                </c:pt>
                <c:pt idx="2">
                  <c:v>21</c:v>
                </c:pt>
                <c:pt idx="3">
                  <c:v>29</c:v>
                </c:pt>
                <c:pt idx="4">
                  <c:v>25</c:v>
                </c:pt>
                <c:pt idx="5">
                  <c:v>18</c:v>
                </c:pt>
                <c:pt idx="6">
                  <c:v>19</c:v>
                </c:pt>
                <c:pt idx="7">
                  <c:v>21</c:v>
                </c:pt>
                <c:pt idx="8">
                  <c:v>18</c:v>
                </c:pt>
                <c:pt idx="9">
                  <c:v>18</c:v>
                </c:pt>
                <c:pt idx="10">
                  <c:v>25</c:v>
                </c:pt>
                <c:pt idx="11">
                  <c:v>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565-49B4-8ABB-8A67B7CF0463}"/>
            </c:ext>
          </c:extLst>
        </c:ser>
        <c:ser>
          <c:idx val="8"/>
          <c:order val="8"/>
          <c:tx>
            <c:strRef>
              <c:f>'27.09 Seeta-Mukono'!$AA$9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'27.09 Seeta-Mukono'!$AA$10:$AA$21</c:f>
              <c:numCache>
                <c:formatCode>0</c:formatCode>
                <c:ptCount val="12"/>
                <c:pt idx="0">
                  <c:v>9</c:v>
                </c:pt>
                <c:pt idx="1">
                  <c:v>10</c:v>
                </c:pt>
                <c:pt idx="2">
                  <c:v>11</c:v>
                </c:pt>
                <c:pt idx="3">
                  <c:v>11</c:v>
                </c:pt>
                <c:pt idx="4">
                  <c:v>19</c:v>
                </c:pt>
                <c:pt idx="5">
                  <c:v>10</c:v>
                </c:pt>
                <c:pt idx="6">
                  <c:v>17</c:v>
                </c:pt>
                <c:pt idx="7">
                  <c:v>11</c:v>
                </c:pt>
                <c:pt idx="8">
                  <c:v>17</c:v>
                </c:pt>
                <c:pt idx="9">
                  <c:v>13</c:v>
                </c:pt>
                <c:pt idx="10">
                  <c:v>9</c:v>
                </c:pt>
                <c:pt idx="11">
                  <c:v>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F565-49B4-8ABB-8A67B7CF0463}"/>
            </c:ext>
          </c:extLst>
        </c:ser>
        <c:ser>
          <c:idx val="9"/>
          <c:order val="9"/>
          <c:tx>
            <c:strRef>
              <c:f>'27.09 Seeta-Mukono'!$AB$9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'27.09 Seeta-Mukono'!$AB$10:$AB$21</c:f>
              <c:numCache>
                <c:formatCode>0</c:formatCode>
                <c:ptCount val="12"/>
                <c:pt idx="0">
                  <c:v>20</c:v>
                </c:pt>
                <c:pt idx="1">
                  <c:v>17</c:v>
                </c:pt>
                <c:pt idx="2">
                  <c:v>14</c:v>
                </c:pt>
                <c:pt idx="3">
                  <c:v>38</c:v>
                </c:pt>
                <c:pt idx="4">
                  <c:v>48</c:v>
                </c:pt>
                <c:pt idx="5">
                  <c:v>78</c:v>
                </c:pt>
                <c:pt idx="6">
                  <c:v>69</c:v>
                </c:pt>
                <c:pt idx="7">
                  <c:v>46</c:v>
                </c:pt>
                <c:pt idx="8">
                  <c:v>68</c:v>
                </c:pt>
                <c:pt idx="9">
                  <c:v>109</c:v>
                </c:pt>
                <c:pt idx="10">
                  <c:v>96</c:v>
                </c:pt>
                <c:pt idx="11">
                  <c:v>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F565-49B4-8ABB-8A67B7CF0463}"/>
            </c:ext>
          </c:extLst>
        </c:ser>
        <c:ser>
          <c:idx val="10"/>
          <c:order val="10"/>
          <c:tx>
            <c:strRef>
              <c:f>'27.09 Seeta-Mukono'!$AC$9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'27.09 Seeta-Mukono'!$AC$10:$AC$21</c:f>
              <c:numCache>
                <c:formatCode>0</c:formatCode>
                <c:ptCount val="12"/>
                <c:pt idx="0">
                  <c:v>288</c:v>
                </c:pt>
                <c:pt idx="1">
                  <c:v>501</c:v>
                </c:pt>
                <c:pt idx="2">
                  <c:v>512</c:v>
                </c:pt>
                <c:pt idx="3">
                  <c:v>526</c:v>
                </c:pt>
                <c:pt idx="4">
                  <c:v>587</c:v>
                </c:pt>
                <c:pt idx="5">
                  <c:v>554</c:v>
                </c:pt>
                <c:pt idx="6">
                  <c:v>186</c:v>
                </c:pt>
                <c:pt idx="7">
                  <c:v>288</c:v>
                </c:pt>
                <c:pt idx="8">
                  <c:v>298</c:v>
                </c:pt>
                <c:pt idx="9">
                  <c:v>522</c:v>
                </c:pt>
                <c:pt idx="10">
                  <c:v>505</c:v>
                </c:pt>
                <c:pt idx="11">
                  <c:v>914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F565-49B4-8ABB-8A67B7CF0463}"/>
            </c:ext>
          </c:extLst>
        </c:ser>
        <c:ser>
          <c:idx val="11"/>
          <c:order val="11"/>
          <c:tx>
            <c:strRef>
              <c:f>'27.09 Seeta-Mukono'!$AD$9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'27.09 Seeta-Mukono'!$AD$10:$AD$21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F565-49B4-8ABB-8A67B7CF04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2680320"/>
        <c:axId val="112702592"/>
      </c:lineChart>
      <c:catAx>
        <c:axId val="1126803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2702592"/>
        <c:crosses val="autoZero"/>
        <c:auto val="1"/>
        <c:lblAlgn val="ctr"/>
        <c:lblOffset val="100"/>
        <c:noMultiLvlLbl val="0"/>
      </c:catAx>
      <c:valAx>
        <c:axId val="112702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26803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7C5-4DCE-BEC7-0690C330694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F7C5-4DCE-BEC7-0690C330694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F7C5-4DCE-BEC7-0690C330694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F7C5-4DCE-BEC7-0690C330694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F7C5-4DCE-BEC7-0690C330694A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F7C5-4DCE-BEC7-0690C330694A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F7C5-4DCE-BEC7-0690C330694A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F7C5-4DCE-BEC7-0690C330694A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F7C5-4DCE-BEC7-0690C330694A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F7C5-4DCE-BEC7-0690C330694A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F7C5-4DCE-BEC7-0690C330694A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F7C5-4DCE-BEC7-0690C330694A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F7C5-4DCE-BEC7-0690C330694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'27.09 Seeta-Mukono'!$C$9:$N$9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'27.09 Seeta-Mukono'!$C$60:$N$60</c:f>
              <c:numCache>
                <c:formatCode>0.00%</c:formatCode>
                <c:ptCount val="12"/>
                <c:pt idx="0">
                  <c:v>0.34576719576719578</c:v>
                </c:pt>
                <c:pt idx="1">
                  <c:v>4.6825396825396826E-2</c:v>
                </c:pt>
                <c:pt idx="2">
                  <c:v>5.0264550264550262E-2</c:v>
                </c:pt>
                <c:pt idx="3">
                  <c:v>0.30846560846560844</c:v>
                </c:pt>
                <c:pt idx="4">
                  <c:v>1.3756613756613757E-2</c:v>
                </c:pt>
                <c:pt idx="5">
                  <c:v>2.6455026455026454E-3</c:v>
                </c:pt>
                <c:pt idx="6">
                  <c:v>9.0476190476190474E-2</c:v>
                </c:pt>
                <c:pt idx="7">
                  <c:v>3.0555555555555555E-2</c:v>
                </c:pt>
                <c:pt idx="8">
                  <c:v>1.984126984126984E-2</c:v>
                </c:pt>
                <c:pt idx="9">
                  <c:v>9.1269841269841265E-2</c:v>
                </c:pt>
                <c:pt idx="11">
                  <c:v>1.3227513227513228E-4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F7C5-4DCE-BEC7-0690C33069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'27.09 Mukono-Seeta'!$AE$9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'27.09 Mukono-Seeta'!$R$10:$R$21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'27.09 Mukono-Seeta'!$AE$10:$AE$21</c:f>
              <c:numCache>
                <c:formatCode>0</c:formatCode>
                <c:ptCount val="12"/>
                <c:pt idx="0">
                  <c:v>458</c:v>
                </c:pt>
                <c:pt idx="1">
                  <c:v>487</c:v>
                </c:pt>
                <c:pt idx="2">
                  <c:v>323</c:v>
                </c:pt>
                <c:pt idx="3">
                  <c:v>319</c:v>
                </c:pt>
                <c:pt idx="4">
                  <c:v>414</c:v>
                </c:pt>
                <c:pt idx="5">
                  <c:v>479</c:v>
                </c:pt>
                <c:pt idx="6">
                  <c:v>492</c:v>
                </c:pt>
                <c:pt idx="7">
                  <c:v>529</c:v>
                </c:pt>
                <c:pt idx="8">
                  <c:v>435</c:v>
                </c:pt>
                <c:pt idx="9">
                  <c:v>496</c:v>
                </c:pt>
                <c:pt idx="10">
                  <c:v>452</c:v>
                </c:pt>
                <c:pt idx="11">
                  <c:v>315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463-4278-A5CC-74015684B17F}"/>
            </c:ext>
          </c:extLst>
        </c:ser>
        <c:ser>
          <c:idx val="1"/>
          <c:order val="1"/>
          <c:tx>
            <c:strRef>
              <c:f>'27.09 Mukono-Seeta'!$AF$9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'27.09 Mukono-Seeta'!$R$10:$R$21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'27.09 Mukono-Seeta'!$AF$10:$AF$21</c:f>
              <c:numCache>
                <c:formatCode>0</c:formatCode>
                <c:ptCount val="12"/>
                <c:pt idx="0">
                  <c:v>1081</c:v>
                </c:pt>
                <c:pt idx="1">
                  <c:v>1209</c:v>
                </c:pt>
                <c:pt idx="2">
                  <c:v>851</c:v>
                </c:pt>
                <c:pt idx="3">
                  <c:v>793</c:v>
                </c:pt>
                <c:pt idx="4">
                  <c:v>883</c:v>
                </c:pt>
                <c:pt idx="5">
                  <c:v>931</c:v>
                </c:pt>
                <c:pt idx="6">
                  <c:v>538</c:v>
                </c:pt>
                <c:pt idx="7">
                  <c:v>890</c:v>
                </c:pt>
                <c:pt idx="8">
                  <c:v>833</c:v>
                </c:pt>
                <c:pt idx="9">
                  <c:v>906</c:v>
                </c:pt>
                <c:pt idx="10">
                  <c:v>1006</c:v>
                </c:pt>
                <c:pt idx="11">
                  <c:v>709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463-4278-A5CC-74015684B1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2921216"/>
        <c:axId val="112931200"/>
      </c:lineChart>
      <c:catAx>
        <c:axId val="11292121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2931200"/>
        <c:crosses val="autoZero"/>
        <c:auto val="1"/>
        <c:lblAlgn val="ctr"/>
        <c:lblOffset val="100"/>
        <c:noMultiLvlLbl val="0"/>
      </c:catAx>
      <c:valAx>
        <c:axId val="11293120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29212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838-4AD2-B02D-63FE1AB93A1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838-4AD2-B02D-63FE1AB93A1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838-4AD2-B02D-63FE1AB93A1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838-4AD2-B02D-63FE1AB93A1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838-4AD2-B02D-63FE1AB93A1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838-4AD2-B02D-63FE1AB93A1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838-4AD2-B02D-63FE1AB93A1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838-4AD2-B02D-63FE1AB93A14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838-4AD2-B02D-63FE1AB93A1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838-4AD2-B02D-63FE1AB93A14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838-4AD2-B02D-63FE1AB93A14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838-4AD2-B02D-63FE1AB93A14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838-4AD2-B02D-63FE1AB93A1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'27.09 Mukono-Seeta'!$C$9:$N$9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'27.09 Mukono-Seeta'!$C$59:$N$59</c:f>
              <c:numCache>
                <c:formatCode>0.0%</c:formatCode>
                <c:ptCount val="12"/>
                <c:pt idx="0">
                  <c:v>9.8588899341486361E-2</c:v>
                </c:pt>
                <c:pt idx="1">
                  <c:v>4.7507055503292567E-2</c:v>
                </c:pt>
                <c:pt idx="2">
                  <c:v>3.217309501411101E-2</c:v>
                </c:pt>
                <c:pt idx="3">
                  <c:v>0.16095954844778929</c:v>
                </c:pt>
                <c:pt idx="4">
                  <c:v>9.4073377234242701E-3</c:v>
                </c:pt>
                <c:pt idx="5">
                  <c:v>4.0451552210724363E-3</c:v>
                </c:pt>
                <c:pt idx="6">
                  <c:v>2.2107243650047036E-2</c:v>
                </c:pt>
                <c:pt idx="7">
                  <c:v>2.1919096895578551E-2</c:v>
                </c:pt>
                <c:pt idx="8">
                  <c:v>2.1448730009407339E-2</c:v>
                </c:pt>
                <c:pt idx="9">
                  <c:v>7.0931326434618996E-2</c:v>
                </c:pt>
                <c:pt idx="10">
                  <c:v>0.51091251175917218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838-4AD2-B02D-63FE1AB93A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'27.09 Mukono-Seeta'!$S$9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'27.09 Mukono-Seeta'!$R$10:$R$21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'27.09 Mukono-Seeta'!$S$10:$S$21</c:f>
              <c:numCache>
                <c:formatCode>0</c:formatCode>
                <c:ptCount val="12"/>
                <c:pt idx="0">
                  <c:v>94</c:v>
                </c:pt>
                <c:pt idx="1">
                  <c:v>105</c:v>
                </c:pt>
                <c:pt idx="2">
                  <c:v>51</c:v>
                </c:pt>
                <c:pt idx="3">
                  <c:v>67</c:v>
                </c:pt>
                <c:pt idx="4">
                  <c:v>76</c:v>
                </c:pt>
                <c:pt idx="5">
                  <c:v>116</c:v>
                </c:pt>
                <c:pt idx="6">
                  <c:v>83</c:v>
                </c:pt>
                <c:pt idx="7">
                  <c:v>119</c:v>
                </c:pt>
                <c:pt idx="8">
                  <c:v>79</c:v>
                </c:pt>
                <c:pt idx="9">
                  <c:v>106</c:v>
                </c:pt>
                <c:pt idx="10">
                  <c:v>86</c:v>
                </c:pt>
                <c:pt idx="11">
                  <c:v>66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ACD-4E4E-9939-9E943A18B54F}"/>
            </c:ext>
          </c:extLst>
        </c:ser>
        <c:ser>
          <c:idx val="1"/>
          <c:order val="1"/>
          <c:tx>
            <c:strRef>
              <c:f>'27.09 Mukono-Seeta'!$T$9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'27.09 Mukono-Seeta'!$R$10:$R$21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'27.09 Mukono-Seeta'!$T$10:$T$21</c:f>
              <c:numCache>
                <c:formatCode>0</c:formatCode>
                <c:ptCount val="12"/>
                <c:pt idx="0">
                  <c:v>43</c:v>
                </c:pt>
                <c:pt idx="1">
                  <c:v>38</c:v>
                </c:pt>
                <c:pt idx="2">
                  <c:v>22</c:v>
                </c:pt>
                <c:pt idx="3">
                  <c:v>32</c:v>
                </c:pt>
                <c:pt idx="4">
                  <c:v>45</c:v>
                </c:pt>
                <c:pt idx="5">
                  <c:v>36</c:v>
                </c:pt>
                <c:pt idx="6">
                  <c:v>48</c:v>
                </c:pt>
                <c:pt idx="7">
                  <c:v>46</c:v>
                </c:pt>
                <c:pt idx="8">
                  <c:v>67</c:v>
                </c:pt>
                <c:pt idx="9">
                  <c:v>65</c:v>
                </c:pt>
                <c:pt idx="10">
                  <c:v>44</c:v>
                </c:pt>
                <c:pt idx="11">
                  <c:v>19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ACD-4E4E-9939-9E943A18B54F}"/>
            </c:ext>
          </c:extLst>
        </c:ser>
        <c:ser>
          <c:idx val="2"/>
          <c:order val="2"/>
          <c:tx>
            <c:strRef>
              <c:f>'27.09 Mukono-Seeta'!$U$9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'27.09 Mukono-Seeta'!$U$10:$U$21</c:f>
              <c:numCache>
                <c:formatCode>0</c:formatCode>
                <c:ptCount val="12"/>
                <c:pt idx="0">
                  <c:v>25</c:v>
                </c:pt>
                <c:pt idx="1">
                  <c:v>17</c:v>
                </c:pt>
                <c:pt idx="2">
                  <c:v>27</c:v>
                </c:pt>
                <c:pt idx="3">
                  <c:v>12</c:v>
                </c:pt>
                <c:pt idx="4">
                  <c:v>28</c:v>
                </c:pt>
                <c:pt idx="5">
                  <c:v>30</c:v>
                </c:pt>
                <c:pt idx="6">
                  <c:v>30</c:v>
                </c:pt>
                <c:pt idx="7">
                  <c:v>47</c:v>
                </c:pt>
                <c:pt idx="8">
                  <c:v>14</c:v>
                </c:pt>
                <c:pt idx="9">
                  <c:v>66</c:v>
                </c:pt>
                <c:pt idx="10">
                  <c:v>32</c:v>
                </c:pt>
                <c:pt idx="11">
                  <c:v>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ACD-4E4E-9939-9E943A18B54F}"/>
            </c:ext>
          </c:extLst>
        </c:ser>
        <c:ser>
          <c:idx val="3"/>
          <c:order val="3"/>
          <c:tx>
            <c:strRef>
              <c:f>'27.09 Mukono-Seeta'!$V$9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'27.09 Mukono-Seeta'!$V$10:$V$21</c:f>
              <c:numCache>
                <c:formatCode>0</c:formatCode>
                <c:ptCount val="12"/>
                <c:pt idx="0">
                  <c:v>185</c:v>
                </c:pt>
                <c:pt idx="1">
                  <c:v>195</c:v>
                </c:pt>
                <c:pt idx="2">
                  <c:v>86</c:v>
                </c:pt>
                <c:pt idx="3">
                  <c:v>77</c:v>
                </c:pt>
                <c:pt idx="4">
                  <c:v>132</c:v>
                </c:pt>
                <c:pt idx="5">
                  <c:v>161</c:v>
                </c:pt>
                <c:pt idx="6">
                  <c:v>159</c:v>
                </c:pt>
                <c:pt idx="7">
                  <c:v>170</c:v>
                </c:pt>
                <c:pt idx="8">
                  <c:v>123</c:v>
                </c:pt>
                <c:pt idx="9">
                  <c:v>146</c:v>
                </c:pt>
                <c:pt idx="10">
                  <c:v>155</c:v>
                </c:pt>
                <c:pt idx="11">
                  <c:v>122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ACD-4E4E-9939-9E943A18B54F}"/>
            </c:ext>
          </c:extLst>
        </c:ser>
        <c:ser>
          <c:idx val="4"/>
          <c:order val="4"/>
          <c:tx>
            <c:strRef>
              <c:f>'27.09 Mukono-Seeta'!$W$9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'27.09 Mukono-Seeta'!$W$10:$W$21</c:f>
              <c:numCache>
                <c:formatCode>0</c:formatCode>
                <c:ptCount val="12"/>
                <c:pt idx="0">
                  <c:v>15</c:v>
                </c:pt>
                <c:pt idx="1">
                  <c:v>8</c:v>
                </c:pt>
                <c:pt idx="2">
                  <c:v>8</c:v>
                </c:pt>
                <c:pt idx="3">
                  <c:v>3</c:v>
                </c:pt>
                <c:pt idx="4">
                  <c:v>3</c:v>
                </c:pt>
                <c:pt idx="5">
                  <c:v>10</c:v>
                </c:pt>
                <c:pt idx="6">
                  <c:v>8</c:v>
                </c:pt>
                <c:pt idx="7">
                  <c:v>5</c:v>
                </c:pt>
                <c:pt idx="8">
                  <c:v>6</c:v>
                </c:pt>
                <c:pt idx="9">
                  <c:v>14</c:v>
                </c:pt>
                <c:pt idx="10">
                  <c:v>13</c:v>
                </c:pt>
                <c:pt idx="11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ACD-4E4E-9939-9E943A18B54F}"/>
            </c:ext>
          </c:extLst>
        </c:ser>
        <c:ser>
          <c:idx val="5"/>
          <c:order val="5"/>
          <c:tx>
            <c:strRef>
              <c:f>'27.09 Mukono-Seeta'!$X$9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'27.09 Mukono-Seeta'!$X$10:$X$21</c:f>
              <c:numCache>
                <c:formatCode>0</c:formatCode>
                <c:ptCount val="12"/>
                <c:pt idx="0">
                  <c:v>2</c:v>
                </c:pt>
                <c:pt idx="1">
                  <c:v>1</c:v>
                </c:pt>
                <c:pt idx="2">
                  <c:v>1</c:v>
                </c:pt>
                <c:pt idx="3">
                  <c:v>2</c:v>
                </c:pt>
                <c:pt idx="4">
                  <c:v>4</c:v>
                </c:pt>
                <c:pt idx="5">
                  <c:v>2</c:v>
                </c:pt>
                <c:pt idx="6">
                  <c:v>3</c:v>
                </c:pt>
                <c:pt idx="7">
                  <c:v>16</c:v>
                </c:pt>
                <c:pt idx="8">
                  <c:v>1</c:v>
                </c:pt>
                <c:pt idx="9">
                  <c:v>9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ACD-4E4E-9939-9E943A18B54F}"/>
            </c:ext>
          </c:extLst>
        </c:ser>
        <c:ser>
          <c:idx val="6"/>
          <c:order val="6"/>
          <c:tx>
            <c:strRef>
              <c:f>'27.09 Mukono-Seeta'!$Y$9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'27.09 Mukono-Seeta'!$Y$10:$Y$21</c:f>
              <c:numCache>
                <c:formatCode>0</c:formatCode>
                <c:ptCount val="12"/>
                <c:pt idx="0">
                  <c:v>11</c:v>
                </c:pt>
                <c:pt idx="1">
                  <c:v>16</c:v>
                </c:pt>
                <c:pt idx="2">
                  <c:v>15</c:v>
                </c:pt>
                <c:pt idx="3">
                  <c:v>28</c:v>
                </c:pt>
                <c:pt idx="4">
                  <c:v>23</c:v>
                </c:pt>
                <c:pt idx="5">
                  <c:v>22</c:v>
                </c:pt>
                <c:pt idx="6">
                  <c:v>39</c:v>
                </c:pt>
                <c:pt idx="7">
                  <c:v>32</c:v>
                </c:pt>
                <c:pt idx="8">
                  <c:v>18</c:v>
                </c:pt>
                <c:pt idx="9">
                  <c:v>7</c:v>
                </c:pt>
                <c:pt idx="10">
                  <c:v>13</c:v>
                </c:pt>
                <c:pt idx="11">
                  <c:v>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ACD-4E4E-9939-9E943A18B54F}"/>
            </c:ext>
          </c:extLst>
        </c:ser>
        <c:ser>
          <c:idx val="7"/>
          <c:order val="7"/>
          <c:tx>
            <c:strRef>
              <c:f>'27.09 Mukono-Seeta'!$Z$9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'27.09 Mukono-Seeta'!$Z$10:$Z$21</c:f>
              <c:numCache>
                <c:formatCode>0</c:formatCode>
                <c:ptCount val="12"/>
                <c:pt idx="0">
                  <c:v>12</c:v>
                </c:pt>
                <c:pt idx="1">
                  <c:v>22</c:v>
                </c:pt>
                <c:pt idx="2">
                  <c:v>13</c:v>
                </c:pt>
                <c:pt idx="3">
                  <c:v>17</c:v>
                </c:pt>
                <c:pt idx="4">
                  <c:v>20</c:v>
                </c:pt>
                <c:pt idx="5">
                  <c:v>27</c:v>
                </c:pt>
                <c:pt idx="6">
                  <c:v>41</c:v>
                </c:pt>
                <c:pt idx="7">
                  <c:v>28</c:v>
                </c:pt>
                <c:pt idx="8">
                  <c:v>6</c:v>
                </c:pt>
                <c:pt idx="9">
                  <c:v>11</c:v>
                </c:pt>
                <c:pt idx="10">
                  <c:v>19</c:v>
                </c:pt>
                <c:pt idx="11">
                  <c:v>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ACD-4E4E-9939-9E943A18B54F}"/>
            </c:ext>
          </c:extLst>
        </c:ser>
        <c:ser>
          <c:idx val="8"/>
          <c:order val="8"/>
          <c:tx>
            <c:strRef>
              <c:f>'27.09 Mukono-Seeta'!$AA$9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'27.09 Mukono-Seeta'!$AA$10:$AA$21</c:f>
              <c:numCache>
                <c:formatCode>0</c:formatCode>
                <c:ptCount val="12"/>
                <c:pt idx="0">
                  <c:v>11</c:v>
                </c:pt>
                <c:pt idx="1">
                  <c:v>12</c:v>
                </c:pt>
                <c:pt idx="2">
                  <c:v>13</c:v>
                </c:pt>
                <c:pt idx="3">
                  <c:v>15</c:v>
                </c:pt>
                <c:pt idx="4">
                  <c:v>28</c:v>
                </c:pt>
                <c:pt idx="5">
                  <c:v>29</c:v>
                </c:pt>
                <c:pt idx="6">
                  <c:v>35</c:v>
                </c:pt>
                <c:pt idx="7">
                  <c:v>27</c:v>
                </c:pt>
                <c:pt idx="8">
                  <c:v>8</c:v>
                </c:pt>
                <c:pt idx="9">
                  <c:v>16</c:v>
                </c:pt>
                <c:pt idx="10">
                  <c:v>17</c:v>
                </c:pt>
                <c:pt idx="11">
                  <c:v>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8ACD-4E4E-9939-9E943A18B54F}"/>
            </c:ext>
          </c:extLst>
        </c:ser>
        <c:ser>
          <c:idx val="9"/>
          <c:order val="9"/>
          <c:tx>
            <c:strRef>
              <c:f>'27.09 Mukono-Seeta'!$AB$9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'27.09 Mukono-Seeta'!$AB$10:$AB$21</c:f>
              <c:numCache>
                <c:formatCode>0</c:formatCode>
                <c:ptCount val="12"/>
                <c:pt idx="0">
                  <c:v>60</c:v>
                </c:pt>
                <c:pt idx="1">
                  <c:v>73</c:v>
                </c:pt>
                <c:pt idx="2">
                  <c:v>87</c:v>
                </c:pt>
                <c:pt idx="3">
                  <c:v>66</c:v>
                </c:pt>
                <c:pt idx="4">
                  <c:v>55</c:v>
                </c:pt>
                <c:pt idx="5">
                  <c:v>46</c:v>
                </c:pt>
                <c:pt idx="6">
                  <c:v>46</c:v>
                </c:pt>
                <c:pt idx="7">
                  <c:v>39</c:v>
                </c:pt>
                <c:pt idx="8">
                  <c:v>113</c:v>
                </c:pt>
                <c:pt idx="9">
                  <c:v>56</c:v>
                </c:pt>
                <c:pt idx="10">
                  <c:v>71</c:v>
                </c:pt>
                <c:pt idx="11">
                  <c:v>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8ACD-4E4E-9939-9E943A18B54F}"/>
            </c:ext>
          </c:extLst>
        </c:ser>
        <c:ser>
          <c:idx val="10"/>
          <c:order val="10"/>
          <c:tx>
            <c:strRef>
              <c:f>'27.09 Mukono-Seeta'!$AC$9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'27.09 Mukono-Seeta'!$AC$10:$AC$21</c:f>
              <c:numCache>
                <c:formatCode>0</c:formatCode>
                <c:ptCount val="12"/>
                <c:pt idx="0">
                  <c:v>623</c:v>
                </c:pt>
                <c:pt idx="1">
                  <c:v>722</c:v>
                </c:pt>
                <c:pt idx="2">
                  <c:v>528</c:v>
                </c:pt>
                <c:pt idx="3">
                  <c:v>474</c:v>
                </c:pt>
                <c:pt idx="4">
                  <c:v>469</c:v>
                </c:pt>
                <c:pt idx="5">
                  <c:v>452</c:v>
                </c:pt>
                <c:pt idx="6">
                  <c:v>46</c:v>
                </c:pt>
                <c:pt idx="7">
                  <c:v>361</c:v>
                </c:pt>
                <c:pt idx="8">
                  <c:v>398</c:v>
                </c:pt>
                <c:pt idx="9">
                  <c:v>410</c:v>
                </c:pt>
                <c:pt idx="10">
                  <c:v>554</c:v>
                </c:pt>
                <c:pt idx="11">
                  <c:v>394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8ACD-4E4E-9939-9E943A18B54F}"/>
            </c:ext>
          </c:extLst>
        </c:ser>
        <c:ser>
          <c:idx val="11"/>
          <c:order val="11"/>
          <c:tx>
            <c:strRef>
              <c:f>'27.09 Mukono-Seeta'!$AD$9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'27.09 Mukono-Seeta'!$AD$10:$AD$21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8ACD-4E4E-9939-9E943A18B5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3218304"/>
        <c:axId val="113219840"/>
      </c:lineChart>
      <c:catAx>
        <c:axId val="1132183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3219840"/>
        <c:crosses val="autoZero"/>
        <c:auto val="1"/>
        <c:lblAlgn val="ctr"/>
        <c:lblOffset val="100"/>
        <c:noMultiLvlLbl val="0"/>
      </c:catAx>
      <c:valAx>
        <c:axId val="113219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32183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B51-4D84-891B-06C3FCEF433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B51-4D84-891B-06C3FCEF433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B51-4D84-891B-06C3FCEF433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B51-4D84-891B-06C3FCEF433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B51-4D84-891B-06C3FCEF433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B51-4D84-891B-06C3FCEF433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B51-4D84-891B-06C3FCEF433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B51-4D84-891B-06C3FCEF433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B51-4D84-891B-06C3FCEF433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B51-4D84-891B-06C3FCEF433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B51-4D84-891B-06C3FCEF433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B51-4D84-891B-06C3FCEF4330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B51-4D84-891B-06C3FCEF433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'27.09 Mukono-Seeta'!$C$9:$N$9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'27.09 Mukono-Seeta'!$C$60:$N$60</c:f>
              <c:numCache>
                <c:formatCode>0.00%</c:formatCode>
                <c:ptCount val="12"/>
                <c:pt idx="0">
                  <c:v>0.20157722638969033</c:v>
                </c:pt>
                <c:pt idx="1">
                  <c:v>9.713406424312368E-2</c:v>
                </c:pt>
                <c:pt idx="2">
                  <c:v>6.5781881130986722E-2</c:v>
                </c:pt>
                <c:pt idx="3">
                  <c:v>0.32910175033660322</c:v>
                </c:pt>
                <c:pt idx="4">
                  <c:v>1.9234468166955183E-2</c:v>
                </c:pt>
                <c:pt idx="5">
                  <c:v>8.2708213117907298E-3</c:v>
                </c:pt>
                <c:pt idx="6">
                  <c:v>4.520100019234468E-2</c:v>
                </c:pt>
                <c:pt idx="7">
                  <c:v>4.4816310829005578E-2</c:v>
                </c:pt>
                <c:pt idx="8">
                  <c:v>4.3854587420657822E-2</c:v>
                </c:pt>
                <c:pt idx="9">
                  <c:v>0.14502788997884208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B51-4D84-891B-06C3FCEF43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'27.09 Seeta-Mukono'!$AE$9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'27.09 Seeta-Mukono'!$R$10:$R$21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'27.09 Seeta-Mukono'!$AE$10:$AE$21</c:f>
              <c:numCache>
                <c:formatCode>0</c:formatCode>
                <c:ptCount val="12"/>
                <c:pt idx="0">
                  <c:v>522</c:v>
                </c:pt>
                <c:pt idx="1">
                  <c:v>675</c:v>
                </c:pt>
                <c:pt idx="2">
                  <c:v>707</c:v>
                </c:pt>
                <c:pt idx="3">
                  <c:v>608</c:v>
                </c:pt>
                <c:pt idx="4">
                  <c:v>698</c:v>
                </c:pt>
                <c:pt idx="5">
                  <c:v>669</c:v>
                </c:pt>
                <c:pt idx="6">
                  <c:v>624</c:v>
                </c:pt>
                <c:pt idx="7">
                  <c:v>563</c:v>
                </c:pt>
                <c:pt idx="8">
                  <c:v>527</c:v>
                </c:pt>
                <c:pt idx="9">
                  <c:v>704</c:v>
                </c:pt>
                <c:pt idx="10">
                  <c:v>629</c:v>
                </c:pt>
                <c:pt idx="11">
                  <c:v>634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075F-4B1C-ADBE-1F130F2EA2AF}"/>
            </c:ext>
          </c:extLst>
        </c:ser>
        <c:ser>
          <c:idx val="1"/>
          <c:order val="1"/>
          <c:tx>
            <c:strRef>
              <c:f>'27.09 Seeta-Mukono'!$AF$9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'27.09 Seeta-Mukono'!$R$10:$R$21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'27.09 Seeta-Mukono'!$AF$10:$AF$21</c:f>
              <c:numCache>
                <c:formatCode>0</c:formatCode>
                <c:ptCount val="12"/>
                <c:pt idx="0">
                  <c:v>810</c:v>
                </c:pt>
                <c:pt idx="1">
                  <c:v>1176</c:v>
                </c:pt>
                <c:pt idx="2">
                  <c:v>1219</c:v>
                </c:pt>
                <c:pt idx="3">
                  <c:v>1134</c:v>
                </c:pt>
                <c:pt idx="4">
                  <c:v>1285</c:v>
                </c:pt>
                <c:pt idx="5">
                  <c:v>1223</c:v>
                </c:pt>
                <c:pt idx="6">
                  <c:v>810</c:v>
                </c:pt>
                <c:pt idx="7">
                  <c:v>851</c:v>
                </c:pt>
                <c:pt idx="8">
                  <c:v>825</c:v>
                </c:pt>
                <c:pt idx="9">
                  <c:v>1226</c:v>
                </c:pt>
                <c:pt idx="10">
                  <c:v>1134</c:v>
                </c:pt>
                <c:pt idx="11">
                  <c:v>1548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075F-4B1C-ADBE-1F130F2EA2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2530944"/>
        <c:axId val="112532480"/>
      </c:lineChart>
      <c:catAx>
        <c:axId val="11253094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2532480"/>
        <c:crosses val="autoZero"/>
        <c:auto val="1"/>
        <c:lblAlgn val="ctr"/>
        <c:lblOffset val="100"/>
        <c:noMultiLvlLbl val="0"/>
      </c:catAx>
      <c:valAx>
        <c:axId val="11253248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25309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08AD-4909-A10B-01002BE7517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08AD-4909-A10B-01002BE7517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08AD-4909-A10B-01002BE7517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08AD-4909-A10B-01002BE7517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08AD-4909-A10B-01002BE7517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08AD-4909-A10B-01002BE7517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08AD-4909-A10B-01002BE7517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08AD-4909-A10B-01002BE75174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08AD-4909-A10B-01002BE7517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08AD-4909-A10B-01002BE75174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08AD-4909-A10B-01002BE75174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08AD-4909-A10B-01002BE75174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08AD-4909-A10B-01002BE7517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'27.09 Seeta-Mukono'!$C$9:$N$9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'27.09 Seeta-Mukono'!$C$59:$N$59</c:f>
              <c:numCache>
                <c:formatCode>0.0%</c:formatCode>
                <c:ptCount val="12"/>
                <c:pt idx="0">
                  <c:v>0.19741711351106411</c:v>
                </c:pt>
                <c:pt idx="1">
                  <c:v>2.6735140850388944E-2</c:v>
                </c:pt>
                <c:pt idx="2">
                  <c:v>2.8698738765954232E-2</c:v>
                </c:pt>
                <c:pt idx="3">
                  <c:v>0.17611962842685597</c:v>
                </c:pt>
                <c:pt idx="4">
                  <c:v>7.8543916622611579E-3</c:v>
                </c:pt>
                <c:pt idx="5">
                  <c:v>1.5104599350502228E-3</c:v>
                </c:pt>
                <c:pt idx="6">
                  <c:v>5.1657729778717618E-2</c:v>
                </c:pt>
                <c:pt idx="7">
                  <c:v>1.7445812249830075E-2</c:v>
                </c:pt>
                <c:pt idx="8">
                  <c:v>1.1328449512876671E-2</c:v>
                </c:pt>
                <c:pt idx="9">
                  <c:v>5.2110867759232689E-2</c:v>
                </c:pt>
                <c:pt idx="10">
                  <c:v>0.42904614455101581</c:v>
                </c:pt>
                <c:pt idx="11">
                  <c:v>7.5522996752511135E-5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08AD-4909-A10B-01002BE751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A055-4F44-8CF8-8DE9CE39338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A055-4F44-8CF8-8DE9CE39338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A055-4F44-8CF8-8DE9CE39338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A055-4F44-8CF8-8DE9CE39338B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A055-4F44-8CF8-8DE9CE39338B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A055-4F44-8CF8-8DE9CE39338B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A055-4F44-8CF8-8DE9CE39338B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A055-4F44-8CF8-8DE9CE39338B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A055-4F44-8CF8-8DE9CE39338B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A055-4F44-8CF8-8DE9CE39338B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A055-4F44-8CF8-8DE9CE39338B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A055-4F44-8CF8-8DE9CE39338B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A055-4F44-8CF8-8DE9CE39338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'27.09 Seeta-Mukono'!$C$9:$N$9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'27.09 Seeta-Mukono'!$C$60:$N$60</c:f>
              <c:numCache>
                <c:formatCode>0.00%</c:formatCode>
                <c:ptCount val="12"/>
                <c:pt idx="0">
                  <c:v>0.34576719576719578</c:v>
                </c:pt>
                <c:pt idx="1">
                  <c:v>4.6825396825396826E-2</c:v>
                </c:pt>
                <c:pt idx="2">
                  <c:v>5.0264550264550262E-2</c:v>
                </c:pt>
                <c:pt idx="3">
                  <c:v>0.30846560846560844</c:v>
                </c:pt>
                <c:pt idx="4">
                  <c:v>1.3756613756613757E-2</c:v>
                </c:pt>
                <c:pt idx="5">
                  <c:v>2.6455026455026454E-3</c:v>
                </c:pt>
                <c:pt idx="6">
                  <c:v>9.0476190476190474E-2</c:v>
                </c:pt>
                <c:pt idx="7">
                  <c:v>3.0555555555555555E-2</c:v>
                </c:pt>
                <c:pt idx="8">
                  <c:v>1.984126984126984E-2</c:v>
                </c:pt>
                <c:pt idx="9">
                  <c:v>9.1269841269841265E-2</c:v>
                </c:pt>
                <c:pt idx="11">
                  <c:v>1.3227513227513228E-4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A055-4F44-8CF8-8DE9CE3933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'28.09 Seeta-Mukono-24h'!$AE$9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'28.09 Seeta-Mukono-24h'!$R$10:$R$33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'28.09 Seeta-Mukono-24h'!$AE$10:$AE$33</c:f>
              <c:numCache>
                <c:formatCode>0</c:formatCode>
                <c:ptCount val="24"/>
                <c:pt idx="0">
                  <c:v>523</c:v>
                </c:pt>
                <c:pt idx="1">
                  <c:v>697</c:v>
                </c:pt>
                <c:pt idx="2">
                  <c:v>708</c:v>
                </c:pt>
                <c:pt idx="3">
                  <c:v>744</c:v>
                </c:pt>
                <c:pt idx="4">
                  <c:v>771</c:v>
                </c:pt>
                <c:pt idx="5">
                  <c:v>737</c:v>
                </c:pt>
                <c:pt idx="6">
                  <c:v>556</c:v>
                </c:pt>
                <c:pt idx="7">
                  <c:v>601</c:v>
                </c:pt>
                <c:pt idx="8">
                  <c:v>645</c:v>
                </c:pt>
                <c:pt idx="9">
                  <c:v>641</c:v>
                </c:pt>
                <c:pt idx="10">
                  <c:v>653</c:v>
                </c:pt>
                <c:pt idx="11">
                  <c:v>601</c:v>
                </c:pt>
                <c:pt idx="12">
                  <c:v>518</c:v>
                </c:pt>
                <c:pt idx="13">
                  <c:v>498</c:v>
                </c:pt>
                <c:pt idx="14">
                  <c:v>547</c:v>
                </c:pt>
                <c:pt idx="15">
                  <c:v>525</c:v>
                </c:pt>
                <c:pt idx="16">
                  <c:v>537</c:v>
                </c:pt>
                <c:pt idx="17">
                  <c:v>293</c:v>
                </c:pt>
                <c:pt idx="18">
                  <c:v>176</c:v>
                </c:pt>
                <c:pt idx="19">
                  <c:v>108</c:v>
                </c:pt>
                <c:pt idx="20">
                  <c:v>85</c:v>
                </c:pt>
                <c:pt idx="21">
                  <c:v>120</c:v>
                </c:pt>
                <c:pt idx="22">
                  <c:v>169</c:v>
                </c:pt>
                <c:pt idx="23">
                  <c:v>295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B9B-4793-84FD-99A5405B7AD3}"/>
            </c:ext>
          </c:extLst>
        </c:ser>
        <c:ser>
          <c:idx val="1"/>
          <c:order val="1"/>
          <c:tx>
            <c:strRef>
              <c:f>'28.09 Seeta-Mukono-24h'!$AF$9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'28.09 Seeta-Mukono-24h'!$R$10:$R$33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'28.09 Seeta-Mukono-24h'!$AF$10:$AF$33</c:f>
              <c:numCache>
                <c:formatCode>0</c:formatCode>
                <c:ptCount val="24"/>
                <c:pt idx="0">
                  <c:v>747</c:v>
                </c:pt>
                <c:pt idx="1">
                  <c:v>1121</c:v>
                </c:pt>
                <c:pt idx="2">
                  <c:v>1265</c:v>
                </c:pt>
                <c:pt idx="3">
                  <c:v>1276</c:v>
                </c:pt>
                <c:pt idx="4">
                  <c:v>1319</c:v>
                </c:pt>
                <c:pt idx="5">
                  <c:v>1399</c:v>
                </c:pt>
                <c:pt idx="6">
                  <c:v>1011</c:v>
                </c:pt>
                <c:pt idx="7">
                  <c:v>1076</c:v>
                </c:pt>
                <c:pt idx="8">
                  <c:v>1157</c:v>
                </c:pt>
                <c:pt idx="9">
                  <c:v>992</c:v>
                </c:pt>
                <c:pt idx="10">
                  <c:v>1000</c:v>
                </c:pt>
                <c:pt idx="11">
                  <c:v>1153</c:v>
                </c:pt>
                <c:pt idx="12">
                  <c:v>1239</c:v>
                </c:pt>
                <c:pt idx="13">
                  <c:v>1148</c:v>
                </c:pt>
                <c:pt idx="14">
                  <c:v>1011</c:v>
                </c:pt>
                <c:pt idx="15">
                  <c:v>856</c:v>
                </c:pt>
                <c:pt idx="16">
                  <c:v>747</c:v>
                </c:pt>
                <c:pt idx="17">
                  <c:v>421</c:v>
                </c:pt>
                <c:pt idx="18">
                  <c:v>252</c:v>
                </c:pt>
                <c:pt idx="19">
                  <c:v>155</c:v>
                </c:pt>
                <c:pt idx="20">
                  <c:v>122</c:v>
                </c:pt>
                <c:pt idx="21">
                  <c:v>161</c:v>
                </c:pt>
                <c:pt idx="22">
                  <c:v>205</c:v>
                </c:pt>
                <c:pt idx="23">
                  <c:v>388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B9B-4793-84FD-99A5405B7A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4410240"/>
        <c:axId val="114411776"/>
      </c:lineChart>
      <c:catAx>
        <c:axId val="11441024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4411776"/>
        <c:crosses val="autoZero"/>
        <c:auto val="1"/>
        <c:lblAlgn val="ctr"/>
        <c:lblOffset val="100"/>
        <c:noMultiLvlLbl val="0"/>
      </c:catAx>
      <c:valAx>
        <c:axId val="11441177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4410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C19-40B6-88F6-F149CBCFBC0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C19-40B6-88F6-F149CBCFBC0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C19-40B6-88F6-F149CBCFBC0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C19-40B6-88F6-F149CBCFBC0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C19-40B6-88F6-F149CBCFBC0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C19-40B6-88F6-F149CBCFBC0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C19-40B6-88F6-F149CBCFBC0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C19-40B6-88F6-F149CBCFBC0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C19-40B6-88F6-F149CBCFBC0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C19-40B6-88F6-F149CBCFBC0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C19-40B6-88F6-F149CBCFBC0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C19-40B6-88F6-F149CBCFBC0F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C19-40B6-88F6-F149CBCFBC0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'28.09 Seeta-Mukono-24h'!$C$9:$N$9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'28.09 Seeta-Mukono-24h'!$C$107:$N$107</c:f>
              <c:numCache>
                <c:formatCode>0.0%</c:formatCode>
                <c:ptCount val="12"/>
                <c:pt idx="0">
                  <c:v>0.21091934127886849</c:v>
                </c:pt>
                <c:pt idx="1">
                  <c:v>3.9513377182137384E-2</c:v>
                </c:pt>
                <c:pt idx="2">
                  <c:v>2.9968844270807576E-2</c:v>
                </c:pt>
                <c:pt idx="3">
                  <c:v>0.16111962810939123</c:v>
                </c:pt>
                <c:pt idx="4">
                  <c:v>1.1572127985757382E-2</c:v>
                </c:pt>
                <c:pt idx="5">
                  <c:v>5.3904356856733096E-3</c:v>
                </c:pt>
                <c:pt idx="6">
                  <c:v>4.2975124870184463E-2</c:v>
                </c:pt>
                <c:pt idx="7">
                  <c:v>2.1166114435487861E-2</c:v>
                </c:pt>
                <c:pt idx="8">
                  <c:v>1.2857919984174867E-2</c:v>
                </c:pt>
                <c:pt idx="9">
                  <c:v>4.5348894713416743E-2</c:v>
                </c:pt>
                <c:pt idx="10">
                  <c:v>0.41901983086889866</c:v>
                </c:pt>
                <c:pt idx="11">
                  <c:v>1.4836061520201772E-4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C19-40B6-88F6-F149CBCFBC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6F34-448D-935B-A3D0702D351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6F34-448D-935B-A3D0702D351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6F34-448D-935B-A3D0702D351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6F34-448D-935B-A3D0702D351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6F34-448D-935B-A3D0702D3518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6F34-448D-935B-A3D0702D351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6F34-448D-935B-A3D0702D3518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6F34-448D-935B-A3D0702D3518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6F34-448D-935B-A3D0702D3518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6F34-448D-935B-A3D0702D3518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6F34-448D-935B-A3D0702D3518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6F34-448D-935B-A3D0702D3518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6F34-448D-935B-A3D0702D351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'28.09 Seeta-Mukono-24h'!$C$9:$N$9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'28.09 Seeta-Mukono-24h'!$C$108:$N$108</c:f>
              <c:numCache>
                <c:formatCode>0.00%</c:formatCode>
                <c:ptCount val="12"/>
                <c:pt idx="0">
                  <c:v>0.36304051753489958</c:v>
                </c:pt>
                <c:pt idx="1">
                  <c:v>6.8011576438542734E-2</c:v>
                </c:pt>
                <c:pt idx="2">
                  <c:v>5.1583248212461692E-2</c:v>
                </c:pt>
                <c:pt idx="3">
                  <c:v>0.27732379979570992</c:v>
                </c:pt>
                <c:pt idx="4">
                  <c:v>1.9918283963227784E-2</c:v>
                </c:pt>
                <c:pt idx="5">
                  <c:v>9.2781750085120865E-3</c:v>
                </c:pt>
                <c:pt idx="6">
                  <c:v>7.3970037453183521E-2</c:v>
                </c:pt>
                <c:pt idx="7">
                  <c:v>3.6431733060946547E-2</c:v>
                </c:pt>
                <c:pt idx="8">
                  <c:v>2.2131426625808647E-2</c:v>
                </c:pt>
                <c:pt idx="9">
                  <c:v>7.8055839291794354E-2</c:v>
                </c:pt>
                <c:pt idx="11">
                  <c:v>2.5536261491317672E-4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6F34-448D-935B-A3D0702D35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'28.09 Mukono-Seeta-24h'!$AE$9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'28.09 Mukono-Seeta-24h'!$R$10:$R$33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'28.09 Mukono-Seeta-24h'!$AE$10:$AE$33</c:f>
              <c:numCache>
                <c:formatCode>0</c:formatCode>
                <c:ptCount val="24"/>
                <c:pt idx="0">
                  <c:v>340</c:v>
                </c:pt>
                <c:pt idx="1">
                  <c:v>495</c:v>
                </c:pt>
                <c:pt idx="2">
                  <c:v>475</c:v>
                </c:pt>
                <c:pt idx="3">
                  <c:v>394</c:v>
                </c:pt>
                <c:pt idx="4">
                  <c:v>464</c:v>
                </c:pt>
                <c:pt idx="5">
                  <c:v>418</c:v>
                </c:pt>
                <c:pt idx="6">
                  <c:v>511</c:v>
                </c:pt>
                <c:pt idx="7">
                  <c:v>480</c:v>
                </c:pt>
                <c:pt idx="8">
                  <c:v>389</c:v>
                </c:pt>
                <c:pt idx="9">
                  <c:v>487</c:v>
                </c:pt>
                <c:pt idx="10">
                  <c:v>462</c:v>
                </c:pt>
                <c:pt idx="11">
                  <c:v>542</c:v>
                </c:pt>
                <c:pt idx="12">
                  <c:v>398</c:v>
                </c:pt>
                <c:pt idx="13">
                  <c:v>475</c:v>
                </c:pt>
                <c:pt idx="14">
                  <c:v>529</c:v>
                </c:pt>
                <c:pt idx="15">
                  <c:v>529</c:v>
                </c:pt>
                <c:pt idx="16">
                  <c:v>379</c:v>
                </c:pt>
                <c:pt idx="17">
                  <c:v>253</c:v>
                </c:pt>
                <c:pt idx="18">
                  <c:v>148</c:v>
                </c:pt>
                <c:pt idx="19">
                  <c:v>133</c:v>
                </c:pt>
                <c:pt idx="20">
                  <c:v>115</c:v>
                </c:pt>
                <c:pt idx="21">
                  <c:v>121</c:v>
                </c:pt>
                <c:pt idx="22">
                  <c:v>215</c:v>
                </c:pt>
                <c:pt idx="23">
                  <c:v>353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3B5-43D7-8A8D-1950D8303871}"/>
            </c:ext>
          </c:extLst>
        </c:ser>
        <c:ser>
          <c:idx val="1"/>
          <c:order val="1"/>
          <c:tx>
            <c:strRef>
              <c:f>'28.09 Mukono-Seeta-24h'!$AF$9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'28.09 Mukono-Seeta-24h'!$R$10:$R$33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'28.09 Mukono-Seeta-24h'!$AF$10:$AF$33</c:f>
              <c:numCache>
                <c:formatCode>0</c:formatCode>
                <c:ptCount val="24"/>
                <c:pt idx="0">
                  <c:v>642</c:v>
                </c:pt>
                <c:pt idx="1">
                  <c:v>1098</c:v>
                </c:pt>
                <c:pt idx="2">
                  <c:v>1064</c:v>
                </c:pt>
                <c:pt idx="3">
                  <c:v>961</c:v>
                </c:pt>
                <c:pt idx="4">
                  <c:v>1172</c:v>
                </c:pt>
                <c:pt idx="5">
                  <c:v>918</c:v>
                </c:pt>
                <c:pt idx="6">
                  <c:v>962</c:v>
                </c:pt>
                <c:pt idx="7">
                  <c:v>906</c:v>
                </c:pt>
                <c:pt idx="8">
                  <c:v>781</c:v>
                </c:pt>
                <c:pt idx="9">
                  <c:v>930</c:v>
                </c:pt>
                <c:pt idx="10">
                  <c:v>890</c:v>
                </c:pt>
                <c:pt idx="11">
                  <c:v>1039</c:v>
                </c:pt>
                <c:pt idx="12">
                  <c:v>723</c:v>
                </c:pt>
                <c:pt idx="13">
                  <c:v>881</c:v>
                </c:pt>
                <c:pt idx="14">
                  <c:v>737</c:v>
                </c:pt>
                <c:pt idx="15">
                  <c:v>658</c:v>
                </c:pt>
                <c:pt idx="16">
                  <c:v>461</c:v>
                </c:pt>
                <c:pt idx="17">
                  <c:v>296</c:v>
                </c:pt>
                <c:pt idx="18">
                  <c:v>196</c:v>
                </c:pt>
                <c:pt idx="19">
                  <c:v>166</c:v>
                </c:pt>
                <c:pt idx="20">
                  <c:v>144</c:v>
                </c:pt>
                <c:pt idx="21">
                  <c:v>154</c:v>
                </c:pt>
                <c:pt idx="22">
                  <c:v>249</c:v>
                </c:pt>
                <c:pt idx="23">
                  <c:v>501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3B5-43D7-8A8D-1950D83038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5866240"/>
        <c:axId val="115888512"/>
      </c:lineChart>
      <c:catAx>
        <c:axId val="11586624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5888512"/>
        <c:crosses val="autoZero"/>
        <c:auto val="1"/>
        <c:lblAlgn val="ctr"/>
        <c:lblOffset val="100"/>
        <c:noMultiLvlLbl val="0"/>
      </c:catAx>
      <c:valAx>
        <c:axId val="11588851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5866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CC2-41FB-AB6C-D0315A687D3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CC2-41FB-AB6C-D0315A687D3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CC2-41FB-AB6C-D0315A687D3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CC2-41FB-AB6C-D0315A687D3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CC2-41FB-AB6C-D0315A687D3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CC2-41FB-AB6C-D0315A687D3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CC2-41FB-AB6C-D0315A687D3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CC2-41FB-AB6C-D0315A687D3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CC2-41FB-AB6C-D0315A687D35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CC2-41FB-AB6C-D0315A687D3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CC2-41FB-AB6C-D0315A687D35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CC2-41FB-AB6C-D0315A687D35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CC2-41FB-AB6C-D0315A687D3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'28.09 Mukono-Seeta-24h'!$C$9:$N$9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'28.09 Mukono-Seeta-24h'!$C$107:$N$107</c:f>
              <c:numCache>
                <c:formatCode>0.0%</c:formatCode>
                <c:ptCount val="12"/>
                <c:pt idx="0">
                  <c:v>0.11966846149192328</c:v>
                </c:pt>
                <c:pt idx="1">
                  <c:v>6.9090689091899082E-2</c:v>
                </c:pt>
                <c:pt idx="2">
                  <c:v>3.0915360880876035E-2</c:v>
                </c:pt>
                <c:pt idx="3">
                  <c:v>0.18966664650009074</c:v>
                </c:pt>
                <c:pt idx="4">
                  <c:v>1.0889950995220521E-2</c:v>
                </c:pt>
                <c:pt idx="5">
                  <c:v>3.9324823038296326E-3</c:v>
                </c:pt>
                <c:pt idx="6">
                  <c:v>2.789037449331478E-2</c:v>
                </c:pt>
                <c:pt idx="7">
                  <c:v>2.4260390828241274E-2</c:v>
                </c:pt>
                <c:pt idx="8">
                  <c:v>1.4277935749289128E-2</c:v>
                </c:pt>
                <c:pt idx="9">
                  <c:v>6.0257728840220216E-2</c:v>
                </c:pt>
                <c:pt idx="10">
                  <c:v>0.44914997882509528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CC2-41FB-AB6C-D0315A687D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77A-4202-BB82-6DE350EE311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77A-4202-BB82-6DE350EE311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77A-4202-BB82-6DE350EE311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77A-4202-BB82-6DE350EE311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77A-4202-BB82-6DE350EE311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77A-4202-BB82-6DE350EE311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77A-4202-BB82-6DE350EE311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77A-4202-BB82-6DE350EE311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77A-4202-BB82-6DE350EE311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77A-4202-BB82-6DE350EE311C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77A-4202-BB82-6DE350EE311C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77A-4202-BB82-6DE350EE311C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77A-4202-BB82-6DE350EE311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'28.09 Mukono-Seeta-24h'!$C$9:$N$9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'28.09 Mukono-Seeta-24h'!$C$108:$N$108</c:f>
              <c:numCache>
                <c:formatCode>0.00%</c:formatCode>
                <c:ptCount val="12"/>
                <c:pt idx="0">
                  <c:v>0.21724327292696322</c:v>
                </c:pt>
                <c:pt idx="1">
                  <c:v>0.12542559033498077</c:v>
                </c:pt>
                <c:pt idx="2">
                  <c:v>5.6123009335529932E-2</c:v>
                </c:pt>
                <c:pt idx="3">
                  <c:v>0.3443163097199341</c:v>
                </c:pt>
                <c:pt idx="4">
                  <c:v>1.9769357495881382E-2</c:v>
                </c:pt>
                <c:pt idx="5">
                  <c:v>7.1389346512904994E-3</c:v>
                </c:pt>
                <c:pt idx="6">
                  <c:v>5.0631521142229546E-2</c:v>
                </c:pt>
                <c:pt idx="7">
                  <c:v>4.404173531026908E-2</c:v>
                </c:pt>
                <c:pt idx="8">
                  <c:v>2.5919824272377816E-2</c:v>
                </c:pt>
                <c:pt idx="9">
                  <c:v>0.10939044481054366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77A-4202-BB82-6DE350EE31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'29.09 Seeta-Mukono'!$AE$9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'29.09 Seeta-Mukono'!$R$10:$R$21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'29.09 Seeta-Mukono'!$AE$10:$AE$21</c:f>
              <c:numCache>
                <c:formatCode>0</c:formatCode>
                <c:ptCount val="12"/>
                <c:pt idx="0">
                  <c:v>339</c:v>
                </c:pt>
                <c:pt idx="1">
                  <c:v>717</c:v>
                </c:pt>
                <c:pt idx="2">
                  <c:v>703</c:v>
                </c:pt>
                <c:pt idx="3">
                  <c:v>772</c:v>
                </c:pt>
                <c:pt idx="4">
                  <c:v>652</c:v>
                </c:pt>
                <c:pt idx="5">
                  <c:v>431</c:v>
                </c:pt>
                <c:pt idx="6">
                  <c:v>648</c:v>
                </c:pt>
                <c:pt idx="7">
                  <c:v>823</c:v>
                </c:pt>
                <c:pt idx="8">
                  <c:v>560</c:v>
                </c:pt>
                <c:pt idx="9">
                  <c:v>600</c:v>
                </c:pt>
                <c:pt idx="10">
                  <c:v>599</c:v>
                </c:pt>
                <c:pt idx="11">
                  <c:v>606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5C8-45AB-8CEF-A7108B6754B8}"/>
            </c:ext>
          </c:extLst>
        </c:ser>
        <c:ser>
          <c:idx val="1"/>
          <c:order val="1"/>
          <c:tx>
            <c:strRef>
              <c:f>'29.09 Seeta-Mukono'!$AF$9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'29.09 Seeta-Mukono'!$R$10:$R$21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'29.09 Seeta-Mukono'!$AF$10:$AF$21</c:f>
              <c:numCache>
                <c:formatCode>0</c:formatCode>
                <c:ptCount val="12"/>
                <c:pt idx="0">
                  <c:v>471</c:v>
                </c:pt>
                <c:pt idx="1">
                  <c:v>960</c:v>
                </c:pt>
                <c:pt idx="2">
                  <c:v>1116</c:v>
                </c:pt>
                <c:pt idx="3">
                  <c:v>1220</c:v>
                </c:pt>
                <c:pt idx="4">
                  <c:v>991</c:v>
                </c:pt>
                <c:pt idx="5">
                  <c:v>586</c:v>
                </c:pt>
                <c:pt idx="6">
                  <c:v>1003</c:v>
                </c:pt>
                <c:pt idx="7">
                  <c:v>1230</c:v>
                </c:pt>
                <c:pt idx="8">
                  <c:v>870</c:v>
                </c:pt>
                <c:pt idx="9">
                  <c:v>943</c:v>
                </c:pt>
                <c:pt idx="10">
                  <c:v>1012</c:v>
                </c:pt>
                <c:pt idx="11">
                  <c:v>1084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15C8-45AB-8CEF-A7108B6754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6314112"/>
        <c:axId val="116315648"/>
      </c:lineChart>
      <c:catAx>
        <c:axId val="11631411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6315648"/>
        <c:crosses val="autoZero"/>
        <c:auto val="1"/>
        <c:lblAlgn val="ctr"/>
        <c:lblOffset val="100"/>
        <c:noMultiLvlLbl val="0"/>
      </c:catAx>
      <c:valAx>
        <c:axId val="11631564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6314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085-4D7B-92D4-0FE0B8706BF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085-4D7B-92D4-0FE0B8706BF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085-4D7B-92D4-0FE0B8706BF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085-4D7B-92D4-0FE0B8706BF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085-4D7B-92D4-0FE0B8706BF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085-4D7B-92D4-0FE0B8706BF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085-4D7B-92D4-0FE0B8706BF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085-4D7B-92D4-0FE0B8706BF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085-4D7B-92D4-0FE0B8706BF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085-4D7B-92D4-0FE0B8706BF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085-4D7B-92D4-0FE0B8706BF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085-4D7B-92D4-0FE0B8706BF0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085-4D7B-92D4-0FE0B8706BF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'29.09 Seeta-Mukono'!$C$9:$N$9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'29.09 Seeta-Mukono'!$C$59:$N$59</c:f>
              <c:numCache>
                <c:formatCode>0.0%</c:formatCode>
                <c:ptCount val="12"/>
                <c:pt idx="0">
                  <c:v>0.26240640780080099</c:v>
                </c:pt>
                <c:pt idx="1">
                  <c:v>3.2387254048406755E-2</c:v>
                </c:pt>
                <c:pt idx="2">
                  <c:v>3.2387254048406755E-2</c:v>
                </c:pt>
                <c:pt idx="3">
                  <c:v>0.19954727494340938</c:v>
                </c:pt>
                <c:pt idx="4">
                  <c:v>1.3494689186836148E-2</c:v>
                </c:pt>
                <c:pt idx="5">
                  <c:v>4.3531255441406928E-3</c:v>
                </c:pt>
                <c:pt idx="6">
                  <c:v>4.8842068605258575E-2</c:v>
                </c:pt>
                <c:pt idx="7">
                  <c:v>1.1666376458297057E-2</c:v>
                </c:pt>
                <c:pt idx="8">
                  <c:v>7.6615009576876201E-3</c:v>
                </c:pt>
                <c:pt idx="9">
                  <c:v>2.7947065993383251E-2</c:v>
                </c:pt>
                <c:pt idx="10">
                  <c:v>0.35138429392303672</c:v>
                </c:pt>
                <c:pt idx="11">
                  <c:v>7.9226884903360606E-3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085-4D7B-92D4-0FE0B8706B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'29.09 Seeta-Mukono'!$S$9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'29.09 Seeta-Mukono'!$R$10:$R$21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'29.09 Seeta-Mukono'!$S$10:$S$21</c:f>
              <c:numCache>
                <c:formatCode>0</c:formatCode>
                <c:ptCount val="12"/>
                <c:pt idx="0">
                  <c:v>175</c:v>
                </c:pt>
                <c:pt idx="1">
                  <c:v>261</c:v>
                </c:pt>
                <c:pt idx="2">
                  <c:v>272</c:v>
                </c:pt>
                <c:pt idx="3">
                  <c:v>374</c:v>
                </c:pt>
                <c:pt idx="4">
                  <c:v>283</c:v>
                </c:pt>
                <c:pt idx="5">
                  <c:v>162</c:v>
                </c:pt>
                <c:pt idx="6">
                  <c:v>271</c:v>
                </c:pt>
                <c:pt idx="7">
                  <c:v>322</c:v>
                </c:pt>
                <c:pt idx="8">
                  <c:v>230</c:v>
                </c:pt>
                <c:pt idx="9">
                  <c:v>248</c:v>
                </c:pt>
                <c:pt idx="10">
                  <c:v>205</c:v>
                </c:pt>
                <c:pt idx="11">
                  <c:v>211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28B-46B4-90C5-4BE58AC1B7CD}"/>
            </c:ext>
          </c:extLst>
        </c:ser>
        <c:ser>
          <c:idx val="1"/>
          <c:order val="1"/>
          <c:tx>
            <c:strRef>
              <c:f>'29.09 Seeta-Mukono'!$T$9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'29.09 Seeta-Mukono'!$R$10:$R$21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'29.09 Seeta-Mukono'!$T$10:$T$21</c:f>
              <c:numCache>
                <c:formatCode>0</c:formatCode>
                <c:ptCount val="12"/>
                <c:pt idx="0">
                  <c:v>13</c:v>
                </c:pt>
                <c:pt idx="1">
                  <c:v>35</c:v>
                </c:pt>
                <c:pt idx="2">
                  <c:v>29</c:v>
                </c:pt>
                <c:pt idx="3">
                  <c:v>36</c:v>
                </c:pt>
                <c:pt idx="4">
                  <c:v>31</c:v>
                </c:pt>
                <c:pt idx="5">
                  <c:v>16</c:v>
                </c:pt>
                <c:pt idx="6">
                  <c:v>29</c:v>
                </c:pt>
                <c:pt idx="7">
                  <c:v>39</c:v>
                </c:pt>
                <c:pt idx="8">
                  <c:v>25</c:v>
                </c:pt>
                <c:pt idx="9">
                  <c:v>21</c:v>
                </c:pt>
                <c:pt idx="10">
                  <c:v>35</c:v>
                </c:pt>
                <c:pt idx="11">
                  <c:v>63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28B-46B4-90C5-4BE58AC1B7CD}"/>
            </c:ext>
          </c:extLst>
        </c:ser>
        <c:ser>
          <c:idx val="2"/>
          <c:order val="2"/>
          <c:tx>
            <c:strRef>
              <c:f>'29.09 Seeta-Mukono'!$U$9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'29.09 Seeta-Mukono'!$U$10:$U$21</c:f>
              <c:numCache>
                <c:formatCode>0</c:formatCode>
                <c:ptCount val="12"/>
                <c:pt idx="0">
                  <c:v>11</c:v>
                </c:pt>
                <c:pt idx="1">
                  <c:v>34</c:v>
                </c:pt>
                <c:pt idx="2">
                  <c:v>27</c:v>
                </c:pt>
                <c:pt idx="3">
                  <c:v>34</c:v>
                </c:pt>
                <c:pt idx="4">
                  <c:v>30</c:v>
                </c:pt>
                <c:pt idx="5">
                  <c:v>19</c:v>
                </c:pt>
                <c:pt idx="6">
                  <c:v>25</c:v>
                </c:pt>
                <c:pt idx="7">
                  <c:v>84</c:v>
                </c:pt>
                <c:pt idx="8">
                  <c:v>33</c:v>
                </c:pt>
                <c:pt idx="9">
                  <c:v>23</c:v>
                </c:pt>
                <c:pt idx="10">
                  <c:v>31</c:v>
                </c:pt>
                <c:pt idx="11">
                  <c:v>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28B-46B4-90C5-4BE58AC1B7CD}"/>
            </c:ext>
          </c:extLst>
        </c:ser>
        <c:ser>
          <c:idx val="3"/>
          <c:order val="3"/>
          <c:tx>
            <c:strRef>
              <c:f>'29.09 Seeta-Mukono'!$V$9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'29.09 Seeta-Mukono'!$V$10:$V$21</c:f>
              <c:numCache>
                <c:formatCode>0</c:formatCode>
                <c:ptCount val="12"/>
                <c:pt idx="0">
                  <c:v>93</c:v>
                </c:pt>
                <c:pt idx="1">
                  <c:v>194</c:v>
                </c:pt>
                <c:pt idx="2">
                  <c:v>191</c:v>
                </c:pt>
                <c:pt idx="3">
                  <c:v>217</c:v>
                </c:pt>
                <c:pt idx="4">
                  <c:v>214</c:v>
                </c:pt>
                <c:pt idx="5">
                  <c:v>161</c:v>
                </c:pt>
                <c:pt idx="6">
                  <c:v>211</c:v>
                </c:pt>
                <c:pt idx="7">
                  <c:v>232</c:v>
                </c:pt>
                <c:pt idx="8">
                  <c:v>186</c:v>
                </c:pt>
                <c:pt idx="9">
                  <c:v>211</c:v>
                </c:pt>
                <c:pt idx="10">
                  <c:v>209</c:v>
                </c:pt>
                <c:pt idx="11">
                  <c:v>173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28B-46B4-90C5-4BE58AC1B7CD}"/>
            </c:ext>
          </c:extLst>
        </c:ser>
        <c:ser>
          <c:idx val="4"/>
          <c:order val="4"/>
          <c:tx>
            <c:strRef>
              <c:f>'29.09 Seeta-Mukono'!$W$9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'29.09 Seeta-Mukono'!$W$10:$W$21</c:f>
              <c:numCache>
                <c:formatCode>0</c:formatCode>
                <c:ptCount val="12"/>
                <c:pt idx="0">
                  <c:v>10</c:v>
                </c:pt>
                <c:pt idx="1">
                  <c:v>8</c:v>
                </c:pt>
                <c:pt idx="2">
                  <c:v>10</c:v>
                </c:pt>
                <c:pt idx="3">
                  <c:v>12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11</c:v>
                </c:pt>
                <c:pt idx="8">
                  <c:v>10</c:v>
                </c:pt>
                <c:pt idx="9">
                  <c:v>10</c:v>
                </c:pt>
                <c:pt idx="10">
                  <c:v>11</c:v>
                </c:pt>
                <c:pt idx="11">
                  <c:v>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28B-46B4-90C5-4BE58AC1B7CD}"/>
            </c:ext>
          </c:extLst>
        </c:ser>
        <c:ser>
          <c:idx val="5"/>
          <c:order val="5"/>
          <c:tx>
            <c:strRef>
              <c:f>'29.09 Seeta-Mukono'!$X$9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'29.09 Seeta-Mukono'!$X$10:$X$21</c:f>
              <c:numCache>
                <c:formatCode>0</c:formatCode>
                <c:ptCount val="12"/>
                <c:pt idx="0">
                  <c:v>3</c:v>
                </c:pt>
                <c:pt idx="1">
                  <c:v>2</c:v>
                </c:pt>
                <c:pt idx="2">
                  <c:v>2</c:v>
                </c:pt>
                <c:pt idx="3">
                  <c:v>15</c:v>
                </c:pt>
                <c:pt idx="4">
                  <c:v>0</c:v>
                </c:pt>
                <c:pt idx="5">
                  <c:v>5</c:v>
                </c:pt>
                <c:pt idx="6">
                  <c:v>1</c:v>
                </c:pt>
                <c:pt idx="7">
                  <c:v>1</c:v>
                </c:pt>
                <c:pt idx="8">
                  <c:v>3</c:v>
                </c:pt>
                <c:pt idx="9">
                  <c:v>3</c:v>
                </c:pt>
                <c:pt idx="10">
                  <c:v>4</c:v>
                </c:pt>
                <c:pt idx="11">
                  <c:v>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28B-46B4-90C5-4BE58AC1B7CD}"/>
            </c:ext>
          </c:extLst>
        </c:ser>
        <c:ser>
          <c:idx val="6"/>
          <c:order val="6"/>
          <c:tx>
            <c:strRef>
              <c:f>'29.09 Seeta-Mukono'!$Y$9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'29.09 Seeta-Mukono'!$Y$10:$Y$21</c:f>
              <c:numCache>
                <c:formatCode>0</c:formatCode>
                <c:ptCount val="12"/>
                <c:pt idx="0">
                  <c:v>13</c:v>
                </c:pt>
                <c:pt idx="1">
                  <c:v>52</c:v>
                </c:pt>
                <c:pt idx="2">
                  <c:v>136</c:v>
                </c:pt>
                <c:pt idx="3">
                  <c:v>33</c:v>
                </c:pt>
                <c:pt idx="4">
                  <c:v>44</c:v>
                </c:pt>
                <c:pt idx="5">
                  <c:v>30</c:v>
                </c:pt>
                <c:pt idx="6">
                  <c:v>42</c:v>
                </c:pt>
                <c:pt idx="7">
                  <c:v>68</c:v>
                </c:pt>
                <c:pt idx="8">
                  <c:v>27</c:v>
                </c:pt>
                <c:pt idx="9">
                  <c:v>39</c:v>
                </c:pt>
                <c:pt idx="10">
                  <c:v>50</c:v>
                </c:pt>
                <c:pt idx="11">
                  <c:v>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28B-46B4-90C5-4BE58AC1B7CD}"/>
            </c:ext>
          </c:extLst>
        </c:ser>
        <c:ser>
          <c:idx val="7"/>
          <c:order val="7"/>
          <c:tx>
            <c:strRef>
              <c:f>'29.09 Seeta-Mukono'!$Z$9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'29.09 Seeta-Mukono'!$Z$10:$Z$21</c:f>
              <c:numCache>
                <c:formatCode>0</c:formatCode>
                <c:ptCount val="12"/>
                <c:pt idx="0">
                  <c:v>5</c:v>
                </c:pt>
                <c:pt idx="1">
                  <c:v>13</c:v>
                </c:pt>
                <c:pt idx="2">
                  <c:v>13</c:v>
                </c:pt>
                <c:pt idx="3">
                  <c:v>14</c:v>
                </c:pt>
                <c:pt idx="4">
                  <c:v>11</c:v>
                </c:pt>
                <c:pt idx="5">
                  <c:v>9</c:v>
                </c:pt>
                <c:pt idx="6">
                  <c:v>15</c:v>
                </c:pt>
                <c:pt idx="7">
                  <c:v>8</c:v>
                </c:pt>
                <c:pt idx="8">
                  <c:v>19</c:v>
                </c:pt>
                <c:pt idx="9">
                  <c:v>5</c:v>
                </c:pt>
                <c:pt idx="10">
                  <c:v>6</c:v>
                </c:pt>
                <c:pt idx="11">
                  <c:v>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28B-46B4-90C5-4BE58AC1B7CD}"/>
            </c:ext>
          </c:extLst>
        </c:ser>
        <c:ser>
          <c:idx val="8"/>
          <c:order val="8"/>
          <c:tx>
            <c:strRef>
              <c:f>'29.09 Seeta-Mukono'!$AA$9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'29.09 Seeta-Mukono'!$AA$10:$AA$21</c:f>
              <c:numCache>
                <c:formatCode>0</c:formatCode>
                <c:ptCount val="12"/>
                <c:pt idx="0">
                  <c:v>3</c:v>
                </c:pt>
                <c:pt idx="1">
                  <c:v>9</c:v>
                </c:pt>
                <c:pt idx="2">
                  <c:v>1</c:v>
                </c:pt>
                <c:pt idx="3">
                  <c:v>11</c:v>
                </c:pt>
                <c:pt idx="4">
                  <c:v>14</c:v>
                </c:pt>
                <c:pt idx="5">
                  <c:v>10</c:v>
                </c:pt>
                <c:pt idx="6">
                  <c:v>3</c:v>
                </c:pt>
                <c:pt idx="7">
                  <c:v>5</c:v>
                </c:pt>
                <c:pt idx="8">
                  <c:v>6</c:v>
                </c:pt>
                <c:pt idx="9">
                  <c:v>6</c:v>
                </c:pt>
                <c:pt idx="10">
                  <c:v>14</c:v>
                </c:pt>
                <c:pt idx="11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28B-46B4-90C5-4BE58AC1B7CD}"/>
            </c:ext>
          </c:extLst>
        </c:ser>
        <c:ser>
          <c:idx val="9"/>
          <c:order val="9"/>
          <c:tx>
            <c:strRef>
              <c:f>'29.09 Seeta-Mukono'!$AB$9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'29.09 Seeta-Mukono'!$AB$10:$AB$21</c:f>
              <c:numCache>
                <c:formatCode>0</c:formatCode>
                <c:ptCount val="12"/>
                <c:pt idx="0">
                  <c:v>13</c:v>
                </c:pt>
                <c:pt idx="1">
                  <c:v>19</c:v>
                </c:pt>
                <c:pt idx="2">
                  <c:v>22</c:v>
                </c:pt>
                <c:pt idx="3">
                  <c:v>26</c:v>
                </c:pt>
                <c:pt idx="4">
                  <c:v>20</c:v>
                </c:pt>
                <c:pt idx="5">
                  <c:v>13</c:v>
                </c:pt>
                <c:pt idx="6">
                  <c:v>44</c:v>
                </c:pt>
                <c:pt idx="7">
                  <c:v>53</c:v>
                </c:pt>
                <c:pt idx="8">
                  <c:v>21</c:v>
                </c:pt>
                <c:pt idx="9">
                  <c:v>34</c:v>
                </c:pt>
                <c:pt idx="10">
                  <c:v>34</c:v>
                </c:pt>
                <c:pt idx="11">
                  <c:v>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428B-46B4-90C5-4BE58AC1B7CD}"/>
            </c:ext>
          </c:extLst>
        </c:ser>
        <c:ser>
          <c:idx val="10"/>
          <c:order val="10"/>
          <c:tx>
            <c:strRef>
              <c:f>'29.09 Seeta-Mukono'!$AC$9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'29.09 Seeta-Mukono'!$AC$10:$AC$21</c:f>
              <c:numCache>
                <c:formatCode>0</c:formatCode>
                <c:ptCount val="12"/>
                <c:pt idx="0">
                  <c:v>132</c:v>
                </c:pt>
                <c:pt idx="1">
                  <c:v>243</c:v>
                </c:pt>
                <c:pt idx="2">
                  <c:v>413</c:v>
                </c:pt>
                <c:pt idx="3">
                  <c:v>448</c:v>
                </c:pt>
                <c:pt idx="4">
                  <c:v>339</c:v>
                </c:pt>
                <c:pt idx="5">
                  <c:v>155</c:v>
                </c:pt>
                <c:pt idx="6">
                  <c:v>355</c:v>
                </c:pt>
                <c:pt idx="7">
                  <c:v>407</c:v>
                </c:pt>
                <c:pt idx="8">
                  <c:v>310</c:v>
                </c:pt>
                <c:pt idx="9">
                  <c:v>343</c:v>
                </c:pt>
                <c:pt idx="10">
                  <c:v>413</c:v>
                </c:pt>
                <c:pt idx="11">
                  <c:v>478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428B-46B4-90C5-4BE58AC1B7CD}"/>
            </c:ext>
          </c:extLst>
        </c:ser>
        <c:ser>
          <c:idx val="11"/>
          <c:order val="11"/>
          <c:tx>
            <c:strRef>
              <c:f>'29.09 Seeta-Mukono'!$AD$9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'29.09 Seeta-Mukono'!$AD$10:$AD$21</c:f>
              <c:numCache>
                <c:formatCode>0</c:formatCode>
                <c:ptCount val="12"/>
                <c:pt idx="0">
                  <c:v>0</c:v>
                </c:pt>
                <c:pt idx="1">
                  <c:v>90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428B-46B4-90C5-4BE58AC1B7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6397952"/>
        <c:axId val="116399488"/>
      </c:lineChart>
      <c:catAx>
        <c:axId val="1163979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6399488"/>
        <c:crosses val="autoZero"/>
        <c:auto val="1"/>
        <c:lblAlgn val="ctr"/>
        <c:lblOffset val="100"/>
        <c:noMultiLvlLbl val="0"/>
      </c:catAx>
      <c:valAx>
        <c:axId val="116399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63979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C12-4217-8AB6-47C18865D9D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C12-4217-8AB6-47C18865D9D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C12-4217-8AB6-47C18865D9D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C12-4217-8AB6-47C18865D9D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C12-4217-8AB6-47C18865D9D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C12-4217-8AB6-47C18865D9D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C12-4217-8AB6-47C18865D9D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C12-4217-8AB6-47C18865D9D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C12-4217-8AB6-47C18865D9D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C12-4217-8AB6-47C18865D9D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C12-4217-8AB6-47C18865D9D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C12-4217-8AB6-47C18865D9D7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C12-4217-8AB6-47C18865D9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'29.09 Seeta-Mukono'!$C$9:$N$9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'29.09 Seeta-Mukono'!$C$60:$N$60</c:f>
              <c:numCache>
                <c:formatCode>0.00%</c:formatCode>
                <c:ptCount val="12"/>
                <c:pt idx="0">
                  <c:v>0.40456375838926173</c:v>
                </c:pt>
                <c:pt idx="1">
                  <c:v>4.9932885906040267E-2</c:v>
                </c:pt>
                <c:pt idx="2">
                  <c:v>4.9932885906040267E-2</c:v>
                </c:pt>
                <c:pt idx="3">
                  <c:v>0.30765100671140938</c:v>
                </c:pt>
                <c:pt idx="4">
                  <c:v>2.0805369127516779E-2</c:v>
                </c:pt>
                <c:pt idx="5">
                  <c:v>6.7114093959731542E-3</c:v>
                </c:pt>
                <c:pt idx="6">
                  <c:v>7.5302013422818795E-2</c:v>
                </c:pt>
                <c:pt idx="7">
                  <c:v>1.7986577181208052E-2</c:v>
                </c:pt>
                <c:pt idx="8">
                  <c:v>1.1812080536912751E-2</c:v>
                </c:pt>
                <c:pt idx="9">
                  <c:v>4.308724832214765E-2</c:v>
                </c:pt>
                <c:pt idx="11">
                  <c:v>1.2214765100671141E-2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C12-4217-8AB6-47C18865D9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'29.09 Mukono-Seeta'!$AE$9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'29.09 Mukono-Seeta'!$R$10:$R$21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'29.09 Mukono-Seeta'!$AE$10:$AE$21</c:f>
              <c:numCache>
                <c:formatCode>0</c:formatCode>
                <c:ptCount val="12"/>
                <c:pt idx="0">
                  <c:v>309</c:v>
                </c:pt>
                <c:pt idx="1">
                  <c:v>411</c:v>
                </c:pt>
                <c:pt idx="2">
                  <c:v>203</c:v>
                </c:pt>
                <c:pt idx="3">
                  <c:v>446</c:v>
                </c:pt>
                <c:pt idx="4">
                  <c:v>448</c:v>
                </c:pt>
                <c:pt idx="5">
                  <c:v>302</c:v>
                </c:pt>
                <c:pt idx="6">
                  <c:v>301</c:v>
                </c:pt>
                <c:pt idx="7">
                  <c:v>480</c:v>
                </c:pt>
                <c:pt idx="8">
                  <c:v>533</c:v>
                </c:pt>
                <c:pt idx="9">
                  <c:v>574</c:v>
                </c:pt>
                <c:pt idx="10">
                  <c:v>646</c:v>
                </c:pt>
                <c:pt idx="11">
                  <c:v>532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9DE-43FB-B018-4B429EDDE76A}"/>
            </c:ext>
          </c:extLst>
        </c:ser>
        <c:ser>
          <c:idx val="1"/>
          <c:order val="1"/>
          <c:tx>
            <c:strRef>
              <c:f>'29.09 Mukono-Seeta'!$AF$9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'29.09 Mukono-Seeta'!$R$10:$R$21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'29.09 Mukono-Seeta'!$AF$10:$AF$21</c:f>
              <c:numCache>
                <c:formatCode>0</c:formatCode>
                <c:ptCount val="12"/>
                <c:pt idx="0">
                  <c:v>708</c:v>
                </c:pt>
                <c:pt idx="1">
                  <c:v>778</c:v>
                </c:pt>
                <c:pt idx="2">
                  <c:v>628</c:v>
                </c:pt>
                <c:pt idx="3">
                  <c:v>883</c:v>
                </c:pt>
                <c:pt idx="4">
                  <c:v>692</c:v>
                </c:pt>
                <c:pt idx="5">
                  <c:v>464</c:v>
                </c:pt>
                <c:pt idx="6">
                  <c:v>638</c:v>
                </c:pt>
                <c:pt idx="7">
                  <c:v>824</c:v>
                </c:pt>
                <c:pt idx="8">
                  <c:v>875</c:v>
                </c:pt>
                <c:pt idx="9">
                  <c:v>983</c:v>
                </c:pt>
                <c:pt idx="10">
                  <c:v>1138</c:v>
                </c:pt>
                <c:pt idx="11">
                  <c:v>1015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9DE-43FB-B018-4B429EDDE7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6638848"/>
        <c:axId val="116640384"/>
      </c:lineChart>
      <c:catAx>
        <c:axId val="11663884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6640384"/>
        <c:crosses val="autoZero"/>
        <c:auto val="1"/>
        <c:lblAlgn val="ctr"/>
        <c:lblOffset val="100"/>
        <c:noMultiLvlLbl val="0"/>
      </c:catAx>
      <c:valAx>
        <c:axId val="11664038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6638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A85F-4049-90B5-622F08A1EAA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A85F-4049-90B5-622F08A1EAA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A85F-4049-90B5-622F08A1EAA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A85F-4049-90B5-622F08A1EAA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A85F-4049-90B5-622F08A1EAA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A85F-4049-90B5-622F08A1EAA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A85F-4049-90B5-622F08A1EAA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A85F-4049-90B5-622F08A1EAA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A85F-4049-90B5-622F08A1EAA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A85F-4049-90B5-622F08A1EAA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A85F-4049-90B5-622F08A1EAA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A85F-4049-90B5-622F08A1EAA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A85F-4049-90B5-622F08A1EAA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'29.09 Mukono-Seeta'!$C$9:$N$9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'29.09 Mukono-Seeta'!$C$59:$N$59</c:f>
              <c:numCache>
                <c:formatCode>0.0%</c:formatCode>
                <c:ptCount val="12"/>
                <c:pt idx="0">
                  <c:v>0.12725950550592147</c:v>
                </c:pt>
                <c:pt idx="1">
                  <c:v>6.0980677332225224E-2</c:v>
                </c:pt>
                <c:pt idx="2">
                  <c:v>3.4282152503635983E-2</c:v>
                </c:pt>
                <c:pt idx="3">
                  <c:v>0.20101807604404737</c:v>
                </c:pt>
                <c:pt idx="4">
                  <c:v>9.0380220236858516E-3</c:v>
                </c:pt>
                <c:pt idx="5">
                  <c:v>4.7787242883856225E-3</c:v>
                </c:pt>
                <c:pt idx="6">
                  <c:v>2.0465406191564513E-2</c:v>
                </c:pt>
                <c:pt idx="7">
                  <c:v>1.7660502804903385E-2</c:v>
                </c:pt>
                <c:pt idx="8">
                  <c:v>1.0596301682942032E-2</c:v>
                </c:pt>
                <c:pt idx="9">
                  <c:v>5.2565967172241844E-2</c:v>
                </c:pt>
                <c:pt idx="10">
                  <c:v>0.46135466445044671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A85F-4049-90B5-622F08A1EA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'29.09 Mukono-Seeta'!$S$9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'29.09 Mukono-Seeta'!$R$10:$R$21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'29.09 Mukono-Seeta'!$S$10:$S$21</c:f>
              <c:numCache>
                <c:formatCode>0</c:formatCode>
                <c:ptCount val="12"/>
                <c:pt idx="0">
                  <c:v>67</c:v>
                </c:pt>
                <c:pt idx="1">
                  <c:v>96</c:v>
                </c:pt>
                <c:pt idx="2">
                  <c:v>33</c:v>
                </c:pt>
                <c:pt idx="3">
                  <c:v>89</c:v>
                </c:pt>
                <c:pt idx="4">
                  <c:v>87</c:v>
                </c:pt>
                <c:pt idx="5">
                  <c:v>51</c:v>
                </c:pt>
                <c:pt idx="6">
                  <c:v>69</c:v>
                </c:pt>
                <c:pt idx="7">
                  <c:v>123</c:v>
                </c:pt>
                <c:pt idx="8">
                  <c:v>136</c:v>
                </c:pt>
                <c:pt idx="9">
                  <c:v>162</c:v>
                </c:pt>
                <c:pt idx="10">
                  <c:v>183</c:v>
                </c:pt>
                <c:pt idx="11">
                  <c:v>129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793-4957-A836-ECDA67D2C747}"/>
            </c:ext>
          </c:extLst>
        </c:ser>
        <c:ser>
          <c:idx val="1"/>
          <c:order val="1"/>
          <c:tx>
            <c:strRef>
              <c:f>'29.09 Mukono-Seeta'!$T$9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'29.09 Mukono-Seeta'!$R$10:$R$21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'29.09 Mukono-Seeta'!$T$10:$T$21</c:f>
              <c:numCache>
                <c:formatCode>0</c:formatCode>
                <c:ptCount val="12"/>
                <c:pt idx="0">
                  <c:v>24</c:v>
                </c:pt>
                <c:pt idx="1">
                  <c:v>32</c:v>
                </c:pt>
                <c:pt idx="2">
                  <c:v>27</c:v>
                </c:pt>
                <c:pt idx="3">
                  <c:v>50</c:v>
                </c:pt>
                <c:pt idx="4">
                  <c:v>39</c:v>
                </c:pt>
                <c:pt idx="5">
                  <c:v>28</c:v>
                </c:pt>
                <c:pt idx="6">
                  <c:v>43</c:v>
                </c:pt>
                <c:pt idx="7">
                  <c:v>46</c:v>
                </c:pt>
                <c:pt idx="8">
                  <c:v>70</c:v>
                </c:pt>
                <c:pt idx="9">
                  <c:v>89</c:v>
                </c:pt>
                <c:pt idx="10">
                  <c:v>90</c:v>
                </c:pt>
                <c:pt idx="11">
                  <c:v>49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793-4957-A836-ECDA67D2C747}"/>
            </c:ext>
          </c:extLst>
        </c:ser>
        <c:ser>
          <c:idx val="2"/>
          <c:order val="2"/>
          <c:tx>
            <c:strRef>
              <c:f>'29.09 Mukono-Seeta'!$U$9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'29.09 Mukono-Seeta'!$U$10:$U$21</c:f>
              <c:numCache>
                <c:formatCode>0</c:formatCode>
                <c:ptCount val="12"/>
                <c:pt idx="0">
                  <c:v>21</c:v>
                </c:pt>
                <c:pt idx="1">
                  <c:v>9</c:v>
                </c:pt>
                <c:pt idx="2">
                  <c:v>10</c:v>
                </c:pt>
                <c:pt idx="3">
                  <c:v>16</c:v>
                </c:pt>
                <c:pt idx="4">
                  <c:v>23</c:v>
                </c:pt>
                <c:pt idx="5">
                  <c:v>27</c:v>
                </c:pt>
                <c:pt idx="6">
                  <c:v>18</c:v>
                </c:pt>
                <c:pt idx="7">
                  <c:v>29</c:v>
                </c:pt>
                <c:pt idx="8">
                  <c:v>34</c:v>
                </c:pt>
                <c:pt idx="9">
                  <c:v>30</c:v>
                </c:pt>
                <c:pt idx="10">
                  <c:v>30</c:v>
                </c:pt>
                <c:pt idx="11">
                  <c:v>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793-4957-A836-ECDA67D2C747}"/>
            </c:ext>
          </c:extLst>
        </c:ser>
        <c:ser>
          <c:idx val="3"/>
          <c:order val="3"/>
          <c:tx>
            <c:strRef>
              <c:f>'29.09 Mukono-Seeta'!$V$9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'29.09 Mukono-Seeta'!$V$10:$V$21</c:f>
              <c:numCache>
                <c:formatCode>0</c:formatCode>
                <c:ptCount val="12"/>
                <c:pt idx="0">
                  <c:v>140</c:v>
                </c:pt>
                <c:pt idx="1">
                  <c:v>167</c:v>
                </c:pt>
                <c:pt idx="2">
                  <c:v>68</c:v>
                </c:pt>
                <c:pt idx="3">
                  <c:v>179</c:v>
                </c:pt>
                <c:pt idx="4">
                  <c:v>218</c:v>
                </c:pt>
                <c:pt idx="5">
                  <c:v>76</c:v>
                </c:pt>
                <c:pt idx="6">
                  <c:v>96</c:v>
                </c:pt>
                <c:pt idx="7">
                  <c:v>200</c:v>
                </c:pt>
                <c:pt idx="8">
                  <c:v>191</c:v>
                </c:pt>
                <c:pt idx="9">
                  <c:v>197</c:v>
                </c:pt>
                <c:pt idx="10">
                  <c:v>238</c:v>
                </c:pt>
                <c:pt idx="11">
                  <c:v>165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793-4957-A836-ECDA67D2C747}"/>
            </c:ext>
          </c:extLst>
        </c:ser>
        <c:ser>
          <c:idx val="4"/>
          <c:order val="4"/>
          <c:tx>
            <c:strRef>
              <c:f>'29.09 Mukono-Seeta'!$W$9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'29.09 Mukono-Seeta'!$W$10:$W$21</c:f>
              <c:numCache>
                <c:formatCode>0</c:formatCode>
                <c:ptCount val="12"/>
                <c:pt idx="0">
                  <c:v>9</c:v>
                </c:pt>
                <c:pt idx="1">
                  <c:v>8</c:v>
                </c:pt>
                <c:pt idx="2">
                  <c:v>4</c:v>
                </c:pt>
                <c:pt idx="3">
                  <c:v>12</c:v>
                </c:pt>
                <c:pt idx="4">
                  <c:v>5</c:v>
                </c:pt>
                <c:pt idx="5">
                  <c:v>5</c:v>
                </c:pt>
                <c:pt idx="6">
                  <c:v>2</c:v>
                </c:pt>
                <c:pt idx="7">
                  <c:v>5</c:v>
                </c:pt>
                <c:pt idx="8">
                  <c:v>7</c:v>
                </c:pt>
                <c:pt idx="9">
                  <c:v>7</c:v>
                </c:pt>
                <c:pt idx="10">
                  <c:v>11</c:v>
                </c:pt>
                <c:pt idx="11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793-4957-A836-ECDA67D2C747}"/>
            </c:ext>
          </c:extLst>
        </c:ser>
        <c:ser>
          <c:idx val="5"/>
          <c:order val="5"/>
          <c:tx>
            <c:strRef>
              <c:f>'29.09 Mukono-Seeta'!$X$9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'29.09 Mukono-Seeta'!$X$10:$X$21</c:f>
              <c:numCache>
                <c:formatCode>0</c:formatCode>
                <c:ptCount val="12"/>
                <c:pt idx="0">
                  <c:v>1</c:v>
                </c:pt>
                <c:pt idx="1">
                  <c:v>13</c:v>
                </c:pt>
                <c:pt idx="2">
                  <c:v>1</c:v>
                </c:pt>
                <c:pt idx="3">
                  <c:v>1</c:v>
                </c:pt>
                <c:pt idx="4">
                  <c:v>0</c:v>
                </c:pt>
                <c:pt idx="5">
                  <c:v>8</c:v>
                </c:pt>
                <c:pt idx="6">
                  <c:v>2</c:v>
                </c:pt>
                <c:pt idx="7">
                  <c:v>1</c:v>
                </c:pt>
                <c:pt idx="8">
                  <c:v>1</c:v>
                </c:pt>
                <c:pt idx="9">
                  <c:v>2</c:v>
                </c:pt>
                <c:pt idx="10">
                  <c:v>4</c:v>
                </c:pt>
                <c:pt idx="11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793-4957-A836-ECDA67D2C747}"/>
            </c:ext>
          </c:extLst>
        </c:ser>
        <c:ser>
          <c:idx val="6"/>
          <c:order val="6"/>
          <c:tx>
            <c:strRef>
              <c:f>'29.09 Mukono-Seeta'!$Y$9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'29.09 Mukono-Seeta'!$Y$10:$Y$21</c:f>
              <c:numCache>
                <c:formatCode>0</c:formatCode>
                <c:ptCount val="12"/>
                <c:pt idx="0">
                  <c:v>4</c:v>
                </c:pt>
                <c:pt idx="1">
                  <c:v>13</c:v>
                </c:pt>
                <c:pt idx="2">
                  <c:v>8</c:v>
                </c:pt>
                <c:pt idx="3">
                  <c:v>11</c:v>
                </c:pt>
                <c:pt idx="4">
                  <c:v>19</c:v>
                </c:pt>
                <c:pt idx="5">
                  <c:v>20</c:v>
                </c:pt>
                <c:pt idx="6">
                  <c:v>13</c:v>
                </c:pt>
                <c:pt idx="7">
                  <c:v>21</c:v>
                </c:pt>
                <c:pt idx="8">
                  <c:v>18</c:v>
                </c:pt>
                <c:pt idx="9">
                  <c:v>19</c:v>
                </c:pt>
                <c:pt idx="10">
                  <c:v>22</c:v>
                </c:pt>
                <c:pt idx="11">
                  <c:v>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793-4957-A836-ECDA67D2C747}"/>
            </c:ext>
          </c:extLst>
        </c:ser>
        <c:ser>
          <c:idx val="7"/>
          <c:order val="7"/>
          <c:tx>
            <c:strRef>
              <c:f>'29.09 Mukono-Seeta'!$Z$9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'29.09 Mukono-Seeta'!$Z$10:$Z$21</c:f>
              <c:numCache>
                <c:formatCode>0</c:formatCode>
                <c:ptCount val="12"/>
                <c:pt idx="0">
                  <c:v>3</c:v>
                </c:pt>
                <c:pt idx="1">
                  <c:v>10</c:v>
                </c:pt>
                <c:pt idx="2">
                  <c:v>14</c:v>
                </c:pt>
                <c:pt idx="3">
                  <c:v>14</c:v>
                </c:pt>
                <c:pt idx="4">
                  <c:v>16</c:v>
                </c:pt>
                <c:pt idx="5">
                  <c:v>14</c:v>
                </c:pt>
                <c:pt idx="6">
                  <c:v>18</c:v>
                </c:pt>
                <c:pt idx="7">
                  <c:v>11</c:v>
                </c:pt>
                <c:pt idx="8">
                  <c:v>18</c:v>
                </c:pt>
                <c:pt idx="9">
                  <c:v>21</c:v>
                </c:pt>
                <c:pt idx="10">
                  <c:v>15</c:v>
                </c:pt>
                <c:pt idx="11">
                  <c:v>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5793-4957-A836-ECDA67D2C747}"/>
            </c:ext>
          </c:extLst>
        </c:ser>
        <c:ser>
          <c:idx val="8"/>
          <c:order val="8"/>
          <c:tx>
            <c:strRef>
              <c:f>'29.09 Mukono-Seeta'!$AA$9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'29.09 Mukono-Seeta'!$AA$10:$AA$21</c:f>
              <c:numCache>
                <c:formatCode>0</c:formatCode>
                <c:ptCount val="12"/>
                <c:pt idx="0">
                  <c:v>6</c:v>
                </c:pt>
                <c:pt idx="1">
                  <c:v>8</c:v>
                </c:pt>
                <c:pt idx="2">
                  <c:v>8</c:v>
                </c:pt>
                <c:pt idx="3">
                  <c:v>4</c:v>
                </c:pt>
                <c:pt idx="4">
                  <c:v>5</c:v>
                </c:pt>
                <c:pt idx="5">
                  <c:v>16</c:v>
                </c:pt>
                <c:pt idx="6">
                  <c:v>9</c:v>
                </c:pt>
                <c:pt idx="7">
                  <c:v>11</c:v>
                </c:pt>
                <c:pt idx="8">
                  <c:v>10</c:v>
                </c:pt>
                <c:pt idx="9">
                  <c:v>7</c:v>
                </c:pt>
                <c:pt idx="10">
                  <c:v>5</c:v>
                </c:pt>
                <c:pt idx="11">
                  <c:v>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5793-4957-A836-ECDA67D2C747}"/>
            </c:ext>
          </c:extLst>
        </c:ser>
        <c:ser>
          <c:idx val="9"/>
          <c:order val="9"/>
          <c:tx>
            <c:strRef>
              <c:f>'29.09 Mukono-Seeta'!$AB$9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'29.09 Mukono-Seeta'!$AB$10:$AB$21</c:f>
              <c:numCache>
                <c:formatCode>0</c:formatCode>
                <c:ptCount val="12"/>
                <c:pt idx="0">
                  <c:v>34</c:v>
                </c:pt>
                <c:pt idx="1">
                  <c:v>55</c:v>
                </c:pt>
                <c:pt idx="2">
                  <c:v>30</c:v>
                </c:pt>
                <c:pt idx="3">
                  <c:v>70</c:v>
                </c:pt>
                <c:pt idx="4">
                  <c:v>36</c:v>
                </c:pt>
                <c:pt idx="5">
                  <c:v>57</c:v>
                </c:pt>
                <c:pt idx="6">
                  <c:v>31</c:v>
                </c:pt>
                <c:pt idx="7">
                  <c:v>33</c:v>
                </c:pt>
                <c:pt idx="8">
                  <c:v>48</c:v>
                </c:pt>
                <c:pt idx="9">
                  <c:v>40</c:v>
                </c:pt>
                <c:pt idx="10">
                  <c:v>48</c:v>
                </c:pt>
                <c:pt idx="11">
                  <c:v>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5793-4957-A836-ECDA67D2C747}"/>
            </c:ext>
          </c:extLst>
        </c:ser>
        <c:ser>
          <c:idx val="10"/>
          <c:order val="10"/>
          <c:tx>
            <c:strRef>
              <c:f>'29.09 Mukono-Seeta'!$AC$9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'29.09 Mukono-Seeta'!$AC$10:$AC$21</c:f>
              <c:numCache>
                <c:formatCode>0</c:formatCode>
                <c:ptCount val="12"/>
                <c:pt idx="0">
                  <c:v>399</c:v>
                </c:pt>
                <c:pt idx="1">
                  <c:v>367</c:v>
                </c:pt>
                <c:pt idx="2">
                  <c:v>425</c:v>
                </c:pt>
                <c:pt idx="3">
                  <c:v>437</c:v>
                </c:pt>
                <c:pt idx="4">
                  <c:v>244</c:v>
                </c:pt>
                <c:pt idx="5">
                  <c:v>162</c:v>
                </c:pt>
                <c:pt idx="6">
                  <c:v>337</c:v>
                </c:pt>
                <c:pt idx="7">
                  <c:v>344</c:v>
                </c:pt>
                <c:pt idx="8">
                  <c:v>342</c:v>
                </c:pt>
                <c:pt idx="9">
                  <c:v>409</c:v>
                </c:pt>
                <c:pt idx="10">
                  <c:v>492</c:v>
                </c:pt>
                <c:pt idx="11">
                  <c:v>483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5793-4957-A836-ECDA67D2C747}"/>
            </c:ext>
          </c:extLst>
        </c:ser>
        <c:ser>
          <c:idx val="11"/>
          <c:order val="11"/>
          <c:tx>
            <c:strRef>
              <c:f>'29.09 Mukono-Seeta'!$AD$9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'29.09 Mukono-Seeta'!$AD$10:$AD$21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5793-4957-A836-ECDA67D2C7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6866048"/>
        <c:axId val="116880128"/>
      </c:lineChart>
      <c:catAx>
        <c:axId val="1168660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6880128"/>
        <c:crosses val="autoZero"/>
        <c:auto val="1"/>
        <c:lblAlgn val="ctr"/>
        <c:lblOffset val="100"/>
        <c:noMultiLvlLbl val="0"/>
      </c:catAx>
      <c:valAx>
        <c:axId val="116880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6866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ACB0-4F20-A91A-77634015494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ACB0-4F20-A91A-77634015494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ACB0-4F20-A91A-77634015494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ACB0-4F20-A91A-77634015494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ACB0-4F20-A91A-77634015494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ACB0-4F20-A91A-77634015494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ACB0-4F20-A91A-77634015494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ACB0-4F20-A91A-77634015494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ACB0-4F20-A91A-77634015494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ACB0-4F20-A91A-77634015494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ACB0-4F20-A91A-77634015494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ACB0-4F20-A91A-77634015494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ACB0-4F20-A91A-77634015494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'29.09 Mukono-Seeta'!$C$9:$N$9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'29.09 Mukono-Seeta'!$C$60:$N$60</c:f>
              <c:numCache>
                <c:formatCode>0.00%</c:formatCode>
                <c:ptCount val="12"/>
                <c:pt idx="0">
                  <c:v>0.23625843780135006</c:v>
                </c:pt>
                <c:pt idx="1">
                  <c:v>0.11321118611378977</c:v>
                </c:pt>
                <c:pt idx="2">
                  <c:v>6.3645130183220835E-2</c:v>
                </c:pt>
                <c:pt idx="3">
                  <c:v>0.37319189971070393</c:v>
                </c:pt>
                <c:pt idx="4">
                  <c:v>1.6779170684667308E-2</c:v>
                </c:pt>
                <c:pt idx="5">
                  <c:v>8.8717454194792676E-3</c:v>
                </c:pt>
                <c:pt idx="6">
                  <c:v>3.7994214079074252E-2</c:v>
                </c:pt>
                <c:pt idx="7">
                  <c:v>3.2786885245901641E-2</c:v>
                </c:pt>
                <c:pt idx="8">
                  <c:v>1.9672131147540985E-2</c:v>
                </c:pt>
                <c:pt idx="9">
                  <c:v>9.758919961427194E-2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ACB0-4F20-A91A-7763401549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'Avg Week Seeta-Mukono'!$AE$9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'Avg Week Seeta-Mukono'!$R$10:$R$33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Seeta-Mukono'!$AE$10:$AE$33</c:f>
              <c:numCache>
                <c:formatCode>0</c:formatCode>
                <c:ptCount val="24"/>
                <c:pt idx="0">
                  <c:v>519.28571428571422</c:v>
                </c:pt>
                <c:pt idx="1">
                  <c:v>671.85714285714289</c:v>
                </c:pt>
                <c:pt idx="2">
                  <c:v>676.42857142857144</c:v>
                </c:pt>
                <c:pt idx="3">
                  <c:v>655.57142857142856</c:v>
                </c:pt>
                <c:pt idx="4">
                  <c:v>643.42857142857156</c:v>
                </c:pt>
                <c:pt idx="5">
                  <c:v>616.14285714285711</c:v>
                </c:pt>
                <c:pt idx="6">
                  <c:v>656.14285714285711</c:v>
                </c:pt>
                <c:pt idx="7">
                  <c:v>643.28571428571422</c:v>
                </c:pt>
                <c:pt idx="8">
                  <c:v>578.71428571428567</c:v>
                </c:pt>
                <c:pt idx="9">
                  <c:v>636.14285714285711</c:v>
                </c:pt>
                <c:pt idx="10">
                  <c:v>636</c:v>
                </c:pt>
                <c:pt idx="11">
                  <c:v>586.28571428571422</c:v>
                </c:pt>
                <c:pt idx="12">
                  <c:v>455.5</c:v>
                </c:pt>
                <c:pt idx="13">
                  <c:v>577</c:v>
                </c:pt>
                <c:pt idx="14">
                  <c:v>521.5</c:v>
                </c:pt>
                <c:pt idx="15">
                  <c:v>543.5</c:v>
                </c:pt>
                <c:pt idx="16">
                  <c:v>463.5</c:v>
                </c:pt>
                <c:pt idx="17">
                  <c:v>223</c:v>
                </c:pt>
                <c:pt idx="18">
                  <c:v>141</c:v>
                </c:pt>
                <c:pt idx="19">
                  <c:v>96.5</c:v>
                </c:pt>
                <c:pt idx="20">
                  <c:v>93.5</c:v>
                </c:pt>
                <c:pt idx="21">
                  <c:v>118.5</c:v>
                </c:pt>
                <c:pt idx="22">
                  <c:v>183.5</c:v>
                </c:pt>
                <c:pt idx="23">
                  <c:v>326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E85-422C-8502-C8D950B820C5}"/>
            </c:ext>
          </c:extLst>
        </c:ser>
        <c:ser>
          <c:idx val="1"/>
          <c:order val="1"/>
          <c:tx>
            <c:strRef>
              <c:f>'Avg Week Seeta-Mukono'!$AF$9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'Avg Week Seeta-Mukono'!$R$10:$R$33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Seeta-Mukono'!$AF$10:$AF$33</c:f>
              <c:numCache>
                <c:formatCode>0</c:formatCode>
                <c:ptCount val="24"/>
                <c:pt idx="0">
                  <c:v>818</c:v>
                </c:pt>
                <c:pt idx="1">
                  <c:v>1091.2857142857142</c:v>
                </c:pt>
                <c:pt idx="2">
                  <c:v>1167.8571428571429</c:v>
                </c:pt>
                <c:pt idx="3">
                  <c:v>1135</c:v>
                </c:pt>
                <c:pt idx="4">
                  <c:v>1115.5714285714284</c:v>
                </c:pt>
                <c:pt idx="5">
                  <c:v>1059.5714285714284</c:v>
                </c:pt>
                <c:pt idx="6">
                  <c:v>1055.5714285714284</c:v>
                </c:pt>
                <c:pt idx="7">
                  <c:v>1040.5714285714284</c:v>
                </c:pt>
                <c:pt idx="8">
                  <c:v>965.42857142857144</c:v>
                </c:pt>
                <c:pt idx="9">
                  <c:v>1041.4285714285716</c:v>
                </c:pt>
                <c:pt idx="10">
                  <c:v>1115</c:v>
                </c:pt>
                <c:pt idx="11">
                  <c:v>1205.1428571428571</c:v>
                </c:pt>
                <c:pt idx="12">
                  <c:v>1125.5</c:v>
                </c:pt>
                <c:pt idx="13">
                  <c:v>1282</c:v>
                </c:pt>
                <c:pt idx="14">
                  <c:v>1019.5</c:v>
                </c:pt>
                <c:pt idx="15">
                  <c:v>882</c:v>
                </c:pt>
                <c:pt idx="16">
                  <c:v>667</c:v>
                </c:pt>
                <c:pt idx="17">
                  <c:v>336</c:v>
                </c:pt>
                <c:pt idx="18">
                  <c:v>198.5</c:v>
                </c:pt>
                <c:pt idx="19">
                  <c:v>129.5</c:v>
                </c:pt>
                <c:pt idx="20">
                  <c:v>116</c:v>
                </c:pt>
                <c:pt idx="21">
                  <c:v>148</c:v>
                </c:pt>
                <c:pt idx="22">
                  <c:v>212</c:v>
                </c:pt>
                <c:pt idx="23">
                  <c:v>410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E85-422C-8502-C8D950B820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7094656"/>
        <c:axId val="117243904"/>
      </c:lineChart>
      <c:catAx>
        <c:axId val="11709465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7243904"/>
        <c:crosses val="autoZero"/>
        <c:auto val="1"/>
        <c:lblAlgn val="ctr"/>
        <c:lblOffset val="100"/>
        <c:noMultiLvlLbl val="0"/>
      </c:catAx>
      <c:valAx>
        <c:axId val="11724390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70946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15E7-413A-BC41-2C6194EF8EC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15E7-413A-BC41-2C6194EF8EC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15E7-413A-BC41-2C6194EF8EC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15E7-413A-BC41-2C6194EF8EC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15E7-413A-BC41-2C6194EF8EC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15E7-413A-BC41-2C6194EF8EC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15E7-413A-BC41-2C6194EF8EC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15E7-413A-BC41-2C6194EF8EC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15E7-413A-BC41-2C6194EF8EC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15E7-413A-BC41-2C6194EF8EC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15E7-413A-BC41-2C6194EF8EC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15E7-413A-BC41-2C6194EF8EC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15E7-413A-BC41-2C6194EF8EC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Seeta-Mukono'!$C$9:$N$9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Seeta-Mukono'!$C$107:$N$107</c:f>
              <c:numCache>
                <c:formatCode>0.0%</c:formatCode>
                <c:ptCount val="12"/>
                <c:pt idx="0">
                  <c:v>0.19511285139078716</c:v>
                </c:pt>
                <c:pt idx="1">
                  <c:v>3.5746740053932254E-2</c:v>
                </c:pt>
                <c:pt idx="2">
                  <c:v>2.8665361456909604E-2</c:v>
                </c:pt>
                <c:pt idx="3">
                  <c:v>0.16909608067673895</c:v>
                </c:pt>
                <c:pt idx="4">
                  <c:v>1.1961139226478519E-2</c:v>
                </c:pt>
                <c:pt idx="5">
                  <c:v>4.6728971962616819E-3</c:v>
                </c:pt>
                <c:pt idx="6">
                  <c:v>4.8387573418048828E-2</c:v>
                </c:pt>
                <c:pt idx="7">
                  <c:v>2.6061098592589857E-2</c:v>
                </c:pt>
                <c:pt idx="8">
                  <c:v>1.4543238151527464E-2</c:v>
                </c:pt>
                <c:pt idx="9">
                  <c:v>4.7331092312807056E-2</c:v>
                </c:pt>
                <c:pt idx="10">
                  <c:v>0.41756122788223565</c:v>
                </c:pt>
                <c:pt idx="11">
                  <c:v>8.6069964168298174E-4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15E7-413A-BC41-2C6194EF8E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6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0421778739535044"/>
          <c:y val="0.16002814333522994"/>
          <c:w val="0.82101228366016787"/>
          <c:h val="0.7446058403538719"/>
        </c:manualLayout>
      </c:layout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80A-4F64-9F70-B5B6C796803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80A-4F64-9F70-B5B6C796803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80A-4F64-9F70-B5B6C796803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80A-4F64-9F70-B5B6C796803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80A-4F64-9F70-B5B6C796803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80A-4F64-9F70-B5B6C796803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80A-4F64-9F70-B5B6C796803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80A-4F64-9F70-B5B6C796803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80A-4F64-9F70-B5B6C796803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80A-4F64-9F70-B5B6C796803E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80A-4F64-9F70-B5B6C796803E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80A-4F64-9F70-B5B6C796803E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80A-4F64-9F70-B5B6C796803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Seeta-Mukono'!$C$9:$N$9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Seeta-Mukono'!$C$108:$N$108</c:f>
              <c:numCache>
                <c:formatCode>0.00%</c:formatCode>
                <c:ptCount val="12"/>
                <c:pt idx="0">
                  <c:v>0.33499289664620219</c:v>
                </c:pt>
                <c:pt idx="1">
                  <c:v>6.1374245268658999E-2</c:v>
                </c:pt>
                <c:pt idx="2">
                  <c:v>4.9216094170176056E-2</c:v>
                </c:pt>
                <c:pt idx="3">
                  <c:v>0.29032421736262626</c:v>
                </c:pt>
                <c:pt idx="4">
                  <c:v>2.053630321173068E-2</c:v>
                </c:pt>
                <c:pt idx="5">
                  <c:v>8.0229844233598857E-3</c:v>
                </c:pt>
                <c:pt idx="6">
                  <c:v>8.3077528032878378E-2</c:v>
                </c:pt>
                <c:pt idx="7">
                  <c:v>4.474478664569486E-2</c:v>
                </c:pt>
                <c:pt idx="8">
                  <c:v>2.4969557055152469E-2</c:v>
                </c:pt>
                <c:pt idx="9">
                  <c:v>8.1263635902379616E-2</c:v>
                </c:pt>
                <c:pt idx="11">
                  <c:v>1.4777512811405956E-3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80A-4F64-9F70-B5B6C79680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6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'Avg Week Mukono-Seeta'!$AE$9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'Avg Week Mukono-Seeta'!$R$10:$R$33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Mukono-Seeta'!$AE$10:$AE$33</c:f>
              <c:numCache>
                <c:formatCode>0</c:formatCode>
                <c:ptCount val="24"/>
                <c:pt idx="0">
                  <c:v>410.99999999999994</c:v>
                </c:pt>
                <c:pt idx="1">
                  <c:v>449.28571428571433</c:v>
                </c:pt>
                <c:pt idx="2">
                  <c:v>411.57142857142856</c:v>
                </c:pt>
                <c:pt idx="3">
                  <c:v>410.71428571428567</c:v>
                </c:pt>
                <c:pt idx="4">
                  <c:v>455.85714285714283</c:v>
                </c:pt>
                <c:pt idx="5">
                  <c:v>458.85714285714283</c:v>
                </c:pt>
                <c:pt idx="6">
                  <c:v>464.42857142857139</c:v>
                </c:pt>
                <c:pt idx="7">
                  <c:v>498.71428571428567</c:v>
                </c:pt>
                <c:pt idx="8">
                  <c:v>485.42857142857144</c:v>
                </c:pt>
                <c:pt idx="9">
                  <c:v>518.28571428571422</c:v>
                </c:pt>
                <c:pt idx="10">
                  <c:v>537</c:v>
                </c:pt>
                <c:pt idx="11">
                  <c:v>511.85714285714295</c:v>
                </c:pt>
                <c:pt idx="12">
                  <c:v>441.5</c:v>
                </c:pt>
                <c:pt idx="13">
                  <c:v>461</c:v>
                </c:pt>
                <c:pt idx="14">
                  <c:v>469</c:v>
                </c:pt>
                <c:pt idx="15">
                  <c:v>471</c:v>
                </c:pt>
                <c:pt idx="16">
                  <c:v>352.5</c:v>
                </c:pt>
                <c:pt idx="17">
                  <c:v>204</c:v>
                </c:pt>
                <c:pt idx="18">
                  <c:v>137.5</c:v>
                </c:pt>
                <c:pt idx="19">
                  <c:v>112.5</c:v>
                </c:pt>
                <c:pt idx="20">
                  <c:v>105</c:v>
                </c:pt>
                <c:pt idx="21">
                  <c:v>134.5</c:v>
                </c:pt>
                <c:pt idx="22">
                  <c:v>314</c:v>
                </c:pt>
                <c:pt idx="23">
                  <c:v>549.5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6F8-46F1-A26B-8380F37E487A}"/>
            </c:ext>
          </c:extLst>
        </c:ser>
        <c:ser>
          <c:idx val="1"/>
          <c:order val="1"/>
          <c:tx>
            <c:strRef>
              <c:f>'Avg Week Mukono-Seeta'!$AF$9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'Avg Week Mukono-Seeta'!$R$10:$R$33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Mukono-Seeta'!$AF$10:$AF$33</c:f>
              <c:numCache>
                <c:formatCode>0</c:formatCode>
                <c:ptCount val="24"/>
                <c:pt idx="0">
                  <c:v>914.14285714285711</c:v>
                </c:pt>
                <c:pt idx="1">
                  <c:v>1017.1428571428572</c:v>
                </c:pt>
                <c:pt idx="2">
                  <c:v>950.85714285714289</c:v>
                </c:pt>
                <c:pt idx="3">
                  <c:v>871.28571428571422</c:v>
                </c:pt>
                <c:pt idx="4">
                  <c:v>916.28571428571422</c:v>
                </c:pt>
                <c:pt idx="5">
                  <c:v>861.71428571428578</c:v>
                </c:pt>
                <c:pt idx="6">
                  <c:v>793.28571428571433</c:v>
                </c:pt>
                <c:pt idx="7">
                  <c:v>848.85714285714278</c:v>
                </c:pt>
                <c:pt idx="8">
                  <c:v>850</c:v>
                </c:pt>
                <c:pt idx="9">
                  <c:v>917.57142857142844</c:v>
                </c:pt>
                <c:pt idx="10">
                  <c:v>1010.7142857142857</c:v>
                </c:pt>
                <c:pt idx="11">
                  <c:v>987.57142857142867</c:v>
                </c:pt>
                <c:pt idx="12">
                  <c:v>782.5</c:v>
                </c:pt>
                <c:pt idx="13">
                  <c:v>758.5</c:v>
                </c:pt>
                <c:pt idx="14">
                  <c:v>654.5</c:v>
                </c:pt>
                <c:pt idx="15">
                  <c:v>560.5</c:v>
                </c:pt>
                <c:pt idx="16">
                  <c:v>424</c:v>
                </c:pt>
                <c:pt idx="17">
                  <c:v>238</c:v>
                </c:pt>
                <c:pt idx="18">
                  <c:v>177</c:v>
                </c:pt>
                <c:pt idx="19">
                  <c:v>133.5</c:v>
                </c:pt>
                <c:pt idx="20">
                  <c:v>124.5</c:v>
                </c:pt>
                <c:pt idx="21">
                  <c:v>156.5</c:v>
                </c:pt>
                <c:pt idx="22">
                  <c:v>350</c:v>
                </c:pt>
                <c:pt idx="23">
                  <c:v>647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6F8-46F1-A26B-8380F37E48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7988736"/>
        <c:axId val="117998720"/>
      </c:lineChart>
      <c:catAx>
        <c:axId val="11798873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7998720"/>
        <c:crosses val="autoZero"/>
        <c:auto val="1"/>
        <c:lblAlgn val="ctr"/>
        <c:lblOffset val="100"/>
        <c:noMultiLvlLbl val="0"/>
      </c:catAx>
      <c:valAx>
        <c:axId val="11799872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79887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6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3B84-4A7D-9CBD-0C2ADBE1B04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3B84-4A7D-9CBD-0C2ADBE1B04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3B84-4A7D-9CBD-0C2ADBE1B04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3B84-4A7D-9CBD-0C2ADBE1B04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3B84-4A7D-9CBD-0C2ADBE1B04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3B84-4A7D-9CBD-0C2ADBE1B04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3B84-4A7D-9CBD-0C2ADBE1B04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3B84-4A7D-9CBD-0C2ADBE1B04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3B84-4A7D-9CBD-0C2ADBE1B04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3B84-4A7D-9CBD-0C2ADBE1B04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3B84-4A7D-9CBD-0C2ADBE1B04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3B84-4A7D-9CBD-0C2ADBE1B04D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3B84-4A7D-9CBD-0C2ADBE1B04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Mukono-Seeta'!$C$9:$N$9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Mukono-Seeta'!$C$107:$N$107</c:f>
              <c:numCache>
                <c:formatCode>0.0%</c:formatCode>
                <c:ptCount val="12"/>
                <c:pt idx="0">
                  <c:v>0.12920449913323154</c:v>
                </c:pt>
                <c:pt idx="1">
                  <c:v>6.9001043705737689E-2</c:v>
                </c:pt>
                <c:pt idx="2">
                  <c:v>3.4540836666771185E-2</c:v>
                </c:pt>
                <c:pt idx="3">
                  <c:v>0.18611109866826736</c:v>
                </c:pt>
                <c:pt idx="4">
                  <c:v>1.131502443525665E-2</c:v>
                </c:pt>
                <c:pt idx="5">
                  <c:v>5.6575122176283242E-3</c:v>
                </c:pt>
                <c:pt idx="6">
                  <c:v>3.5736842812540595E-2</c:v>
                </c:pt>
                <c:pt idx="7">
                  <c:v>3.090354456802677E-2</c:v>
                </c:pt>
                <c:pt idx="8">
                  <c:v>1.8271569545293694E-2</c:v>
                </c:pt>
                <c:pt idx="9">
                  <c:v>6.6483607548724941E-2</c:v>
                </c:pt>
                <c:pt idx="10">
                  <c:v>0.41270274991825057</c:v>
                </c:pt>
                <c:pt idx="11">
                  <c:v>7.1670780270825961E-5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3B84-4A7D-9CBD-0C2ADBE1B0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6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8B8A-48E6-9C2F-F83D2727468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8B8A-48E6-9C2F-F83D2727468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8B8A-48E6-9C2F-F83D2727468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8B8A-48E6-9C2F-F83D2727468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8B8A-48E6-9C2F-F83D2727468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8B8A-48E6-9C2F-F83D2727468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8B8A-48E6-9C2F-F83D2727468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8B8A-48E6-9C2F-F83D2727468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8B8A-48E6-9C2F-F83D2727468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8B8A-48E6-9C2F-F83D2727468E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8B8A-48E6-9C2F-F83D2727468E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8B8A-48E6-9C2F-F83D2727468E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8B8A-48E6-9C2F-F83D2727468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Mukono-Seeta'!$C$9:$N$9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Mukono-Seeta'!$C$108:$N$108</c:f>
              <c:numCache>
                <c:formatCode>0.00%</c:formatCode>
                <c:ptCount val="12"/>
                <c:pt idx="0">
                  <c:v>0.21999847456334379</c:v>
                </c:pt>
                <c:pt idx="1">
                  <c:v>0.11748913126382426</c:v>
                </c:pt>
                <c:pt idx="2">
                  <c:v>5.8813210281443054E-2</c:v>
                </c:pt>
                <c:pt idx="3">
                  <c:v>0.31689421096788961</c:v>
                </c:pt>
                <c:pt idx="4">
                  <c:v>1.9266264968347192E-2</c:v>
                </c:pt>
                <c:pt idx="5">
                  <c:v>9.6331324841735944E-3</c:v>
                </c:pt>
                <c:pt idx="6">
                  <c:v>6.084966821752727E-2</c:v>
                </c:pt>
                <c:pt idx="7">
                  <c:v>5.2619937457097095E-2</c:v>
                </c:pt>
                <c:pt idx="8">
                  <c:v>3.1111280604072915E-2</c:v>
                </c:pt>
                <c:pt idx="9">
                  <c:v>0.11320265425978189</c:v>
                </c:pt>
                <c:pt idx="11">
                  <c:v>1.2203493249942795E-4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8B8A-48E6-9C2F-F83D272746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6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9B1-462A-9165-7345BB81096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9B1-462A-9165-7345BB81096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9B1-462A-9165-7345BB81096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9B1-462A-9165-7345BB81096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9B1-462A-9165-7345BB81096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9B1-462A-9165-7345BB81096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9B1-462A-9165-7345BB81096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9B1-462A-9165-7345BB81096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9B1-462A-9165-7345BB81096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9B1-462A-9165-7345BB81096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9B1-462A-9165-7345BB81096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9B1-462A-9165-7345BB81096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9B1-462A-9165-7345BB81096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Seeta-Mukono-2Dir'!$C$9:$N$9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Seeta-Mukono-2Dir'!$C$107:$N$107</c:f>
              <c:numCache>
                <c:formatCode>0.0%</c:formatCode>
                <c:ptCount val="12"/>
                <c:pt idx="0">
                  <c:v>0.1653254459432375</c:v>
                </c:pt>
                <c:pt idx="1">
                  <c:v>5.0776085983889149E-2</c:v>
                </c:pt>
                <c:pt idx="2">
                  <c:v>3.1320793678750805E-2</c:v>
                </c:pt>
                <c:pt idx="3">
                  <c:v>0.17678605049468268</c:v>
                </c:pt>
                <c:pt idx="4">
                  <c:v>1.1669126414861335E-2</c:v>
                </c:pt>
                <c:pt idx="5">
                  <c:v>5.1178958321945606E-3</c:v>
                </c:pt>
                <c:pt idx="6">
                  <c:v>4.2670051604099979E-2</c:v>
                </c:pt>
                <c:pt idx="7">
                  <c:v>2.824965128261191E-2</c:v>
                </c:pt>
                <c:pt idx="8">
                  <c:v>1.6228264632465034E-2</c:v>
                </c:pt>
                <c:pt idx="9">
                  <c:v>5.5987108085182181E-2</c:v>
                </c:pt>
                <c:pt idx="10">
                  <c:v>0.41536542950442645</c:v>
                </c:pt>
                <c:pt idx="11">
                  <c:v>5.0409654359827739E-4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9B1-462A-9165-7345BB8109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6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0EAD-440A-938B-73199DDCAD0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0EAD-440A-938B-73199DDCAD0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0EAD-440A-938B-73199DDCAD0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0EAD-440A-938B-73199DDCAD0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0EAD-440A-938B-73199DDCAD0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0EAD-440A-938B-73199DDCAD0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0EAD-440A-938B-73199DDCAD0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0EAD-440A-938B-73199DDCAD0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0EAD-440A-938B-73199DDCAD0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0EAD-440A-938B-73199DDCAD0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0EAD-440A-938B-73199DDCAD0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0EAD-440A-938B-73199DDCAD0D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0EAD-440A-938B-73199DDCAD0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Seeta-Mukono-2Dir'!$C$9:$N$9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Seeta-Mukono-2Dir'!$C$108:$N$108</c:f>
              <c:numCache>
                <c:formatCode>0.00%</c:formatCode>
                <c:ptCount val="12"/>
                <c:pt idx="0">
                  <c:v>0.28278424555547088</c:v>
                </c:pt>
                <c:pt idx="1">
                  <c:v>8.6850981016822371E-2</c:v>
                </c:pt>
                <c:pt idx="2">
                  <c:v>5.3573283653413288E-2</c:v>
                </c:pt>
                <c:pt idx="3">
                  <c:v>0.30238726790450926</c:v>
                </c:pt>
                <c:pt idx="4">
                  <c:v>1.9959692778635789E-2</c:v>
                </c:pt>
                <c:pt idx="5">
                  <c:v>8.754008213808338E-3</c:v>
                </c:pt>
                <c:pt idx="6">
                  <c:v>7.2985850918686049E-2</c:v>
                </c:pt>
                <c:pt idx="7">
                  <c:v>4.8320186161187328E-2</c:v>
                </c:pt>
                <c:pt idx="8">
                  <c:v>2.7757962753911257E-2</c:v>
                </c:pt>
                <c:pt idx="9">
                  <c:v>9.5764278937052846E-2</c:v>
                </c:pt>
                <c:pt idx="11">
                  <c:v>8.6224210650248244E-4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0EAD-440A-938B-73199DDCAD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6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203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'Avg Week Seeta-Mukono-2Dir'!$AE$9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'Avg Week Seeta-Mukono-2Dir'!$R$10:$R$33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Seeta-Mukono-2Dir'!$AE$10:$AE$33</c:f>
              <c:numCache>
                <c:formatCode>0</c:formatCode>
                <c:ptCount val="24"/>
                <c:pt idx="0">
                  <c:v>930.28571428571445</c:v>
                </c:pt>
                <c:pt idx="1">
                  <c:v>1121.1428571428571</c:v>
                </c:pt>
                <c:pt idx="2">
                  <c:v>1087.9999999999998</c:v>
                </c:pt>
                <c:pt idx="3">
                  <c:v>1066.2857142857142</c:v>
                </c:pt>
                <c:pt idx="4">
                  <c:v>1099.2857142857142</c:v>
                </c:pt>
                <c:pt idx="5">
                  <c:v>1075</c:v>
                </c:pt>
                <c:pt idx="6">
                  <c:v>1120.5714285714284</c:v>
                </c:pt>
                <c:pt idx="7">
                  <c:v>1142</c:v>
                </c:pt>
                <c:pt idx="8">
                  <c:v>1064.1428571428571</c:v>
                </c:pt>
                <c:pt idx="9">
                  <c:v>1154.4285714285716</c:v>
                </c:pt>
                <c:pt idx="10">
                  <c:v>1173.0000000000002</c:v>
                </c:pt>
                <c:pt idx="11">
                  <c:v>1098.1428571428573</c:v>
                </c:pt>
                <c:pt idx="12">
                  <c:v>897</c:v>
                </c:pt>
                <c:pt idx="13">
                  <c:v>1038</c:v>
                </c:pt>
                <c:pt idx="14">
                  <c:v>990.5</c:v>
                </c:pt>
                <c:pt idx="15">
                  <c:v>1014.5</c:v>
                </c:pt>
                <c:pt idx="16">
                  <c:v>816</c:v>
                </c:pt>
                <c:pt idx="17">
                  <c:v>427</c:v>
                </c:pt>
                <c:pt idx="18">
                  <c:v>278.5</c:v>
                </c:pt>
                <c:pt idx="19">
                  <c:v>209</c:v>
                </c:pt>
                <c:pt idx="20">
                  <c:v>198.5</c:v>
                </c:pt>
                <c:pt idx="21">
                  <c:v>253</c:v>
                </c:pt>
                <c:pt idx="22">
                  <c:v>497.5</c:v>
                </c:pt>
                <c:pt idx="23">
                  <c:v>875.5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352-4AB2-AB90-5583CEFFD24C}"/>
            </c:ext>
          </c:extLst>
        </c:ser>
        <c:ser>
          <c:idx val="1"/>
          <c:order val="1"/>
          <c:tx>
            <c:strRef>
              <c:f>'Avg Week Seeta-Mukono-2Dir'!$AF$9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'Avg Week Seeta-Mukono-2Dir'!$R$10:$R$33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Seeta-Mukono-2Dir'!$AF$10:$AF$33</c:f>
              <c:numCache>
                <c:formatCode>0</c:formatCode>
                <c:ptCount val="24"/>
                <c:pt idx="0">
                  <c:v>1732.1428571428573</c:v>
                </c:pt>
                <c:pt idx="1">
                  <c:v>2108.4285714285716</c:v>
                </c:pt>
                <c:pt idx="2">
                  <c:v>2118.7142857142853</c:v>
                </c:pt>
                <c:pt idx="3">
                  <c:v>2006.2857142857142</c:v>
                </c:pt>
                <c:pt idx="4">
                  <c:v>2031.8571428571427</c:v>
                </c:pt>
                <c:pt idx="5">
                  <c:v>1921.2857142857142</c:v>
                </c:pt>
                <c:pt idx="6">
                  <c:v>1848.8571428571429</c:v>
                </c:pt>
                <c:pt idx="7">
                  <c:v>1889.4285714285716</c:v>
                </c:pt>
                <c:pt idx="8">
                  <c:v>1815.4285714285713</c:v>
                </c:pt>
                <c:pt idx="9">
                  <c:v>1959</c:v>
                </c:pt>
                <c:pt idx="10">
                  <c:v>2125.7142857142858</c:v>
                </c:pt>
                <c:pt idx="11">
                  <c:v>2192.7142857142858</c:v>
                </c:pt>
                <c:pt idx="12">
                  <c:v>1908</c:v>
                </c:pt>
                <c:pt idx="13">
                  <c:v>2040.5</c:v>
                </c:pt>
                <c:pt idx="14">
                  <c:v>1674</c:v>
                </c:pt>
                <c:pt idx="15">
                  <c:v>1442.5</c:v>
                </c:pt>
                <c:pt idx="16">
                  <c:v>1091</c:v>
                </c:pt>
                <c:pt idx="17">
                  <c:v>574</c:v>
                </c:pt>
                <c:pt idx="18">
                  <c:v>375.5</c:v>
                </c:pt>
                <c:pt idx="19">
                  <c:v>263</c:v>
                </c:pt>
                <c:pt idx="20">
                  <c:v>240.5</c:v>
                </c:pt>
                <c:pt idx="21">
                  <c:v>304.5</c:v>
                </c:pt>
                <c:pt idx="22">
                  <c:v>562</c:v>
                </c:pt>
                <c:pt idx="23">
                  <c:v>1057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352-4AB2-AB90-5583CEFFD24C}"/>
            </c:ext>
          </c:extLst>
        </c:ser>
        <c:ser>
          <c:idx val="5"/>
          <c:order val="2"/>
          <c:tx>
            <c:strRef>
              <c:f>'Avg Week Seeta-Mukono-2Dir'!$AC$9</c:f>
              <c:strCache>
                <c:ptCount val="1"/>
                <c:pt idx="0">
                  <c:v>11. Motorcycles</c:v>
                </c:pt>
              </c:strCache>
            </c:strRef>
          </c:tx>
          <c:cat>
            <c:strRef>
              <c:f>'Avg Week Seeta-Mukono-2Dir'!$R$10:$R$33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Seeta-Mukono-2Dir'!$AC$10:$AC$33</c:f>
              <c:numCache>
                <c:formatCode>0</c:formatCode>
                <c:ptCount val="24"/>
                <c:pt idx="0">
                  <c:v>801.85714285714289</c:v>
                </c:pt>
                <c:pt idx="1">
                  <c:v>987.28571428571422</c:v>
                </c:pt>
                <c:pt idx="2">
                  <c:v>1030.7142857142858</c:v>
                </c:pt>
                <c:pt idx="3">
                  <c:v>940</c:v>
                </c:pt>
                <c:pt idx="4">
                  <c:v>932.57142857142856</c:v>
                </c:pt>
                <c:pt idx="5">
                  <c:v>846.28571428571433</c:v>
                </c:pt>
                <c:pt idx="6">
                  <c:v>728.28571428571433</c:v>
                </c:pt>
                <c:pt idx="7">
                  <c:v>747.42857142857133</c:v>
                </c:pt>
                <c:pt idx="8">
                  <c:v>751.28571428571433</c:v>
                </c:pt>
                <c:pt idx="9">
                  <c:v>804.57142857142867</c:v>
                </c:pt>
                <c:pt idx="10">
                  <c:v>952.71428571428578</c:v>
                </c:pt>
                <c:pt idx="11">
                  <c:v>1094.5714285714284</c:v>
                </c:pt>
                <c:pt idx="12">
                  <c:v>1011</c:v>
                </c:pt>
                <c:pt idx="13">
                  <c:v>1002.5</c:v>
                </c:pt>
                <c:pt idx="14">
                  <c:v>683.5</c:v>
                </c:pt>
                <c:pt idx="15">
                  <c:v>428</c:v>
                </c:pt>
                <c:pt idx="16">
                  <c:v>275</c:v>
                </c:pt>
                <c:pt idx="17">
                  <c:v>147</c:v>
                </c:pt>
                <c:pt idx="18">
                  <c:v>97</c:v>
                </c:pt>
                <c:pt idx="19">
                  <c:v>54</c:v>
                </c:pt>
                <c:pt idx="20">
                  <c:v>42</c:v>
                </c:pt>
                <c:pt idx="21">
                  <c:v>51.5</c:v>
                </c:pt>
                <c:pt idx="22">
                  <c:v>64.5</c:v>
                </c:pt>
                <c:pt idx="23">
                  <c:v>181.5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352-4AB2-AB90-5583CEFFD2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7505792"/>
        <c:axId val="157506944"/>
      </c:lineChart>
      <c:catAx>
        <c:axId val="15750579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57506944"/>
        <c:crosses val="autoZero"/>
        <c:auto val="1"/>
        <c:lblAlgn val="ctr"/>
        <c:lblOffset val="100"/>
        <c:noMultiLvlLbl val="0"/>
      </c:catAx>
      <c:valAx>
        <c:axId val="15750694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57505792"/>
        <c:crosses val="autoZero"/>
        <c:crossBetween val="between"/>
        <c:majorUnit val="25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6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Average Daily Traffic (ADT)</a:t>
            </a:r>
            <a:r>
              <a:rPr lang="en-US" b="1" baseline="0">
                <a:solidFill>
                  <a:schemeClr val="tx1"/>
                </a:solidFill>
              </a:rPr>
              <a:t> by vehicle class</a:t>
            </a:r>
            <a:endParaRPr lang="en-US" b="1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0.2895130542892666"/>
          <c:y val="2.2543146495173104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28983112308329878"/>
          <c:y val="0.10451566293824623"/>
          <c:w val="0.64701098217985931"/>
          <c:h val="0.78282496245212663"/>
        </c:manualLayout>
      </c:layout>
      <c:barChart>
        <c:barDir val="bar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'Avg Week Seeta-Mukono-2Dir'!$S$9:$AF$9</c:f>
              <c:strCache>
                <c:ptCount val="14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Motorcycles</c:v>
                </c:pt>
                <c:pt idx="11">
                  <c:v>12. Tractors, Graders</c:v>
                </c:pt>
                <c:pt idx="12">
                  <c:v>Total Excl M/ Cycles</c:v>
                </c:pt>
                <c:pt idx="13">
                  <c:v>Total All</c:v>
                </c:pt>
              </c:strCache>
            </c:strRef>
          </c:cat>
          <c:val>
            <c:numRef>
              <c:f>'Avg Week Seeta-Mukono-2Dir'!$S$41:$AF$41</c:f>
              <c:numCache>
                <c:formatCode>_(* #,##0_);_(* \(#,##0\);_(* "-"_);_(@_)</c:formatCode>
                <c:ptCount val="14"/>
                <c:pt idx="0">
                  <c:v>5833.0714285714294</c:v>
                </c:pt>
                <c:pt idx="1">
                  <c:v>1791.5</c:v>
                </c:pt>
                <c:pt idx="2">
                  <c:v>1105.0714285714284</c:v>
                </c:pt>
                <c:pt idx="3">
                  <c:v>6237.4285714285716</c:v>
                </c:pt>
                <c:pt idx="4">
                  <c:v>411.71428571428572</c:v>
                </c:pt>
                <c:pt idx="5">
                  <c:v>180.57142857142856</c:v>
                </c:pt>
                <c:pt idx="6">
                  <c:v>1505.5</c:v>
                </c:pt>
                <c:pt idx="7">
                  <c:v>996.71428571428578</c:v>
                </c:pt>
                <c:pt idx="8">
                  <c:v>572.57142857142856</c:v>
                </c:pt>
                <c:pt idx="9">
                  <c:v>1975.3571428571427</c:v>
                </c:pt>
                <c:pt idx="10">
                  <c:v>14655.071428571431</c:v>
                </c:pt>
                <c:pt idx="11">
                  <c:v>17.785714285714281</c:v>
                </c:pt>
                <c:pt idx="12">
                  <c:v>20627.28571428571</c:v>
                </c:pt>
                <c:pt idx="13">
                  <c:v>35282.357142857145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88B-409E-8EF8-D3D2A5740C23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00"/>
        <c:axId val="157815168"/>
        <c:axId val="157816704"/>
      </c:barChart>
      <c:catAx>
        <c:axId val="1578151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57816704"/>
        <c:crosses val="autoZero"/>
        <c:auto val="1"/>
        <c:lblAlgn val="ctr"/>
        <c:lblOffset val="100"/>
        <c:noMultiLvlLbl val="0"/>
      </c:catAx>
      <c:valAx>
        <c:axId val="1578167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54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578151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7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Night Equivalent Factors (NEF)</a:t>
            </a:r>
            <a:r>
              <a:rPr lang="en-US" b="1" baseline="0">
                <a:solidFill>
                  <a:schemeClr val="tx1"/>
                </a:solidFill>
              </a:rPr>
              <a:t> by vehicle class</a:t>
            </a:r>
            <a:endParaRPr lang="en-US" b="1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0.2895130542892666"/>
          <c:y val="2.2543146495173104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28983112308329878"/>
          <c:y val="0.10451566293824623"/>
          <c:w val="0.64701098217985931"/>
          <c:h val="0.78282496245212663"/>
        </c:manualLayout>
      </c:layout>
      <c:barChart>
        <c:barDir val="bar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'Avg Week Seeta-Mukono-2Dir'!$S$9:$AF$9</c:f>
              <c:strCache>
                <c:ptCount val="14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Motorcycles</c:v>
                </c:pt>
                <c:pt idx="11">
                  <c:v>12. Tractors, Graders</c:v>
                </c:pt>
                <c:pt idx="12">
                  <c:v>Total Excl M/ Cycles</c:v>
                </c:pt>
                <c:pt idx="13">
                  <c:v>Total All</c:v>
                </c:pt>
              </c:strCache>
            </c:strRef>
          </c:cat>
          <c:val>
            <c:numRef>
              <c:f>'Avg Week Seeta-Mukono-2Dir'!$S$42:$AF$42</c:f>
              <c:numCache>
                <c:formatCode>0.000</c:formatCode>
                <c:ptCount val="14"/>
                <c:pt idx="0">
                  <c:v>1.5335774647887324</c:v>
                </c:pt>
                <c:pt idx="1">
                  <c:v>1.9160427807486633</c:v>
                </c:pt>
                <c:pt idx="2">
                  <c:v>1.5105448154657293</c:v>
                </c:pt>
                <c:pt idx="3">
                  <c:v>1.4730272258020984</c:v>
                </c:pt>
                <c:pt idx="4">
                  <c:v>1.6893317702227433</c:v>
                </c:pt>
                <c:pt idx="5">
                  <c:v>2.0619902120717781</c:v>
                </c:pt>
                <c:pt idx="6">
                  <c:v>1.5797481636935991</c:v>
                </c:pt>
                <c:pt idx="7">
                  <c:v>1.9554372197309418</c:v>
                </c:pt>
                <c:pt idx="8">
                  <c:v>1.6102852551225393</c:v>
                </c:pt>
                <c:pt idx="9">
                  <c:v>1.566677996827555</c:v>
                </c:pt>
                <c:pt idx="10">
                  <c:v>1.3802658665554404</c:v>
                </c:pt>
                <c:pt idx="11">
                  <c:v>1.0289256198347108</c:v>
                </c:pt>
                <c:pt idx="12">
                  <c:v>1.5707308052128885</c:v>
                </c:pt>
                <c:pt idx="13">
                  <c:v>1.4855818681616129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CBC-446E-BE1A-70C1E1691F90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00"/>
        <c:axId val="157861376"/>
        <c:axId val="157862912"/>
      </c:barChart>
      <c:catAx>
        <c:axId val="157861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57862912"/>
        <c:crosses val="autoZero"/>
        <c:auto val="1"/>
        <c:lblAlgn val="ctr"/>
        <c:lblOffset val="100"/>
        <c:noMultiLvlLbl val="0"/>
      </c:catAx>
      <c:valAx>
        <c:axId val="1578629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578613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" Type="http://schemas.openxmlformats.org/officeDocument/2006/relationships/chart" Target="../charts/chart1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3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7.xml"/><Relationship Id="rId1" Type="http://schemas.openxmlformats.org/officeDocument/2006/relationships/chart" Target="../charts/chart4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6.xml"/><Relationship Id="rId10" Type="http://schemas.openxmlformats.org/officeDocument/2006/relationships/image" Target="../media/image13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11.xml"/><Relationship Id="rId1" Type="http://schemas.openxmlformats.org/officeDocument/2006/relationships/chart" Target="../charts/chart8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10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9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6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6" Type="http://schemas.openxmlformats.org/officeDocument/2006/relationships/chart" Target="../charts/chart15.xml"/><Relationship Id="rId1" Type="http://schemas.openxmlformats.org/officeDocument/2006/relationships/chart" Target="../charts/chart12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14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13.xml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18" Type="http://schemas.openxmlformats.org/officeDocument/2006/relationships/chart" Target="../charts/chart21.xml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17" Type="http://schemas.openxmlformats.org/officeDocument/2006/relationships/chart" Target="../charts/chart20.xml"/><Relationship Id="rId2" Type="http://schemas.openxmlformats.org/officeDocument/2006/relationships/image" Target="../media/image1.emf"/><Relationship Id="rId16" Type="http://schemas.openxmlformats.org/officeDocument/2006/relationships/chart" Target="../charts/chart19.xml"/><Relationship Id="rId1" Type="http://schemas.openxmlformats.org/officeDocument/2006/relationships/chart" Target="../charts/chart16.xml"/><Relationship Id="rId6" Type="http://schemas.openxmlformats.org/officeDocument/2006/relationships/image" Target="../media/image5.emf"/><Relationship Id="rId11" Type="http://schemas.openxmlformats.org/officeDocument/2006/relationships/image" Target="../media/image17.jpeg"/><Relationship Id="rId5" Type="http://schemas.openxmlformats.org/officeDocument/2006/relationships/image" Target="../media/image4.emf"/><Relationship Id="rId15" Type="http://schemas.openxmlformats.org/officeDocument/2006/relationships/chart" Target="../charts/chart18.xml"/><Relationship Id="rId10" Type="http://schemas.openxmlformats.org/officeDocument/2006/relationships/image" Target="../media/image9.jpeg"/><Relationship Id="rId19" Type="http://schemas.openxmlformats.org/officeDocument/2006/relationships/chart" Target="../charts/chart22.xml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17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18" Type="http://schemas.openxmlformats.org/officeDocument/2006/relationships/chart" Target="../charts/chart28.xml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8.png"/><Relationship Id="rId17" Type="http://schemas.openxmlformats.org/officeDocument/2006/relationships/chart" Target="../charts/chart27.xml"/><Relationship Id="rId2" Type="http://schemas.openxmlformats.org/officeDocument/2006/relationships/image" Target="../media/image1.emf"/><Relationship Id="rId16" Type="http://schemas.openxmlformats.org/officeDocument/2006/relationships/chart" Target="../charts/chart26.xml"/><Relationship Id="rId1" Type="http://schemas.openxmlformats.org/officeDocument/2006/relationships/chart" Target="../charts/chart23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25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4.xml"/></Relationships>
</file>

<file path=xl/drawings/_rels/drawing7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6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8.png"/><Relationship Id="rId2" Type="http://schemas.openxmlformats.org/officeDocument/2006/relationships/image" Target="../media/image1.emf"/><Relationship Id="rId1" Type="http://schemas.openxmlformats.org/officeDocument/2006/relationships/chart" Target="../charts/chart29.xml"/><Relationship Id="rId6" Type="http://schemas.openxmlformats.org/officeDocument/2006/relationships/image" Target="../media/image5.emf"/><Relationship Id="rId11" Type="http://schemas.openxmlformats.org/officeDocument/2006/relationships/image" Target="../media/image17.jpeg"/><Relationship Id="rId5" Type="http://schemas.openxmlformats.org/officeDocument/2006/relationships/image" Target="../media/image4.emf"/><Relationship Id="rId15" Type="http://schemas.openxmlformats.org/officeDocument/2006/relationships/chart" Target="../charts/chart31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30.xml"/></Relationships>
</file>

<file path=xl/drawings/_rels/drawing8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" Type="http://schemas.openxmlformats.org/officeDocument/2006/relationships/chart" Target="../charts/chart32.xml"/><Relationship Id="rId6" Type="http://schemas.openxmlformats.org/officeDocument/2006/relationships/image" Target="../media/image5.emf"/><Relationship Id="rId11" Type="http://schemas.openxmlformats.org/officeDocument/2006/relationships/image" Target="../media/image19.jpeg"/><Relationship Id="rId5" Type="http://schemas.openxmlformats.org/officeDocument/2006/relationships/image" Target="../media/image4.emf"/><Relationship Id="rId15" Type="http://schemas.openxmlformats.org/officeDocument/2006/relationships/chart" Target="../charts/chart34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33.xml"/></Relationships>
</file>

<file path=xl/drawings/_rels/drawing9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38.xml"/><Relationship Id="rId1" Type="http://schemas.openxmlformats.org/officeDocument/2006/relationships/chart" Target="../charts/chart35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37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36.xml"/></Relationships>
</file>

<file path=xl/drawings/_rels/drawing10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18" Type="http://schemas.openxmlformats.org/officeDocument/2006/relationships/image" Target="../media/image10.jpeg"/><Relationship Id="rId3" Type="http://schemas.openxmlformats.org/officeDocument/2006/relationships/image" Target="../media/image2.emf"/><Relationship Id="rId21" Type="http://schemas.openxmlformats.org/officeDocument/2006/relationships/chart" Target="../charts/chart45.xml"/><Relationship Id="rId7" Type="http://schemas.openxmlformats.org/officeDocument/2006/relationships/image" Target="../media/image6.emf"/><Relationship Id="rId12" Type="http://schemas.openxmlformats.org/officeDocument/2006/relationships/image" Target="../media/image18.png"/><Relationship Id="rId17" Type="http://schemas.openxmlformats.org/officeDocument/2006/relationships/chart" Target="../charts/chart43.xml"/><Relationship Id="rId2" Type="http://schemas.openxmlformats.org/officeDocument/2006/relationships/image" Target="../media/image1.emf"/><Relationship Id="rId16" Type="http://schemas.openxmlformats.org/officeDocument/2006/relationships/chart" Target="../charts/chart42.xml"/><Relationship Id="rId20" Type="http://schemas.openxmlformats.org/officeDocument/2006/relationships/chart" Target="../charts/chart44.xml"/><Relationship Id="rId1" Type="http://schemas.openxmlformats.org/officeDocument/2006/relationships/chart" Target="../charts/chart39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41.xml"/><Relationship Id="rId10" Type="http://schemas.openxmlformats.org/officeDocument/2006/relationships/image" Target="../media/image9.jpeg"/><Relationship Id="rId19" Type="http://schemas.openxmlformats.org/officeDocument/2006/relationships/image" Target="../media/image11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40.xml"/></Relationships>
</file>

<file path=xl/drawings/_rels/drawing11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" Type="http://schemas.openxmlformats.org/officeDocument/2006/relationships/chart" Target="../charts/chart46.xml"/><Relationship Id="rId6" Type="http://schemas.openxmlformats.org/officeDocument/2006/relationships/image" Target="../media/image5.emf"/><Relationship Id="rId11" Type="http://schemas.openxmlformats.org/officeDocument/2006/relationships/image" Target="../media/image19.jpeg"/><Relationship Id="rId5" Type="http://schemas.openxmlformats.org/officeDocument/2006/relationships/image" Target="../media/image4.emf"/><Relationship Id="rId15" Type="http://schemas.openxmlformats.org/officeDocument/2006/relationships/chart" Target="../charts/chart48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47.xml"/></Relationships>
</file>

<file path=xl/drawings/_rels/drawing12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" Type="http://schemas.openxmlformats.org/officeDocument/2006/relationships/chart" Target="../charts/chart49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51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50.xml"/></Relationships>
</file>

<file path=xl/drawings/_rels/drawing13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6" Type="http://schemas.openxmlformats.org/officeDocument/2006/relationships/chart" Target="../charts/chart55.xml"/><Relationship Id="rId1" Type="http://schemas.openxmlformats.org/officeDocument/2006/relationships/chart" Target="../charts/chart52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54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53.xml"/></Relationships>
</file>

<file path=xl/drawings/_rels/drawing14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6" Type="http://schemas.openxmlformats.org/officeDocument/2006/relationships/chart" Target="../charts/chart59.xml"/><Relationship Id="rId1" Type="http://schemas.openxmlformats.org/officeDocument/2006/relationships/chart" Target="../charts/chart56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58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57.xml"/></Relationships>
</file>

<file path=xl/drawings/_rels/drawing15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" Type="http://schemas.openxmlformats.org/officeDocument/2006/relationships/chart" Target="../charts/chart60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62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61.xml"/></Relationships>
</file>

<file path=xl/drawings/_rels/drawing16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" Type="http://schemas.openxmlformats.org/officeDocument/2006/relationships/chart" Target="../charts/chart63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65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64.xml"/></Relationships>
</file>

<file path=xl/drawings/_rels/drawing17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emf"/><Relationship Id="rId13" Type="http://schemas.openxmlformats.org/officeDocument/2006/relationships/chart" Target="../charts/chart66.xml"/><Relationship Id="rId3" Type="http://schemas.openxmlformats.org/officeDocument/2006/relationships/image" Target="../media/image3.emf"/><Relationship Id="rId7" Type="http://schemas.openxmlformats.org/officeDocument/2006/relationships/image" Target="../media/image7.emf"/><Relationship Id="rId12" Type="http://schemas.openxmlformats.org/officeDocument/2006/relationships/image" Target="../media/image20.jpeg"/><Relationship Id="rId17" Type="http://schemas.openxmlformats.org/officeDocument/2006/relationships/chart" Target="../charts/chart70.xml"/><Relationship Id="rId2" Type="http://schemas.openxmlformats.org/officeDocument/2006/relationships/image" Target="../media/image2.emf"/><Relationship Id="rId16" Type="http://schemas.openxmlformats.org/officeDocument/2006/relationships/chart" Target="../charts/chart69.xml"/><Relationship Id="rId1" Type="http://schemas.openxmlformats.org/officeDocument/2006/relationships/image" Target="../media/image1.emf"/><Relationship Id="rId6" Type="http://schemas.openxmlformats.org/officeDocument/2006/relationships/image" Target="../media/image6.emf"/><Relationship Id="rId11" Type="http://schemas.openxmlformats.org/officeDocument/2006/relationships/image" Target="../media/image18.png"/><Relationship Id="rId5" Type="http://schemas.openxmlformats.org/officeDocument/2006/relationships/image" Target="../media/image5.emf"/><Relationship Id="rId15" Type="http://schemas.openxmlformats.org/officeDocument/2006/relationships/chart" Target="../charts/chart68.xml"/><Relationship Id="rId10" Type="http://schemas.openxmlformats.org/officeDocument/2006/relationships/image" Target="../media/image14.jpeg"/><Relationship Id="rId4" Type="http://schemas.openxmlformats.org/officeDocument/2006/relationships/image" Target="../media/image4.emf"/><Relationship Id="rId9" Type="http://schemas.openxmlformats.org/officeDocument/2006/relationships/image" Target="../media/image9.jpeg"/><Relationship Id="rId14" Type="http://schemas.openxmlformats.org/officeDocument/2006/relationships/chart" Target="../charts/chart6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11CFC8F-8205-41F9-9B66-3FB509C1B37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9668C2-2D94-4C8C-96DE-2CD1278FFA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333500" y="1673906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C5BC59C-7E3C-4E1F-91A2-6F538DE49D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117311" y="1670737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2B6741EE-101A-4A6F-997F-922F9E44B8B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025475" y="1687514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B1DAA80F-C131-44FF-BDF1-CA9E99769D2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627613" y="1691935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7F46918-8C1C-4569-909D-FD12E8C597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469001" y="1736837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EF735D66-9CA4-4254-B9CE-F7C19D9AC20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170720" y="1702028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F74CF17-906F-46A6-B2D3-E4FB5B997C4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042565" y="1674812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7A836CBE-E43B-4747-B456-ED2BC6AB95B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510155" y="1646689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3D52FEC-A071-4566-B75B-A8B46F3354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4861479" y="1693368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9522811C-AE7E-45C3-999C-EFC5CE53DDF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797259" y="1646690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C3FAFA0F-5253-46F9-B5E5-09FCA768E3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163548" y="1666875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5E2D3460-AF99-4CF8-B315-BC15BD18C0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237448" y="1615168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7CCF053B-5EE4-4D1D-9765-55AB84E67D8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9D8383C4-2A7E-4FD9-8219-0A81ADCB043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C2C0347-031E-41BF-9698-B9D2F9703DA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4A14BA3-34AF-404D-9061-B4634F44D48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BFC2162-A6BC-4391-9A69-3D8C5544FF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E3FA3AE-9984-4154-B374-4610ED1E6D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E2528374-C385-4D0B-BC3C-A1B06CB699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3FE29D3-8F89-4F3F-84DA-37414C1B5B8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82C67768-AB9B-43C5-9CF9-EED2366D95F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F28159B-FC13-4FCA-ADF6-4FEC6C38240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E30E89F1-CD3B-4869-AE97-8EFA490099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16B891E8-B6FF-4446-BB0E-8326D5C83C8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F3A3F91A-FB1F-4FA7-8EC9-86727745CBA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C9AAF4C-3770-465C-8BD4-005CF82346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795FF5EB-DAD7-4CB9-A84F-7E6DCE4CA1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C3A10EFF-54D3-42C6-A641-4F2C5D8BB0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2897E610-198F-4797-B1DD-819E571F088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98581BB7-4A56-4ADF-96B2-6F63A98F5A7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CD83B4B-FDF8-4F87-8F75-60637E0F595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F2E341C-99E0-4E94-B000-EF651B159EE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357BF90-5E78-4CE9-8F6D-17919CF931C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2510501-ECDE-4C26-91A3-A96646FDA7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27C0573-D332-492A-A3A7-3FE018587C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F8BE280-8189-4E91-A8F8-A2BBBB1D1F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908D9BF-8405-4431-A904-8C08188A36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7D73E152-1E1E-4B07-9426-D9D662F02CC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FF81ADE5-C017-481D-AC00-CAB3F26811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BA66D135-723A-4789-B7B4-ECA20A0FFCD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8A303E91-D188-4198-9869-D6544838D9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B3035FD1-0A58-44C6-B7CB-2E208566C2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414DE2D-8B57-4FC6-B505-2EE9020AA5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B1441D28-4BFD-464B-AA5C-64C94D17127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4812AF20-09AA-4DDA-9975-7AE7B3E2948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E2C644DC-E669-4020-AC88-491A3FEAB67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AE50EFE-1DE0-4F36-B48C-A69FF36114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5EBDA1F-EC34-4EA9-976D-6289DE0FB9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8A6D516-6369-4DF7-976B-FBD3A1EF043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2BF08E9-0317-45DF-9764-5E2AFD1532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78647EFF-C4C1-44C3-AC8E-F40BB82E127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8484C3A2-0AA3-4E8E-A647-EBD805BB49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72C3E48D-2F03-4F5E-8402-482EEA7BC39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77F25959-7B9A-4DD0-8D16-556A4E80981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A704E06-1314-4D2D-8CBA-81BD622C652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F8145C8-FE4D-4244-A206-AA0C05319B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79485777-7D50-46B6-965E-65B58F2D544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656E12E-5B01-4152-825E-79993A11E0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D957C12B-D8EF-4055-B4D0-7E0011F8E1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EF5C02A8-A5EC-4B9F-85CB-E1BEE4C52D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D6B69222-0397-44E0-9C74-708D4A6DBD1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62A5628F-C824-44D7-A41E-75796BEF00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C61C7AC-8404-4FB2-9E2A-96A3009AB2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685E319-E1D8-4517-B949-556C3CE302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BB457DF-B5A1-410D-9BB1-A95BB7E5D9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230BB277-1955-4EDC-9A5C-BC7DCD1244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E017E93-72EF-48E2-831E-CD7D7EEB40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7DFF92E4-C563-4536-987C-D24D1C74631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79BCA9A5-16A1-413D-8FBC-CB7CC854FD4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B408C7D7-F161-4A8D-ACEC-EB041736E1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497CD0D3-73F8-42EC-85C5-3E1C385FA7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3FD549FA-B008-417E-BF85-75D96392B84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0D5A0C7D-7BAB-4935-8EE1-FEC5A375CDA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1C839DE-231F-4ACD-86F3-F59FB50EF0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2D641106-2317-4F80-87C7-C13B5FB048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E4D0AED3-3098-4D8D-B25D-9F5581AA5D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E3CB3AE0-43BD-4850-9667-0DE1DC52589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EEA84219-10C6-4B19-97B2-1D4D595AB4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83DDDDC9-95D7-4BBC-9DDE-024A2EB3AD1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BD242C94-1E9B-4444-B466-437A7D95D9D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5C24FA0-B109-4739-B328-275B5204EC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D2878B7E-16DC-414E-8993-8061041781D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BA9A4D2F-1E46-4F9B-BA65-FF0A9071096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E887A96F-371D-46B6-8E19-787A3BF4C5D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96A2C6E3-9D4F-4C76-A98E-48DD8CB2792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47A3562-52A8-4150-A42D-840D4F2D629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56F4C42C-C3EC-424D-9B05-75DCCADBF3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6C411A34-3E26-4427-A248-5C1D7332ADC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28" name="Picture 4">
          <a:extLst>
            <a:ext uri="{FF2B5EF4-FFF2-40B4-BE49-F238E27FC236}">
              <a16:creationId xmlns:a16="http://schemas.microsoft.com/office/drawing/2014/main" id="{9A4AC7FD-4F0B-4D45-8CB7-4B2A69FDDE0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6F5B853-9BFF-4A9F-AE2C-3D6162ECC4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276CD796-F879-4FD4-B7D8-B81CE85530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AC7E10C1-337D-49D5-9E16-6C385FE408B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31E13D56-2A65-40FA-9786-BF25547DC82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9B00FFE-DD09-45A9-B33F-4C450DB096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173AE11-444F-4EC3-B71E-F539F0647A1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FD4C580-EC77-4048-AC2B-2BD67560D2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39518047-B158-4835-92F8-EAC36AEE485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97311B7-08BF-42A8-ACEC-0D016FD3D57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A0F041C-2D0D-4BAC-ACDD-966BB38494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FD4D835-662A-4596-8863-F9E128B037C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5DCEF17B-C14E-47EA-AF5C-30EE46F71D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ACA8A7C0-DB2A-4BCE-8988-68C272C05D4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10A3017-8013-4BF0-B56E-544ABCD0260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A2E5C341-0FBD-4FBD-A30D-34D8094520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41FAE38C-A41A-46F2-AA04-7F38CF91F9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486FF56-DA39-420A-9E58-7B3F931CC9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2313355F-B328-417E-8CC5-FCD157B1FE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F5BCD592-340E-492C-96BD-36C9FC5425A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743B242A-D972-437E-9642-9710F633907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5AE85EBC-AFF4-49FE-B376-2A54C0CBEC1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B3275FC-0DA0-4807-AF4B-B0926F4D3CA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A86641D2-3831-441B-AAF4-C6AFBF5665B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55A959FA-5699-42CD-80D2-7A72E9C5B7C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BCC93B75-61DF-43A7-B7B5-8B879E16560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4CD8A05E-A83D-4201-B933-BC4183AF5CC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8F3F6FFF-9998-43D6-966C-0861F80108F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23A408D-E036-4C9E-9E19-85B38C9DE62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992E4350-C251-4A12-B4B7-95E4DE80464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28" name="Picture 4">
          <a:extLst>
            <a:ext uri="{FF2B5EF4-FFF2-40B4-BE49-F238E27FC236}">
              <a16:creationId xmlns:a16="http://schemas.microsoft.com/office/drawing/2014/main" id="{52D47A58-053A-4093-913A-60DB5B7AF0F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3B472CC5-C52B-46A5-BEDE-10EA190222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B4B87842-EC24-4F32-A1C3-713D961C0B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3357A83B-FA7B-45DE-86E9-E9C0D05AB04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70583849-E87A-41E2-B188-4E1B3E248A3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D5A5A00-3F3E-4DBA-AD14-690787A24FC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95E51A4-0F43-47FB-BCAE-F51F8BAACF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630DFB9-D4D4-4CDE-A91B-F1DC724995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E932A2E4-E7EE-409F-AC15-01426DB5939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8FE05EDC-131A-4C10-9500-FACF491A9A7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5C7BC54-4C0E-49B3-A8E3-B116B62A452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B51489E6-558E-4134-87C8-4C1F569F608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9A18647-F6CB-4D27-8E90-6AF05A17123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690289A6-A003-456F-90CE-D799661B10E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90214C5D-5BBD-405E-BE0F-3B23F9C841F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92887784-3C03-4F6B-9C5B-394BAA31B67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3BBA41DC-5511-41C0-B5A4-3930BD242F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A733BC1-F32D-4BE4-972B-658A1C0D2B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30AC53BB-20A6-473E-8FE0-88E6F885D6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709E55AF-4406-4A38-AA5A-2F1F9B7080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BE5B84F-E7F9-4888-8364-5155D466359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B9F8FE3-434C-498C-B69C-5D6653FA2AA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92E213C-AC12-4AB2-8177-5988196C59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46E9F966-108A-437A-BA82-30567CD847D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33210A5-3608-4FA6-A870-15F7A148ECF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AD2E9C6A-86FC-43C8-ACC5-4E8F1D7C16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23849C80-1C79-4E58-BCA0-DADFCCC7DD1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1F0B3A3-2D65-4925-A130-ACE32C1696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B5C815D1-3DC3-49D4-8EC4-F0F9844C714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7392CC8-C478-4740-9F98-E794DD06717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F394D704-B477-44ED-9B81-731CE82146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D99B64C7-FCB5-4657-9490-6332A3AC50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180EDBA-E56F-4F40-8629-7FA88E9F38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41715DD5-608D-41A8-9BD9-0CBABB14A28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E418EF71-2456-4AC3-8C28-8D9EEDDA711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C078940-D67E-4802-9FBB-4F55C4BD16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0530FB7-75AB-4825-A797-D7AA75235DC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135A41DF-59D0-4AD7-92C6-E962F44A876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CCC58F1-3EDC-423C-B2A6-04BAD9A48C2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DBBFF5B-347F-438A-8A35-2E65D31C3D1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8A571D3F-AFC5-4A01-A84E-8CEB978B6B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86F93436-8CDE-45F1-868D-1F76FB4087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6F520AE7-EC71-4888-B58B-81185D1654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B92A2E0E-4AE9-4466-BC9C-57638934825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D090FDE7-E4CB-4E22-B076-5707B6D0E8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F4AD34A0-4ABD-4539-AB95-A0B25A4F58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D73990A3-EB40-4A65-9507-E2A0F49D17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E3078063-06B0-4C57-8381-301B07C378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F4096C3F-CC05-4533-A944-12E0A90C970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A82EA7F7-7ED0-4466-A41A-9E4F7CA51EC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D05ED10C-2476-4BCE-8984-47C0B6FAA0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0FDDE2E-EA38-4B4D-8F37-64E25CE8838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2A60D40-9565-4BE5-885C-69774B7BDB0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8DA518A-CF2C-4098-A02A-1FEED12B5F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D7427E8-FCCB-4B05-902E-94004146B61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457C5FA-4230-45D3-9BEA-5E77FB0BFDC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30933819-0678-4844-93F6-365B817E199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2CCF32F-F899-4E8E-B169-C557ED0E33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923289F-04AC-42EC-BEB0-F19B76801E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BC56928B-5F6F-4CA9-95A8-F399437D49C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FF91CBE-F1A9-4733-8633-AD10A781A0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C6E00A70-5769-4FF4-BE23-24F31F7307B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6B68D07-B3D3-4201-B269-156425BE3D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C49B6ACB-2E8A-4F79-8D8F-272D6FB94C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81D804CD-FF7D-4398-800E-A1697F34FDE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124A468D-B7E9-45D8-994D-4AB3845E96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6B99EDFE-EFBB-4B74-9F4F-C15AA0D8AF7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7E16C57E-BBD7-4521-ADDA-7181C31F49B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1FA09B9B-00B1-4C35-91BD-4D5FC62194E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3C998727-C23D-49C4-A5F5-39ED1046D9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D6E01E94-2468-4F29-8EA1-5D9375DEF7F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DEE3736-16AD-47EA-A7DC-598222280D1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6A3359E1-E7CA-4E5D-BFC2-934D9ED4264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F5D1C8F3-D8D9-4F10-93C1-AA3DFFAB277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116C60ED-6BA6-4FDF-B406-2F439551111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E58A4077-D3B6-4C65-BF7A-863D01ABBBF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71ADC807-D311-4506-BFAA-8104888DDF6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28" name="Picture 4">
          <a:extLst>
            <a:ext uri="{FF2B5EF4-FFF2-40B4-BE49-F238E27FC236}">
              <a16:creationId xmlns:a16="http://schemas.microsoft.com/office/drawing/2014/main" id="{39C02FBD-692B-426A-882D-0B90CD83992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D9FDC878-64D3-4939-A299-10260C93AF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9A8513C0-5AAA-4F9B-9594-6E3E02FF92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EA477A85-02F0-4012-AAE6-32D73975983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0C3F8689-7F22-4A56-BDD3-67ADC43B64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A000981-BCC2-455D-92B1-84DD7DCCBD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067BD92-CB62-48CA-9DD0-D7D774A4374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9B28062-6AFE-4011-AC68-49C6148E77A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6BBE398-A56C-48CA-BFC1-610BFA1F6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16943D-B516-40D0-9F97-98CDF8795F4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13D749C9-5906-4CCA-B152-603DD1B861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11ACD35-E8D5-49D7-8A70-A0EE7F23870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3A3C7FF-69D9-458C-90FE-961D7820FC2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36C6BECF-838E-467B-9866-1751A3FA86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48C437B6-5E45-41B7-A976-1F2FE47140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4B44EA52-C439-4105-8E19-92FF5E0EEE0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792DAE31-610C-4B7C-92D5-87E8242420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BC5A4F1F-083B-416F-92CC-4CB874426E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28D37E80-8382-43D6-89E4-90052E5CA7D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9B672CC8-D710-48E5-AB41-49A38A9B5F3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090FA51-49AF-4CA3-893F-A6307CD3777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F387249-FF27-4F30-987E-FC22E7B52B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A32569C-9E75-463F-ACBE-CF56B22E1B3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92D3384-2668-4564-822A-662D7C8E54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E13CE831-D300-49E1-8F9A-D08884AEE19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9E34F9B-964E-4D0D-A88C-FC65CFB8657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ED160651-F549-4C3F-909F-ED55905A27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F2A909-B6DE-424E-A030-5AE73C58F1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973ED4A3-7329-4B47-96A7-1D4BAF08AB8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58E7A2BB-1E98-4723-BFA1-4F9AE593288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88646930-FD6D-4C3B-BCD4-B71CD49281A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E787FB74-CC8A-46EC-9323-5806E88426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A5AD1D5-6AEB-4429-B00D-A6CE4C8EDD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5F200170-D06E-4657-AE7F-2C965A096B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D7BEA8A8-6B06-44C3-9B82-A3448FA4E5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3769D03-56A4-48BA-B708-B148277AB3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2B164D1-D3A6-4F49-9915-40FB592F1B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CE22DE1-2830-460C-AD37-672B9EDF9D5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4B4FF9F-7500-457A-A8E0-459FE0B6B5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0ABC7C4-EBC7-43FB-81F4-8FD3DD6945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41605433-CB66-4379-9010-6F98A56B22C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49160004-F210-483C-B162-76455BE5213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11BE1DF2-A9D8-4961-907D-55040170AD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AB691F47-86A4-4229-906C-ECE96BF798D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DDFCDC9-1F96-4F74-B537-4F2AFC05E9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D5EF5D29-A47E-4AF8-85B3-1374B4F6A7C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CABD53E-2D47-4AB7-9914-01C65DBFFA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70D1C830-FF5D-4624-ABBF-4B163D9A5D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9FCDC906-6885-45D8-83E7-FFBB67A632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EE1C5C6E-100B-42E3-92B6-502B45D5AB1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A8EE9ABE-75B0-4BCE-B434-CB5CBADB77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24D07F7-A505-4739-B386-7B6D7DD0896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0BBC979-15AA-4A11-9224-18E0E7CF6E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1B8E3D4-7E5F-418C-BBAF-8F5F6270B85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D05A13E-1128-4A13-B522-6EF66121EE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207A79A5-DE2C-43B6-93E8-029BEE79CCC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6335A27C-6117-4ADE-BAD3-8B5E13539C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E099A6C3-B976-4FB8-8A58-5E45F6D0F1B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8EA27B75-11E2-47C3-92D0-E1274591C9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2DE68A34-6B83-4CE1-B89D-93C3D05F7CE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AA6CD2C4-2193-49F0-A361-74A7AAA290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89D090DF-78EB-40DF-8A6D-54E8002AB20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8CC2D505-B814-4153-9006-3734F69121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9849053B-C2A2-4B10-B63A-9FD0112A14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F75497C2-F34C-49E6-A4E9-41E13AD164E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944922A7-8790-46BB-B71A-6BD4B4C9DF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7F0904D3-4B8A-474B-86E5-F1190B2850C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15875</xdr:colOff>
      <xdr:row>43</xdr:row>
      <xdr:rowOff>6349</xdr:rowOff>
    </xdr:from>
    <xdr:to>
      <xdr:col>27</xdr:col>
      <xdr:colOff>698500</xdr:colOff>
      <xdr:row>57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06C45E2-77C7-4510-884F-FEF0715DDB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19AEE80-7130-4FE5-8DCD-05DF10B8C22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3E1E659-91F2-4594-978C-33DD6417A5B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82B73A80-E2E3-4174-B73D-D61B63E6008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7E46CF73-4595-47F7-B47F-2B24A9AA94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7AF59A5-69EA-4554-923B-279A64D6C4C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400AE0E0-9A4F-45E2-BBB2-010A32C6E97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47AD0C11-87DE-4860-AEB0-7F2EB944A6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DB53AA64-9B63-48C4-86C6-C93F947459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FA31503D-49F8-4886-9D79-D1CF7783162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D89B662C-1BD4-43B0-ACB7-D5C2088AE05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C2C04AF1-D698-4B62-BF42-BE1F9D58FB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906F0358-DE0D-42DF-9D85-A89ACE8339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0</xdr:colOff>
      <xdr:row>58</xdr:row>
      <xdr:rowOff>9525</xdr:rowOff>
    </xdr:from>
    <xdr:to>
      <xdr:col>23</xdr:col>
      <xdr:colOff>15875</xdr:colOff>
      <xdr:row>73</xdr:row>
      <xdr:rowOff>269875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872B518F-3318-457A-AD2F-F257EB81D5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15876</xdr:colOff>
      <xdr:row>58</xdr:row>
      <xdr:rowOff>15875</xdr:rowOff>
    </xdr:from>
    <xdr:to>
      <xdr:col>31</xdr:col>
      <xdr:colOff>1</xdr:colOff>
      <xdr:row>73</xdr:row>
      <xdr:rowOff>269875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F07B1E9E-4942-4AD4-98C8-E1AF8366002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31750</xdr:colOff>
      <xdr:row>42</xdr:row>
      <xdr:rowOff>276225</xdr:rowOff>
    </xdr:from>
    <xdr:to>
      <xdr:col>28</xdr:col>
      <xdr:colOff>15874</xdr:colOff>
      <xdr:row>57</xdr:row>
      <xdr:rowOff>31751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0B270C2-815D-4851-AC3C-4EA46B2C64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A68EABE-F73F-486D-BB3C-58052251225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9A39479-5D94-439F-AAAE-4B1288B89B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A639D45-A3C5-49D6-8FD7-337DBA87034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A32685D6-892C-43F5-AFA8-62F9167E79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B110D7-9219-4421-AE6E-5DABBB7FCC3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C9CC16-C5B8-4879-9435-5E3796BA4AE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9D0DABC-8D47-4952-A548-79AF3DF1FAC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AF999087-E9AB-4F93-B9EF-BE24ADD193A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963AAD9-4121-45A3-93F6-094DAF14FE6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9B7D99CA-796E-4A36-B9D3-FD180F1A83C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7C936931-6EFD-4A74-AEA9-47EEB365E2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200DC7B-A120-4F30-A5FF-185ED29C03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0</xdr:colOff>
      <xdr:row>57</xdr:row>
      <xdr:rowOff>279400</xdr:rowOff>
    </xdr:from>
    <xdr:to>
      <xdr:col>23</xdr:col>
      <xdr:colOff>15875</xdr:colOff>
      <xdr:row>74</xdr:row>
      <xdr:rowOff>63500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57033F9A-A642-43E1-B688-5FBA3AD22A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15876</xdr:colOff>
      <xdr:row>57</xdr:row>
      <xdr:rowOff>269875</xdr:rowOff>
    </xdr:from>
    <xdr:to>
      <xdr:col>31</xdr:col>
      <xdr:colOff>1</xdr:colOff>
      <xdr:row>74</xdr:row>
      <xdr:rowOff>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288892E-53EA-4DAD-967C-F738DF767C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092412C-BA1C-4D34-B971-DE0C2104536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13F6493-22B5-43D3-89E3-9CBBD5F672E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6A6F653-AFF5-4987-B236-C85A1CE131E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BB621B9F-62A3-4E5A-AFD4-DC12703D4B0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AE15982-C002-4BDF-96C3-22A45DA5C7B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B3C3AB7B-75D5-418A-958E-EACBF65A12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60CF7CE4-A85A-4C22-9DC3-58935080984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E90AC934-2ABE-477D-8A15-38EFC094156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E53BA24-BE44-430F-9803-6A8B6CB29F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11BA8E67-A1DD-42EA-85BC-CB4649F507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FAA7FF40-C1FE-4D4D-88B0-F8E6F92136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165D294B-6A53-4A12-9BC4-B2A9462DB2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15875</xdr:colOff>
      <xdr:row>57</xdr:row>
      <xdr:rowOff>25400</xdr:rowOff>
    </xdr:from>
    <xdr:to>
      <xdr:col>23</xdr:col>
      <xdr:colOff>698500</xdr:colOff>
      <xdr:row>73</xdr:row>
      <xdr:rowOff>111125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9829EB85-A50A-4379-94F7-6C2E31DC19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17</xdr:col>
      <xdr:colOff>15875</xdr:colOff>
      <xdr:row>73</xdr:row>
      <xdr:rowOff>127000</xdr:rowOff>
    </xdr:from>
    <xdr:to>
      <xdr:col>24</xdr:col>
      <xdr:colOff>0</xdr:colOff>
      <xdr:row>90</xdr:row>
      <xdr:rowOff>15875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603DD9D7-E468-486E-B0CF-46B1770E47D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17</xdr:col>
      <xdr:colOff>0</xdr:colOff>
      <xdr:row>42</xdr:row>
      <xdr:rowOff>285749</xdr:rowOff>
    </xdr:from>
    <xdr:to>
      <xdr:col>28</xdr:col>
      <xdr:colOff>63500</xdr:colOff>
      <xdr:row>57</xdr:row>
      <xdr:rowOff>15874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1F3C755B-FA06-4641-8226-864954F6E96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23</xdr:col>
      <xdr:colOff>714374</xdr:colOff>
      <xdr:row>57</xdr:row>
      <xdr:rowOff>31750</xdr:rowOff>
    </xdr:from>
    <xdr:to>
      <xdr:col>30</xdr:col>
      <xdr:colOff>714374</xdr:colOff>
      <xdr:row>73</xdr:row>
      <xdr:rowOff>111125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23627A04-1E0E-4C3A-8B25-FA92ABCB63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23</xdr:col>
      <xdr:colOff>698499</xdr:colOff>
      <xdr:row>73</xdr:row>
      <xdr:rowOff>126999</xdr:rowOff>
    </xdr:from>
    <xdr:to>
      <xdr:col>31</xdr:col>
      <xdr:colOff>15874</xdr:colOff>
      <xdr:row>90</xdr:row>
      <xdr:rowOff>15874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7CD2BF54-C297-4A9B-8975-0C4CE3D1A6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MCC-C2-STN-74-Seeta-Mukono%20Road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23.09 Seeta-Mukono"/>
      <sheetName val="23.09 Mukono-Seeta"/>
      <sheetName val="24.09 Seeta-Mukono"/>
      <sheetName val="24.09 Mukono-Seeta"/>
      <sheetName val="25.09 Seeta-Mukono"/>
      <sheetName val="25.09 Mukono-Seeta"/>
      <sheetName val="25.09 kibuye-makindye"/>
      <sheetName val="25.07 Makindye-Kibuye"/>
      <sheetName val="26.07 Kibuye-Makindye-24h"/>
      <sheetName val="26.07 Makindye-Kibuye-24h"/>
      <sheetName val="27.07 Kibuye-Makindye-24h"/>
      <sheetName val="27.07 Makindye-Kibuye-24h"/>
      <sheetName val="28.07 Kibuye-Makindye"/>
      <sheetName val="28.07 Makindye-Kibuye"/>
      <sheetName val="Avg Week Kibuye-Makindye"/>
      <sheetName val="Avg Week Makindye-Kibuye"/>
      <sheetName val="Avg Week Makindye-Kibuye-2Dir"/>
    </sheetNames>
    <sheetDataSet>
      <sheetData sheetId="0">
        <row r="3">
          <cell r="C3" t="str">
            <v>MCC - C2 - STN074 - SONDE  ROAD</v>
          </cell>
        </row>
        <row r="5">
          <cell r="G5" t="str">
            <v>Gasco Petrol Sta'n</v>
          </cell>
          <cell r="K5" t="str">
            <v>Namuddu. M</v>
          </cell>
        </row>
        <row r="6">
          <cell r="D6" t="str">
            <v>Seeta</v>
          </cell>
          <cell r="G6" t="str">
            <v>Mukono</v>
          </cell>
          <cell r="K6" t="str">
            <v>Tracy</v>
          </cell>
        </row>
      </sheetData>
      <sheetData sheetId="1">
        <row r="3">
          <cell r="C3" t="str">
            <v>MCC - C2 - STN074 - SONDE  ROAD</v>
          </cell>
        </row>
      </sheetData>
      <sheetData sheetId="2"/>
      <sheetData sheetId="3"/>
      <sheetData sheetId="4">
        <row r="9">
          <cell r="C9" t="str">
            <v>1. Car</v>
          </cell>
          <cell r="D9" t="str">
            <v>2. Station Wagon</v>
          </cell>
          <cell r="E9" t="str">
            <v>3. Pickups</v>
          </cell>
          <cell r="F9" t="str">
            <v>4. Minibus, matatu</v>
          </cell>
          <cell r="G9" t="str">
            <v xml:space="preserve">5. Medium bus </v>
          </cell>
          <cell r="H9" t="str">
            <v>6. Large Bus</v>
          </cell>
          <cell r="I9" t="str">
            <v xml:space="preserve">7. Light Truck </v>
          </cell>
          <cell r="J9" t="str">
            <v xml:space="preserve">8. Medium Truck </v>
          </cell>
          <cell r="K9" t="str">
            <v xml:space="preserve">9. Heavy truck </v>
          </cell>
          <cell r="L9" t="str">
            <v xml:space="preserve">10. Truck Trailer </v>
          </cell>
          <cell r="M9" t="str">
            <v>11. Motor cycles</v>
          </cell>
          <cell r="N9" t="str">
            <v>12. Tractors</v>
          </cell>
          <cell r="AE9" t="str">
            <v>Total Excl M/ Cycles</v>
          </cell>
          <cell r="AF9" t="str">
            <v>Total All</v>
          </cell>
        </row>
        <row r="10">
          <cell r="R10" t="str">
            <v>0700-0800</v>
          </cell>
          <cell r="AE10">
            <v>598</v>
          </cell>
          <cell r="AF10">
            <v>991</v>
          </cell>
        </row>
        <row r="11">
          <cell r="R11" t="str">
            <v>0800-0900</v>
          </cell>
          <cell r="AE11">
            <v>603</v>
          </cell>
          <cell r="AF11">
            <v>1056</v>
          </cell>
        </row>
        <row r="12">
          <cell r="R12" t="str">
            <v>0900-1000</v>
          </cell>
          <cell r="AE12">
            <v>665</v>
          </cell>
          <cell r="AF12">
            <v>1116</v>
          </cell>
        </row>
        <row r="13">
          <cell r="R13" t="str">
            <v>1000-1100</v>
          </cell>
          <cell r="AE13">
            <v>635</v>
          </cell>
          <cell r="AF13">
            <v>1086</v>
          </cell>
        </row>
        <row r="14">
          <cell r="R14" t="str">
            <v>1100-1200</v>
          </cell>
          <cell r="AE14">
            <v>623</v>
          </cell>
          <cell r="AF14">
            <v>1097</v>
          </cell>
        </row>
        <row r="15">
          <cell r="R15" t="str">
            <v>1200-1300</v>
          </cell>
          <cell r="AE15">
            <v>575</v>
          </cell>
          <cell r="AF15">
            <v>1049</v>
          </cell>
        </row>
        <row r="16">
          <cell r="R16" t="str">
            <v>1300-1400</v>
          </cell>
          <cell r="AE16">
            <v>622</v>
          </cell>
          <cell r="AF16">
            <v>1020</v>
          </cell>
        </row>
        <row r="17">
          <cell r="R17" t="str">
            <v>1400-1500</v>
          </cell>
          <cell r="AE17">
            <v>602</v>
          </cell>
          <cell r="AF17">
            <v>944</v>
          </cell>
        </row>
        <row r="18">
          <cell r="R18" t="str">
            <v>1500-1600</v>
          </cell>
          <cell r="AE18">
            <v>557</v>
          </cell>
          <cell r="AF18">
            <v>962</v>
          </cell>
        </row>
        <row r="19">
          <cell r="R19" t="str">
            <v>1600-1700</v>
          </cell>
          <cell r="AE19">
            <v>655</v>
          </cell>
          <cell r="AF19">
            <v>1063</v>
          </cell>
        </row>
        <row r="20">
          <cell r="R20" t="str">
            <v>1700-1800</v>
          </cell>
          <cell r="AE20">
            <v>609</v>
          </cell>
          <cell r="AF20">
            <v>1140</v>
          </cell>
        </row>
        <row r="21">
          <cell r="R21" t="str">
            <v>1800-1900</v>
          </cell>
          <cell r="AE21">
            <v>570</v>
          </cell>
          <cell r="AF21">
            <v>1121</v>
          </cell>
        </row>
        <row r="59">
          <cell r="C59">
            <v>0.19422696718070384</v>
          </cell>
          <cell r="D59">
            <v>2.2854883353103993E-2</v>
          </cell>
          <cell r="E59">
            <v>2.933965994464215E-2</v>
          </cell>
          <cell r="F59">
            <v>0.15421115065243179</v>
          </cell>
          <cell r="G59">
            <v>1.2574139976275208E-2</v>
          </cell>
          <cell r="H59">
            <v>1.0359826018189007E-2</v>
          </cell>
          <cell r="I59">
            <v>5.0771055753262156E-2</v>
          </cell>
          <cell r="J59">
            <v>2.6729932779754845E-2</v>
          </cell>
          <cell r="K59">
            <v>2.151047844998023E-2</v>
          </cell>
          <cell r="L59">
            <v>5.5832344800316333E-2</v>
          </cell>
          <cell r="M59">
            <v>0.42158956109134044</v>
          </cell>
          <cell r="N59">
            <v>0</v>
          </cell>
        </row>
        <row r="60">
          <cell r="C60">
            <v>0.33579436696745968</v>
          </cell>
          <cell r="D60">
            <v>3.9513262236806124E-2</v>
          </cell>
          <cell r="E60">
            <v>5.0724637681159424E-2</v>
          </cell>
          <cell r="F60">
            <v>0.26661197703035278</v>
          </cell>
          <cell r="G60">
            <v>2.1739130434782608E-2</v>
          </cell>
          <cell r="H60">
            <v>1.7910855892808313E-2</v>
          </cell>
          <cell r="I60">
            <v>8.7776866283839211E-2</v>
          </cell>
          <cell r="J60">
            <v>4.6212742685261141E-2</v>
          </cell>
          <cell r="K60">
            <v>3.7188952693464589E-2</v>
          </cell>
          <cell r="L60">
            <v>9.6527208094066175E-2</v>
          </cell>
          <cell r="N60">
            <v>0</v>
          </cell>
        </row>
      </sheetData>
      <sheetData sheetId="5">
        <row r="9">
          <cell r="C9" t="str">
            <v>1. Car</v>
          </cell>
          <cell r="D9" t="str">
            <v>2. Station Wagon</v>
          </cell>
          <cell r="E9" t="str">
            <v>3. Pickups</v>
          </cell>
          <cell r="F9" t="str">
            <v>4. Minibus, matatu</v>
          </cell>
          <cell r="G9" t="str">
            <v xml:space="preserve">5. Medium bus </v>
          </cell>
          <cell r="H9" t="str">
            <v>6. Large Bus</v>
          </cell>
          <cell r="I9" t="str">
            <v xml:space="preserve">7. Light Truck </v>
          </cell>
          <cell r="J9" t="str">
            <v xml:space="preserve">8. Medium Truck </v>
          </cell>
          <cell r="K9" t="str">
            <v xml:space="preserve">9. Heavy truck </v>
          </cell>
          <cell r="L9" t="str">
            <v xml:space="preserve">10. Truck Trailer </v>
          </cell>
          <cell r="M9" t="str">
            <v>11. Motor cycles</v>
          </cell>
          <cell r="N9" t="str">
            <v>12. Tractors</v>
          </cell>
          <cell r="AE9" t="str">
            <v>Total Excl M/ Cycles</v>
          </cell>
          <cell r="AF9" t="str">
            <v>Total All</v>
          </cell>
        </row>
        <row r="10">
          <cell r="R10" t="str">
            <v>0700-0800</v>
          </cell>
          <cell r="AE10">
            <v>693</v>
          </cell>
          <cell r="AF10">
            <v>1364</v>
          </cell>
        </row>
        <row r="11">
          <cell r="R11" t="str">
            <v>0800-0900</v>
          </cell>
          <cell r="AE11">
            <v>392</v>
          </cell>
          <cell r="AF11">
            <v>941</v>
          </cell>
        </row>
        <row r="12">
          <cell r="R12" t="str">
            <v>0900-1000</v>
          </cell>
          <cell r="AE12">
            <v>366</v>
          </cell>
          <cell r="AF12">
            <v>839</v>
          </cell>
        </row>
        <row r="13">
          <cell r="R13" t="str">
            <v>1000-1100</v>
          </cell>
          <cell r="AE13">
            <v>432</v>
          </cell>
          <cell r="AF13">
            <v>888</v>
          </cell>
        </row>
        <row r="14">
          <cell r="R14" t="str">
            <v>1100-1200</v>
          </cell>
          <cell r="AE14">
            <v>560</v>
          </cell>
          <cell r="AF14">
            <v>1053</v>
          </cell>
        </row>
        <row r="15">
          <cell r="R15" t="str">
            <v>1200-1300</v>
          </cell>
          <cell r="AE15">
            <v>517</v>
          </cell>
          <cell r="AF15">
            <v>952</v>
          </cell>
        </row>
        <row r="16">
          <cell r="R16" t="str">
            <v>1300-1400</v>
          </cell>
          <cell r="AE16">
            <v>435</v>
          </cell>
          <cell r="AF16">
            <v>713</v>
          </cell>
        </row>
        <row r="17">
          <cell r="R17" t="str">
            <v>1400-1500</v>
          </cell>
          <cell r="AE17">
            <v>414</v>
          </cell>
          <cell r="AF17">
            <v>670</v>
          </cell>
        </row>
        <row r="18">
          <cell r="R18" t="str">
            <v>1500-1600</v>
          </cell>
          <cell r="AE18">
            <v>494</v>
          </cell>
          <cell r="AF18">
            <v>863</v>
          </cell>
        </row>
        <row r="19">
          <cell r="R19" t="str">
            <v>1600-1700</v>
          </cell>
          <cell r="AE19">
            <v>537</v>
          </cell>
          <cell r="AF19">
            <v>929</v>
          </cell>
        </row>
        <row r="20">
          <cell r="R20" t="str">
            <v>1700-1800</v>
          </cell>
          <cell r="AE20">
            <v>547</v>
          </cell>
          <cell r="AF20">
            <v>1034</v>
          </cell>
        </row>
        <row r="21">
          <cell r="R21" t="str">
            <v>1800-1900</v>
          </cell>
          <cell r="AE21">
            <v>597</v>
          </cell>
          <cell r="AF21">
            <v>1073</v>
          </cell>
        </row>
        <row r="59">
          <cell r="C59">
            <v>0.12668963689371854</v>
          </cell>
          <cell r="D59">
            <v>5.6895485466914038E-2</v>
          </cell>
          <cell r="E59">
            <v>3.0833112465765526E-2</v>
          </cell>
          <cell r="F59">
            <v>0.17793091262479019</v>
          </cell>
          <cell r="G59">
            <v>8.7463556851311956E-3</v>
          </cell>
          <cell r="H59">
            <v>2.8271048679211945E-3</v>
          </cell>
          <cell r="I59">
            <v>2.9772948140295078E-2</v>
          </cell>
          <cell r="J59">
            <v>2.8271048679211944E-2</v>
          </cell>
          <cell r="K59">
            <v>2.014312218393851E-2</v>
          </cell>
          <cell r="L59">
            <v>4.6470536266454636E-2</v>
          </cell>
          <cell r="M59">
            <v>0.47133138969873661</v>
          </cell>
          <cell r="N59">
            <v>8.8347027122537329E-5</v>
          </cell>
        </row>
        <row r="60">
          <cell r="C60">
            <v>0.23963903743315507</v>
          </cell>
          <cell r="D60">
            <v>0.10762032085561497</v>
          </cell>
          <cell r="E60">
            <v>5.8322192513368981E-2</v>
          </cell>
          <cell r="F60">
            <v>0.33656417112299464</v>
          </cell>
          <cell r="G60">
            <v>1.6544117647058824E-2</v>
          </cell>
          <cell r="H60">
            <v>5.3475935828877002E-3</v>
          </cell>
          <cell r="I60">
            <v>5.6316844919786099E-2</v>
          </cell>
          <cell r="J60">
            <v>5.3475935828877004E-2</v>
          </cell>
          <cell r="K60">
            <v>3.8101604278074866E-2</v>
          </cell>
          <cell r="L60">
            <v>8.7901069518716582E-2</v>
          </cell>
          <cell r="N60">
            <v>1.6711229946524063E-4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F126"/>
  <sheetViews>
    <sheetView view="pageBreakPreview" zoomScale="60" workbookViewId="0">
      <selection activeCell="S54" sqref="S54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2" t="s">
        <v>23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  <c r="AE1" s="62"/>
    </row>
    <row r="2" spans="2:32" ht="20.100000000000001" customHeight="1" x14ac:dyDescent="0.25">
      <c r="B2" s="63" t="s">
        <v>95</v>
      </c>
      <c r="C2" s="63"/>
      <c r="D2" s="63"/>
      <c r="E2" s="63"/>
      <c r="F2" s="63"/>
      <c r="G2" s="63"/>
      <c r="H2" s="63"/>
      <c r="I2" s="63"/>
      <c r="J2" s="63"/>
      <c r="K2" s="63"/>
      <c r="L2" s="63"/>
      <c r="M2" s="63"/>
      <c r="N2" s="63"/>
      <c r="O2" s="63"/>
      <c r="P2" s="63"/>
      <c r="Q2" s="63"/>
      <c r="R2" s="63"/>
      <c r="S2" s="63"/>
      <c r="T2" s="63"/>
      <c r="U2" s="63"/>
      <c r="V2" s="63"/>
      <c r="W2" s="63"/>
      <c r="X2" s="63"/>
      <c r="Y2" s="63"/>
      <c r="Z2" s="63"/>
      <c r="AA2" s="63"/>
      <c r="AB2" s="63"/>
      <c r="AC2" s="63"/>
      <c r="AD2" s="63"/>
      <c r="AE2" s="63"/>
    </row>
    <row r="3" spans="2:32" ht="20.100000000000001" customHeight="1" x14ac:dyDescent="0.25">
      <c r="B3" s="21" t="s">
        <v>96</v>
      </c>
      <c r="C3" s="64" t="s">
        <v>165</v>
      </c>
      <c r="D3" s="64"/>
      <c r="E3" s="64"/>
      <c r="F3" s="64"/>
      <c r="G3" s="64"/>
      <c r="H3" s="21"/>
      <c r="I3" s="21"/>
      <c r="J3" s="21"/>
      <c r="K3" s="21"/>
      <c r="L3" s="21"/>
      <c r="M3" s="21"/>
      <c r="N3" s="21"/>
      <c r="O3" s="21"/>
      <c r="P3" s="21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166</v>
      </c>
      <c r="E5" s="3"/>
      <c r="F5" s="41" t="s">
        <v>1</v>
      </c>
      <c r="G5" s="59" t="s">
        <v>172</v>
      </c>
      <c r="H5" s="60"/>
      <c r="I5" s="14"/>
      <c r="J5" s="2" t="s">
        <v>5</v>
      </c>
      <c r="K5" s="59" t="s">
        <v>170</v>
      </c>
      <c r="L5" s="60"/>
      <c r="M5" s="10"/>
      <c r="N5" s="10"/>
      <c r="O5" s="3"/>
      <c r="P5" s="3"/>
    </row>
    <row r="6" spans="2:32" ht="23.25" customHeight="1" x14ac:dyDescent="0.25">
      <c r="C6" s="2" t="s">
        <v>4</v>
      </c>
      <c r="D6" s="59" t="s">
        <v>167</v>
      </c>
      <c r="E6" s="60"/>
      <c r="F6" s="2" t="s">
        <v>2</v>
      </c>
      <c r="G6" s="59" t="s">
        <v>168</v>
      </c>
      <c r="H6" s="60"/>
      <c r="J6" s="2" t="s">
        <v>21</v>
      </c>
      <c r="K6" s="59" t="s">
        <v>169</v>
      </c>
      <c r="L6" s="60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1" t="s">
        <v>88</v>
      </c>
      <c r="S8" s="61"/>
      <c r="T8" s="61"/>
      <c r="U8" s="61"/>
      <c r="V8" s="61"/>
      <c r="W8" s="61"/>
      <c r="X8" s="61"/>
      <c r="Y8" s="61"/>
      <c r="Z8" s="61"/>
      <c r="AA8" s="61"/>
      <c r="AB8" s="61"/>
      <c r="AC8" s="61"/>
      <c r="AD8" s="61"/>
      <c r="AE8" s="61"/>
      <c r="AF8" s="61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62</v>
      </c>
      <c r="D10" s="50">
        <v>8</v>
      </c>
      <c r="E10" s="50">
        <v>7</v>
      </c>
      <c r="F10" s="50">
        <v>65</v>
      </c>
      <c r="G10" s="50">
        <v>3</v>
      </c>
      <c r="H10" s="50">
        <v>0</v>
      </c>
      <c r="I10" s="50">
        <v>5</v>
      </c>
      <c r="J10" s="50">
        <v>6</v>
      </c>
      <c r="K10" s="50">
        <v>6</v>
      </c>
      <c r="L10" s="50">
        <v>4</v>
      </c>
      <c r="M10" s="50">
        <v>93</v>
      </c>
      <c r="N10" s="50">
        <v>0</v>
      </c>
      <c r="O10" s="15">
        <f t="shared" ref="O10:O57" si="0">SUM(C10:L10,N10)</f>
        <v>166</v>
      </c>
      <c r="P10" s="15">
        <f t="shared" ref="P10:P57" si="1">SUM(C10:N10)</f>
        <v>259</v>
      </c>
      <c r="R10" s="1" t="s">
        <v>6</v>
      </c>
      <c r="S10" s="17">
        <f t="shared" ref="S10:AF10" si="2">SUM(C10:C13)</f>
        <v>236</v>
      </c>
      <c r="T10" s="17">
        <f t="shared" si="2"/>
        <v>24</v>
      </c>
      <c r="U10" s="17">
        <f t="shared" si="2"/>
        <v>29</v>
      </c>
      <c r="V10" s="17">
        <f t="shared" si="2"/>
        <v>186</v>
      </c>
      <c r="W10" s="17">
        <f t="shared" si="2"/>
        <v>7</v>
      </c>
      <c r="X10" s="17">
        <f t="shared" si="2"/>
        <v>3</v>
      </c>
      <c r="Y10" s="17">
        <f t="shared" si="2"/>
        <v>32</v>
      </c>
      <c r="Z10" s="17">
        <f t="shared" si="2"/>
        <v>18</v>
      </c>
      <c r="AA10" s="17">
        <f t="shared" si="2"/>
        <v>11</v>
      </c>
      <c r="AB10" s="17">
        <f t="shared" si="2"/>
        <v>6</v>
      </c>
      <c r="AC10" s="17">
        <f t="shared" si="2"/>
        <v>388</v>
      </c>
      <c r="AD10" s="17">
        <f t="shared" si="2"/>
        <v>0</v>
      </c>
      <c r="AE10" s="31">
        <f t="shared" si="2"/>
        <v>552</v>
      </c>
      <c r="AF10" s="31">
        <f t="shared" si="2"/>
        <v>940</v>
      </c>
    </row>
    <row r="11" spans="2:32" s="6" customFormat="1" ht="23.1" customHeight="1" x14ac:dyDescent="0.25">
      <c r="B11" s="23" t="s">
        <v>38</v>
      </c>
      <c r="C11" s="50">
        <v>56</v>
      </c>
      <c r="D11" s="50">
        <v>5</v>
      </c>
      <c r="E11" s="50">
        <v>7</v>
      </c>
      <c r="F11" s="50">
        <v>29</v>
      </c>
      <c r="G11" s="50">
        <v>1</v>
      </c>
      <c r="H11" s="50">
        <v>2</v>
      </c>
      <c r="I11" s="50">
        <v>9</v>
      </c>
      <c r="J11" s="50">
        <v>4</v>
      </c>
      <c r="K11" s="50">
        <v>2</v>
      </c>
      <c r="L11" s="50">
        <v>0</v>
      </c>
      <c r="M11" s="50">
        <v>90</v>
      </c>
      <c r="N11" s="50">
        <v>0</v>
      </c>
      <c r="O11" s="15">
        <f t="shared" si="0"/>
        <v>115</v>
      </c>
      <c r="P11" s="15">
        <f t="shared" si="1"/>
        <v>205</v>
      </c>
      <c r="R11" s="1" t="s">
        <v>7</v>
      </c>
      <c r="S11" s="17">
        <f t="shared" ref="S11:AF11" si="3">SUM(C14:C17)</f>
        <v>345</v>
      </c>
      <c r="T11" s="17">
        <f t="shared" si="3"/>
        <v>27</v>
      </c>
      <c r="U11" s="17">
        <f t="shared" si="3"/>
        <v>57</v>
      </c>
      <c r="V11" s="17">
        <f t="shared" si="3"/>
        <v>224</v>
      </c>
      <c r="W11" s="17">
        <f t="shared" si="3"/>
        <v>8</v>
      </c>
      <c r="X11" s="17">
        <f t="shared" si="3"/>
        <v>3</v>
      </c>
      <c r="Y11" s="17">
        <f t="shared" si="3"/>
        <v>46</v>
      </c>
      <c r="Z11" s="17">
        <f t="shared" si="3"/>
        <v>20</v>
      </c>
      <c r="AA11" s="17">
        <f t="shared" si="3"/>
        <v>12</v>
      </c>
      <c r="AB11" s="17">
        <f t="shared" si="3"/>
        <v>9</v>
      </c>
      <c r="AC11" s="17">
        <f t="shared" si="3"/>
        <v>476</v>
      </c>
      <c r="AD11" s="17">
        <f t="shared" si="3"/>
        <v>0</v>
      </c>
      <c r="AE11" s="31">
        <f t="shared" si="3"/>
        <v>751</v>
      </c>
      <c r="AF11" s="31">
        <f t="shared" si="3"/>
        <v>1227</v>
      </c>
    </row>
    <row r="12" spans="2:32" ht="23.1" customHeight="1" x14ac:dyDescent="0.25">
      <c r="B12" s="23" t="s">
        <v>39</v>
      </c>
      <c r="C12" s="50">
        <v>71</v>
      </c>
      <c r="D12" s="50">
        <v>8</v>
      </c>
      <c r="E12" s="50">
        <v>7</v>
      </c>
      <c r="F12" s="50">
        <v>59</v>
      </c>
      <c r="G12" s="50">
        <v>3</v>
      </c>
      <c r="H12" s="50">
        <v>1</v>
      </c>
      <c r="I12" s="50">
        <v>12</v>
      </c>
      <c r="J12" s="50">
        <v>7</v>
      </c>
      <c r="K12" s="50">
        <v>2</v>
      </c>
      <c r="L12" s="50">
        <v>1</v>
      </c>
      <c r="M12" s="50">
        <v>104</v>
      </c>
      <c r="N12" s="50">
        <v>0</v>
      </c>
      <c r="O12" s="15">
        <f t="shared" si="0"/>
        <v>171</v>
      </c>
      <c r="P12" s="15">
        <f t="shared" si="1"/>
        <v>275</v>
      </c>
      <c r="R12" s="1" t="s">
        <v>8</v>
      </c>
      <c r="S12" s="17">
        <f t="shared" ref="S12:AF12" si="4">SUM(C18:C21)</f>
        <v>288</v>
      </c>
      <c r="T12" s="17">
        <f t="shared" si="4"/>
        <v>31</v>
      </c>
      <c r="U12" s="17">
        <f t="shared" si="4"/>
        <v>38</v>
      </c>
      <c r="V12" s="17">
        <f t="shared" si="4"/>
        <v>235</v>
      </c>
      <c r="W12" s="17">
        <f t="shared" si="4"/>
        <v>9</v>
      </c>
      <c r="X12" s="17">
        <f t="shared" si="4"/>
        <v>2</v>
      </c>
      <c r="Y12" s="17">
        <f t="shared" si="4"/>
        <v>47</v>
      </c>
      <c r="Z12" s="17">
        <f t="shared" si="4"/>
        <v>25</v>
      </c>
      <c r="AA12" s="17">
        <f t="shared" si="4"/>
        <v>9</v>
      </c>
      <c r="AB12" s="17">
        <f t="shared" si="4"/>
        <v>13</v>
      </c>
      <c r="AC12" s="17">
        <f t="shared" si="4"/>
        <v>579</v>
      </c>
      <c r="AD12" s="17">
        <f t="shared" si="4"/>
        <v>0</v>
      </c>
      <c r="AE12" s="31">
        <f t="shared" si="4"/>
        <v>697</v>
      </c>
      <c r="AF12" s="31">
        <f t="shared" si="4"/>
        <v>1276</v>
      </c>
    </row>
    <row r="13" spans="2:32" ht="23.1" customHeight="1" x14ac:dyDescent="0.25">
      <c r="B13" s="23" t="s">
        <v>40</v>
      </c>
      <c r="C13" s="50">
        <v>47</v>
      </c>
      <c r="D13" s="50">
        <v>3</v>
      </c>
      <c r="E13" s="50">
        <v>8</v>
      </c>
      <c r="F13" s="50">
        <v>33</v>
      </c>
      <c r="G13" s="50">
        <v>0</v>
      </c>
      <c r="H13" s="50">
        <v>0</v>
      </c>
      <c r="I13" s="50">
        <v>6</v>
      </c>
      <c r="J13" s="50">
        <v>1</v>
      </c>
      <c r="K13" s="50">
        <v>1</v>
      </c>
      <c r="L13" s="50">
        <v>1</v>
      </c>
      <c r="M13" s="50">
        <v>101</v>
      </c>
      <c r="N13" s="50">
        <v>0</v>
      </c>
      <c r="O13" s="15">
        <f t="shared" si="0"/>
        <v>100</v>
      </c>
      <c r="P13" s="15">
        <f t="shared" si="1"/>
        <v>201</v>
      </c>
      <c r="R13" s="1" t="s">
        <v>9</v>
      </c>
      <c r="S13" s="17">
        <f t="shared" ref="S13:AF13" si="5">SUM(C22:C25)</f>
        <v>228</v>
      </c>
      <c r="T13" s="17">
        <f t="shared" si="5"/>
        <v>22</v>
      </c>
      <c r="U13" s="17">
        <f t="shared" si="5"/>
        <v>42</v>
      </c>
      <c r="V13" s="17">
        <f t="shared" si="5"/>
        <v>178</v>
      </c>
      <c r="W13" s="17">
        <f t="shared" si="5"/>
        <v>15</v>
      </c>
      <c r="X13" s="17">
        <f t="shared" si="5"/>
        <v>0</v>
      </c>
      <c r="Y13" s="17">
        <f t="shared" si="5"/>
        <v>54</v>
      </c>
      <c r="Z13" s="17">
        <f t="shared" si="5"/>
        <v>37</v>
      </c>
      <c r="AA13" s="17">
        <f t="shared" si="5"/>
        <v>6</v>
      </c>
      <c r="AB13" s="17">
        <f t="shared" si="5"/>
        <v>29</v>
      </c>
      <c r="AC13" s="17">
        <f t="shared" si="5"/>
        <v>508</v>
      </c>
      <c r="AD13" s="17">
        <f t="shared" si="5"/>
        <v>0</v>
      </c>
      <c r="AE13" s="31">
        <f t="shared" si="5"/>
        <v>611</v>
      </c>
      <c r="AF13" s="31">
        <f t="shared" si="5"/>
        <v>1119</v>
      </c>
    </row>
    <row r="14" spans="2:32" ht="23.1" customHeight="1" x14ac:dyDescent="0.25">
      <c r="B14" s="23" t="s">
        <v>41</v>
      </c>
      <c r="C14" s="50">
        <v>111</v>
      </c>
      <c r="D14" s="50">
        <v>8</v>
      </c>
      <c r="E14" s="50">
        <v>17</v>
      </c>
      <c r="F14" s="50">
        <v>55</v>
      </c>
      <c r="G14" s="50">
        <v>2</v>
      </c>
      <c r="H14" s="50">
        <v>0</v>
      </c>
      <c r="I14" s="50">
        <v>17</v>
      </c>
      <c r="J14" s="50">
        <v>7</v>
      </c>
      <c r="K14" s="50">
        <v>5</v>
      </c>
      <c r="L14" s="50">
        <v>4</v>
      </c>
      <c r="M14" s="50">
        <v>146</v>
      </c>
      <c r="N14" s="50">
        <v>0</v>
      </c>
      <c r="O14" s="15">
        <f t="shared" si="0"/>
        <v>226</v>
      </c>
      <c r="P14" s="15">
        <f t="shared" si="1"/>
        <v>372</v>
      </c>
      <c r="R14" s="1" t="s">
        <v>10</v>
      </c>
      <c r="S14" s="17">
        <f t="shared" ref="S14:AF14" si="6">SUM(C26:C29)</f>
        <v>201</v>
      </c>
      <c r="T14" s="17">
        <f t="shared" si="6"/>
        <v>21</v>
      </c>
      <c r="U14" s="17">
        <f t="shared" si="6"/>
        <v>35</v>
      </c>
      <c r="V14" s="17">
        <f t="shared" si="6"/>
        <v>206</v>
      </c>
      <c r="W14" s="17">
        <f t="shared" si="6"/>
        <v>8</v>
      </c>
      <c r="X14" s="17">
        <f t="shared" si="6"/>
        <v>3</v>
      </c>
      <c r="Y14" s="17">
        <f t="shared" si="6"/>
        <v>60</v>
      </c>
      <c r="Z14" s="17">
        <f t="shared" si="6"/>
        <v>42</v>
      </c>
      <c r="AA14" s="17">
        <f t="shared" si="6"/>
        <v>8</v>
      </c>
      <c r="AB14" s="17">
        <f t="shared" si="6"/>
        <v>38</v>
      </c>
      <c r="AC14" s="17">
        <f t="shared" si="6"/>
        <v>516</v>
      </c>
      <c r="AD14" s="17">
        <f t="shared" si="6"/>
        <v>0</v>
      </c>
      <c r="AE14" s="31">
        <f t="shared" si="6"/>
        <v>622</v>
      </c>
      <c r="AF14" s="31">
        <f t="shared" si="6"/>
        <v>1138</v>
      </c>
    </row>
    <row r="15" spans="2:32" ht="23.1" customHeight="1" x14ac:dyDescent="0.25">
      <c r="B15" s="23" t="s">
        <v>42</v>
      </c>
      <c r="C15" s="50">
        <v>86</v>
      </c>
      <c r="D15" s="50">
        <v>8</v>
      </c>
      <c r="E15" s="50">
        <v>16</v>
      </c>
      <c r="F15" s="50">
        <v>45</v>
      </c>
      <c r="G15" s="50">
        <v>3</v>
      </c>
      <c r="H15" s="50">
        <v>0</v>
      </c>
      <c r="I15" s="50">
        <v>10</v>
      </c>
      <c r="J15" s="50">
        <v>6</v>
      </c>
      <c r="K15" s="50">
        <v>2</v>
      </c>
      <c r="L15" s="50">
        <v>3</v>
      </c>
      <c r="M15" s="50">
        <v>108</v>
      </c>
      <c r="N15" s="50">
        <v>0</v>
      </c>
      <c r="O15" s="15">
        <f t="shared" si="0"/>
        <v>179</v>
      </c>
      <c r="P15" s="15">
        <f t="shared" si="1"/>
        <v>287</v>
      </c>
      <c r="R15" s="1" t="s">
        <v>11</v>
      </c>
      <c r="S15" s="17">
        <f t="shared" ref="S15:AF15" si="7">SUM(C30:C33)</f>
        <v>227</v>
      </c>
      <c r="T15" s="17">
        <f t="shared" si="7"/>
        <v>24</v>
      </c>
      <c r="U15" s="17">
        <f t="shared" si="7"/>
        <v>43</v>
      </c>
      <c r="V15" s="17">
        <f t="shared" si="7"/>
        <v>245</v>
      </c>
      <c r="W15" s="17">
        <f t="shared" si="7"/>
        <v>12</v>
      </c>
      <c r="X15" s="17">
        <f t="shared" si="7"/>
        <v>4</v>
      </c>
      <c r="Y15" s="17">
        <f t="shared" si="7"/>
        <v>77</v>
      </c>
      <c r="Z15" s="17">
        <f t="shared" si="7"/>
        <v>31</v>
      </c>
      <c r="AA15" s="17">
        <f t="shared" si="7"/>
        <v>12</v>
      </c>
      <c r="AB15" s="17">
        <f t="shared" si="7"/>
        <v>55</v>
      </c>
      <c r="AC15" s="17">
        <f t="shared" si="7"/>
        <v>411</v>
      </c>
      <c r="AD15" s="17">
        <f t="shared" si="7"/>
        <v>16</v>
      </c>
      <c r="AE15" s="31">
        <f t="shared" si="7"/>
        <v>702</v>
      </c>
      <c r="AF15" s="31">
        <f t="shared" si="7"/>
        <v>1157</v>
      </c>
    </row>
    <row r="16" spans="2:32" ht="23.1" customHeight="1" x14ac:dyDescent="0.25">
      <c r="B16" s="23" t="s">
        <v>43</v>
      </c>
      <c r="C16" s="50">
        <v>80</v>
      </c>
      <c r="D16" s="50">
        <v>5</v>
      </c>
      <c r="E16" s="50">
        <v>12</v>
      </c>
      <c r="F16" s="50">
        <v>58</v>
      </c>
      <c r="G16" s="50">
        <v>2</v>
      </c>
      <c r="H16" s="50">
        <v>3</v>
      </c>
      <c r="I16" s="50">
        <v>10</v>
      </c>
      <c r="J16" s="50">
        <v>2</v>
      </c>
      <c r="K16" s="50">
        <v>4</v>
      </c>
      <c r="L16" s="50">
        <v>0</v>
      </c>
      <c r="M16" s="50">
        <v>86</v>
      </c>
      <c r="N16" s="50">
        <v>0</v>
      </c>
      <c r="O16" s="15">
        <f t="shared" si="0"/>
        <v>176</v>
      </c>
      <c r="P16" s="15">
        <f t="shared" si="1"/>
        <v>262</v>
      </c>
      <c r="R16" s="1" t="s">
        <v>12</v>
      </c>
      <c r="S16" s="17">
        <f t="shared" ref="S16:AF16" si="8">SUM(C34:C37)</f>
        <v>156</v>
      </c>
      <c r="T16" s="17">
        <f t="shared" si="8"/>
        <v>41</v>
      </c>
      <c r="U16" s="17">
        <f t="shared" si="8"/>
        <v>31</v>
      </c>
      <c r="V16" s="17">
        <f t="shared" si="8"/>
        <v>226</v>
      </c>
      <c r="W16" s="17">
        <f t="shared" si="8"/>
        <v>10</v>
      </c>
      <c r="X16" s="17">
        <f t="shared" si="8"/>
        <v>4</v>
      </c>
      <c r="Y16" s="17">
        <f t="shared" si="8"/>
        <v>66</v>
      </c>
      <c r="Z16" s="17">
        <f t="shared" si="8"/>
        <v>46</v>
      </c>
      <c r="AA16" s="17">
        <f t="shared" si="8"/>
        <v>15</v>
      </c>
      <c r="AB16" s="17">
        <f t="shared" si="8"/>
        <v>102</v>
      </c>
      <c r="AC16" s="17">
        <f t="shared" si="8"/>
        <v>487</v>
      </c>
      <c r="AD16" s="17">
        <f t="shared" si="8"/>
        <v>0</v>
      </c>
      <c r="AE16" s="31">
        <f t="shared" si="8"/>
        <v>697</v>
      </c>
      <c r="AF16" s="31">
        <f t="shared" si="8"/>
        <v>1184</v>
      </c>
    </row>
    <row r="17" spans="2:32" ht="23.1" customHeight="1" x14ac:dyDescent="0.25">
      <c r="B17" s="23" t="s">
        <v>44</v>
      </c>
      <c r="C17" s="50">
        <v>68</v>
      </c>
      <c r="D17" s="50">
        <v>6</v>
      </c>
      <c r="E17" s="50">
        <v>12</v>
      </c>
      <c r="F17" s="50">
        <v>66</v>
      </c>
      <c r="G17" s="50">
        <v>1</v>
      </c>
      <c r="H17" s="50">
        <v>0</v>
      </c>
      <c r="I17" s="50">
        <v>9</v>
      </c>
      <c r="J17" s="50">
        <v>5</v>
      </c>
      <c r="K17" s="50">
        <v>1</v>
      </c>
      <c r="L17" s="50">
        <v>2</v>
      </c>
      <c r="M17" s="50">
        <v>136</v>
      </c>
      <c r="N17" s="50">
        <v>0</v>
      </c>
      <c r="O17" s="15">
        <f t="shared" si="0"/>
        <v>170</v>
      </c>
      <c r="P17" s="15">
        <f t="shared" si="1"/>
        <v>306</v>
      </c>
      <c r="R17" s="1" t="s">
        <v>13</v>
      </c>
      <c r="S17" s="17">
        <f t="shared" ref="S17:AF17" si="9">SUM(C38:C41)</f>
        <v>150</v>
      </c>
      <c r="T17" s="17">
        <f t="shared" si="9"/>
        <v>28</v>
      </c>
      <c r="U17" s="17">
        <f t="shared" si="9"/>
        <v>30</v>
      </c>
      <c r="V17" s="17">
        <f t="shared" si="9"/>
        <v>219</v>
      </c>
      <c r="W17" s="17">
        <f t="shared" si="9"/>
        <v>13</v>
      </c>
      <c r="X17" s="17">
        <f t="shared" si="9"/>
        <v>1</v>
      </c>
      <c r="Y17" s="17">
        <f t="shared" si="9"/>
        <v>77</v>
      </c>
      <c r="Z17" s="17">
        <f t="shared" si="9"/>
        <v>28</v>
      </c>
      <c r="AA17" s="17">
        <f t="shared" si="9"/>
        <v>12</v>
      </c>
      <c r="AB17" s="17">
        <f t="shared" si="9"/>
        <v>67</v>
      </c>
      <c r="AC17" s="17">
        <f t="shared" si="9"/>
        <v>461</v>
      </c>
      <c r="AD17" s="17">
        <f t="shared" si="9"/>
        <v>0</v>
      </c>
      <c r="AE17" s="31">
        <f t="shared" si="9"/>
        <v>625</v>
      </c>
      <c r="AF17" s="31">
        <f t="shared" si="9"/>
        <v>1086</v>
      </c>
    </row>
    <row r="18" spans="2:32" ht="23.1" customHeight="1" x14ac:dyDescent="0.25">
      <c r="B18" s="23" t="s">
        <v>45</v>
      </c>
      <c r="C18" s="50">
        <v>96</v>
      </c>
      <c r="D18" s="50">
        <v>6</v>
      </c>
      <c r="E18" s="50">
        <v>11</v>
      </c>
      <c r="F18" s="50">
        <v>54</v>
      </c>
      <c r="G18" s="50">
        <v>2</v>
      </c>
      <c r="H18" s="50">
        <v>1</v>
      </c>
      <c r="I18" s="50">
        <v>16</v>
      </c>
      <c r="J18" s="50">
        <v>4</v>
      </c>
      <c r="K18" s="50">
        <v>4</v>
      </c>
      <c r="L18" s="50">
        <v>3</v>
      </c>
      <c r="M18" s="50">
        <v>142</v>
      </c>
      <c r="N18" s="50">
        <v>0</v>
      </c>
      <c r="O18" s="15">
        <f t="shared" si="0"/>
        <v>197</v>
      </c>
      <c r="P18" s="15">
        <f t="shared" si="1"/>
        <v>339</v>
      </c>
      <c r="R18" s="1" t="s">
        <v>14</v>
      </c>
      <c r="S18" s="17">
        <f t="shared" ref="S18:AF18" si="10">SUM(C42:C45)</f>
        <v>129</v>
      </c>
      <c r="T18" s="17">
        <f t="shared" si="10"/>
        <v>23</v>
      </c>
      <c r="U18" s="17">
        <f t="shared" si="10"/>
        <v>28</v>
      </c>
      <c r="V18" s="17">
        <f t="shared" si="10"/>
        <v>184</v>
      </c>
      <c r="W18" s="17">
        <f t="shared" si="10"/>
        <v>12</v>
      </c>
      <c r="X18" s="17">
        <f t="shared" si="10"/>
        <v>2</v>
      </c>
      <c r="Y18" s="17">
        <f t="shared" si="10"/>
        <v>56</v>
      </c>
      <c r="Z18" s="17">
        <f t="shared" si="10"/>
        <v>28</v>
      </c>
      <c r="AA18" s="17">
        <f t="shared" si="10"/>
        <v>21</v>
      </c>
      <c r="AB18" s="17">
        <f t="shared" si="10"/>
        <v>69</v>
      </c>
      <c r="AC18" s="17">
        <f t="shared" si="10"/>
        <v>405</v>
      </c>
      <c r="AD18" s="17">
        <f t="shared" si="10"/>
        <v>0</v>
      </c>
      <c r="AE18" s="31">
        <f t="shared" si="10"/>
        <v>552</v>
      </c>
      <c r="AF18" s="31">
        <f t="shared" si="10"/>
        <v>957</v>
      </c>
    </row>
    <row r="19" spans="2:32" ht="23.1" customHeight="1" x14ac:dyDescent="0.25">
      <c r="B19" s="23" t="s">
        <v>46</v>
      </c>
      <c r="C19" s="50">
        <v>72</v>
      </c>
      <c r="D19" s="50">
        <v>7</v>
      </c>
      <c r="E19" s="50">
        <v>11</v>
      </c>
      <c r="F19" s="50">
        <v>43</v>
      </c>
      <c r="G19" s="50">
        <v>1</v>
      </c>
      <c r="H19" s="50">
        <v>0</v>
      </c>
      <c r="I19" s="50">
        <v>9</v>
      </c>
      <c r="J19" s="50">
        <v>6</v>
      </c>
      <c r="K19" s="50">
        <v>2</v>
      </c>
      <c r="L19" s="50">
        <v>1</v>
      </c>
      <c r="M19" s="50">
        <v>152</v>
      </c>
      <c r="N19" s="50">
        <v>0</v>
      </c>
      <c r="O19" s="15">
        <f t="shared" si="0"/>
        <v>152</v>
      </c>
      <c r="P19" s="15">
        <f t="shared" si="1"/>
        <v>304</v>
      </c>
      <c r="R19" s="1" t="s">
        <v>15</v>
      </c>
      <c r="S19" s="17">
        <f t="shared" ref="S19:AF19" si="11">SUM(C46:C49)</f>
        <v>130</v>
      </c>
      <c r="T19" s="17">
        <f t="shared" si="11"/>
        <v>18</v>
      </c>
      <c r="U19" s="17">
        <f t="shared" si="11"/>
        <v>25</v>
      </c>
      <c r="V19" s="17">
        <f t="shared" si="11"/>
        <v>209</v>
      </c>
      <c r="W19" s="17">
        <f t="shared" si="11"/>
        <v>17</v>
      </c>
      <c r="X19" s="17">
        <f t="shared" si="11"/>
        <v>1</v>
      </c>
      <c r="Y19" s="17">
        <f t="shared" si="11"/>
        <v>51</v>
      </c>
      <c r="Z19" s="17">
        <f t="shared" si="11"/>
        <v>22</v>
      </c>
      <c r="AA19" s="17">
        <f t="shared" si="11"/>
        <v>20</v>
      </c>
      <c r="AB19" s="17">
        <f t="shared" si="11"/>
        <v>120</v>
      </c>
      <c r="AC19" s="17">
        <f t="shared" si="11"/>
        <v>417</v>
      </c>
      <c r="AD19" s="17">
        <f t="shared" si="11"/>
        <v>0</v>
      </c>
      <c r="AE19" s="31">
        <f t="shared" si="11"/>
        <v>613</v>
      </c>
      <c r="AF19" s="31">
        <f t="shared" si="11"/>
        <v>1030</v>
      </c>
    </row>
    <row r="20" spans="2:32" ht="23.1" customHeight="1" x14ac:dyDescent="0.25">
      <c r="B20" s="23" t="s">
        <v>47</v>
      </c>
      <c r="C20" s="50">
        <v>46</v>
      </c>
      <c r="D20" s="50">
        <v>7</v>
      </c>
      <c r="E20" s="50">
        <v>7</v>
      </c>
      <c r="F20" s="50">
        <v>56</v>
      </c>
      <c r="G20" s="50">
        <v>4</v>
      </c>
      <c r="H20" s="50">
        <v>0</v>
      </c>
      <c r="I20" s="50">
        <v>11</v>
      </c>
      <c r="J20" s="50">
        <v>7</v>
      </c>
      <c r="K20" s="50">
        <v>1</v>
      </c>
      <c r="L20" s="50">
        <v>2</v>
      </c>
      <c r="M20" s="50">
        <v>132</v>
      </c>
      <c r="N20" s="50">
        <v>0</v>
      </c>
      <c r="O20" s="15">
        <f t="shared" si="0"/>
        <v>141</v>
      </c>
      <c r="P20" s="15">
        <f t="shared" si="1"/>
        <v>273</v>
      </c>
      <c r="R20" s="1" t="s">
        <v>16</v>
      </c>
      <c r="S20" s="17">
        <f t="shared" ref="S20:AF20" si="12">SUM(C50:C53)</f>
        <v>176</v>
      </c>
      <c r="T20" s="17">
        <f t="shared" si="12"/>
        <v>36</v>
      </c>
      <c r="U20" s="17">
        <f t="shared" si="12"/>
        <v>29</v>
      </c>
      <c r="V20" s="17">
        <f t="shared" si="12"/>
        <v>193</v>
      </c>
      <c r="W20" s="17">
        <f t="shared" si="12"/>
        <v>14</v>
      </c>
      <c r="X20" s="17">
        <f t="shared" si="12"/>
        <v>1</v>
      </c>
      <c r="Y20" s="17">
        <f t="shared" si="12"/>
        <v>52</v>
      </c>
      <c r="Z20" s="17">
        <f t="shared" si="12"/>
        <v>31</v>
      </c>
      <c r="AA20" s="17">
        <f t="shared" si="12"/>
        <v>17</v>
      </c>
      <c r="AB20" s="17">
        <f t="shared" si="12"/>
        <v>79</v>
      </c>
      <c r="AC20" s="17">
        <f t="shared" si="12"/>
        <v>517</v>
      </c>
      <c r="AD20" s="17">
        <f t="shared" si="12"/>
        <v>1</v>
      </c>
      <c r="AE20" s="31">
        <f t="shared" si="12"/>
        <v>629</v>
      </c>
      <c r="AF20" s="31">
        <f t="shared" si="12"/>
        <v>1146</v>
      </c>
    </row>
    <row r="21" spans="2:32" ht="23.1" customHeight="1" x14ac:dyDescent="0.25">
      <c r="B21" s="23" t="s">
        <v>48</v>
      </c>
      <c r="C21" s="50">
        <v>74</v>
      </c>
      <c r="D21" s="50">
        <v>11</v>
      </c>
      <c r="E21" s="50">
        <v>9</v>
      </c>
      <c r="F21" s="50">
        <v>82</v>
      </c>
      <c r="G21" s="50">
        <v>2</v>
      </c>
      <c r="H21" s="50">
        <v>1</v>
      </c>
      <c r="I21" s="50">
        <v>11</v>
      </c>
      <c r="J21" s="50">
        <v>8</v>
      </c>
      <c r="K21" s="50">
        <v>2</v>
      </c>
      <c r="L21" s="50">
        <v>7</v>
      </c>
      <c r="M21" s="50">
        <v>153</v>
      </c>
      <c r="N21" s="50">
        <v>0</v>
      </c>
      <c r="O21" s="15">
        <f t="shared" si="0"/>
        <v>207</v>
      </c>
      <c r="P21" s="15">
        <f t="shared" si="1"/>
        <v>360</v>
      </c>
      <c r="R21" s="36" t="s">
        <v>20</v>
      </c>
      <c r="S21" s="34">
        <f t="shared" ref="S21:AF21" si="13">SUM(C54:C57)</f>
        <v>168</v>
      </c>
      <c r="T21" s="17">
        <f t="shared" si="13"/>
        <v>27</v>
      </c>
      <c r="U21" s="17">
        <f t="shared" si="13"/>
        <v>27</v>
      </c>
      <c r="V21" s="17">
        <f t="shared" si="13"/>
        <v>135</v>
      </c>
      <c r="W21" s="17">
        <f t="shared" si="13"/>
        <v>11</v>
      </c>
      <c r="X21" s="17">
        <f t="shared" si="13"/>
        <v>1</v>
      </c>
      <c r="Y21" s="17">
        <f t="shared" si="13"/>
        <v>42</v>
      </c>
      <c r="Z21" s="17">
        <f t="shared" si="13"/>
        <v>31</v>
      </c>
      <c r="AA21" s="17">
        <f t="shared" si="13"/>
        <v>20</v>
      </c>
      <c r="AB21" s="17">
        <f t="shared" si="13"/>
        <v>63</v>
      </c>
      <c r="AC21" s="17">
        <f t="shared" si="13"/>
        <v>668</v>
      </c>
      <c r="AD21" s="17">
        <f t="shared" si="13"/>
        <v>0</v>
      </c>
      <c r="AE21" s="31">
        <f t="shared" si="13"/>
        <v>525</v>
      </c>
      <c r="AF21" s="31">
        <f t="shared" si="13"/>
        <v>1193</v>
      </c>
    </row>
    <row r="22" spans="2:32" ht="23.1" customHeight="1" x14ac:dyDescent="0.25">
      <c r="B22" s="23" t="s">
        <v>49</v>
      </c>
      <c r="C22" s="50">
        <v>43</v>
      </c>
      <c r="D22" s="50">
        <v>2</v>
      </c>
      <c r="E22" s="50">
        <v>9</v>
      </c>
      <c r="F22" s="50">
        <v>28</v>
      </c>
      <c r="G22" s="50">
        <v>3</v>
      </c>
      <c r="H22" s="50">
        <v>0</v>
      </c>
      <c r="I22" s="50">
        <v>9</v>
      </c>
      <c r="J22" s="50">
        <v>8</v>
      </c>
      <c r="K22" s="50">
        <v>1</v>
      </c>
      <c r="L22" s="50">
        <v>1</v>
      </c>
      <c r="M22" s="50">
        <v>103</v>
      </c>
      <c r="N22" s="50">
        <v>0</v>
      </c>
      <c r="O22" s="15">
        <f t="shared" si="0"/>
        <v>104</v>
      </c>
      <c r="P22" s="15">
        <f t="shared" si="1"/>
        <v>207</v>
      </c>
      <c r="R22" s="38" t="s">
        <v>90</v>
      </c>
      <c r="S22" s="39">
        <f>MAX(S10:S12)</f>
        <v>345</v>
      </c>
      <c r="T22" s="39">
        <f t="shared" ref="T22:AF22" si="14">MAX(T10:T12)</f>
        <v>31</v>
      </c>
      <c r="U22" s="39">
        <f t="shared" si="14"/>
        <v>57</v>
      </c>
      <c r="V22" s="39">
        <f t="shared" si="14"/>
        <v>235</v>
      </c>
      <c r="W22" s="39">
        <f t="shared" si="14"/>
        <v>9</v>
      </c>
      <c r="X22" s="39">
        <f t="shared" si="14"/>
        <v>3</v>
      </c>
      <c r="Y22" s="39">
        <f t="shared" si="14"/>
        <v>47</v>
      </c>
      <c r="Z22" s="39">
        <f t="shared" si="14"/>
        <v>25</v>
      </c>
      <c r="AA22" s="39">
        <f t="shared" si="14"/>
        <v>12</v>
      </c>
      <c r="AB22" s="39">
        <f t="shared" si="14"/>
        <v>13</v>
      </c>
      <c r="AC22" s="39">
        <f t="shared" si="14"/>
        <v>579</v>
      </c>
      <c r="AD22" s="39">
        <f t="shared" si="14"/>
        <v>0</v>
      </c>
      <c r="AE22" s="40">
        <f t="shared" si="14"/>
        <v>751</v>
      </c>
      <c r="AF22" s="40">
        <f t="shared" si="14"/>
        <v>1276</v>
      </c>
    </row>
    <row r="23" spans="2:32" ht="23.1" customHeight="1" x14ac:dyDescent="0.25">
      <c r="B23" s="23" t="s">
        <v>50</v>
      </c>
      <c r="C23" s="50">
        <v>82</v>
      </c>
      <c r="D23" s="50">
        <v>8</v>
      </c>
      <c r="E23" s="50">
        <v>12</v>
      </c>
      <c r="F23" s="50">
        <v>40</v>
      </c>
      <c r="G23" s="50">
        <v>6</v>
      </c>
      <c r="H23" s="50">
        <v>0</v>
      </c>
      <c r="I23" s="50">
        <v>18</v>
      </c>
      <c r="J23" s="50">
        <v>11</v>
      </c>
      <c r="K23" s="50">
        <v>2</v>
      </c>
      <c r="L23" s="50">
        <v>12</v>
      </c>
      <c r="M23" s="50">
        <v>150</v>
      </c>
      <c r="N23" s="50">
        <v>0</v>
      </c>
      <c r="O23" s="15">
        <f t="shared" si="0"/>
        <v>191</v>
      </c>
      <c r="P23" s="15">
        <f t="shared" si="1"/>
        <v>341</v>
      </c>
      <c r="R23" s="38" t="s">
        <v>91</v>
      </c>
      <c r="S23" s="39">
        <f>MAX(S13:S18)</f>
        <v>228</v>
      </c>
      <c r="T23" s="39">
        <f t="shared" ref="T23:AF23" si="15">MAX(T13:T18)</f>
        <v>41</v>
      </c>
      <c r="U23" s="39">
        <f t="shared" si="15"/>
        <v>43</v>
      </c>
      <c r="V23" s="39">
        <f t="shared" si="15"/>
        <v>245</v>
      </c>
      <c r="W23" s="39">
        <f t="shared" si="15"/>
        <v>15</v>
      </c>
      <c r="X23" s="39">
        <f t="shared" si="15"/>
        <v>4</v>
      </c>
      <c r="Y23" s="39">
        <f t="shared" si="15"/>
        <v>77</v>
      </c>
      <c r="Z23" s="39">
        <f t="shared" si="15"/>
        <v>46</v>
      </c>
      <c r="AA23" s="39">
        <f t="shared" si="15"/>
        <v>21</v>
      </c>
      <c r="AB23" s="39">
        <f t="shared" si="15"/>
        <v>102</v>
      </c>
      <c r="AC23" s="39">
        <f t="shared" si="15"/>
        <v>516</v>
      </c>
      <c r="AD23" s="39">
        <f t="shared" si="15"/>
        <v>16</v>
      </c>
      <c r="AE23" s="40">
        <f t="shared" si="15"/>
        <v>702</v>
      </c>
      <c r="AF23" s="40">
        <f t="shared" si="15"/>
        <v>1184</v>
      </c>
    </row>
    <row r="24" spans="2:32" ht="23.1" customHeight="1" x14ac:dyDescent="0.25">
      <c r="B24" s="23" t="s">
        <v>51</v>
      </c>
      <c r="C24" s="50">
        <v>58</v>
      </c>
      <c r="D24" s="50">
        <v>8</v>
      </c>
      <c r="E24" s="50">
        <v>10</v>
      </c>
      <c r="F24" s="50">
        <v>46</v>
      </c>
      <c r="G24" s="50">
        <v>2</v>
      </c>
      <c r="H24" s="50">
        <v>0</v>
      </c>
      <c r="I24" s="50">
        <v>13</v>
      </c>
      <c r="J24" s="50">
        <v>11</v>
      </c>
      <c r="K24" s="50">
        <v>2</v>
      </c>
      <c r="L24" s="50">
        <v>10</v>
      </c>
      <c r="M24" s="50">
        <v>139</v>
      </c>
      <c r="N24" s="50">
        <v>0</v>
      </c>
      <c r="O24" s="15">
        <f t="shared" si="0"/>
        <v>160</v>
      </c>
      <c r="P24" s="15">
        <f t="shared" si="1"/>
        <v>299</v>
      </c>
      <c r="R24" s="38" t="s">
        <v>92</v>
      </c>
      <c r="S24" s="39">
        <f>MAX(S19:S21)</f>
        <v>176</v>
      </c>
      <c r="T24" s="39">
        <f t="shared" ref="T24:AF24" si="16">MAX(T19:T21)</f>
        <v>36</v>
      </c>
      <c r="U24" s="39">
        <f t="shared" si="16"/>
        <v>29</v>
      </c>
      <c r="V24" s="39">
        <f t="shared" si="16"/>
        <v>209</v>
      </c>
      <c r="W24" s="39">
        <f t="shared" si="16"/>
        <v>17</v>
      </c>
      <c r="X24" s="39">
        <f t="shared" si="16"/>
        <v>1</v>
      </c>
      <c r="Y24" s="39">
        <f t="shared" si="16"/>
        <v>52</v>
      </c>
      <c r="Z24" s="39">
        <f t="shared" si="16"/>
        <v>31</v>
      </c>
      <c r="AA24" s="39">
        <f t="shared" si="16"/>
        <v>20</v>
      </c>
      <c r="AB24" s="39">
        <f t="shared" si="16"/>
        <v>120</v>
      </c>
      <c r="AC24" s="39">
        <f t="shared" si="16"/>
        <v>668</v>
      </c>
      <c r="AD24" s="39">
        <f t="shared" si="16"/>
        <v>1</v>
      </c>
      <c r="AE24" s="40">
        <f t="shared" si="16"/>
        <v>629</v>
      </c>
      <c r="AF24" s="40">
        <f t="shared" si="16"/>
        <v>1193</v>
      </c>
    </row>
    <row r="25" spans="2:32" ht="23.1" customHeight="1" x14ac:dyDescent="0.25">
      <c r="B25" s="23" t="s">
        <v>52</v>
      </c>
      <c r="C25" s="50">
        <v>45</v>
      </c>
      <c r="D25" s="50">
        <v>4</v>
      </c>
      <c r="E25" s="50">
        <v>11</v>
      </c>
      <c r="F25" s="50">
        <v>64</v>
      </c>
      <c r="G25" s="50">
        <v>4</v>
      </c>
      <c r="H25" s="50">
        <v>0</v>
      </c>
      <c r="I25" s="50">
        <v>14</v>
      </c>
      <c r="J25" s="50">
        <v>7</v>
      </c>
      <c r="K25" s="50">
        <v>1</v>
      </c>
      <c r="L25" s="50">
        <v>6</v>
      </c>
      <c r="M25" s="50">
        <v>116</v>
      </c>
      <c r="N25" s="50">
        <v>0</v>
      </c>
      <c r="O25" s="15">
        <f t="shared" si="0"/>
        <v>156</v>
      </c>
      <c r="P25" s="15">
        <f t="shared" si="1"/>
        <v>272</v>
      </c>
      <c r="R25" s="37" t="s">
        <v>85</v>
      </c>
      <c r="S25" s="35">
        <f t="shared" ref="S25:AF25" si="17">SUM(S10:S12)</f>
        <v>869</v>
      </c>
      <c r="T25" s="16">
        <f t="shared" si="17"/>
        <v>82</v>
      </c>
      <c r="U25" s="16">
        <f t="shared" si="17"/>
        <v>124</v>
      </c>
      <c r="V25" s="16">
        <f t="shared" si="17"/>
        <v>645</v>
      </c>
      <c r="W25" s="16">
        <f t="shared" si="17"/>
        <v>24</v>
      </c>
      <c r="X25" s="16">
        <f t="shared" si="17"/>
        <v>8</v>
      </c>
      <c r="Y25" s="16">
        <f t="shared" si="17"/>
        <v>125</v>
      </c>
      <c r="Z25" s="16">
        <f t="shared" si="17"/>
        <v>63</v>
      </c>
      <c r="AA25" s="16">
        <f t="shared" si="17"/>
        <v>32</v>
      </c>
      <c r="AB25" s="16">
        <f t="shared" si="17"/>
        <v>28</v>
      </c>
      <c r="AC25" s="16">
        <f t="shared" si="17"/>
        <v>1443</v>
      </c>
      <c r="AD25" s="16">
        <f t="shared" si="17"/>
        <v>0</v>
      </c>
      <c r="AE25" s="32">
        <f t="shared" si="17"/>
        <v>2000</v>
      </c>
      <c r="AF25" s="32">
        <f t="shared" si="17"/>
        <v>3443</v>
      </c>
    </row>
    <row r="26" spans="2:32" ht="23.1" customHeight="1" x14ac:dyDescent="0.25">
      <c r="B26" s="23" t="s">
        <v>53</v>
      </c>
      <c r="C26" s="50">
        <v>64</v>
      </c>
      <c r="D26" s="50">
        <v>4</v>
      </c>
      <c r="E26" s="50">
        <v>7</v>
      </c>
      <c r="F26" s="50">
        <v>55</v>
      </c>
      <c r="G26" s="50">
        <v>2</v>
      </c>
      <c r="H26" s="50">
        <v>2</v>
      </c>
      <c r="I26" s="50">
        <v>11</v>
      </c>
      <c r="J26" s="50">
        <v>13</v>
      </c>
      <c r="K26" s="50">
        <v>4</v>
      </c>
      <c r="L26" s="50">
        <v>7</v>
      </c>
      <c r="M26" s="50">
        <v>137</v>
      </c>
      <c r="N26" s="50">
        <v>0</v>
      </c>
      <c r="O26" s="15">
        <f t="shared" si="0"/>
        <v>169</v>
      </c>
      <c r="P26" s="15">
        <f t="shared" si="1"/>
        <v>306</v>
      </c>
      <c r="R26" s="28" t="s">
        <v>86</v>
      </c>
      <c r="S26" s="16">
        <f t="shared" ref="S26:AF26" si="18">SUM(S13:S18)</f>
        <v>1091</v>
      </c>
      <c r="T26" s="16">
        <f t="shared" si="18"/>
        <v>159</v>
      </c>
      <c r="U26" s="16">
        <f t="shared" si="18"/>
        <v>209</v>
      </c>
      <c r="V26" s="16">
        <f t="shared" si="18"/>
        <v>1258</v>
      </c>
      <c r="W26" s="16">
        <f t="shared" si="18"/>
        <v>70</v>
      </c>
      <c r="X26" s="16">
        <f t="shared" si="18"/>
        <v>14</v>
      </c>
      <c r="Y26" s="16">
        <f t="shared" si="18"/>
        <v>390</v>
      </c>
      <c r="Z26" s="16">
        <f t="shared" si="18"/>
        <v>212</v>
      </c>
      <c r="AA26" s="16">
        <f t="shared" si="18"/>
        <v>74</v>
      </c>
      <c r="AB26" s="16">
        <f t="shared" si="18"/>
        <v>360</v>
      </c>
      <c r="AC26" s="16">
        <f t="shared" si="18"/>
        <v>2788</v>
      </c>
      <c r="AD26" s="16">
        <f t="shared" si="18"/>
        <v>16</v>
      </c>
      <c r="AE26" s="32">
        <f t="shared" si="18"/>
        <v>3809</v>
      </c>
      <c r="AF26" s="32">
        <f t="shared" si="18"/>
        <v>6641</v>
      </c>
    </row>
    <row r="27" spans="2:32" ht="23.1" customHeight="1" x14ac:dyDescent="0.25">
      <c r="B27" s="23" t="s">
        <v>54</v>
      </c>
      <c r="C27" s="50">
        <v>43</v>
      </c>
      <c r="D27" s="50">
        <v>6</v>
      </c>
      <c r="E27" s="50">
        <v>13</v>
      </c>
      <c r="F27" s="50">
        <v>62</v>
      </c>
      <c r="G27" s="50">
        <v>2</v>
      </c>
      <c r="H27" s="50">
        <v>1</v>
      </c>
      <c r="I27" s="50">
        <v>10</v>
      </c>
      <c r="J27" s="50">
        <v>7</v>
      </c>
      <c r="K27" s="50">
        <v>1</v>
      </c>
      <c r="L27" s="50">
        <v>14</v>
      </c>
      <c r="M27" s="50">
        <v>126</v>
      </c>
      <c r="N27" s="50">
        <v>0</v>
      </c>
      <c r="O27" s="15">
        <f t="shared" si="0"/>
        <v>159</v>
      </c>
      <c r="P27" s="15">
        <f t="shared" si="1"/>
        <v>285</v>
      </c>
      <c r="R27" s="29" t="s">
        <v>87</v>
      </c>
      <c r="S27" s="16">
        <f t="shared" ref="S27:AF27" si="19">SUM(S19:S21)</f>
        <v>474</v>
      </c>
      <c r="T27" s="16">
        <f t="shared" si="19"/>
        <v>81</v>
      </c>
      <c r="U27" s="16">
        <f t="shared" si="19"/>
        <v>81</v>
      </c>
      <c r="V27" s="16">
        <f t="shared" si="19"/>
        <v>537</v>
      </c>
      <c r="W27" s="16">
        <f t="shared" si="19"/>
        <v>42</v>
      </c>
      <c r="X27" s="16">
        <f t="shared" si="19"/>
        <v>3</v>
      </c>
      <c r="Y27" s="16">
        <f t="shared" si="19"/>
        <v>145</v>
      </c>
      <c r="Z27" s="16">
        <f t="shared" si="19"/>
        <v>84</v>
      </c>
      <c r="AA27" s="16">
        <f t="shared" si="19"/>
        <v>57</v>
      </c>
      <c r="AB27" s="16">
        <f t="shared" si="19"/>
        <v>262</v>
      </c>
      <c r="AC27" s="16">
        <f t="shared" si="19"/>
        <v>1602</v>
      </c>
      <c r="AD27" s="16">
        <f t="shared" si="19"/>
        <v>1</v>
      </c>
      <c r="AE27" s="32">
        <f t="shared" si="19"/>
        <v>1767</v>
      </c>
      <c r="AF27" s="32">
        <f t="shared" si="19"/>
        <v>3369</v>
      </c>
    </row>
    <row r="28" spans="2:32" ht="23.1" customHeight="1" x14ac:dyDescent="0.25">
      <c r="B28" s="23" t="s">
        <v>55</v>
      </c>
      <c r="C28" s="50">
        <v>48</v>
      </c>
      <c r="D28" s="50">
        <v>5</v>
      </c>
      <c r="E28" s="50">
        <v>7</v>
      </c>
      <c r="F28" s="50">
        <v>45</v>
      </c>
      <c r="G28" s="50">
        <v>1</v>
      </c>
      <c r="H28" s="50">
        <v>0</v>
      </c>
      <c r="I28" s="50">
        <v>17</v>
      </c>
      <c r="J28" s="50">
        <v>12</v>
      </c>
      <c r="K28" s="50">
        <v>3</v>
      </c>
      <c r="L28" s="50">
        <v>6</v>
      </c>
      <c r="M28" s="50">
        <v>129</v>
      </c>
      <c r="N28" s="50">
        <v>0</v>
      </c>
      <c r="O28" s="15">
        <f t="shared" si="0"/>
        <v>144</v>
      </c>
      <c r="P28" s="15">
        <f t="shared" si="1"/>
        <v>273</v>
      </c>
      <c r="R28" s="5" t="s">
        <v>17</v>
      </c>
      <c r="S28" s="16">
        <f t="shared" ref="S28:AF28" si="20">SUM(S10:S21)</f>
        <v>2434</v>
      </c>
      <c r="T28" s="16">
        <f t="shared" si="20"/>
        <v>322</v>
      </c>
      <c r="U28" s="16">
        <f t="shared" si="20"/>
        <v>414</v>
      </c>
      <c r="V28" s="16">
        <f t="shared" si="20"/>
        <v>2440</v>
      </c>
      <c r="W28" s="16">
        <f t="shared" si="20"/>
        <v>136</v>
      </c>
      <c r="X28" s="16">
        <f t="shared" si="20"/>
        <v>25</v>
      </c>
      <c r="Y28" s="16">
        <f t="shared" si="20"/>
        <v>660</v>
      </c>
      <c r="Z28" s="16">
        <f t="shared" si="20"/>
        <v>359</v>
      </c>
      <c r="AA28" s="16">
        <f t="shared" si="20"/>
        <v>163</v>
      </c>
      <c r="AB28" s="16">
        <f t="shared" si="20"/>
        <v>650</v>
      </c>
      <c r="AC28" s="16">
        <f t="shared" si="20"/>
        <v>5833</v>
      </c>
      <c r="AD28" s="16">
        <f t="shared" si="20"/>
        <v>17</v>
      </c>
      <c r="AE28" s="32">
        <f t="shared" si="20"/>
        <v>7576</v>
      </c>
      <c r="AF28" s="32">
        <f t="shared" si="20"/>
        <v>13453</v>
      </c>
    </row>
    <row r="29" spans="2:32" ht="23.1" customHeight="1" x14ac:dyDescent="0.25">
      <c r="B29" s="23" t="s">
        <v>56</v>
      </c>
      <c r="C29" s="50">
        <v>46</v>
      </c>
      <c r="D29" s="50">
        <v>6</v>
      </c>
      <c r="E29" s="50">
        <v>8</v>
      </c>
      <c r="F29" s="50">
        <v>44</v>
      </c>
      <c r="G29" s="50">
        <v>3</v>
      </c>
      <c r="H29" s="50">
        <v>0</v>
      </c>
      <c r="I29" s="50">
        <v>22</v>
      </c>
      <c r="J29" s="50">
        <v>10</v>
      </c>
      <c r="K29" s="50">
        <v>0</v>
      </c>
      <c r="L29" s="50">
        <v>11</v>
      </c>
      <c r="M29" s="50">
        <v>124</v>
      </c>
      <c r="N29" s="50">
        <v>0</v>
      </c>
      <c r="O29" s="15">
        <f t="shared" si="0"/>
        <v>150</v>
      </c>
      <c r="P29" s="15">
        <f t="shared" si="1"/>
        <v>274</v>
      </c>
      <c r="R29"/>
      <c r="S29" s="20"/>
      <c r="T29" s="19"/>
    </row>
    <row r="30" spans="2:32" ht="23.1" customHeight="1" x14ac:dyDescent="0.25">
      <c r="B30" s="23" t="s">
        <v>57</v>
      </c>
      <c r="C30" s="50">
        <v>58</v>
      </c>
      <c r="D30" s="50">
        <v>5</v>
      </c>
      <c r="E30" s="50">
        <v>13</v>
      </c>
      <c r="F30" s="50">
        <v>59</v>
      </c>
      <c r="G30" s="50">
        <v>4</v>
      </c>
      <c r="H30" s="50">
        <v>2</v>
      </c>
      <c r="I30" s="50">
        <v>20</v>
      </c>
      <c r="J30" s="50">
        <v>10</v>
      </c>
      <c r="K30" s="50">
        <v>5</v>
      </c>
      <c r="L30" s="50">
        <v>11</v>
      </c>
      <c r="M30" s="50">
        <v>148</v>
      </c>
      <c r="N30" s="50">
        <v>0</v>
      </c>
      <c r="O30" s="15">
        <f t="shared" si="0"/>
        <v>187</v>
      </c>
      <c r="P30" s="15">
        <f t="shared" si="1"/>
        <v>335</v>
      </c>
    </row>
    <row r="31" spans="2:32" ht="23.1" customHeight="1" x14ac:dyDescent="0.25">
      <c r="B31" s="24" t="s">
        <v>58</v>
      </c>
      <c r="C31" s="50">
        <v>61</v>
      </c>
      <c r="D31" s="50">
        <v>9</v>
      </c>
      <c r="E31" s="50">
        <v>10</v>
      </c>
      <c r="F31" s="50">
        <v>61</v>
      </c>
      <c r="G31" s="50">
        <v>1</v>
      </c>
      <c r="H31" s="50">
        <v>0</v>
      </c>
      <c r="I31" s="50">
        <v>20</v>
      </c>
      <c r="J31" s="50">
        <v>10</v>
      </c>
      <c r="K31" s="50">
        <v>2</v>
      </c>
      <c r="L31" s="50">
        <v>15</v>
      </c>
      <c r="M31" s="50">
        <v>105</v>
      </c>
      <c r="N31" s="50">
        <v>0</v>
      </c>
      <c r="O31" s="15">
        <f t="shared" si="0"/>
        <v>189</v>
      </c>
      <c r="P31" s="15">
        <f t="shared" si="1"/>
        <v>294</v>
      </c>
    </row>
    <row r="32" spans="2:32" ht="23.1" customHeight="1" x14ac:dyDescent="0.25">
      <c r="B32" s="24" t="s">
        <v>59</v>
      </c>
      <c r="C32" s="50">
        <v>50</v>
      </c>
      <c r="D32" s="50">
        <v>7</v>
      </c>
      <c r="E32" s="50">
        <v>12</v>
      </c>
      <c r="F32" s="50">
        <v>53</v>
      </c>
      <c r="G32" s="50">
        <v>4</v>
      </c>
      <c r="H32" s="50">
        <v>1</v>
      </c>
      <c r="I32" s="50">
        <v>13</v>
      </c>
      <c r="J32" s="50">
        <v>6</v>
      </c>
      <c r="K32" s="50">
        <v>2</v>
      </c>
      <c r="L32" s="50">
        <v>16</v>
      </c>
      <c r="M32" s="50">
        <v>2</v>
      </c>
      <c r="N32" s="50">
        <v>16</v>
      </c>
      <c r="O32" s="15">
        <v>136</v>
      </c>
      <c r="P32" s="15">
        <f t="shared" si="1"/>
        <v>182</v>
      </c>
    </row>
    <row r="33" spans="2:20" ht="23.1" customHeight="1" x14ac:dyDescent="0.25">
      <c r="B33" s="23" t="s">
        <v>60</v>
      </c>
      <c r="C33" s="50">
        <v>58</v>
      </c>
      <c r="D33" s="50">
        <v>3</v>
      </c>
      <c r="E33" s="50">
        <v>8</v>
      </c>
      <c r="F33" s="50">
        <v>72</v>
      </c>
      <c r="G33" s="50">
        <v>3</v>
      </c>
      <c r="H33" s="50">
        <v>1</v>
      </c>
      <c r="I33" s="50">
        <v>24</v>
      </c>
      <c r="J33" s="50">
        <v>5</v>
      </c>
      <c r="K33" s="50">
        <v>3</v>
      </c>
      <c r="L33" s="50">
        <v>13</v>
      </c>
      <c r="M33" s="50">
        <v>156</v>
      </c>
      <c r="N33" s="50">
        <v>0</v>
      </c>
      <c r="O33" s="15">
        <f t="shared" si="0"/>
        <v>190</v>
      </c>
      <c r="P33" s="15">
        <f t="shared" si="1"/>
        <v>346</v>
      </c>
    </row>
    <row r="34" spans="2:20" ht="23.1" customHeight="1" x14ac:dyDescent="0.25">
      <c r="B34" s="24" t="s">
        <v>61</v>
      </c>
      <c r="C34" s="50">
        <v>43</v>
      </c>
      <c r="D34" s="50">
        <v>17</v>
      </c>
      <c r="E34" s="50">
        <v>7</v>
      </c>
      <c r="F34" s="50">
        <v>67</v>
      </c>
      <c r="G34" s="50">
        <v>2</v>
      </c>
      <c r="H34" s="50">
        <v>2</v>
      </c>
      <c r="I34" s="50">
        <v>17</v>
      </c>
      <c r="J34" s="50">
        <v>12</v>
      </c>
      <c r="K34" s="50">
        <v>3</v>
      </c>
      <c r="L34" s="50">
        <v>21</v>
      </c>
      <c r="M34" s="50">
        <v>114</v>
      </c>
      <c r="N34" s="50">
        <v>0</v>
      </c>
      <c r="O34" s="15">
        <f t="shared" si="0"/>
        <v>191</v>
      </c>
      <c r="P34" s="15">
        <f t="shared" si="1"/>
        <v>305</v>
      </c>
    </row>
    <row r="35" spans="2:20" ht="23.1" customHeight="1" x14ac:dyDescent="0.25">
      <c r="B35" s="24" t="s">
        <v>62</v>
      </c>
      <c r="C35" s="50">
        <v>37</v>
      </c>
      <c r="D35" s="50">
        <v>5</v>
      </c>
      <c r="E35" s="50">
        <v>4</v>
      </c>
      <c r="F35" s="50">
        <v>63</v>
      </c>
      <c r="G35" s="50">
        <v>4</v>
      </c>
      <c r="H35" s="50">
        <v>0</v>
      </c>
      <c r="I35" s="50">
        <v>17</v>
      </c>
      <c r="J35" s="50">
        <v>15</v>
      </c>
      <c r="K35" s="50">
        <v>4</v>
      </c>
      <c r="L35" s="50">
        <v>21</v>
      </c>
      <c r="M35" s="50">
        <v>133</v>
      </c>
      <c r="N35" s="50">
        <v>0</v>
      </c>
      <c r="O35" s="15">
        <f t="shared" si="0"/>
        <v>170</v>
      </c>
      <c r="P35" s="15">
        <f t="shared" si="1"/>
        <v>303</v>
      </c>
    </row>
    <row r="36" spans="2:20" ht="23.1" customHeight="1" x14ac:dyDescent="0.25">
      <c r="B36" s="24" t="s">
        <v>63</v>
      </c>
      <c r="C36" s="50">
        <v>42</v>
      </c>
      <c r="D36" s="50">
        <v>12</v>
      </c>
      <c r="E36" s="50">
        <v>11</v>
      </c>
      <c r="F36" s="50">
        <v>49</v>
      </c>
      <c r="G36" s="50">
        <v>1</v>
      </c>
      <c r="H36" s="50">
        <v>1</v>
      </c>
      <c r="I36" s="50">
        <v>11</v>
      </c>
      <c r="J36" s="50">
        <v>8</v>
      </c>
      <c r="K36" s="50">
        <v>4</v>
      </c>
      <c r="L36" s="50">
        <v>39</v>
      </c>
      <c r="M36" s="50">
        <v>101</v>
      </c>
      <c r="N36" s="50">
        <v>0</v>
      </c>
      <c r="O36" s="15">
        <f t="shared" si="0"/>
        <v>178</v>
      </c>
      <c r="P36" s="15">
        <f t="shared" si="1"/>
        <v>279</v>
      </c>
    </row>
    <row r="37" spans="2:20" ht="23.1" customHeight="1" x14ac:dyDescent="0.25">
      <c r="B37" s="23" t="s">
        <v>64</v>
      </c>
      <c r="C37" s="50">
        <v>34</v>
      </c>
      <c r="D37" s="50">
        <v>7</v>
      </c>
      <c r="E37" s="50">
        <v>9</v>
      </c>
      <c r="F37" s="50">
        <v>47</v>
      </c>
      <c r="G37" s="50">
        <v>3</v>
      </c>
      <c r="H37" s="50">
        <v>1</v>
      </c>
      <c r="I37" s="50">
        <v>21</v>
      </c>
      <c r="J37" s="50">
        <v>11</v>
      </c>
      <c r="K37" s="50">
        <v>4</v>
      </c>
      <c r="L37" s="50">
        <v>21</v>
      </c>
      <c r="M37" s="50">
        <v>139</v>
      </c>
      <c r="N37" s="50">
        <v>0</v>
      </c>
      <c r="O37" s="15">
        <f t="shared" si="0"/>
        <v>158</v>
      </c>
      <c r="P37" s="15">
        <f t="shared" si="1"/>
        <v>297</v>
      </c>
    </row>
    <row r="38" spans="2:20" ht="23.1" customHeight="1" x14ac:dyDescent="0.25">
      <c r="B38" s="24" t="s">
        <v>65</v>
      </c>
      <c r="C38" s="50">
        <v>34</v>
      </c>
      <c r="D38" s="50">
        <v>10</v>
      </c>
      <c r="E38" s="50">
        <v>4</v>
      </c>
      <c r="F38" s="50">
        <v>50</v>
      </c>
      <c r="G38" s="50">
        <v>2</v>
      </c>
      <c r="H38" s="50">
        <v>0</v>
      </c>
      <c r="I38" s="50">
        <v>28</v>
      </c>
      <c r="J38" s="50">
        <v>11</v>
      </c>
      <c r="K38" s="50">
        <v>5</v>
      </c>
      <c r="L38" s="50">
        <v>20</v>
      </c>
      <c r="M38" s="50">
        <v>114</v>
      </c>
      <c r="N38" s="50">
        <v>0</v>
      </c>
      <c r="O38" s="15">
        <f t="shared" si="0"/>
        <v>164</v>
      </c>
      <c r="P38" s="15">
        <f t="shared" si="1"/>
        <v>278</v>
      </c>
    </row>
    <row r="39" spans="2:20" ht="23.1" customHeight="1" x14ac:dyDescent="0.25">
      <c r="B39" s="24" t="s">
        <v>66</v>
      </c>
      <c r="C39" s="50">
        <v>43</v>
      </c>
      <c r="D39" s="50">
        <v>2</v>
      </c>
      <c r="E39" s="50">
        <v>6</v>
      </c>
      <c r="F39" s="50">
        <v>57</v>
      </c>
      <c r="G39" s="50">
        <v>6</v>
      </c>
      <c r="H39" s="50">
        <v>0</v>
      </c>
      <c r="I39" s="50">
        <v>11</v>
      </c>
      <c r="J39" s="50">
        <v>7</v>
      </c>
      <c r="K39" s="50">
        <v>4</v>
      </c>
      <c r="L39" s="50">
        <v>11</v>
      </c>
      <c r="M39" s="50">
        <v>97</v>
      </c>
      <c r="N39" s="50">
        <v>0</v>
      </c>
      <c r="O39" s="15">
        <f t="shared" si="0"/>
        <v>147</v>
      </c>
      <c r="P39" s="15">
        <f t="shared" si="1"/>
        <v>244</v>
      </c>
    </row>
    <row r="40" spans="2:20" ht="23.1" customHeight="1" x14ac:dyDescent="0.25">
      <c r="B40" s="24" t="s">
        <v>67</v>
      </c>
      <c r="C40" s="50">
        <v>50</v>
      </c>
      <c r="D40" s="50">
        <v>12</v>
      </c>
      <c r="E40" s="50">
        <v>12</v>
      </c>
      <c r="F40" s="50">
        <v>58</v>
      </c>
      <c r="G40" s="50">
        <v>2</v>
      </c>
      <c r="H40" s="50">
        <v>1</v>
      </c>
      <c r="I40" s="50">
        <v>26</v>
      </c>
      <c r="J40" s="50">
        <v>4</v>
      </c>
      <c r="K40" s="50">
        <v>1</v>
      </c>
      <c r="L40" s="50">
        <v>24</v>
      </c>
      <c r="M40" s="50">
        <v>113</v>
      </c>
      <c r="N40" s="50">
        <v>0</v>
      </c>
      <c r="O40" s="15">
        <f t="shared" si="0"/>
        <v>190</v>
      </c>
      <c r="P40" s="15">
        <f t="shared" si="1"/>
        <v>303</v>
      </c>
    </row>
    <row r="41" spans="2:20" ht="23.1" customHeight="1" x14ac:dyDescent="0.25">
      <c r="B41" s="23" t="s">
        <v>68</v>
      </c>
      <c r="C41" s="50">
        <v>23</v>
      </c>
      <c r="D41" s="50">
        <v>4</v>
      </c>
      <c r="E41" s="50">
        <v>8</v>
      </c>
      <c r="F41" s="50">
        <v>54</v>
      </c>
      <c r="G41" s="50">
        <v>3</v>
      </c>
      <c r="H41" s="50">
        <v>0</v>
      </c>
      <c r="I41" s="50">
        <v>12</v>
      </c>
      <c r="J41" s="50">
        <v>6</v>
      </c>
      <c r="K41" s="50">
        <v>2</v>
      </c>
      <c r="L41" s="50">
        <v>12</v>
      </c>
      <c r="M41" s="50">
        <v>137</v>
      </c>
      <c r="N41" s="50">
        <v>0</v>
      </c>
      <c r="O41" s="15">
        <f t="shared" si="0"/>
        <v>124</v>
      </c>
      <c r="P41" s="15">
        <f t="shared" si="1"/>
        <v>261</v>
      </c>
    </row>
    <row r="42" spans="2:20" ht="23.1" customHeight="1" x14ac:dyDescent="0.25">
      <c r="B42" s="24" t="s">
        <v>69</v>
      </c>
      <c r="C42" s="50">
        <v>42</v>
      </c>
      <c r="D42" s="50">
        <v>5</v>
      </c>
      <c r="E42" s="50">
        <v>7</v>
      </c>
      <c r="F42" s="50">
        <v>61</v>
      </c>
      <c r="G42" s="50">
        <v>3</v>
      </c>
      <c r="H42" s="50">
        <v>2</v>
      </c>
      <c r="I42" s="50">
        <v>16</v>
      </c>
      <c r="J42" s="50">
        <v>4</v>
      </c>
      <c r="K42" s="50">
        <v>8</v>
      </c>
      <c r="L42" s="50">
        <v>19</v>
      </c>
      <c r="M42" s="50">
        <v>125</v>
      </c>
      <c r="N42" s="50">
        <v>0</v>
      </c>
      <c r="O42" s="15">
        <f t="shared" si="0"/>
        <v>167</v>
      </c>
      <c r="P42" s="15">
        <f t="shared" si="1"/>
        <v>292</v>
      </c>
    </row>
    <row r="43" spans="2:20" ht="23.1" customHeight="1" x14ac:dyDescent="0.25">
      <c r="B43" s="23" t="s">
        <v>70</v>
      </c>
      <c r="C43" s="50">
        <v>30</v>
      </c>
      <c r="D43" s="50">
        <v>7</v>
      </c>
      <c r="E43" s="50">
        <v>3</v>
      </c>
      <c r="F43" s="50">
        <v>47</v>
      </c>
      <c r="G43" s="50">
        <v>5</v>
      </c>
      <c r="H43" s="50">
        <v>0</v>
      </c>
      <c r="I43" s="50">
        <v>11</v>
      </c>
      <c r="J43" s="50">
        <v>4</v>
      </c>
      <c r="K43" s="50">
        <v>4</v>
      </c>
      <c r="L43" s="50">
        <v>18</v>
      </c>
      <c r="M43" s="50">
        <v>89</v>
      </c>
      <c r="N43" s="50">
        <v>0</v>
      </c>
      <c r="O43" s="15">
        <f t="shared" si="0"/>
        <v>129</v>
      </c>
      <c r="P43" s="15">
        <f t="shared" si="1"/>
        <v>218</v>
      </c>
    </row>
    <row r="44" spans="2:20" ht="23.1" customHeight="1" x14ac:dyDescent="0.25">
      <c r="B44" s="25" t="s">
        <v>71</v>
      </c>
      <c r="C44" s="50">
        <v>31</v>
      </c>
      <c r="D44" s="50">
        <v>4</v>
      </c>
      <c r="E44" s="50">
        <v>10</v>
      </c>
      <c r="F44" s="50">
        <v>43</v>
      </c>
      <c r="G44" s="50">
        <v>3</v>
      </c>
      <c r="H44" s="50">
        <v>0</v>
      </c>
      <c r="I44" s="50">
        <v>11</v>
      </c>
      <c r="J44" s="50">
        <v>7</v>
      </c>
      <c r="K44" s="50">
        <v>3</v>
      </c>
      <c r="L44" s="50">
        <v>16</v>
      </c>
      <c r="M44" s="50">
        <v>87</v>
      </c>
      <c r="N44" s="50">
        <v>0</v>
      </c>
      <c r="O44" s="15">
        <f t="shared" si="0"/>
        <v>128</v>
      </c>
      <c r="P44" s="15">
        <f t="shared" si="1"/>
        <v>215</v>
      </c>
    </row>
    <row r="45" spans="2:20" ht="23.1" customHeight="1" x14ac:dyDescent="0.25">
      <c r="B45" s="23" t="s">
        <v>72</v>
      </c>
      <c r="C45" s="50">
        <v>26</v>
      </c>
      <c r="D45" s="50">
        <v>7</v>
      </c>
      <c r="E45" s="50">
        <v>8</v>
      </c>
      <c r="F45" s="50">
        <v>33</v>
      </c>
      <c r="G45" s="50">
        <v>1</v>
      </c>
      <c r="H45" s="50">
        <v>0</v>
      </c>
      <c r="I45" s="50">
        <v>18</v>
      </c>
      <c r="J45" s="50">
        <v>13</v>
      </c>
      <c r="K45" s="50">
        <v>6</v>
      </c>
      <c r="L45" s="50">
        <v>16</v>
      </c>
      <c r="M45" s="50">
        <v>104</v>
      </c>
      <c r="N45" s="50">
        <v>0</v>
      </c>
      <c r="O45" s="15">
        <f t="shared" si="0"/>
        <v>128</v>
      </c>
      <c r="P45" s="15">
        <f t="shared" si="1"/>
        <v>232</v>
      </c>
    </row>
    <row r="46" spans="2:20" ht="23.1" customHeight="1" x14ac:dyDescent="0.25">
      <c r="B46" s="24" t="s">
        <v>73</v>
      </c>
      <c r="C46" s="50">
        <v>28</v>
      </c>
      <c r="D46" s="50">
        <v>5</v>
      </c>
      <c r="E46" s="50">
        <v>7</v>
      </c>
      <c r="F46" s="50">
        <v>50</v>
      </c>
      <c r="G46" s="50">
        <v>2</v>
      </c>
      <c r="H46" s="50">
        <v>1</v>
      </c>
      <c r="I46" s="50">
        <v>15</v>
      </c>
      <c r="J46" s="50">
        <v>5</v>
      </c>
      <c r="K46" s="50">
        <v>2</v>
      </c>
      <c r="L46" s="50">
        <v>22</v>
      </c>
      <c r="M46" s="50">
        <v>88</v>
      </c>
      <c r="N46" s="50">
        <v>0</v>
      </c>
      <c r="O46" s="15">
        <f t="shared" si="0"/>
        <v>137</v>
      </c>
      <c r="P46" s="15">
        <f t="shared" si="1"/>
        <v>225</v>
      </c>
      <c r="R46" s="8"/>
      <c r="T46"/>
    </row>
    <row r="47" spans="2:20" ht="23.1" customHeight="1" x14ac:dyDescent="0.25">
      <c r="B47" s="24" t="s">
        <v>74</v>
      </c>
      <c r="C47" s="50">
        <v>32</v>
      </c>
      <c r="D47" s="50">
        <v>3</v>
      </c>
      <c r="E47" s="50">
        <v>3</v>
      </c>
      <c r="F47" s="50">
        <v>36</v>
      </c>
      <c r="G47" s="50">
        <v>5</v>
      </c>
      <c r="H47" s="50">
        <v>0</v>
      </c>
      <c r="I47" s="50">
        <v>15</v>
      </c>
      <c r="J47" s="50">
        <v>7</v>
      </c>
      <c r="K47" s="50">
        <v>8</v>
      </c>
      <c r="L47" s="50">
        <v>33</v>
      </c>
      <c r="M47" s="50">
        <v>98</v>
      </c>
      <c r="N47" s="50">
        <v>0</v>
      </c>
      <c r="O47" s="15">
        <f t="shared" si="0"/>
        <v>142</v>
      </c>
      <c r="P47" s="15">
        <f t="shared" si="1"/>
        <v>240</v>
      </c>
      <c r="R47" s="8"/>
      <c r="T47"/>
    </row>
    <row r="48" spans="2:20" ht="23.1" customHeight="1" x14ac:dyDescent="0.25">
      <c r="B48" s="24" t="s">
        <v>75</v>
      </c>
      <c r="C48" s="50">
        <v>40</v>
      </c>
      <c r="D48" s="50">
        <v>4</v>
      </c>
      <c r="E48" s="50">
        <v>8</v>
      </c>
      <c r="F48" s="50">
        <v>63</v>
      </c>
      <c r="G48" s="50">
        <v>7</v>
      </c>
      <c r="H48" s="50">
        <v>0</v>
      </c>
      <c r="I48" s="50">
        <v>10</v>
      </c>
      <c r="J48" s="50">
        <v>7</v>
      </c>
      <c r="K48" s="50">
        <v>7</v>
      </c>
      <c r="L48" s="50">
        <v>36</v>
      </c>
      <c r="M48" s="50">
        <v>125</v>
      </c>
      <c r="N48" s="50">
        <v>0</v>
      </c>
      <c r="O48" s="15">
        <f t="shared" si="0"/>
        <v>182</v>
      </c>
      <c r="P48" s="15">
        <f t="shared" si="1"/>
        <v>307</v>
      </c>
      <c r="R48" s="8"/>
      <c r="T48"/>
    </row>
    <row r="49" spans="2:20" ht="23.1" customHeight="1" x14ac:dyDescent="0.25">
      <c r="B49" s="23" t="s">
        <v>76</v>
      </c>
      <c r="C49" s="50">
        <v>30</v>
      </c>
      <c r="D49" s="50">
        <v>6</v>
      </c>
      <c r="E49" s="50">
        <v>7</v>
      </c>
      <c r="F49" s="50">
        <v>60</v>
      </c>
      <c r="G49" s="50">
        <v>3</v>
      </c>
      <c r="H49" s="50">
        <v>0</v>
      </c>
      <c r="I49" s="50">
        <v>11</v>
      </c>
      <c r="J49" s="50">
        <v>3</v>
      </c>
      <c r="K49" s="50">
        <v>3</v>
      </c>
      <c r="L49" s="50">
        <v>29</v>
      </c>
      <c r="M49" s="50">
        <v>106</v>
      </c>
      <c r="N49" s="50">
        <v>0</v>
      </c>
      <c r="O49" s="15">
        <f t="shared" si="0"/>
        <v>152</v>
      </c>
      <c r="P49" s="15">
        <f t="shared" si="1"/>
        <v>258</v>
      </c>
      <c r="R49" s="8"/>
      <c r="T49"/>
    </row>
    <row r="50" spans="2:20" ht="23.1" customHeight="1" x14ac:dyDescent="0.25">
      <c r="B50" s="24" t="s">
        <v>77</v>
      </c>
      <c r="C50" s="50">
        <v>40</v>
      </c>
      <c r="D50" s="50">
        <v>9</v>
      </c>
      <c r="E50" s="50">
        <v>10</v>
      </c>
      <c r="F50" s="50">
        <v>58</v>
      </c>
      <c r="G50" s="50">
        <v>5</v>
      </c>
      <c r="H50" s="50">
        <v>1</v>
      </c>
      <c r="I50" s="50">
        <v>18</v>
      </c>
      <c r="J50" s="50">
        <v>9</v>
      </c>
      <c r="K50" s="50">
        <v>3</v>
      </c>
      <c r="L50" s="50">
        <v>23</v>
      </c>
      <c r="M50" s="50">
        <v>119</v>
      </c>
      <c r="N50" s="50">
        <v>0</v>
      </c>
      <c r="O50" s="15">
        <f t="shared" si="0"/>
        <v>176</v>
      </c>
      <c r="P50" s="15">
        <f t="shared" si="1"/>
        <v>295</v>
      </c>
      <c r="R50" s="8"/>
      <c r="T50"/>
    </row>
    <row r="51" spans="2:20" ht="23.1" customHeight="1" x14ac:dyDescent="0.25">
      <c r="B51" s="24" t="s">
        <v>78</v>
      </c>
      <c r="C51" s="50">
        <v>45</v>
      </c>
      <c r="D51" s="50">
        <v>11</v>
      </c>
      <c r="E51" s="50">
        <v>8</v>
      </c>
      <c r="F51" s="50">
        <v>44</v>
      </c>
      <c r="G51" s="50">
        <v>3</v>
      </c>
      <c r="H51" s="50">
        <v>0</v>
      </c>
      <c r="I51" s="50">
        <v>10</v>
      </c>
      <c r="J51" s="50">
        <v>12</v>
      </c>
      <c r="K51" s="50">
        <v>4</v>
      </c>
      <c r="L51" s="50">
        <v>21</v>
      </c>
      <c r="M51" s="50">
        <v>104</v>
      </c>
      <c r="N51" s="50">
        <v>1</v>
      </c>
      <c r="O51" s="15">
        <f t="shared" si="0"/>
        <v>159</v>
      </c>
      <c r="P51" s="15">
        <f t="shared" si="1"/>
        <v>263</v>
      </c>
      <c r="R51" s="8"/>
      <c r="T51"/>
    </row>
    <row r="52" spans="2:20" ht="23.1" customHeight="1" x14ac:dyDescent="0.25">
      <c r="B52" s="24" t="s">
        <v>79</v>
      </c>
      <c r="C52" s="50">
        <v>58</v>
      </c>
      <c r="D52" s="50">
        <v>12</v>
      </c>
      <c r="E52" s="50">
        <v>8</v>
      </c>
      <c r="F52" s="50">
        <v>54</v>
      </c>
      <c r="G52" s="50">
        <v>4</v>
      </c>
      <c r="H52" s="50">
        <v>0</v>
      </c>
      <c r="I52" s="50">
        <v>13</v>
      </c>
      <c r="J52" s="50">
        <v>8</v>
      </c>
      <c r="K52" s="50">
        <v>7</v>
      </c>
      <c r="L52" s="50">
        <v>18</v>
      </c>
      <c r="M52" s="50">
        <v>149</v>
      </c>
      <c r="N52" s="50">
        <v>0</v>
      </c>
      <c r="O52" s="15">
        <f t="shared" si="0"/>
        <v>182</v>
      </c>
      <c r="P52" s="15">
        <f t="shared" si="1"/>
        <v>331</v>
      </c>
      <c r="R52" s="8"/>
      <c r="T52"/>
    </row>
    <row r="53" spans="2:20" ht="23.1" customHeight="1" x14ac:dyDescent="0.25">
      <c r="B53" s="23" t="s">
        <v>80</v>
      </c>
      <c r="C53" s="50">
        <v>33</v>
      </c>
      <c r="D53" s="50">
        <v>4</v>
      </c>
      <c r="E53" s="50">
        <v>3</v>
      </c>
      <c r="F53" s="50">
        <v>37</v>
      </c>
      <c r="G53" s="50">
        <v>2</v>
      </c>
      <c r="H53" s="50">
        <v>0</v>
      </c>
      <c r="I53" s="50">
        <v>11</v>
      </c>
      <c r="J53" s="50">
        <v>2</v>
      </c>
      <c r="K53" s="50">
        <v>3</v>
      </c>
      <c r="L53" s="50">
        <v>17</v>
      </c>
      <c r="M53" s="50">
        <v>145</v>
      </c>
      <c r="N53" s="50">
        <v>0</v>
      </c>
      <c r="O53" s="15">
        <f t="shared" si="0"/>
        <v>112</v>
      </c>
      <c r="P53" s="15">
        <f t="shared" si="1"/>
        <v>257</v>
      </c>
      <c r="R53" s="8"/>
      <c r="T53"/>
    </row>
    <row r="54" spans="2:20" ht="23.1" customHeight="1" x14ac:dyDescent="0.25">
      <c r="B54" s="23" t="s">
        <v>81</v>
      </c>
      <c r="C54" s="50">
        <v>47</v>
      </c>
      <c r="D54" s="50">
        <v>12</v>
      </c>
      <c r="E54" s="50">
        <v>5</v>
      </c>
      <c r="F54" s="50">
        <v>38</v>
      </c>
      <c r="G54" s="50">
        <v>4</v>
      </c>
      <c r="H54" s="50">
        <v>0</v>
      </c>
      <c r="I54" s="50">
        <v>16</v>
      </c>
      <c r="J54" s="50">
        <v>9</v>
      </c>
      <c r="K54" s="50">
        <v>6</v>
      </c>
      <c r="L54" s="50">
        <v>17</v>
      </c>
      <c r="M54" s="50">
        <v>168</v>
      </c>
      <c r="N54" s="50">
        <v>0</v>
      </c>
      <c r="O54" s="15">
        <f t="shared" si="0"/>
        <v>154</v>
      </c>
      <c r="P54" s="15">
        <f t="shared" si="1"/>
        <v>322</v>
      </c>
      <c r="R54" s="8"/>
      <c r="T54"/>
    </row>
    <row r="55" spans="2:20" ht="23.1" customHeight="1" x14ac:dyDescent="0.25">
      <c r="B55" s="23" t="s">
        <v>82</v>
      </c>
      <c r="C55" s="50">
        <v>27</v>
      </c>
      <c r="D55" s="50">
        <v>4</v>
      </c>
      <c r="E55" s="50">
        <v>7</v>
      </c>
      <c r="F55" s="50">
        <v>25</v>
      </c>
      <c r="G55" s="50">
        <v>1</v>
      </c>
      <c r="H55" s="50">
        <v>0</v>
      </c>
      <c r="I55" s="50">
        <v>11</v>
      </c>
      <c r="J55" s="50">
        <v>8</v>
      </c>
      <c r="K55" s="50">
        <v>6</v>
      </c>
      <c r="L55" s="50">
        <v>19</v>
      </c>
      <c r="M55" s="50">
        <v>174</v>
      </c>
      <c r="N55" s="50">
        <v>0</v>
      </c>
      <c r="O55" s="15">
        <f t="shared" si="0"/>
        <v>108</v>
      </c>
      <c r="P55" s="15">
        <f t="shared" si="1"/>
        <v>282</v>
      </c>
      <c r="R55" s="8"/>
      <c r="T55"/>
    </row>
    <row r="56" spans="2:20" ht="23.1" customHeight="1" x14ac:dyDescent="0.25">
      <c r="B56" s="23" t="s">
        <v>83</v>
      </c>
      <c r="C56" s="50">
        <v>48</v>
      </c>
      <c r="D56" s="50">
        <v>5</v>
      </c>
      <c r="E56" s="50">
        <v>6</v>
      </c>
      <c r="F56" s="50">
        <v>36</v>
      </c>
      <c r="G56" s="50">
        <v>2</v>
      </c>
      <c r="H56" s="50">
        <v>1</v>
      </c>
      <c r="I56" s="50">
        <v>9</v>
      </c>
      <c r="J56" s="50">
        <v>7</v>
      </c>
      <c r="K56" s="50">
        <v>3</v>
      </c>
      <c r="L56" s="50">
        <v>15</v>
      </c>
      <c r="M56" s="50">
        <v>142</v>
      </c>
      <c r="N56" s="50">
        <v>0</v>
      </c>
      <c r="O56" s="15">
        <f t="shared" si="0"/>
        <v>132</v>
      </c>
      <c r="P56" s="15">
        <f t="shared" si="1"/>
        <v>274</v>
      </c>
      <c r="R56" s="8"/>
      <c r="T56"/>
    </row>
    <row r="57" spans="2:20" ht="23.1" customHeight="1" x14ac:dyDescent="0.25">
      <c r="B57" s="23" t="s">
        <v>84</v>
      </c>
      <c r="C57" s="50">
        <v>46</v>
      </c>
      <c r="D57" s="50">
        <v>6</v>
      </c>
      <c r="E57" s="50">
        <v>9</v>
      </c>
      <c r="F57" s="50">
        <v>36</v>
      </c>
      <c r="G57" s="50">
        <v>4</v>
      </c>
      <c r="H57" s="50">
        <v>0</v>
      </c>
      <c r="I57" s="50">
        <v>6</v>
      </c>
      <c r="J57" s="50">
        <v>7</v>
      </c>
      <c r="K57" s="50">
        <v>5</v>
      </c>
      <c r="L57" s="50">
        <v>12</v>
      </c>
      <c r="M57" s="50">
        <v>184</v>
      </c>
      <c r="N57" s="50">
        <v>0</v>
      </c>
      <c r="O57" s="15">
        <f t="shared" si="0"/>
        <v>131</v>
      </c>
      <c r="P57" s="15">
        <f t="shared" si="1"/>
        <v>315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2434</v>
      </c>
      <c r="D58" s="16">
        <f t="shared" si="21"/>
        <v>322</v>
      </c>
      <c r="E58" s="16">
        <f t="shared" si="21"/>
        <v>414</v>
      </c>
      <c r="F58" s="16">
        <f t="shared" si="21"/>
        <v>2440</v>
      </c>
      <c r="G58" s="16">
        <f t="shared" si="21"/>
        <v>136</v>
      </c>
      <c r="H58" s="16">
        <f t="shared" si="21"/>
        <v>25</v>
      </c>
      <c r="I58" s="16">
        <f t="shared" si="21"/>
        <v>660</v>
      </c>
      <c r="J58" s="16">
        <f t="shared" si="21"/>
        <v>359</v>
      </c>
      <c r="K58" s="16">
        <f t="shared" si="21"/>
        <v>163</v>
      </c>
      <c r="L58" s="16">
        <f t="shared" si="21"/>
        <v>650</v>
      </c>
      <c r="M58" s="16">
        <f t="shared" si="21"/>
        <v>5833</v>
      </c>
      <c r="N58" s="16">
        <f t="shared" si="21"/>
        <v>17</v>
      </c>
      <c r="O58" s="16">
        <f t="shared" si="21"/>
        <v>7576</v>
      </c>
      <c r="P58" s="16">
        <f t="shared" si="21"/>
        <v>13453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0.18092618746747938</v>
      </c>
      <c r="D59" s="43">
        <f t="shared" si="22"/>
        <v>2.3935181743848954E-2</v>
      </c>
      <c r="E59" s="43">
        <f t="shared" si="22"/>
        <v>3.0773805099234372E-2</v>
      </c>
      <c r="F59" s="43">
        <f t="shared" si="22"/>
        <v>0.18137218464283059</v>
      </c>
      <c r="G59" s="43">
        <f t="shared" si="22"/>
        <v>1.010926930796105E-2</v>
      </c>
      <c r="H59" s="43">
        <f t="shared" si="22"/>
        <v>1.8583215639634283E-3</v>
      </c>
      <c r="I59" s="43">
        <f t="shared" si="22"/>
        <v>4.9059689288634509E-2</v>
      </c>
      <c r="J59" s="43">
        <f t="shared" si="22"/>
        <v>2.6685497658514828E-2</v>
      </c>
      <c r="K59" s="43">
        <f t="shared" si="22"/>
        <v>1.2116256597041552E-2</v>
      </c>
      <c r="L59" s="43">
        <f t="shared" si="22"/>
        <v>4.8316360663049132E-2</v>
      </c>
      <c r="M59" s="43">
        <f t="shared" si="22"/>
        <v>0.43358358730394708</v>
      </c>
      <c r="N59" s="43">
        <f t="shared" si="22"/>
        <v>1.2636586634951312E-3</v>
      </c>
      <c r="R59" s="8"/>
      <c r="T59"/>
    </row>
    <row r="60" spans="2:20" ht="23.1" customHeight="1" x14ac:dyDescent="0.25">
      <c r="B60" s="42" t="s">
        <v>94</v>
      </c>
      <c r="C60" s="44">
        <f>C58/$O$58</f>
        <v>0.32127771911298836</v>
      </c>
      <c r="D60" s="44">
        <f t="shared" ref="D60:N60" si="23">D58/$O$58</f>
        <v>4.2502639915522701E-2</v>
      </c>
      <c r="E60" s="44">
        <f t="shared" si="23"/>
        <v>5.4646251319957762E-2</v>
      </c>
      <c r="F60" s="44">
        <f t="shared" si="23"/>
        <v>0.32206969376979938</v>
      </c>
      <c r="G60" s="44">
        <f t="shared" si="23"/>
        <v>1.7951425554382259E-2</v>
      </c>
      <c r="H60" s="44">
        <f t="shared" si="23"/>
        <v>3.2998944033790917E-3</v>
      </c>
      <c r="I60" s="44">
        <f t="shared" si="23"/>
        <v>8.7117212249208029E-2</v>
      </c>
      <c r="J60" s="44">
        <f t="shared" si="23"/>
        <v>4.7386483632523763E-2</v>
      </c>
      <c r="K60" s="44">
        <f t="shared" si="23"/>
        <v>2.1515311510031679E-2</v>
      </c>
      <c r="L60" s="44">
        <f t="shared" si="23"/>
        <v>8.5797254487856384E-2</v>
      </c>
      <c r="M60" s="44"/>
      <c r="N60" s="44">
        <f t="shared" si="23"/>
        <v>2.2439281942977824E-3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G5:H5"/>
    <mergeCell ref="G6:H6"/>
    <mergeCell ref="R8:AF8"/>
    <mergeCell ref="B1:AE1"/>
    <mergeCell ref="B2:AE2"/>
    <mergeCell ref="C3:G3"/>
    <mergeCell ref="D6:E6"/>
    <mergeCell ref="K6:L6"/>
    <mergeCell ref="K5:L5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AF126"/>
  <sheetViews>
    <sheetView view="pageBreakPreview" zoomScale="60" workbookViewId="0">
      <selection activeCell="R54" sqref="R54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2" t="s">
        <v>23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  <c r="AE1" s="62"/>
    </row>
    <row r="2" spans="2:32" ht="20.100000000000001" customHeight="1" x14ac:dyDescent="0.25">
      <c r="B2" s="63" t="s">
        <v>95</v>
      </c>
      <c r="C2" s="63"/>
      <c r="D2" s="63"/>
      <c r="E2" s="63"/>
      <c r="F2" s="63"/>
      <c r="G2" s="63"/>
      <c r="H2" s="63"/>
      <c r="I2" s="63"/>
      <c r="J2" s="63"/>
      <c r="K2" s="63"/>
      <c r="L2" s="63"/>
      <c r="M2" s="63"/>
      <c r="N2" s="63"/>
      <c r="O2" s="63"/>
      <c r="P2" s="63"/>
      <c r="Q2" s="63"/>
      <c r="R2" s="63"/>
      <c r="S2" s="63"/>
      <c r="T2" s="63"/>
      <c r="U2" s="63"/>
      <c r="V2" s="63"/>
      <c r="W2" s="63"/>
      <c r="X2" s="63"/>
      <c r="Y2" s="63"/>
      <c r="Z2" s="63"/>
      <c r="AA2" s="63"/>
      <c r="AB2" s="63"/>
      <c r="AC2" s="63"/>
      <c r="AD2" s="63"/>
      <c r="AE2" s="63"/>
    </row>
    <row r="3" spans="2:32" ht="20.100000000000001" customHeight="1" x14ac:dyDescent="0.25">
      <c r="B3" s="22" t="s">
        <v>96</v>
      </c>
      <c r="C3" s="67" t="str">
        <f>'23.09 Seeta-Mukono'!C3:G3</f>
        <v>MCC - C2 - STN074 - SONDE  ROAD</v>
      </c>
      <c r="D3" s="67"/>
      <c r="E3" s="67"/>
      <c r="F3" s="67"/>
      <c r="G3" s="67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'23.09 Seeta-Mukono'!D5</f>
        <v>23.09.19</v>
      </c>
      <c r="E5" s="3"/>
      <c r="F5" s="41" t="s">
        <v>1</v>
      </c>
      <c r="G5" s="65" t="str">
        <f>'23.09 Seeta-Mukono'!G5:H5</f>
        <v>Gasco Petrol Sta'n</v>
      </c>
      <c r="H5" s="66"/>
      <c r="I5" s="14"/>
      <c r="J5" s="2" t="s">
        <v>5</v>
      </c>
      <c r="K5" s="65" t="s">
        <v>171</v>
      </c>
      <c r="L5" s="66"/>
      <c r="M5" s="10"/>
      <c r="N5" s="10"/>
      <c r="O5" s="3"/>
      <c r="P5" s="3"/>
    </row>
    <row r="6" spans="2:32" ht="23.25" customHeight="1" x14ac:dyDescent="0.25">
      <c r="C6" s="2" t="s">
        <v>4</v>
      </c>
      <c r="D6" s="59" t="s">
        <v>163</v>
      </c>
      <c r="E6" s="60"/>
      <c r="F6" s="2" t="s">
        <v>2</v>
      </c>
      <c r="G6" s="59" t="s">
        <v>162</v>
      </c>
      <c r="H6" s="60"/>
      <c r="J6" s="2" t="s">
        <v>21</v>
      </c>
      <c r="K6" s="65" t="str">
        <f>'23.09 Seeta-Mukono'!K6:L6</f>
        <v>Tracy</v>
      </c>
      <c r="L6" s="66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1" t="s">
        <v>88</v>
      </c>
      <c r="S8" s="61"/>
      <c r="T8" s="61"/>
      <c r="U8" s="61"/>
      <c r="V8" s="61"/>
      <c r="W8" s="61"/>
      <c r="X8" s="61"/>
      <c r="Y8" s="61"/>
      <c r="Z8" s="61"/>
      <c r="AA8" s="61"/>
      <c r="AB8" s="61"/>
      <c r="AC8" s="61"/>
      <c r="AD8" s="61"/>
      <c r="AE8" s="61"/>
      <c r="AF8" s="61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27</v>
      </c>
      <c r="D10" s="50">
        <v>12</v>
      </c>
      <c r="E10" s="50">
        <v>24</v>
      </c>
      <c r="F10" s="50">
        <v>18</v>
      </c>
      <c r="G10" s="50">
        <v>7</v>
      </c>
      <c r="H10" s="50">
        <v>2</v>
      </c>
      <c r="I10" s="50">
        <v>6</v>
      </c>
      <c r="J10" s="50">
        <v>7</v>
      </c>
      <c r="K10" s="50">
        <v>0</v>
      </c>
      <c r="L10" s="50">
        <v>18</v>
      </c>
      <c r="M10" s="50">
        <v>102</v>
      </c>
      <c r="N10" s="50">
        <v>0</v>
      </c>
      <c r="O10" s="15">
        <f t="shared" ref="O10:O57" si="0">SUM(C10:L10,N10)</f>
        <v>121</v>
      </c>
      <c r="P10" s="15">
        <f t="shared" ref="P10:P57" si="1">SUM(C10:N10)</f>
        <v>223</v>
      </c>
      <c r="R10" s="1" t="s">
        <v>6</v>
      </c>
      <c r="S10" s="17">
        <f t="shared" ref="S10:AF10" si="2">SUM(C10:C13)</f>
        <v>97</v>
      </c>
      <c r="T10" s="17">
        <f t="shared" si="2"/>
        <v>37</v>
      </c>
      <c r="U10" s="17">
        <f t="shared" si="2"/>
        <v>38</v>
      </c>
      <c r="V10" s="17">
        <f t="shared" si="2"/>
        <v>86</v>
      </c>
      <c r="W10" s="17">
        <f t="shared" si="2"/>
        <v>8</v>
      </c>
      <c r="X10" s="17">
        <f t="shared" si="2"/>
        <v>3</v>
      </c>
      <c r="Y10" s="17">
        <f t="shared" si="2"/>
        <v>12</v>
      </c>
      <c r="Z10" s="17">
        <f t="shared" si="2"/>
        <v>17</v>
      </c>
      <c r="AA10" s="17">
        <f t="shared" si="2"/>
        <v>6</v>
      </c>
      <c r="AB10" s="17">
        <f t="shared" si="2"/>
        <v>67</v>
      </c>
      <c r="AC10" s="17">
        <f t="shared" si="2"/>
        <v>578</v>
      </c>
      <c r="AD10" s="17">
        <f t="shared" si="2"/>
        <v>0</v>
      </c>
      <c r="AE10" s="31">
        <f t="shared" si="2"/>
        <v>371</v>
      </c>
      <c r="AF10" s="31">
        <f t="shared" si="2"/>
        <v>949</v>
      </c>
    </row>
    <row r="11" spans="2:32" s="6" customFormat="1" ht="23.1" customHeight="1" x14ac:dyDescent="0.25">
      <c r="B11" s="23" t="s">
        <v>38</v>
      </c>
      <c r="C11" s="50">
        <v>8</v>
      </c>
      <c r="D11" s="50">
        <v>2</v>
      </c>
      <c r="E11" s="50">
        <v>2</v>
      </c>
      <c r="F11" s="50">
        <v>2</v>
      </c>
      <c r="G11" s="50">
        <v>0</v>
      </c>
      <c r="H11" s="50">
        <v>0</v>
      </c>
      <c r="I11" s="50">
        <v>0</v>
      </c>
      <c r="J11" s="50">
        <v>1</v>
      </c>
      <c r="K11" s="50">
        <v>3</v>
      </c>
      <c r="L11" s="50">
        <v>12</v>
      </c>
      <c r="M11" s="50">
        <v>127</v>
      </c>
      <c r="N11" s="50">
        <v>0</v>
      </c>
      <c r="O11" s="15">
        <f t="shared" si="0"/>
        <v>30</v>
      </c>
      <c r="P11" s="15">
        <f t="shared" si="1"/>
        <v>157</v>
      </c>
      <c r="R11" s="1" t="s">
        <v>7</v>
      </c>
      <c r="S11" s="17">
        <f t="shared" ref="S11:AF11" si="3">SUM(C14:C17)</f>
        <v>114</v>
      </c>
      <c r="T11" s="17">
        <f t="shared" si="3"/>
        <v>60</v>
      </c>
      <c r="U11" s="17">
        <f t="shared" si="3"/>
        <v>26</v>
      </c>
      <c r="V11" s="17">
        <f t="shared" si="3"/>
        <v>180</v>
      </c>
      <c r="W11" s="17">
        <f t="shared" si="3"/>
        <v>9</v>
      </c>
      <c r="X11" s="17">
        <f t="shared" si="3"/>
        <v>3</v>
      </c>
      <c r="Y11" s="17">
        <f t="shared" si="3"/>
        <v>30</v>
      </c>
      <c r="Z11" s="17">
        <f t="shared" si="3"/>
        <v>17</v>
      </c>
      <c r="AA11" s="17">
        <f t="shared" si="3"/>
        <v>10</v>
      </c>
      <c r="AB11" s="17">
        <f t="shared" si="3"/>
        <v>76</v>
      </c>
      <c r="AC11" s="17">
        <f t="shared" si="3"/>
        <v>742</v>
      </c>
      <c r="AD11" s="17">
        <f t="shared" si="3"/>
        <v>0</v>
      </c>
      <c r="AE11" s="31">
        <f t="shared" si="3"/>
        <v>525</v>
      </c>
      <c r="AF11" s="31">
        <f t="shared" si="3"/>
        <v>1267</v>
      </c>
    </row>
    <row r="12" spans="2:32" ht="23.1" customHeight="1" x14ac:dyDescent="0.25">
      <c r="B12" s="23" t="s">
        <v>39</v>
      </c>
      <c r="C12" s="50">
        <v>31</v>
      </c>
      <c r="D12" s="50">
        <v>16</v>
      </c>
      <c r="E12" s="50">
        <v>4</v>
      </c>
      <c r="F12" s="50">
        <v>49</v>
      </c>
      <c r="G12" s="50">
        <v>0</v>
      </c>
      <c r="H12" s="50">
        <v>1</v>
      </c>
      <c r="I12" s="50">
        <v>3</v>
      </c>
      <c r="J12" s="50">
        <v>9</v>
      </c>
      <c r="K12" s="50">
        <v>1</v>
      </c>
      <c r="L12" s="50">
        <v>19</v>
      </c>
      <c r="M12" s="50">
        <v>171</v>
      </c>
      <c r="N12" s="50">
        <v>0</v>
      </c>
      <c r="O12" s="15">
        <f t="shared" si="0"/>
        <v>133</v>
      </c>
      <c r="P12" s="15">
        <f t="shared" si="1"/>
        <v>304</v>
      </c>
      <c r="R12" s="1" t="s">
        <v>8</v>
      </c>
      <c r="S12" s="17">
        <f t="shared" ref="S12:AF12" si="4">SUM(C18:C21)</f>
        <v>112</v>
      </c>
      <c r="T12" s="17">
        <f t="shared" si="4"/>
        <v>44</v>
      </c>
      <c r="U12" s="17">
        <f t="shared" si="4"/>
        <v>37</v>
      </c>
      <c r="V12" s="17">
        <f t="shared" si="4"/>
        <v>218</v>
      </c>
      <c r="W12" s="17">
        <f t="shared" si="4"/>
        <v>11</v>
      </c>
      <c r="X12" s="17">
        <f t="shared" si="4"/>
        <v>1</v>
      </c>
      <c r="Y12" s="17">
        <f t="shared" si="4"/>
        <v>34</v>
      </c>
      <c r="Z12" s="17">
        <f t="shared" si="4"/>
        <v>11</v>
      </c>
      <c r="AA12" s="17">
        <f t="shared" si="4"/>
        <v>29</v>
      </c>
      <c r="AB12" s="17">
        <f t="shared" si="4"/>
        <v>73</v>
      </c>
      <c r="AC12" s="17">
        <f t="shared" si="4"/>
        <v>574</v>
      </c>
      <c r="AD12" s="17">
        <f t="shared" si="4"/>
        <v>0</v>
      </c>
      <c r="AE12" s="31">
        <f t="shared" si="4"/>
        <v>570</v>
      </c>
      <c r="AF12" s="31">
        <f t="shared" si="4"/>
        <v>1144</v>
      </c>
    </row>
    <row r="13" spans="2:32" ht="23.1" customHeight="1" x14ac:dyDescent="0.25">
      <c r="B13" s="23" t="s">
        <v>40</v>
      </c>
      <c r="C13" s="50">
        <v>31</v>
      </c>
      <c r="D13" s="50">
        <v>7</v>
      </c>
      <c r="E13" s="50">
        <v>8</v>
      </c>
      <c r="F13" s="50">
        <v>17</v>
      </c>
      <c r="G13" s="50">
        <v>1</v>
      </c>
      <c r="H13" s="50">
        <v>0</v>
      </c>
      <c r="I13" s="50">
        <v>3</v>
      </c>
      <c r="J13" s="50">
        <v>0</v>
      </c>
      <c r="K13" s="50">
        <v>2</v>
      </c>
      <c r="L13" s="50">
        <v>18</v>
      </c>
      <c r="M13" s="50">
        <v>178</v>
      </c>
      <c r="N13" s="50">
        <v>0</v>
      </c>
      <c r="O13" s="15">
        <f t="shared" si="0"/>
        <v>87</v>
      </c>
      <c r="P13" s="15">
        <f t="shared" si="1"/>
        <v>265</v>
      </c>
      <c r="R13" s="1" t="s">
        <v>9</v>
      </c>
      <c r="S13" s="17">
        <f t="shared" ref="S13:AF13" si="5">SUM(C22:C25)</f>
        <v>78</v>
      </c>
      <c r="T13" s="17">
        <f t="shared" si="5"/>
        <v>38</v>
      </c>
      <c r="U13" s="17">
        <f t="shared" si="5"/>
        <v>24</v>
      </c>
      <c r="V13" s="17">
        <f t="shared" si="5"/>
        <v>131</v>
      </c>
      <c r="W13" s="17">
        <f t="shared" si="5"/>
        <v>5</v>
      </c>
      <c r="X13" s="17">
        <f t="shared" si="5"/>
        <v>1</v>
      </c>
      <c r="Y13" s="17">
        <f t="shared" si="5"/>
        <v>33</v>
      </c>
      <c r="Z13" s="17">
        <f t="shared" si="5"/>
        <v>11</v>
      </c>
      <c r="AA13" s="17">
        <f t="shared" si="5"/>
        <v>12</v>
      </c>
      <c r="AB13" s="17">
        <f t="shared" si="5"/>
        <v>71</v>
      </c>
      <c r="AC13" s="17">
        <f t="shared" si="5"/>
        <v>276</v>
      </c>
      <c r="AD13" s="17">
        <f t="shared" si="5"/>
        <v>0</v>
      </c>
      <c r="AE13" s="31">
        <f t="shared" si="5"/>
        <v>404</v>
      </c>
      <c r="AF13" s="31">
        <f t="shared" si="5"/>
        <v>680</v>
      </c>
    </row>
    <row r="14" spans="2:32" ht="23.1" customHeight="1" x14ac:dyDescent="0.25">
      <c r="B14" s="23" t="s">
        <v>41</v>
      </c>
      <c r="C14" s="50">
        <v>33</v>
      </c>
      <c r="D14" s="50">
        <v>18</v>
      </c>
      <c r="E14" s="50">
        <v>5</v>
      </c>
      <c r="F14" s="50">
        <v>38</v>
      </c>
      <c r="G14" s="50">
        <v>2</v>
      </c>
      <c r="H14" s="50">
        <v>1</v>
      </c>
      <c r="I14" s="50">
        <v>9</v>
      </c>
      <c r="J14" s="50">
        <v>7</v>
      </c>
      <c r="K14" s="50">
        <v>6</v>
      </c>
      <c r="L14" s="50">
        <v>22</v>
      </c>
      <c r="M14" s="50">
        <v>186</v>
      </c>
      <c r="N14" s="50">
        <v>0</v>
      </c>
      <c r="O14" s="15">
        <f t="shared" si="0"/>
        <v>141</v>
      </c>
      <c r="P14" s="15">
        <f t="shared" si="1"/>
        <v>327</v>
      </c>
      <c r="R14" s="1" t="s">
        <v>10</v>
      </c>
      <c r="S14" s="17">
        <f t="shared" ref="S14:AF14" si="6">SUM(C26:C29)</f>
        <v>91</v>
      </c>
      <c r="T14" s="17">
        <f t="shared" si="6"/>
        <v>38</v>
      </c>
      <c r="U14" s="17">
        <f t="shared" si="6"/>
        <v>25</v>
      </c>
      <c r="V14" s="17">
        <f t="shared" si="6"/>
        <v>115</v>
      </c>
      <c r="W14" s="17">
        <f t="shared" si="6"/>
        <v>6</v>
      </c>
      <c r="X14" s="17">
        <f t="shared" si="6"/>
        <v>0</v>
      </c>
      <c r="Y14" s="17">
        <f t="shared" si="6"/>
        <v>32</v>
      </c>
      <c r="Z14" s="17">
        <f t="shared" si="6"/>
        <v>18</v>
      </c>
      <c r="AA14" s="17">
        <f t="shared" si="6"/>
        <v>19</v>
      </c>
      <c r="AB14" s="17">
        <f t="shared" si="6"/>
        <v>73</v>
      </c>
      <c r="AC14" s="17">
        <f t="shared" si="6"/>
        <v>332</v>
      </c>
      <c r="AD14" s="17">
        <f t="shared" si="6"/>
        <v>0</v>
      </c>
      <c r="AE14" s="31">
        <f t="shared" si="6"/>
        <v>417</v>
      </c>
      <c r="AF14" s="31">
        <f t="shared" si="6"/>
        <v>749</v>
      </c>
    </row>
    <row r="15" spans="2:32" ht="23.1" customHeight="1" x14ac:dyDescent="0.25">
      <c r="B15" s="23" t="s">
        <v>42</v>
      </c>
      <c r="C15" s="50">
        <v>31</v>
      </c>
      <c r="D15" s="50">
        <v>13</v>
      </c>
      <c r="E15" s="50">
        <v>7</v>
      </c>
      <c r="F15" s="50">
        <v>36</v>
      </c>
      <c r="G15" s="50">
        <v>0</v>
      </c>
      <c r="H15" s="50">
        <v>1</v>
      </c>
      <c r="I15" s="50">
        <v>8</v>
      </c>
      <c r="J15" s="50">
        <v>4</v>
      </c>
      <c r="K15" s="50">
        <v>2</v>
      </c>
      <c r="L15" s="50">
        <v>24</v>
      </c>
      <c r="M15" s="50">
        <v>148</v>
      </c>
      <c r="N15" s="50">
        <v>0</v>
      </c>
      <c r="O15" s="15">
        <f t="shared" si="0"/>
        <v>126</v>
      </c>
      <c r="P15" s="15">
        <f t="shared" si="1"/>
        <v>274</v>
      </c>
      <c r="R15" s="1" t="s">
        <v>11</v>
      </c>
      <c r="S15" s="17">
        <f t="shared" ref="S15:AF15" si="7">SUM(C30:C33)</f>
        <v>122</v>
      </c>
      <c r="T15" s="17">
        <f t="shared" si="7"/>
        <v>48</v>
      </c>
      <c r="U15" s="17">
        <f t="shared" si="7"/>
        <v>32</v>
      </c>
      <c r="V15" s="17">
        <f t="shared" si="7"/>
        <v>176</v>
      </c>
      <c r="W15" s="17">
        <f t="shared" si="7"/>
        <v>9</v>
      </c>
      <c r="X15" s="17">
        <f t="shared" si="7"/>
        <v>3</v>
      </c>
      <c r="Y15" s="17">
        <f t="shared" si="7"/>
        <v>32</v>
      </c>
      <c r="Z15" s="17">
        <f t="shared" si="7"/>
        <v>33</v>
      </c>
      <c r="AA15" s="17">
        <f t="shared" si="7"/>
        <v>13</v>
      </c>
      <c r="AB15" s="17">
        <f t="shared" si="7"/>
        <v>52</v>
      </c>
      <c r="AC15" s="17">
        <f t="shared" si="7"/>
        <v>432</v>
      </c>
      <c r="AD15" s="17">
        <f t="shared" si="7"/>
        <v>0</v>
      </c>
      <c r="AE15" s="31">
        <f t="shared" si="7"/>
        <v>520</v>
      </c>
      <c r="AF15" s="31">
        <f t="shared" si="7"/>
        <v>952</v>
      </c>
    </row>
    <row r="16" spans="2:32" ht="23.1" customHeight="1" x14ac:dyDescent="0.25">
      <c r="B16" s="23" t="s">
        <v>43</v>
      </c>
      <c r="C16" s="50">
        <v>27</v>
      </c>
      <c r="D16" s="50">
        <v>17</v>
      </c>
      <c r="E16" s="50">
        <v>9</v>
      </c>
      <c r="F16" s="50">
        <v>57</v>
      </c>
      <c r="G16" s="50">
        <v>4</v>
      </c>
      <c r="H16" s="50">
        <v>1</v>
      </c>
      <c r="I16" s="50">
        <v>8</v>
      </c>
      <c r="J16" s="50">
        <v>5</v>
      </c>
      <c r="K16" s="50">
        <v>2</v>
      </c>
      <c r="L16" s="50">
        <v>21</v>
      </c>
      <c r="M16" s="50">
        <v>176</v>
      </c>
      <c r="N16" s="50">
        <v>0</v>
      </c>
      <c r="O16" s="15">
        <f t="shared" si="0"/>
        <v>151</v>
      </c>
      <c r="P16" s="15">
        <f t="shared" si="1"/>
        <v>327</v>
      </c>
      <c r="R16" s="1" t="s">
        <v>12</v>
      </c>
      <c r="S16" s="17">
        <f t="shared" ref="S16:AF16" si="8">SUM(C34:C37)</f>
        <v>103</v>
      </c>
      <c r="T16" s="17">
        <f t="shared" si="8"/>
        <v>53</v>
      </c>
      <c r="U16" s="17">
        <f t="shared" si="8"/>
        <v>29</v>
      </c>
      <c r="V16" s="17">
        <f t="shared" si="8"/>
        <v>177</v>
      </c>
      <c r="W16" s="17">
        <f t="shared" si="8"/>
        <v>10</v>
      </c>
      <c r="X16" s="17">
        <f t="shared" si="8"/>
        <v>4</v>
      </c>
      <c r="Y16" s="17">
        <f t="shared" si="8"/>
        <v>37</v>
      </c>
      <c r="Z16" s="17">
        <f t="shared" si="8"/>
        <v>20</v>
      </c>
      <c r="AA16" s="17">
        <f t="shared" si="8"/>
        <v>13</v>
      </c>
      <c r="AB16" s="17">
        <f t="shared" si="8"/>
        <v>51</v>
      </c>
      <c r="AC16" s="17">
        <f t="shared" si="8"/>
        <v>439</v>
      </c>
      <c r="AD16" s="17">
        <f t="shared" si="8"/>
        <v>0</v>
      </c>
      <c r="AE16" s="31">
        <f t="shared" si="8"/>
        <v>497</v>
      </c>
      <c r="AF16" s="31">
        <f t="shared" si="8"/>
        <v>936</v>
      </c>
    </row>
    <row r="17" spans="2:32" ht="23.1" customHeight="1" x14ac:dyDescent="0.25">
      <c r="B17" s="23" t="s">
        <v>44</v>
      </c>
      <c r="C17" s="50">
        <v>23</v>
      </c>
      <c r="D17" s="50">
        <v>12</v>
      </c>
      <c r="E17" s="50">
        <v>5</v>
      </c>
      <c r="F17" s="50">
        <v>49</v>
      </c>
      <c r="G17" s="50">
        <v>3</v>
      </c>
      <c r="H17" s="50">
        <v>0</v>
      </c>
      <c r="I17" s="50">
        <v>5</v>
      </c>
      <c r="J17" s="50">
        <v>1</v>
      </c>
      <c r="K17" s="50">
        <v>0</v>
      </c>
      <c r="L17" s="50">
        <v>9</v>
      </c>
      <c r="M17" s="50">
        <v>232</v>
      </c>
      <c r="N17" s="50">
        <v>0</v>
      </c>
      <c r="O17" s="15">
        <f t="shared" si="0"/>
        <v>107</v>
      </c>
      <c r="P17" s="15">
        <f t="shared" si="1"/>
        <v>339</v>
      </c>
      <c r="R17" s="1" t="s">
        <v>13</v>
      </c>
      <c r="S17" s="17">
        <f t="shared" ref="S17:AF17" si="9">SUM(C38:C41)</f>
        <v>113</v>
      </c>
      <c r="T17" s="17">
        <f t="shared" si="9"/>
        <v>67</v>
      </c>
      <c r="U17" s="17">
        <f t="shared" si="9"/>
        <v>24</v>
      </c>
      <c r="V17" s="17">
        <f t="shared" si="9"/>
        <v>154</v>
      </c>
      <c r="W17" s="17">
        <f t="shared" si="9"/>
        <v>4</v>
      </c>
      <c r="X17" s="17">
        <f t="shared" si="9"/>
        <v>2</v>
      </c>
      <c r="Y17" s="17">
        <f t="shared" si="9"/>
        <v>49</v>
      </c>
      <c r="Z17" s="17">
        <f t="shared" si="9"/>
        <v>34</v>
      </c>
      <c r="AA17" s="17">
        <f t="shared" si="9"/>
        <v>21</v>
      </c>
      <c r="AB17" s="17">
        <f t="shared" si="9"/>
        <v>43</v>
      </c>
      <c r="AC17" s="17">
        <f t="shared" si="9"/>
        <v>375</v>
      </c>
      <c r="AD17" s="17">
        <f t="shared" si="9"/>
        <v>1</v>
      </c>
      <c r="AE17" s="31">
        <f t="shared" si="9"/>
        <v>512</v>
      </c>
      <c r="AF17" s="31">
        <f t="shared" si="9"/>
        <v>887</v>
      </c>
    </row>
    <row r="18" spans="2:32" ht="23.1" customHeight="1" x14ac:dyDescent="0.25">
      <c r="B18" s="23" t="s">
        <v>45</v>
      </c>
      <c r="C18" s="50">
        <v>30</v>
      </c>
      <c r="D18" s="50">
        <v>10</v>
      </c>
      <c r="E18" s="50">
        <v>14</v>
      </c>
      <c r="F18" s="50">
        <v>40</v>
      </c>
      <c r="G18" s="50">
        <v>3</v>
      </c>
      <c r="H18" s="50">
        <v>1</v>
      </c>
      <c r="I18" s="50">
        <v>5</v>
      </c>
      <c r="J18" s="50">
        <v>1</v>
      </c>
      <c r="K18" s="50">
        <v>8</v>
      </c>
      <c r="L18" s="50">
        <v>17</v>
      </c>
      <c r="M18" s="50">
        <v>157</v>
      </c>
      <c r="N18" s="50">
        <v>0</v>
      </c>
      <c r="O18" s="15">
        <f t="shared" si="0"/>
        <v>129</v>
      </c>
      <c r="P18" s="15">
        <f t="shared" si="1"/>
        <v>286</v>
      </c>
      <c r="R18" s="1" t="s">
        <v>14</v>
      </c>
      <c r="S18" s="17">
        <f t="shared" ref="S18:AF18" si="10">SUM(C42:C45)</f>
        <v>135</v>
      </c>
      <c r="T18" s="17">
        <f t="shared" si="10"/>
        <v>64</v>
      </c>
      <c r="U18" s="17">
        <f t="shared" si="10"/>
        <v>42</v>
      </c>
      <c r="V18" s="17">
        <f t="shared" si="10"/>
        <v>191</v>
      </c>
      <c r="W18" s="17">
        <f t="shared" si="10"/>
        <v>7</v>
      </c>
      <c r="X18" s="17">
        <f t="shared" si="10"/>
        <v>0</v>
      </c>
      <c r="Y18" s="17">
        <f t="shared" si="10"/>
        <v>34</v>
      </c>
      <c r="Z18" s="17">
        <f t="shared" si="10"/>
        <v>44</v>
      </c>
      <c r="AA18" s="17">
        <f t="shared" si="10"/>
        <v>26</v>
      </c>
      <c r="AB18" s="17">
        <f t="shared" si="10"/>
        <v>43</v>
      </c>
      <c r="AC18" s="17">
        <f t="shared" si="10"/>
        <v>282</v>
      </c>
      <c r="AD18" s="17">
        <f t="shared" si="10"/>
        <v>0</v>
      </c>
      <c r="AE18" s="31">
        <f t="shared" si="10"/>
        <v>586</v>
      </c>
      <c r="AF18" s="31">
        <f t="shared" si="10"/>
        <v>868</v>
      </c>
    </row>
    <row r="19" spans="2:32" ht="23.1" customHeight="1" x14ac:dyDescent="0.25">
      <c r="B19" s="23" t="s">
        <v>46</v>
      </c>
      <c r="C19" s="50">
        <v>16</v>
      </c>
      <c r="D19" s="50">
        <v>9</v>
      </c>
      <c r="E19" s="50">
        <v>9</v>
      </c>
      <c r="F19" s="50">
        <v>50</v>
      </c>
      <c r="G19" s="50">
        <v>1</v>
      </c>
      <c r="H19" s="50">
        <v>0</v>
      </c>
      <c r="I19" s="50">
        <v>7</v>
      </c>
      <c r="J19" s="50">
        <v>2</v>
      </c>
      <c r="K19" s="50">
        <v>6</v>
      </c>
      <c r="L19" s="50">
        <v>8</v>
      </c>
      <c r="M19" s="50">
        <v>143</v>
      </c>
      <c r="N19" s="50">
        <v>0</v>
      </c>
      <c r="O19" s="15">
        <f t="shared" si="0"/>
        <v>108</v>
      </c>
      <c r="P19" s="15">
        <f t="shared" si="1"/>
        <v>251</v>
      </c>
      <c r="R19" s="1" t="s">
        <v>15</v>
      </c>
      <c r="S19" s="17">
        <f t="shared" ref="S19:AF19" si="11">SUM(C46:C49)</f>
        <v>110</v>
      </c>
      <c r="T19" s="17">
        <f t="shared" si="11"/>
        <v>58</v>
      </c>
      <c r="U19" s="17">
        <f t="shared" si="11"/>
        <v>34</v>
      </c>
      <c r="V19" s="17">
        <f t="shared" si="11"/>
        <v>178</v>
      </c>
      <c r="W19" s="17">
        <f t="shared" si="11"/>
        <v>14</v>
      </c>
      <c r="X19" s="17">
        <f t="shared" si="11"/>
        <v>3</v>
      </c>
      <c r="Y19" s="17">
        <f t="shared" si="11"/>
        <v>34</v>
      </c>
      <c r="Z19" s="17">
        <f t="shared" si="11"/>
        <v>35</v>
      </c>
      <c r="AA19" s="17">
        <f t="shared" si="11"/>
        <v>11</v>
      </c>
      <c r="AB19" s="17">
        <f t="shared" si="11"/>
        <v>37</v>
      </c>
      <c r="AC19" s="17">
        <f t="shared" si="11"/>
        <v>364</v>
      </c>
      <c r="AD19" s="17">
        <f t="shared" si="11"/>
        <v>0</v>
      </c>
      <c r="AE19" s="31">
        <f t="shared" si="11"/>
        <v>514</v>
      </c>
      <c r="AF19" s="31">
        <f t="shared" si="11"/>
        <v>878</v>
      </c>
    </row>
    <row r="20" spans="2:32" ht="23.1" customHeight="1" x14ac:dyDescent="0.25">
      <c r="B20" s="23" t="s">
        <v>47</v>
      </c>
      <c r="C20" s="50">
        <v>24</v>
      </c>
      <c r="D20" s="50">
        <v>9</v>
      </c>
      <c r="E20" s="50">
        <v>8</v>
      </c>
      <c r="F20" s="50">
        <v>48</v>
      </c>
      <c r="G20" s="50">
        <v>1</v>
      </c>
      <c r="H20" s="50">
        <v>0</v>
      </c>
      <c r="I20" s="50">
        <v>9</v>
      </c>
      <c r="J20" s="50">
        <v>1</v>
      </c>
      <c r="K20" s="50">
        <v>3</v>
      </c>
      <c r="L20" s="50">
        <v>16</v>
      </c>
      <c r="M20" s="50">
        <v>117</v>
      </c>
      <c r="N20" s="50">
        <v>0</v>
      </c>
      <c r="O20" s="15">
        <f t="shared" si="0"/>
        <v>119</v>
      </c>
      <c r="P20" s="15">
        <f t="shared" si="1"/>
        <v>236</v>
      </c>
      <c r="R20" s="1" t="s">
        <v>16</v>
      </c>
      <c r="S20" s="17">
        <f t="shared" ref="S20:AF20" si="12">SUM(C50:C53)</f>
        <v>135</v>
      </c>
      <c r="T20" s="17">
        <f t="shared" si="12"/>
        <v>77</v>
      </c>
      <c r="U20" s="17">
        <f t="shared" si="12"/>
        <v>40</v>
      </c>
      <c r="V20" s="17">
        <f t="shared" si="12"/>
        <v>209</v>
      </c>
      <c r="W20" s="17">
        <f t="shared" si="12"/>
        <v>14</v>
      </c>
      <c r="X20" s="17">
        <f t="shared" si="12"/>
        <v>7</v>
      </c>
      <c r="Y20" s="17">
        <f t="shared" si="12"/>
        <v>36</v>
      </c>
      <c r="Z20" s="17">
        <f t="shared" si="12"/>
        <v>48</v>
      </c>
      <c r="AA20" s="17">
        <f t="shared" si="12"/>
        <v>10</v>
      </c>
      <c r="AB20" s="17">
        <f t="shared" si="12"/>
        <v>28</v>
      </c>
      <c r="AC20" s="17">
        <f t="shared" si="12"/>
        <v>473</v>
      </c>
      <c r="AD20" s="17">
        <f t="shared" si="12"/>
        <v>0</v>
      </c>
      <c r="AE20" s="31">
        <f t="shared" si="12"/>
        <v>604</v>
      </c>
      <c r="AF20" s="31">
        <f t="shared" si="12"/>
        <v>1077</v>
      </c>
    </row>
    <row r="21" spans="2:32" ht="23.1" customHeight="1" x14ac:dyDescent="0.25">
      <c r="B21" s="23" t="s">
        <v>48</v>
      </c>
      <c r="C21" s="50">
        <v>42</v>
      </c>
      <c r="D21" s="50">
        <v>16</v>
      </c>
      <c r="E21" s="50">
        <v>6</v>
      </c>
      <c r="F21" s="50">
        <v>80</v>
      </c>
      <c r="G21" s="50">
        <v>6</v>
      </c>
      <c r="H21" s="50">
        <v>0</v>
      </c>
      <c r="I21" s="50">
        <v>13</v>
      </c>
      <c r="J21" s="50">
        <v>7</v>
      </c>
      <c r="K21" s="50">
        <v>12</v>
      </c>
      <c r="L21" s="50">
        <v>32</v>
      </c>
      <c r="M21" s="50">
        <v>157</v>
      </c>
      <c r="N21" s="50">
        <v>0</v>
      </c>
      <c r="O21" s="15">
        <f t="shared" si="0"/>
        <v>214</v>
      </c>
      <c r="P21" s="15">
        <f t="shared" si="1"/>
        <v>371</v>
      </c>
      <c r="R21" s="36" t="s">
        <v>20</v>
      </c>
      <c r="S21" s="34">
        <f t="shared" ref="S21:AF21" si="13">SUM(C54:C57)</f>
        <v>139</v>
      </c>
      <c r="T21" s="17">
        <f t="shared" si="13"/>
        <v>47</v>
      </c>
      <c r="U21" s="17">
        <f t="shared" si="13"/>
        <v>37</v>
      </c>
      <c r="V21" s="17">
        <f t="shared" si="13"/>
        <v>250</v>
      </c>
      <c r="W21" s="17">
        <f t="shared" si="13"/>
        <v>16</v>
      </c>
      <c r="X21" s="17">
        <f t="shared" si="13"/>
        <v>1</v>
      </c>
      <c r="Y21" s="17">
        <f t="shared" si="13"/>
        <v>29</v>
      </c>
      <c r="Z21" s="17">
        <f t="shared" si="13"/>
        <v>43</v>
      </c>
      <c r="AA21" s="17">
        <f t="shared" si="13"/>
        <v>12</v>
      </c>
      <c r="AB21" s="17">
        <f t="shared" si="13"/>
        <v>24</v>
      </c>
      <c r="AC21" s="17">
        <f t="shared" si="13"/>
        <v>512</v>
      </c>
      <c r="AD21" s="17">
        <f t="shared" si="13"/>
        <v>0</v>
      </c>
      <c r="AE21" s="31">
        <f t="shared" si="13"/>
        <v>598</v>
      </c>
      <c r="AF21" s="31">
        <f t="shared" si="13"/>
        <v>1110</v>
      </c>
    </row>
    <row r="22" spans="2:32" ht="23.1" customHeight="1" x14ac:dyDescent="0.25">
      <c r="B22" s="23" t="s">
        <v>49</v>
      </c>
      <c r="C22" s="50">
        <v>12</v>
      </c>
      <c r="D22" s="50">
        <v>7</v>
      </c>
      <c r="E22" s="50">
        <v>5</v>
      </c>
      <c r="F22" s="50">
        <v>15</v>
      </c>
      <c r="G22" s="50">
        <v>1</v>
      </c>
      <c r="H22" s="50">
        <v>0</v>
      </c>
      <c r="I22" s="50">
        <v>3</v>
      </c>
      <c r="J22" s="50">
        <v>2</v>
      </c>
      <c r="K22" s="50">
        <v>3</v>
      </c>
      <c r="L22" s="50">
        <v>12</v>
      </c>
      <c r="M22" s="50">
        <v>38</v>
      </c>
      <c r="N22" s="50">
        <v>0</v>
      </c>
      <c r="O22" s="15">
        <f t="shared" si="0"/>
        <v>60</v>
      </c>
      <c r="P22" s="15">
        <f t="shared" si="1"/>
        <v>98</v>
      </c>
      <c r="R22" s="38" t="s">
        <v>90</v>
      </c>
      <c r="S22" s="39">
        <f>MAX(S10:S12)</f>
        <v>114</v>
      </c>
      <c r="T22" s="39">
        <f t="shared" ref="T22:AF22" si="14">MAX(T10:T12)</f>
        <v>60</v>
      </c>
      <c r="U22" s="39">
        <f t="shared" si="14"/>
        <v>38</v>
      </c>
      <c r="V22" s="39">
        <f t="shared" si="14"/>
        <v>218</v>
      </c>
      <c r="W22" s="39">
        <f t="shared" si="14"/>
        <v>11</v>
      </c>
      <c r="X22" s="39">
        <f t="shared" si="14"/>
        <v>3</v>
      </c>
      <c r="Y22" s="39">
        <f t="shared" si="14"/>
        <v>34</v>
      </c>
      <c r="Z22" s="39">
        <f t="shared" si="14"/>
        <v>17</v>
      </c>
      <c r="AA22" s="39">
        <f t="shared" si="14"/>
        <v>29</v>
      </c>
      <c r="AB22" s="39">
        <f t="shared" si="14"/>
        <v>76</v>
      </c>
      <c r="AC22" s="39">
        <f t="shared" si="14"/>
        <v>742</v>
      </c>
      <c r="AD22" s="39">
        <f t="shared" si="14"/>
        <v>0</v>
      </c>
      <c r="AE22" s="40">
        <f t="shared" si="14"/>
        <v>570</v>
      </c>
      <c r="AF22" s="40">
        <f t="shared" si="14"/>
        <v>1267</v>
      </c>
    </row>
    <row r="23" spans="2:32" ht="23.1" customHeight="1" x14ac:dyDescent="0.25">
      <c r="B23" s="23" t="s">
        <v>50</v>
      </c>
      <c r="C23" s="50">
        <v>23</v>
      </c>
      <c r="D23" s="50">
        <v>14</v>
      </c>
      <c r="E23" s="50">
        <v>9</v>
      </c>
      <c r="F23" s="50">
        <v>27</v>
      </c>
      <c r="G23" s="50">
        <v>1</v>
      </c>
      <c r="H23" s="50">
        <v>0</v>
      </c>
      <c r="I23" s="50">
        <v>9</v>
      </c>
      <c r="J23" s="50">
        <v>2</v>
      </c>
      <c r="K23" s="50">
        <v>4</v>
      </c>
      <c r="L23" s="50">
        <v>23</v>
      </c>
      <c r="M23" s="50">
        <v>63</v>
      </c>
      <c r="N23" s="50">
        <v>0</v>
      </c>
      <c r="O23" s="15">
        <f t="shared" si="0"/>
        <v>112</v>
      </c>
      <c r="P23" s="15">
        <f t="shared" si="1"/>
        <v>175</v>
      </c>
      <c r="R23" s="38" t="s">
        <v>91</v>
      </c>
      <c r="S23" s="39">
        <f>MAX(S13:S18)</f>
        <v>135</v>
      </c>
      <c r="T23" s="39">
        <f t="shared" ref="T23:AF23" si="15">MAX(T13:T18)</f>
        <v>67</v>
      </c>
      <c r="U23" s="39">
        <f t="shared" si="15"/>
        <v>42</v>
      </c>
      <c r="V23" s="39">
        <f t="shared" si="15"/>
        <v>191</v>
      </c>
      <c r="W23" s="39">
        <f t="shared" si="15"/>
        <v>10</v>
      </c>
      <c r="X23" s="39">
        <f t="shared" si="15"/>
        <v>4</v>
      </c>
      <c r="Y23" s="39">
        <f t="shared" si="15"/>
        <v>49</v>
      </c>
      <c r="Z23" s="39">
        <f t="shared" si="15"/>
        <v>44</v>
      </c>
      <c r="AA23" s="39">
        <f t="shared" si="15"/>
        <v>26</v>
      </c>
      <c r="AB23" s="39">
        <f t="shared" si="15"/>
        <v>73</v>
      </c>
      <c r="AC23" s="39">
        <f t="shared" si="15"/>
        <v>439</v>
      </c>
      <c r="AD23" s="39">
        <f t="shared" si="15"/>
        <v>1</v>
      </c>
      <c r="AE23" s="40">
        <f t="shared" si="15"/>
        <v>586</v>
      </c>
      <c r="AF23" s="40">
        <f t="shared" si="15"/>
        <v>952</v>
      </c>
    </row>
    <row r="24" spans="2:32" ht="23.1" customHeight="1" x14ac:dyDescent="0.25">
      <c r="B24" s="23" t="s">
        <v>51</v>
      </c>
      <c r="C24" s="50">
        <v>29</v>
      </c>
      <c r="D24" s="50">
        <v>10</v>
      </c>
      <c r="E24" s="50">
        <v>7</v>
      </c>
      <c r="F24" s="50">
        <v>54</v>
      </c>
      <c r="G24" s="50">
        <v>1</v>
      </c>
      <c r="H24" s="50">
        <v>0</v>
      </c>
      <c r="I24" s="50">
        <v>11</v>
      </c>
      <c r="J24" s="50">
        <v>1</v>
      </c>
      <c r="K24" s="50">
        <v>2</v>
      </c>
      <c r="L24" s="50">
        <v>22</v>
      </c>
      <c r="M24" s="50">
        <v>85</v>
      </c>
      <c r="N24" s="50">
        <v>0</v>
      </c>
      <c r="O24" s="15">
        <f t="shared" si="0"/>
        <v>137</v>
      </c>
      <c r="P24" s="15">
        <f t="shared" si="1"/>
        <v>222</v>
      </c>
      <c r="R24" s="38" t="s">
        <v>92</v>
      </c>
      <c r="S24" s="39">
        <f>MAX(S19:S21)</f>
        <v>139</v>
      </c>
      <c r="T24" s="39">
        <f t="shared" ref="T24:AF24" si="16">MAX(T19:T21)</f>
        <v>77</v>
      </c>
      <c r="U24" s="39">
        <f t="shared" si="16"/>
        <v>40</v>
      </c>
      <c r="V24" s="39">
        <f t="shared" si="16"/>
        <v>250</v>
      </c>
      <c r="W24" s="39">
        <f t="shared" si="16"/>
        <v>16</v>
      </c>
      <c r="X24" s="39">
        <f t="shared" si="16"/>
        <v>7</v>
      </c>
      <c r="Y24" s="39">
        <f t="shared" si="16"/>
        <v>36</v>
      </c>
      <c r="Z24" s="39">
        <f t="shared" si="16"/>
        <v>48</v>
      </c>
      <c r="AA24" s="39">
        <f t="shared" si="16"/>
        <v>12</v>
      </c>
      <c r="AB24" s="39">
        <f t="shared" si="16"/>
        <v>37</v>
      </c>
      <c r="AC24" s="39">
        <f t="shared" si="16"/>
        <v>512</v>
      </c>
      <c r="AD24" s="39">
        <f t="shared" si="16"/>
        <v>0</v>
      </c>
      <c r="AE24" s="40">
        <f t="shared" si="16"/>
        <v>604</v>
      </c>
      <c r="AF24" s="40">
        <f t="shared" si="16"/>
        <v>1110</v>
      </c>
    </row>
    <row r="25" spans="2:32" ht="23.1" customHeight="1" x14ac:dyDescent="0.25">
      <c r="B25" s="23" t="s">
        <v>52</v>
      </c>
      <c r="C25" s="50">
        <v>14</v>
      </c>
      <c r="D25" s="50">
        <v>7</v>
      </c>
      <c r="E25" s="50">
        <v>3</v>
      </c>
      <c r="F25" s="50">
        <v>35</v>
      </c>
      <c r="G25" s="50">
        <v>2</v>
      </c>
      <c r="H25" s="50">
        <v>1</v>
      </c>
      <c r="I25" s="50">
        <v>10</v>
      </c>
      <c r="J25" s="50">
        <v>6</v>
      </c>
      <c r="K25" s="50">
        <v>3</v>
      </c>
      <c r="L25" s="50">
        <v>14</v>
      </c>
      <c r="M25" s="50">
        <v>90</v>
      </c>
      <c r="N25" s="50">
        <v>0</v>
      </c>
      <c r="O25" s="15">
        <f t="shared" si="0"/>
        <v>95</v>
      </c>
      <c r="P25" s="15">
        <f t="shared" si="1"/>
        <v>185</v>
      </c>
      <c r="R25" s="37" t="s">
        <v>85</v>
      </c>
      <c r="S25" s="35">
        <f t="shared" ref="S25:AF25" si="17">SUM(S10:S12)</f>
        <v>323</v>
      </c>
      <c r="T25" s="16">
        <f t="shared" si="17"/>
        <v>141</v>
      </c>
      <c r="U25" s="16">
        <f t="shared" si="17"/>
        <v>101</v>
      </c>
      <c r="V25" s="16">
        <f t="shared" si="17"/>
        <v>484</v>
      </c>
      <c r="W25" s="16">
        <f t="shared" si="17"/>
        <v>28</v>
      </c>
      <c r="X25" s="16">
        <f t="shared" si="17"/>
        <v>7</v>
      </c>
      <c r="Y25" s="16">
        <f t="shared" si="17"/>
        <v>76</v>
      </c>
      <c r="Z25" s="16">
        <f t="shared" si="17"/>
        <v>45</v>
      </c>
      <c r="AA25" s="16">
        <f t="shared" si="17"/>
        <v>45</v>
      </c>
      <c r="AB25" s="16">
        <f t="shared" si="17"/>
        <v>216</v>
      </c>
      <c r="AC25" s="16">
        <f t="shared" si="17"/>
        <v>1894</v>
      </c>
      <c r="AD25" s="16">
        <f t="shared" si="17"/>
        <v>0</v>
      </c>
      <c r="AE25" s="32">
        <f t="shared" si="17"/>
        <v>1466</v>
      </c>
      <c r="AF25" s="32">
        <f t="shared" si="17"/>
        <v>3360</v>
      </c>
    </row>
    <row r="26" spans="2:32" ht="23.1" customHeight="1" x14ac:dyDescent="0.25">
      <c r="B26" s="23" t="s">
        <v>53</v>
      </c>
      <c r="C26" s="50">
        <v>18</v>
      </c>
      <c r="D26" s="50">
        <v>10</v>
      </c>
      <c r="E26" s="50">
        <v>6</v>
      </c>
      <c r="F26" s="50">
        <v>31</v>
      </c>
      <c r="G26" s="50">
        <v>1</v>
      </c>
      <c r="H26" s="50">
        <v>0</v>
      </c>
      <c r="I26" s="50">
        <v>4</v>
      </c>
      <c r="J26" s="50">
        <v>7</v>
      </c>
      <c r="K26" s="50">
        <v>4</v>
      </c>
      <c r="L26" s="50">
        <v>19</v>
      </c>
      <c r="M26" s="50">
        <v>63</v>
      </c>
      <c r="N26" s="50">
        <v>0</v>
      </c>
      <c r="O26" s="15">
        <f t="shared" si="0"/>
        <v>100</v>
      </c>
      <c r="P26" s="15">
        <f t="shared" si="1"/>
        <v>163</v>
      </c>
      <c r="R26" s="28" t="s">
        <v>86</v>
      </c>
      <c r="S26" s="16">
        <f t="shared" ref="S26:AF26" si="18">SUM(S13:S18)</f>
        <v>642</v>
      </c>
      <c r="T26" s="16">
        <f t="shared" si="18"/>
        <v>308</v>
      </c>
      <c r="U26" s="16">
        <f t="shared" si="18"/>
        <v>176</v>
      </c>
      <c r="V26" s="16">
        <f t="shared" si="18"/>
        <v>944</v>
      </c>
      <c r="W26" s="16">
        <f t="shared" si="18"/>
        <v>41</v>
      </c>
      <c r="X26" s="16">
        <f t="shared" si="18"/>
        <v>10</v>
      </c>
      <c r="Y26" s="16">
        <f t="shared" si="18"/>
        <v>217</v>
      </c>
      <c r="Z26" s="16">
        <f t="shared" si="18"/>
        <v>160</v>
      </c>
      <c r="AA26" s="16">
        <f t="shared" si="18"/>
        <v>104</v>
      </c>
      <c r="AB26" s="16">
        <f t="shared" si="18"/>
        <v>333</v>
      </c>
      <c r="AC26" s="16">
        <f t="shared" si="18"/>
        <v>2136</v>
      </c>
      <c r="AD26" s="16">
        <f t="shared" si="18"/>
        <v>1</v>
      </c>
      <c r="AE26" s="32">
        <f t="shared" si="18"/>
        <v>2936</v>
      </c>
      <c r="AF26" s="32">
        <f t="shared" si="18"/>
        <v>5072</v>
      </c>
    </row>
    <row r="27" spans="2:32" ht="23.1" customHeight="1" x14ac:dyDescent="0.25">
      <c r="B27" s="23" t="s">
        <v>54</v>
      </c>
      <c r="C27" s="50">
        <v>27</v>
      </c>
      <c r="D27" s="50">
        <v>11</v>
      </c>
      <c r="E27" s="50">
        <v>5</v>
      </c>
      <c r="F27" s="50">
        <v>25</v>
      </c>
      <c r="G27" s="50">
        <v>0</v>
      </c>
      <c r="H27" s="50">
        <v>0</v>
      </c>
      <c r="I27" s="50">
        <v>16</v>
      </c>
      <c r="J27" s="50">
        <v>2</v>
      </c>
      <c r="K27" s="50">
        <v>5</v>
      </c>
      <c r="L27" s="50">
        <v>31</v>
      </c>
      <c r="M27" s="50">
        <v>96</v>
      </c>
      <c r="N27" s="50">
        <v>0</v>
      </c>
      <c r="O27" s="15">
        <f t="shared" si="0"/>
        <v>122</v>
      </c>
      <c r="P27" s="15">
        <f t="shared" si="1"/>
        <v>218</v>
      </c>
      <c r="R27" s="29" t="s">
        <v>87</v>
      </c>
      <c r="S27" s="16">
        <f t="shared" ref="S27:AF27" si="19">SUM(S19:S21)</f>
        <v>384</v>
      </c>
      <c r="T27" s="16">
        <f t="shared" si="19"/>
        <v>182</v>
      </c>
      <c r="U27" s="16">
        <f t="shared" si="19"/>
        <v>111</v>
      </c>
      <c r="V27" s="16">
        <f t="shared" si="19"/>
        <v>637</v>
      </c>
      <c r="W27" s="16">
        <f t="shared" si="19"/>
        <v>44</v>
      </c>
      <c r="X27" s="16">
        <f t="shared" si="19"/>
        <v>11</v>
      </c>
      <c r="Y27" s="16">
        <f t="shared" si="19"/>
        <v>99</v>
      </c>
      <c r="Z27" s="16">
        <f t="shared" si="19"/>
        <v>126</v>
      </c>
      <c r="AA27" s="16">
        <f t="shared" si="19"/>
        <v>33</v>
      </c>
      <c r="AB27" s="16">
        <f t="shared" si="19"/>
        <v>89</v>
      </c>
      <c r="AC27" s="16">
        <f t="shared" si="19"/>
        <v>1349</v>
      </c>
      <c r="AD27" s="16">
        <f t="shared" si="19"/>
        <v>0</v>
      </c>
      <c r="AE27" s="32">
        <f t="shared" si="19"/>
        <v>1716</v>
      </c>
      <c r="AF27" s="32">
        <f t="shared" si="19"/>
        <v>3065</v>
      </c>
    </row>
    <row r="28" spans="2:32" ht="23.1" customHeight="1" x14ac:dyDescent="0.25">
      <c r="B28" s="23" t="s">
        <v>55</v>
      </c>
      <c r="C28" s="50">
        <v>25</v>
      </c>
      <c r="D28" s="50">
        <v>9</v>
      </c>
      <c r="E28" s="50">
        <v>6</v>
      </c>
      <c r="F28" s="50">
        <v>31</v>
      </c>
      <c r="G28" s="50">
        <v>3</v>
      </c>
      <c r="H28" s="50">
        <v>0</v>
      </c>
      <c r="I28" s="50">
        <v>7</v>
      </c>
      <c r="J28" s="50">
        <v>4</v>
      </c>
      <c r="K28" s="50">
        <v>6</v>
      </c>
      <c r="L28" s="50">
        <v>13</v>
      </c>
      <c r="M28" s="50">
        <v>81</v>
      </c>
      <c r="N28" s="50">
        <v>0</v>
      </c>
      <c r="O28" s="15">
        <f t="shared" si="0"/>
        <v>104</v>
      </c>
      <c r="P28" s="15">
        <f t="shared" si="1"/>
        <v>185</v>
      </c>
      <c r="R28" s="5" t="s">
        <v>17</v>
      </c>
      <c r="S28" s="16">
        <f t="shared" ref="S28:AF28" si="20">SUM(S10:S21)</f>
        <v>1349</v>
      </c>
      <c r="T28" s="16">
        <f t="shared" si="20"/>
        <v>631</v>
      </c>
      <c r="U28" s="16">
        <f t="shared" si="20"/>
        <v>388</v>
      </c>
      <c r="V28" s="16">
        <f t="shared" si="20"/>
        <v>2065</v>
      </c>
      <c r="W28" s="16">
        <f t="shared" si="20"/>
        <v>113</v>
      </c>
      <c r="X28" s="16">
        <f t="shared" si="20"/>
        <v>28</v>
      </c>
      <c r="Y28" s="16">
        <f t="shared" si="20"/>
        <v>392</v>
      </c>
      <c r="Z28" s="16">
        <f t="shared" si="20"/>
        <v>331</v>
      </c>
      <c r="AA28" s="16">
        <f t="shared" si="20"/>
        <v>182</v>
      </c>
      <c r="AB28" s="16">
        <f t="shared" si="20"/>
        <v>638</v>
      </c>
      <c r="AC28" s="16">
        <f t="shared" si="20"/>
        <v>5379</v>
      </c>
      <c r="AD28" s="16">
        <f t="shared" si="20"/>
        <v>1</v>
      </c>
      <c r="AE28" s="32">
        <f t="shared" si="20"/>
        <v>6118</v>
      </c>
      <c r="AF28" s="32">
        <f t="shared" si="20"/>
        <v>11497</v>
      </c>
    </row>
    <row r="29" spans="2:32" ht="23.1" customHeight="1" x14ac:dyDescent="0.25">
      <c r="B29" s="23" t="s">
        <v>56</v>
      </c>
      <c r="C29" s="50">
        <v>21</v>
      </c>
      <c r="D29" s="50">
        <v>8</v>
      </c>
      <c r="E29" s="50">
        <v>8</v>
      </c>
      <c r="F29" s="50">
        <v>28</v>
      </c>
      <c r="G29" s="50">
        <v>2</v>
      </c>
      <c r="H29" s="50">
        <v>0</v>
      </c>
      <c r="I29" s="50">
        <v>5</v>
      </c>
      <c r="J29" s="50">
        <v>5</v>
      </c>
      <c r="K29" s="50">
        <v>4</v>
      </c>
      <c r="L29" s="50">
        <v>10</v>
      </c>
      <c r="M29" s="50">
        <v>92</v>
      </c>
      <c r="N29" s="50">
        <v>0</v>
      </c>
      <c r="O29" s="15">
        <f t="shared" si="0"/>
        <v>91</v>
      </c>
      <c r="P29" s="15">
        <f t="shared" si="1"/>
        <v>183</v>
      </c>
      <c r="R29"/>
      <c r="S29" s="20"/>
      <c r="T29" s="19"/>
    </row>
    <row r="30" spans="2:32" ht="23.1" customHeight="1" x14ac:dyDescent="0.25">
      <c r="B30" s="23" t="s">
        <v>57</v>
      </c>
      <c r="C30" s="50">
        <v>31</v>
      </c>
      <c r="D30" s="50">
        <v>11</v>
      </c>
      <c r="E30" s="50">
        <v>10</v>
      </c>
      <c r="F30" s="50">
        <v>46</v>
      </c>
      <c r="G30" s="50">
        <v>1</v>
      </c>
      <c r="H30" s="50">
        <v>2</v>
      </c>
      <c r="I30" s="50">
        <v>14</v>
      </c>
      <c r="J30" s="50">
        <v>8</v>
      </c>
      <c r="K30" s="50">
        <v>6</v>
      </c>
      <c r="L30" s="50">
        <v>19</v>
      </c>
      <c r="M30" s="50">
        <v>103</v>
      </c>
      <c r="N30" s="50">
        <v>0</v>
      </c>
      <c r="O30" s="15">
        <f t="shared" si="0"/>
        <v>148</v>
      </c>
      <c r="P30" s="15">
        <f t="shared" si="1"/>
        <v>251</v>
      </c>
    </row>
    <row r="31" spans="2:32" ht="23.1" customHeight="1" x14ac:dyDescent="0.25">
      <c r="B31" s="24" t="s">
        <v>58</v>
      </c>
      <c r="C31" s="50">
        <v>25</v>
      </c>
      <c r="D31" s="50">
        <v>14</v>
      </c>
      <c r="E31" s="50">
        <v>9</v>
      </c>
      <c r="F31" s="50">
        <v>44</v>
      </c>
      <c r="G31" s="50">
        <v>4</v>
      </c>
      <c r="H31" s="50">
        <v>0</v>
      </c>
      <c r="I31" s="50">
        <v>0</v>
      </c>
      <c r="J31" s="50">
        <v>9</v>
      </c>
      <c r="K31" s="50">
        <v>4</v>
      </c>
      <c r="L31" s="50">
        <v>9</v>
      </c>
      <c r="M31" s="50">
        <v>98</v>
      </c>
      <c r="N31" s="50">
        <v>0</v>
      </c>
      <c r="O31" s="15">
        <f t="shared" si="0"/>
        <v>118</v>
      </c>
      <c r="P31" s="15">
        <f t="shared" si="1"/>
        <v>216</v>
      </c>
    </row>
    <row r="32" spans="2:32" ht="23.1" customHeight="1" x14ac:dyDescent="0.25">
      <c r="B32" s="24" t="s">
        <v>59</v>
      </c>
      <c r="C32" s="50">
        <v>28</v>
      </c>
      <c r="D32" s="50">
        <v>12</v>
      </c>
      <c r="E32" s="50">
        <v>6</v>
      </c>
      <c r="F32" s="50">
        <v>38</v>
      </c>
      <c r="G32" s="50">
        <v>1</v>
      </c>
      <c r="H32" s="50">
        <v>0</v>
      </c>
      <c r="I32" s="50">
        <v>6</v>
      </c>
      <c r="J32" s="50">
        <v>7</v>
      </c>
      <c r="K32" s="50">
        <v>2</v>
      </c>
      <c r="L32" s="50">
        <v>14</v>
      </c>
      <c r="M32" s="50">
        <v>121</v>
      </c>
      <c r="N32" s="50">
        <v>0</v>
      </c>
      <c r="O32" s="15">
        <f t="shared" si="0"/>
        <v>114</v>
      </c>
      <c r="P32" s="15">
        <f t="shared" si="1"/>
        <v>235</v>
      </c>
    </row>
    <row r="33" spans="2:20" ht="23.1" customHeight="1" x14ac:dyDescent="0.25">
      <c r="B33" s="23" t="s">
        <v>60</v>
      </c>
      <c r="C33" s="50">
        <v>38</v>
      </c>
      <c r="D33" s="50">
        <v>11</v>
      </c>
      <c r="E33" s="50">
        <v>7</v>
      </c>
      <c r="F33" s="50">
        <v>48</v>
      </c>
      <c r="G33" s="50">
        <v>3</v>
      </c>
      <c r="H33" s="50">
        <v>1</v>
      </c>
      <c r="I33" s="50">
        <v>12</v>
      </c>
      <c r="J33" s="50">
        <v>9</v>
      </c>
      <c r="K33" s="50">
        <v>1</v>
      </c>
      <c r="L33" s="50">
        <v>10</v>
      </c>
      <c r="M33" s="50">
        <v>110</v>
      </c>
      <c r="N33" s="50">
        <v>0</v>
      </c>
      <c r="O33" s="15">
        <f t="shared" si="0"/>
        <v>140</v>
      </c>
      <c r="P33" s="15">
        <f t="shared" si="1"/>
        <v>250</v>
      </c>
    </row>
    <row r="34" spans="2:20" ht="23.1" customHeight="1" x14ac:dyDescent="0.25">
      <c r="B34" s="24" t="s">
        <v>61</v>
      </c>
      <c r="C34" s="50">
        <v>27</v>
      </c>
      <c r="D34" s="50">
        <v>13</v>
      </c>
      <c r="E34" s="50">
        <v>6</v>
      </c>
      <c r="F34" s="50">
        <v>38</v>
      </c>
      <c r="G34" s="50">
        <v>2</v>
      </c>
      <c r="H34" s="50">
        <v>0</v>
      </c>
      <c r="I34" s="50">
        <v>12</v>
      </c>
      <c r="J34" s="50">
        <v>3</v>
      </c>
      <c r="K34" s="50">
        <v>2</v>
      </c>
      <c r="L34" s="50">
        <v>12</v>
      </c>
      <c r="M34" s="50">
        <v>130</v>
      </c>
      <c r="N34" s="50">
        <v>0</v>
      </c>
      <c r="O34" s="15">
        <f t="shared" si="0"/>
        <v>115</v>
      </c>
      <c r="P34" s="15">
        <f t="shared" si="1"/>
        <v>245</v>
      </c>
    </row>
    <row r="35" spans="2:20" ht="23.1" customHeight="1" x14ac:dyDescent="0.25">
      <c r="B35" s="24" t="s">
        <v>62</v>
      </c>
      <c r="C35" s="50">
        <v>33</v>
      </c>
      <c r="D35" s="50">
        <v>15</v>
      </c>
      <c r="E35" s="50">
        <v>9</v>
      </c>
      <c r="F35" s="50">
        <v>43</v>
      </c>
      <c r="G35" s="50">
        <v>5</v>
      </c>
      <c r="H35" s="50">
        <v>2</v>
      </c>
      <c r="I35" s="50">
        <v>10</v>
      </c>
      <c r="J35" s="50">
        <v>3</v>
      </c>
      <c r="K35" s="50">
        <v>6</v>
      </c>
      <c r="L35" s="50">
        <v>12</v>
      </c>
      <c r="M35" s="50">
        <v>120</v>
      </c>
      <c r="N35" s="50">
        <v>0</v>
      </c>
      <c r="O35" s="15">
        <f t="shared" si="0"/>
        <v>138</v>
      </c>
      <c r="P35" s="15">
        <f t="shared" si="1"/>
        <v>258</v>
      </c>
    </row>
    <row r="36" spans="2:20" ht="23.1" customHeight="1" x14ac:dyDescent="0.25">
      <c r="B36" s="24" t="s">
        <v>63</v>
      </c>
      <c r="C36" s="50">
        <v>21</v>
      </c>
      <c r="D36" s="50">
        <v>9</v>
      </c>
      <c r="E36" s="50">
        <v>5</v>
      </c>
      <c r="F36" s="50">
        <v>42</v>
      </c>
      <c r="G36" s="50">
        <v>1</v>
      </c>
      <c r="H36" s="50">
        <v>0</v>
      </c>
      <c r="I36" s="50">
        <v>6</v>
      </c>
      <c r="J36" s="50">
        <v>9</v>
      </c>
      <c r="K36" s="50">
        <v>2</v>
      </c>
      <c r="L36" s="50">
        <v>6</v>
      </c>
      <c r="M36" s="50">
        <v>85</v>
      </c>
      <c r="N36" s="50">
        <v>0</v>
      </c>
      <c r="O36" s="15">
        <f t="shared" si="0"/>
        <v>101</v>
      </c>
      <c r="P36" s="15">
        <f t="shared" si="1"/>
        <v>186</v>
      </c>
    </row>
    <row r="37" spans="2:20" ht="23.1" customHeight="1" x14ac:dyDescent="0.25">
      <c r="B37" s="23" t="s">
        <v>64</v>
      </c>
      <c r="C37" s="50">
        <v>22</v>
      </c>
      <c r="D37" s="50">
        <v>16</v>
      </c>
      <c r="E37" s="50">
        <v>9</v>
      </c>
      <c r="F37" s="50">
        <v>54</v>
      </c>
      <c r="G37" s="50">
        <v>2</v>
      </c>
      <c r="H37" s="50">
        <v>2</v>
      </c>
      <c r="I37" s="50">
        <v>9</v>
      </c>
      <c r="J37" s="50">
        <v>5</v>
      </c>
      <c r="K37" s="50">
        <v>3</v>
      </c>
      <c r="L37" s="50">
        <v>21</v>
      </c>
      <c r="M37" s="50">
        <v>104</v>
      </c>
      <c r="N37" s="50">
        <v>0</v>
      </c>
      <c r="O37" s="15">
        <f t="shared" si="0"/>
        <v>143</v>
      </c>
      <c r="P37" s="15">
        <f t="shared" si="1"/>
        <v>247</v>
      </c>
    </row>
    <row r="38" spans="2:20" ht="23.1" customHeight="1" x14ac:dyDescent="0.25">
      <c r="B38" s="24" t="s">
        <v>65</v>
      </c>
      <c r="C38" s="50">
        <v>23</v>
      </c>
      <c r="D38" s="50">
        <v>17</v>
      </c>
      <c r="E38" s="50">
        <v>10</v>
      </c>
      <c r="F38" s="50">
        <v>47</v>
      </c>
      <c r="G38" s="50">
        <v>1</v>
      </c>
      <c r="H38" s="50">
        <v>0</v>
      </c>
      <c r="I38" s="50">
        <v>13</v>
      </c>
      <c r="J38" s="50">
        <v>11</v>
      </c>
      <c r="K38" s="50">
        <v>8</v>
      </c>
      <c r="L38" s="50">
        <v>10</v>
      </c>
      <c r="M38" s="50">
        <v>90</v>
      </c>
      <c r="N38" s="50">
        <v>1</v>
      </c>
      <c r="O38" s="15">
        <f t="shared" si="0"/>
        <v>141</v>
      </c>
      <c r="P38" s="15">
        <f t="shared" si="1"/>
        <v>231</v>
      </c>
    </row>
    <row r="39" spans="2:20" ht="23.1" customHeight="1" x14ac:dyDescent="0.25">
      <c r="B39" s="24" t="s">
        <v>66</v>
      </c>
      <c r="C39" s="50">
        <v>19</v>
      </c>
      <c r="D39" s="50">
        <v>24</v>
      </c>
      <c r="E39" s="50">
        <v>7</v>
      </c>
      <c r="F39" s="50">
        <v>33</v>
      </c>
      <c r="G39" s="50">
        <v>1</v>
      </c>
      <c r="H39" s="50">
        <v>0</v>
      </c>
      <c r="I39" s="50">
        <v>12</v>
      </c>
      <c r="J39" s="50">
        <v>11</v>
      </c>
      <c r="K39" s="50">
        <v>7</v>
      </c>
      <c r="L39" s="50">
        <v>7</v>
      </c>
      <c r="M39" s="50">
        <v>91</v>
      </c>
      <c r="N39" s="50">
        <v>0</v>
      </c>
      <c r="O39" s="15">
        <f t="shared" si="0"/>
        <v>121</v>
      </c>
      <c r="P39" s="15">
        <f t="shared" si="1"/>
        <v>212</v>
      </c>
    </row>
    <row r="40" spans="2:20" ht="23.1" customHeight="1" x14ac:dyDescent="0.25">
      <c r="B40" s="24" t="s">
        <v>67</v>
      </c>
      <c r="C40" s="50">
        <v>31</v>
      </c>
      <c r="D40" s="50">
        <v>13</v>
      </c>
      <c r="E40" s="50">
        <v>5</v>
      </c>
      <c r="F40" s="50">
        <v>46</v>
      </c>
      <c r="G40" s="50">
        <v>2</v>
      </c>
      <c r="H40" s="50">
        <v>1</v>
      </c>
      <c r="I40" s="50">
        <v>13</v>
      </c>
      <c r="J40" s="50">
        <v>9</v>
      </c>
      <c r="K40" s="50">
        <v>3</v>
      </c>
      <c r="L40" s="50">
        <v>15</v>
      </c>
      <c r="M40" s="50">
        <v>98</v>
      </c>
      <c r="N40" s="50">
        <v>0</v>
      </c>
      <c r="O40" s="15">
        <f t="shared" si="0"/>
        <v>138</v>
      </c>
      <c r="P40" s="15">
        <f t="shared" si="1"/>
        <v>236</v>
      </c>
    </row>
    <row r="41" spans="2:20" ht="23.1" customHeight="1" x14ac:dyDescent="0.25">
      <c r="B41" s="23" t="s">
        <v>68</v>
      </c>
      <c r="C41" s="50">
        <v>40</v>
      </c>
      <c r="D41" s="50">
        <v>13</v>
      </c>
      <c r="E41" s="50">
        <v>2</v>
      </c>
      <c r="F41" s="50">
        <v>28</v>
      </c>
      <c r="G41" s="50">
        <v>0</v>
      </c>
      <c r="H41" s="50">
        <v>1</v>
      </c>
      <c r="I41" s="50">
        <v>11</v>
      </c>
      <c r="J41" s="50">
        <v>3</v>
      </c>
      <c r="K41" s="50">
        <v>3</v>
      </c>
      <c r="L41" s="50">
        <v>11</v>
      </c>
      <c r="M41" s="50">
        <v>96</v>
      </c>
      <c r="N41" s="50">
        <v>0</v>
      </c>
      <c r="O41" s="15">
        <f t="shared" si="0"/>
        <v>112</v>
      </c>
      <c r="P41" s="15">
        <f t="shared" si="1"/>
        <v>208</v>
      </c>
    </row>
    <row r="42" spans="2:20" ht="23.1" customHeight="1" x14ac:dyDescent="0.25">
      <c r="B42" s="24" t="s">
        <v>69</v>
      </c>
      <c r="C42" s="50">
        <v>36</v>
      </c>
      <c r="D42" s="50">
        <v>19</v>
      </c>
      <c r="E42" s="50">
        <v>10</v>
      </c>
      <c r="F42" s="50">
        <v>55</v>
      </c>
      <c r="G42" s="50">
        <v>1</v>
      </c>
      <c r="H42" s="50">
        <v>0</v>
      </c>
      <c r="I42" s="50">
        <v>9</v>
      </c>
      <c r="J42" s="50">
        <v>8</v>
      </c>
      <c r="K42" s="50">
        <v>4</v>
      </c>
      <c r="L42" s="50">
        <v>11</v>
      </c>
      <c r="M42" s="50">
        <v>83</v>
      </c>
      <c r="N42" s="50">
        <v>0</v>
      </c>
      <c r="O42" s="15">
        <f t="shared" si="0"/>
        <v>153</v>
      </c>
      <c r="P42" s="15">
        <f t="shared" si="1"/>
        <v>236</v>
      </c>
    </row>
    <row r="43" spans="2:20" ht="23.1" customHeight="1" x14ac:dyDescent="0.25">
      <c r="B43" s="23" t="s">
        <v>70</v>
      </c>
      <c r="C43" s="50">
        <v>39</v>
      </c>
      <c r="D43" s="50">
        <v>12</v>
      </c>
      <c r="E43" s="50">
        <v>9</v>
      </c>
      <c r="F43" s="50">
        <v>56</v>
      </c>
      <c r="G43" s="50">
        <v>3</v>
      </c>
      <c r="H43" s="50">
        <v>0</v>
      </c>
      <c r="I43" s="50">
        <v>12</v>
      </c>
      <c r="J43" s="50">
        <v>11</v>
      </c>
      <c r="K43" s="50">
        <v>7</v>
      </c>
      <c r="L43" s="50">
        <v>14</v>
      </c>
      <c r="M43" s="50">
        <v>44</v>
      </c>
      <c r="N43" s="50">
        <v>0</v>
      </c>
      <c r="O43" s="15">
        <f t="shared" si="0"/>
        <v>163</v>
      </c>
      <c r="P43" s="15">
        <f t="shared" si="1"/>
        <v>207</v>
      </c>
    </row>
    <row r="44" spans="2:20" ht="23.1" customHeight="1" x14ac:dyDescent="0.25">
      <c r="B44" s="25" t="s">
        <v>71</v>
      </c>
      <c r="C44" s="50">
        <v>30</v>
      </c>
      <c r="D44" s="50">
        <v>16</v>
      </c>
      <c r="E44" s="50">
        <v>12</v>
      </c>
      <c r="F44" s="50">
        <v>33</v>
      </c>
      <c r="G44" s="50">
        <v>1</v>
      </c>
      <c r="H44" s="50">
        <v>0</v>
      </c>
      <c r="I44" s="50">
        <v>8</v>
      </c>
      <c r="J44" s="50">
        <v>15</v>
      </c>
      <c r="K44" s="50">
        <v>8</v>
      </c>
      <c r="L44" s="50">
        <v>10</v>
      </c>
      <c r="M44" s="50">
        <v>70</v>
      </c>
      <c r="N44" s="50">
        <v>0</v>
      </c>
      <c r="O44" s="15">
        <f t="shared" si="0"/>
        <v>133</v>
      </c>
      <c r="P44" s="15">
        <f t="shared" si="1"/>
        <v>203</v>
      </c>
    </row>
    <row r="45" spans="2:20" ht="23.1" customHeight="1" x14ac:dyDescent="0.25">
      <c r="B45" s="23" t="s">
        <v>72</v>
      </c>
      <c r="C45" s="50">
        <v>30</v>
      </c>
      <c r="D45" s="50">
        <v>17</v>
      </c>
      <c r="E45" s="50">
        <v>11</v>
      </c>
      <c r="F45" s="50">
        <v>47</v>
      </c>
      <c r="G45" s="50">
        <v>2</v>
      </c>
      <c r="H45" s="50">
        <v>0</v>
      </c>
      <c r="I45" s="50">
        <v>5</v>
      </c>
      <c r="J45" s="50">
        <v>10</v>
      </c>
      <c r="K45" s="50">
        <v>7</v>
      </c>
      <c r="L45" s="50">
        <v>8</v>
      </c>
      <c r="M45" s="50">
        <v>85</v>
      </c>
      <c r="N45" s="50">
        <v>0</v>
      </c>
      <c r="O45" s="15">
        <f t="shared" si="0"/>
        <v>137</v>
      </c>
      <c r="P45" s="15">
        <f t="shared" si="1"/>
        <v>222</v>
      </c>
    </row>
    <row r="46" spans="2:20" ht="23.1" customHeight="1" x14ac:dyDescent="0.25">
      <c r="B46" s="24" t="s">
        <v>73</v>
      </c>
      <c r="C46" s="50">
        <v>13</v>
      </c>
      <c r="D46" s="50">
        <v>11</v>
      </c>
      <c r="E46" s="50">
        <v>7</v>
      </c>
      <c r="F46" s="50">
        <v>29</v>
      </c>
      <c r="G46" s="50">
        <v>3</v>
      </c>
      <c r="H46" s="50">
        <v>2</v>
      </c>
      <c r="I46" s="50">
        <v>4</v>
      </c>
      <c r="J46" s="50">
        <v>6</v>
      </c>
      <c r="K46" s="50">
        <v>2</v>
      </c>
      <c r="L46" s="50">
        <v>8</v>
      </c>
      <c r="M46" s="50">
        <v>67</v>
      </c>
      <c r="N46" s="50">
        <v>0</v>
      </c>
      <c r="O46" s="15">
        <f t="shared" si="0"/>
        <v>85</v>
      </c>
      <c r="P46" s="15">
        <f t="shared" si="1"/>
        <v>152</v>
      </c>
      <c r="R46" s="8"/>
      <c r="T46"/>
    </row>
    <row r="47" spans="2:20" ht="23.1" customHeight="1" x14ac:dyDescent="0.25">
      <c r="B47" s="24" t="s">
        <v>74</v>
      </c>
      <c r="C47" s="50">
        <v>33</v>
      </c>
      <c r="D47" s="50">
        <v>18</v>
      </c>
      <c r="E47" s="50">
        <v>9</v>
      </c>
      <c r="F47" s="50">
        <v>56</v>
      </c>
      <c r="G47" s="50">
        <v>2</v>
      </c>
      <c r="H47" s="50">
        <v>1</v>
      </c>
      <c r="I47" s="50">
        <v>10</v>
      </c>
      <c r="J47" s="50">
        <v>9</v>
      </c>
      <c r="K47" s="50">
        <v>5</v>
      </c>
      <c r="L47" s="50">
        <v>14</v>
      </c>
      <c r="M47" s="50">
        <v>101</v>
      </c>
      <c r="N47" s="50">
        <v>0</v>
      </c>
      <c r="O47" s="15">
        <f t="shared" si="0"/>
        <v>157</v>
      </c>
      <c r="P47" s="15">
        <f t="shared" si="1"/>
        <v>258</v>
      </c>
      <c r="R47" s="8"/>
      <c r="T47"/>
    </row>
    <row r="48" spans="2:20" ht="23.1" customHeight="1" x14ac:dyDescent="0.25">
      <c r="B48" s="24" t="s">
        <v>75</v>
      </c>
      <c r="C48" s="50">
        <v>26</v>
      </c>
      <c r="D48" s="50">
        <v>16</v>
      </c>
      <c r="E48" s="50">
        <v>9</v>
      </c>
      <c r="F48" s="50">
        <v>44</v>
      </c>
      <c r="G48" s="50">
        <v>6</v>
      </c>
      <c r="H48" s="50">
        <v>0</v>
      </c>
      <c r="I48" s="50">
        <v>8</v>
      </c>
      <c r="J48" s="50">
        <v>7</v>
      </c>
      <c r="K48" s="50">
        <v>4</v>
      </c>
      <c r="L48" s="50">
        <v>8</v>
      </c>
      <c r="M48" s="50">
        <v>83</v>
      </c>
      <c r="N48" s="50">
        <v>0</v>
      </c>
      <c r="O48" s="15">
        <f t="shared" si="0"/>
        <v>128</v>
      </c>
      <c r="P48" s="15">
        <f t="shared" si="1"/>
        <v>211</v>
      </c>
      <c r="R48" s="8"/>
      <c r="T48"/>
    </row>
    <row r="49" spans="2:20" ht="23.1" customHeight="1" x14ac:dyDescent="0.25">
      <c r="B49" s="23" t="s">
        <v>76</v>
      </c>
      <c r="C49" s="50">
        <v>38</v>
      </c>
      <c r="D49" s="50">
        <v>13</v>
      </c>
      <c r="E49" s="50">
        <v>9</v>
      </c>
      <c r="F49" s="50">
        <v>49</v>
      </c>
      <c r="G49" s="50">
        <v>3</v>
      </c>
      <c r="H49" s="50">
        <v>0</v>
      </c>
      <c r="I49" s="50">
        <v>12</v>
      </c>
      <c r="J49" s="50">
        <v>13</v>
      </c>
      <c r="K49" s="50">
        <v>0</v>
      </c>
      <c r="L49" s="50">
        <v>7</v>
      </c>
      <c r="M49" s="50">
        <v>113</v>
      </c>
      <c r="N49" s="50">
        <v>0</v>
      </c>
      <c r="O49" s="15">
        <f t="shared" si="0"/>
        <v>144</v>
      </c>
      <c r="P49" s="15">
        <f t="shared" si="1"/>
        <v>257</v>
      </c>
      <c r="R49" s="8"/>
      <c r="T49"/>
    </row>
    <row r="50" spans="2:20" ht="23.1" customHeight="1" x14ac:dyDescent="0.25">
      <c r="B50" s="24" t="s">
        <v>77</v>
      </c>
      <c r="C50" s="50">
        <v>31</v>
      </c>
      <c r="D50" s="50">
        <v>22</v>
      </c>
      <c r="E50" s="50">
        <v>6</v>
      </c>
      <c r="F50" s="50">
        <v>53</v>
      </c>
      <c r="G50" s="50">
        <v>1</v>
      </c>
      <c r="H50" s="50">
        <v>2</v>
      </c>
      <c r="I50" s="50">
        <v>13</v>
      </c>
      <c r="J50" s="50">
        <v>14</v>
      </c>
      <c r="K50" s="50">
        <v>4</v>
      </c>
      <c r="L50" s="50">
        <v>8</v>
      </c>
      <c r="M50" s="50">
        <v>113</v>
      </c>
      <c r="N50" s="50">
        <v>0</v>
      </c>
      <c r="O50" s="15">
        <f t="shared" si="0"/>
        <v>154</v>
      </c>
      <c r="P50" s="15">
        <f t="shared" si="1"/>
        <v>267</v>
      </c>
      <c r="R50" s="8"/>
      <c r="T50"/>
    </row>
    <row r="51" spans="2:20" ht="23.1" customHeight="1" x14ac:dyDescent="0.25">
      <c r="B51" s="24" t="s">
        <v>78</v>
      </c>
      <c r="C51" s="50">
        <v>38</v>
      </c>
      <c r="D51" s="50">
        <v>14</v>
      </c>
      <c r="E51" s="50">
        <v>8</v>
      </c>
      <c r="F51" s="50">
        <v>49</v>
      </c>
      <c r="G51" s="50">
        <v>5</v>
      </c>
      <c r="H51" s="50">
        <v>1</v>
      </c>
      <c r="I51" s="50">
        <v>8</v>
      </c>
      <c r="J51" s="50">
        <v>14</v>
      </c>
      <c r="K51" s="50">
        <v>3</v>
      </c>
      <c r="L51" s="50">
        <v>6</v>
      </c>
      <c r="M51" s="50">
        <v>113</v>
      </c>
      <c r="N51" s="50">
        <v>0</v>
      </c>
      <c r="O51" s="15">
        <f t="shared" si="0"/>
        <v>146</v>
      </c>
      <c r="P51" s="15">
        <f t="shared" si="1"/>
        <v>259</v>
      </c>
      <c r="R51" s="8"/>
      <c r="T51"/>
    </row>
    <row r="52" spans="2:20" ht="23.1" customHeight="1" x14ac:dyDescent="0.25">
      <c r="B52" s="24" t="s">
        <v>79</v>
      </c>
      <c r="C52" s="50">
        <v>27</v>
      </c>
      <c r="D52" s="50">
        <v>22</v>
      </c>
      <c r="E52" s="50">
        <v>11</v>
      </c>
      <c r="F52" s="50">
        <v>53</v>
      </c>
      <c r="G52" s="50">
        <v>4</v>
      </c>
      <c r="H52" s="50">
        <v>3</v>
      </c>
      <c r="I52" s="50">
        <v>8</v>
      </c>
      <c r="J52" s="50">
        <v>10</v>
      </c>
      <c r="K52" s="50">
        <v>1</v>
      </c>
      <c r="L52" s="50">
        <v>7</v>
      </c>
      <c r="M52" s="50">
        <v>120</v>
      </c>
      <c r="N52" s="50">
        <v>0</v>
      </c>
      <c r="O52" s="15">
        <f t="shared" si="0"/>
        <v>146</v>
      </c>
      <c r="P52" s="15">
        <f t="shared" si="1"/>
        <v>266</v>
      </c>
      <c r="R52" s="8"/>
      <c r="T52"/>
    </row>
    <row r="53" spans="2:20" ht="23.1" customHeight="1" x14ac:dyDescent="0.25">
      <c r="B53" s="23" t="s">
        <v>80</v>
      </c>
      <c r="C53" s="50">
        <v>39</v>
      </c>
      <c r="D53" s="50">
        <v>19</v>
      </c>
      <c r="E53" s="50">
        <v>15</v>
      </c>
      <c r="F53" s="50">
        <v>54</v>
      </c>
      <c r="G53" s="50">
        <v>4</v>
      </c>
      <c r="H53" s="50">
        <v>1</v>
      </c>
      <c r="I53" s="50">
        <v>7</v>
      </c>
      <c r="J53" s="50">
        <v>10</v>
      </c>
      <c r="K53" s="50">
        <v>2</v>
      </c>
      <c r="L53" s="50">
        <v>7</v>
      </c>
      <c r="M53" s="50">
        <v>127</v>
      </c>
      <c r="N53" s="50">
        <v>0</v>
      </c>
      <c r="O53" s="15">
        <f t="shared" si="0"/>
        <v>158</v>
      </c>
      <c r="P53" s="15">
        <f t="shared" si="1"/>
        <v>285</v>
      </c>
      <c r="R53" s="8"/>
      <c r="T53"/>
    </row>
    <row r="54" spans="2:20" ht="23.1" customHeight="1" x14ac:dyDescent="0.25">
      <c r="B54" s="23" t="s">
        <v>81</v>
      </c>
      <c r="C54" s="50">
        <v>34</v>
      </c>
      <c r="D54" s="50">
        <v>12</v>
      </c>
      <c r="E54" s="50">
        <v>6</v>
      </c>
      <c r="F54" s="50">
        <v>54</v>
      </c>
      <c r="G54" s="50">
        <v>4</v>
      </c>
      <c r="H54" s="50">
        <v>0</v>
      </c>
      <c r="I54" s="50">
        <v>9</v>
      </c>
      <c r="J54" s="50">
        <v>18</v>
      </c>
      <c r="K54" s="50">
        <v>4</v>
      </c>
      <c r="L54" s="50">
        <v>7</v>
      </c>
      <c r="M54" s="50">
        <v>148</v>
      </c>
      <c r="N54" s="50">
        <v>0</v>
      </c>
      <c r="O54" s="15">
        <f t="shared" si="0"/>
        <v>148</v>
      </c>
      <c r="P54" s="15">
        <f t="shared" si="1"/>
        <v>296</v>
      </c>
      <c r="R54" s="8"/>
      <c r="T54"/>
    </row>
    <row r="55" spans="2:20" ht="23.1" customHeight="1" x14ac:dyDescent="0.25">
      <c r="B55" s="23" t="s">
        <v>82</v>
      </c>
      <c r="C55" s="50">
        <v>40</v>
      </c>
      <c r="D55" s="50">
        <v>12</v>
      </c>
      <c r="E55" s="50">
        <v>12</v>
      </c>
      <c r="F55" s="50">
        <v>66</v>
      </c>
      <c r="G55" s="50">
        <v>5</v>
      </c>
      <c r="H55" s="50">
        <v>0</v>
      </c>
      <c r="I55" s="50">
        <v>11</v>
      </c>
      <c r="J55" s="50">
        <v>10</v>
      </c>
      <c r="K55" s="50">
        <v>1</v>
      </c>
      <c r="L55" s="50">
        <v>8</v>
      </c>
      <c r="M55" s="50">
        <v>104</v>
      </c>
      <c r="N55" s="50">
        <v>0</v>
      </c>
      <c r="O55" s="15">
        <f t="shared" si="0"/>
        <v>165</v>
      </c>
      <c r="P55" s="15">
        <f t="shared" si="1"/>
        <v>269</v>
      </c>
      <c r="R55" s="8"/>
      <c r="T55"/>
    </row>
    <row r="56" spans="2:20" ht="23.1" customHeight="1" x14ac:dyDescent="0.25">
      <c r="B56" s="23" t="s">
        <v>83</v>
      </c>
      <c r="C56" s="50">
        <v>36</v>
      </c>
      <c r="D56" s="50">
        <v>14</v>
      </c>
      <c r="E56" s="50">
        <v>12</v>
      </c>
      <c r="F56" s="50">
        <v>81</v>
      </c>
      <c r="G56" s="50">
        <v>6</v>
      </c>
      <c r="H56" s="50">
        <v>0</v>
      </c>
      <c r="I56" s="50">
        <v>5</v>
      </c>
      <c r="J56" s="50">
        <v>8</v>
      </c>
      <c r="K56" s="50">
        <v>3</v>
      </c>
      <c r="L56" s="50">
        <v>8</v>
      </c>
      <c r="M56" s="50">
        <v>147</v>
      </c>
      <c r="N56" s="50">
        <v>0</v>
      </c>
      <c r="O56" s="15">
        <f t="shared" si="0"/>
        <v>173</v>
      </c>
      <c r="P56" s="15">
        <f t="shared" si="1"/>
        <v>320</v>
      </c>
      <c r="R56" s="8"/>
      <c r="T56"/>
    </row>
    <row r="57" spans="2:20" ht="23.1" customHeight="1" x14ac:dyDescent="0.25">
      <c r="B57" s="23" t="s">
        <v>84</v>
      </c>
      <c r="C57" s="50">
        <v>29</v>
      </c>
      <c r="D57" s="50">
        <v>9</v>
      </c>
      <c r="E57" s="50">
        <v>7</v>
      </c>
      <c r="F57" s="50">
        <v>49</v>
      </c>
      <c r="G57" s="50">
        <v>1</v>
      </c>
      <c r="H57" s="50">
        <v>1</v>
      </c>
      <c r="I57" s="50">
        <v>4</v>
      </c>
      <c r="J57" s="50">
        <v>7</v>
      </c>
      <c r="K57" s="50">
        <v>4</v>
      </c>
      <c r="L57" s="50">
        <v>1</v>
      </c>
      <c r="M57" s="50">
        <v>113</v>
      </c>
      <c r="N57" s="50">
        <v>0</v>
      </c>
      <c r="O57" s="15">
        <f t="shared" si="0"/>
        <v>112</v>
      </c>
      <c r="P57" s="15">
        <f t="shared" si="1"/>
        <v>225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1349</v>
      </c>
      <c r="D58" s="16">
        <f t="shared" si="21"/>
        <v>631</v>
      </c>
      <c r="E58" s="16">
        <f t="shared" si="21"/>
        <v>388</v>
      </c>
      <c r="F58" s="16">
        <f t="shared" si="21"/>
        <v>2065</v>
      </c>
      <c r="G58" s="16">
        <f t="shared" si="21"/>
        <v>113</v>
      </c>
      <c r="H58" s="16">
        <f t="shared" si="21"/>
        <v>28</v>
      </c>
      <c r="I58" s="16">
        <f t="shared" si="21"/>
        <v>392</v>
      </c>
      <c r="J58" s="16">
        <f t="shared" si="21"/>
        <v>331</v>
      </c>
      <c r="K58" s="16">
        <f t="shared" si="21"/>
        <v>182</v>
      </c>
      <c r="L58" s="16">
        <f t="shared" si="21"/>
        <v>638</v>
      </c>
      <c r="M58" s="16">
        <f t="shared" si="21"/>
        <v>5379</v>
      </c>
      <c r="N58" s="16">
        <f t="shared" si="21"/>
        <v>1</v>
      </c>
      <c r="O58" s="16">
        <f t="shared" si="21"/>
        <v>6118</v>
      </c>
      <c r="P58" s="16">
        <f t="shared" si="21"/>
        <v>11497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0.11733495694529007</v>
      </c>
      <c r="D59" s="43">
        <f t="shared" si="22"/>
        <v>5.4883882752022266E-2</v>
      </c>
      <c r="E59" s="43">
        <f t="shared" si="22"/>
        <v>3.3747934243715749E-2</v>
      </c>
      <c r="F59" s="43">
        <f t="shared" si="22"/>
        <v>0.17961207271462121</v>
      </c>
      <c r="G59" s="43">
        <f t="shared" si="22"/>
        <v>9.8286509524223714E-3</v>
      </c>
      <c r="H59" s="43">
        <f t="shared" si="22"/>
        <v>2.4354179351135079E-3</v>
      </c>
      <c r="I59" s="43">
        <f t="shared" si="22"/>
        <v>3.4095851091589108E-2</v>
      </c>
      <c r="J59" s="43">
        <f t="shared" si="22"/>
        <v>2.8790119161520397E-2</v>
      </c>
      <c r="K59" s="43">
        <f t="shared" si="22"/>
        <v>1.5830216578237803E-2</v>
      </c>
      <c r="L59" s="43">
        <f t="shared" si="22"/>
        <v>5.5492737235800643E-2</v>
      </c>
      <c r="M59" s="43">
        <f t="shared" si="22"/>
        <v>0.46786118117769854</v>
      </c>
      <c r="N59" s="43">
        <f t="shared" si="22"/>
        <v>8.6979211968339564E-5</v>
      </c>
      <c r="R59" s="8"/>
      <c r="T59"/>
    </row>
    <row r="60" spans="2:20" ht="23.1" customHeight="1" x14ac:dyDescent="0.25">
      <c r="B60" s="42" t="s">
        <v>94</v>
      </c>
      <c r="C60" s="44">
        <f>C58/$O$58</f>
        <v>0.22049689440993789</v>
      </c>
      <c r="D60" s="44">
        <f t="shared" ref="D60:N60" si="23">D58/$O$58</f>
        <v>0.10313828048381823</v>
      </c>
      <c r="E60" s="44">
        <f t="shared" si="23"/>
        <v>6.3419418110493619E-2</v>
      </c>
      <c r="F60" s="44">
        <f t="shared" si="23"/>
        <v>0.33752860411899316</v>
      </c>
      <c r="G60" s="44">
        <f t="shared" si="23"/>
        <v>1.8470088264138606E-2</v>
      </c>
      <c r="H60" s="44">
        <f t="shared" si="23"/>
        <v>4.5766590389016018E-3</v>
      </c>
      <c r="I60" s="44">
        <f t="shared" si="23"/>
        <v>6.4073226544622428E-2</v>
      </c>
      <c r="J60" s="44">
        <f t="shared" si="23"/>
        <v>5.4102647924158219E-2</v>
      </c>
      <c r="K60" s="44">
        <f t="shared" si="23"/>
        <v>2.9748283752860413E-2</v>
      </c>
      <c r="L60" s="44">
        <f t="shared" si="23"/>
        <v>0.10428244524354364</v>
      </c>
      <c r="M60" s="44"/>
      <c r="N60" s="44">
        <f t="shared" si="23"/>
        <v>1.6345210853220007E-4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6:L6"/>
    <mergeCell ref="K5:L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AF126"/>
  <sheetViews>
    <sheetView view="pageBreakPreview" zoomScale="60" workbookViewId="0">
      <selection activeCell="O50" sqref="O50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2" t="s">
        <v>23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  <c r="AE1" s="62"/>
    </row>
    <row r="2" spans="2:32" ht="20.100000000000001" customHeight="1" x14ac:dyDescent="0.25">
      <c r="B2" s="63" t="s">
        <v>95</v>
      </c>
      <c r="C2" s="63"/>
      <c r="D2" s="63"/>
      <c r="E2" s="63"/>
      <c r="F2" s="63"/>
      <c r="G2" s="63"/>
      <c r="H2" s="63"/>
      <c r="I2" s="63"/>
      <c r="J2" s="63"/>
      <c r="K2" s="63"/>
      <c r="L2" s="63"/>
      <c r="M2" s="63"/>
      <c r="N2" s="63"/>
      <c r="O2" s="63"/>
      <c r="P2" s="63"/>
      <c r="Q2" s="63"/>
      <c r="R2" s="63"/>
      <c r="S2" s="63"/>
      <c r="T2" s="63"/>
      <c r="U2" s="63"/>
      <c r="V2" s="63"/>
      <c r="W2" s="63"/>
      <c r="X2" s="63"/>
      <c r="Y2" s="63"/>
      <c r="Z2" s="63"/>
      <c r="AA2" s="63"/>
      <c r="AB2" s="63"/>
      <c r="AC2" s="63"/>
      <c r="AD2" s="63"/>
      <c r="AE2" s="63"/>
    </row>
    <row r="3" spans="2:32" ht="20.100000000000001" customHeight="1" x14ac:dyDescent="0.25">
      <c r="B3" s="22" t="s">
        <v>96</v>
      </c>
      <c r="C3" s="67" t="str">
        <f>'23.09 Seeta-Mukono'!C3:G3</f>
        <v>MCC - C2 - STN074 - SONDE  ROAD</v>
      </c>
      <c r="D3" s="67"/>
      <c r="E3" s="67"/>
      <c r="F3" s="67"/>
      <c r="G3" s="67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173</v>
      </c>
      <c r="E5" s="3"/>
      <c r="F5" s="41" t="s">
        <v>1</v>
      </c>
      <c r="G5" s="68" t="str">
        <f>'23.09 Seeta-Mukono'!G5:H5</f>
        <v>Gasco Petrol Sta'n</v>
      </c>
      <c r="H5" s="69"/>
      <c r="I5" s="14"/>
      <c r="J5" s="2" t="s">
        <v>5</v>
      </c>
      <c r="K5" s="68" t="str">
        <f>'23.09 Seeta-Mukono'!K5:L5</f>
        <v>Namuddu. M</v>
      </c>
      <c r="L5" s="69"/>
      <c r="M5" s="10"/>
      <c r="N5" s="10"/>
      <c r="O5" s="3"/>
      <c r="P5" s="3"/>
    </row>
    <row r="6" spans="2:32" ht="23.25" customHeight="1" x14ac:dyDescent="0.25">
      <c r="C6" s="2" t="s">
        <v>4</v>
      </c>
      <c r="D6" s="68" t="str">
        <f>'23.09 Seeta-Mukono'!D6:E6</f>
        <v>Seeta</v>
      </c>
      <c r="E6" s="69"/>
      <c r="F6" s="2" t="s">
        <v>2</v>
      </c>
      <c r="G6" s="68" t="str">
        <f>'23.09 Seeta-Mukono'!G6:H6</f>
        <v>Mukono</v>
      </c>
      <c r="H6" s="69"/>
      <c r="J6" s="2" t="s">
        <v>21</v>
      </c>
      <c r="K6" s="68" t="str">
        <f>'23.09 Seeta-Mukono'!K6:L6</f>
        <v>Tracy</v>
      </c>
      <c r="L6" s="69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1" t="s">
        <v>88</v>
      </c>
      <c r="S8" s="61"/>
      <c r="T8" s="61"/>
      <c r="U8" s="61"/>
      <c r="V8" s="61"/>
      <c r="W8" s="61"/>
      <c r="X8" s="61"/>
      <c r="Y8" s="61"/>
      <c r="Z8" s="61"/>
      <c r="AA8" s="61"/>
      <c r="AB8" s="61"/>
      <c r="AC8" s="61"/>
      <c r="AD8" s="61"/>
      <c r="AE8" s="61"/>
      <c r="AF8" s="61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56</v>
      </c>
      <c r="D10" s="50">
        <v>4</v>
      </c>
      <c r="E10" s="50">
        <v>16</v>
      </c>
      <c r="F10" s="50">
        <v>40</v>
      </c>
      <c r="G10" s="50">
        <v>1</v>
      </c>
      <c r="H10" s="50">
        <v>1</v>
      </c>
      <c r="I10" s="50">
        <v>6</v>
      </c>
      <c r="J10" s="50">
        <v>1</v>
      </c>
      <c r="K10" s="50">
        <v>0</v>
      </c>
      <c r="L10" s="50">
        <v>3</v>
      </c>
      <c r="M10" s="50">
        <v>76</v>
      </c>
      <c r="N10" s="50">
        <v>0</v>
      </c>
      <c r="O10" s="15">
        <f t="shared" ref="O10:O57" si="0">SUM(C10:L10,N10)</f>
        <v>128</v>
      </c>
      <c r="P10" s="15">
        <f t="shared" ref="P10:P57" si="1">SUM(C10:N10)</f>
        <v>204</v>
      </c>
      <c r="R10" s="1" t="s">
        <v>6</v>
      </c>
      <c r="S10" s="17">
        <f t="shared" ref="S10:AF10" si="2">SUM(C10:C13)</f>
        <v>236</v>
      </c>
      <c r="T10" s="17">
        <f t="shared" si="2"/>
        <v>24</v>
      </c>
      <c r="U10" s="17">
        <f t="shared" si="2"/>
        <v>50</v>
      </c>
      <c r="V10" s="17">
        <f t="shared" si="2"/>
        <v>179</v>
      </c>
      <c r="W10" s="17">
        <f t="shared" si="2"/>
        <v>3</v>
      </c>
      <c r="X10" s="17">
        <f t="shared" si="2"/>
        <v>2</v>
      </c>
      <c r="Y10" s="17">
        <f t="shared" si="2"/>
        <v>29</v>
      </c>
      <c r="Z10" s="17">
        <f t="shared" si="2"/>
        <v>14</v>
      </c>
      <c r="AA10" s="17">
        <f t="shared" si="2"/>
        <v>8</v>
      </c>
      <c r="AB10" s="17">
        <f t="shared" si="2"/>
        <v>15</v>
      </c>
      <c r="AC10" s="17">
        <f t="shared" si="2"/>
        <v>326</v>
      </c>
      <c r="AD10" s="17">
        <f t="shared" si="2"/>
        <v>1</v>
      </c>
      <c r="AE10" s="31">
        <f t="shared" si="2"/>
        <v>561</v>
      </c>
      <c r="AF10" s="31">
        <f t="shared" si="2"/>
        <v>887</v>
      </c>
    </row>
    <row r="11" spans="2:32" s="6" customFormat="1" ht="23.1" customHeight="1" x14ac:dyDescent="0.25">
      <c r="B11" s="23" t="s">
        <v>38</v>
      </c>
      <c r="C11" s="50">
        <v>63</v>
      </c>
      <c r="D11" s="50">
        <v>5</v>
      </c>
      <c r="E11" s="50">
        <v>11</v>
      </c>
      <c r="F11" s="50">
        <v>47</v>
      </c>
      <c r="G11" s="50">
        <v>1</v>
      </c>
      <c r="H11" s="50">
        <v>1</v>
      </c>
      <c r="I11" s="50">
        <v>8</v>
      </c>
      <c r="J11" s="50">
        <v>6</v>
      </c>
      <c r="K11" s="50">
        <v>5</v>
      </c>
      <c r="L11" s="50">
        <v>2</v>
      </c>
      <c r="M11" s="50">
        <v>75</v>
      </c>
      <c r="N11" s="50">
        <v>0</v>
      </c>
      <c r="O11" s="15">
        <f t="shared" si="0"/>
        <v>149</v>
      </c>
      <c r="P11" s="15">
        <f t="shared" si="1"/>
        <v>224</v>
      </c>
      <c r="R11" s="1" t="s">
        <v>7</v>
      </c>
      <c r="S11" s="17">
        <f t="shared" ref="S11:AF11" si="3">SUM(C14:C17)</f>
        <v>260</v>
      </c>
      <c r="T11" s="17">
        <f t="shared" si="3"/>
        <v>51</v>
      </c>
      <c r="U11" s="17">
        <f t="shared" si="3"/>
        <v>49</v>
      </c>
      <c r="V11" s="17">
        <f t="shared" si="3"/>
        <v>176</v>
      </c>
      <c r="W11" s="17">
        <f t="shared" si="3"/>
        <v>4</v>
      </c>
      <c r="X11" s="17">
        <f t="shared" si="3"/>
        <v>2</v>
      </c>
      <c r="Y11" s="17">
        <f t="shared" si="3"/>
        <v>56</v>
      </c>
      <c r="Z11" s="17">
        <f t="shared" si="3"/>
        <v>19</v>
      </c>
      <c r="AA11" s="17">
        <f t="shared" si="3"/>
        <v>13</v>
      </c>
      <c r="AB11" s="17">
        <f t="shared" si="3"/>
        <v>15</v>
      </c>
      <c r="AC11" s="17">
        <f t="shared" si="3"/>
        <v>433</v>
      </c>
      <c r="AD11" s="17">
        <f t="shared" si="3"/>
        <v>0</v>
      </c>
      <c r="AE11" s="31">
        <f t="shared" si="3"/>
        <v>645</v>
      </c>
      <c r="AF11" s="31">
        <f t="shared" si="3"/>
        <v>1078</v>
      </c>
    </row>
    <row r="12" spans="2:32" ht="23.1" customHeight="1" x14ac:dyDescent="0.25">
      <c r="B12" s="23" t="s">
        <v>39</v>
      </c>
      <c r="C12" s="50">
        <v>56</v>
      </c>
      <c r="D12" s="50">
        <v>6</v>
      </c>
      <c r="E12" s="50">
        <v>19</v>
      </c>
      <c r="F12" s="50">
        <v>54</v>
      </c>
      <c r="G12" s="50">
        <v>1</v>
      </c>
      <c r="H12" s="50">
        <v>0</v>
      </c>
      <c r="I12" s="50">
        <v>10</v>
      </c>
      <c r="J12" s="50">
        <v>5</v>
      </c>
      <c r="K12" s="50">
        <v>1</v>
      </c>
      <c r="L12" s="50">
        <v>6</v>
      </c>
      <c r="M12" s="50">
        <v>94</v>
      </c>
      <c r="N12" s="50">
        <v>1</v>
      </c>
      <c r="O12" s="15">
        <f t="shared" si="0"/>
        <v>159</v>
      </c>
      <c r="P12" s="15">
        <f t="shared" si="1"/>
        <v>253</v>
      </c>
      <c r="R12" s="1" t="s">
        <v>8</v>
      </c>
      <c r="S12" s="17">
        <f t="shared" ref="S12:AF12" si="4">SUM(C18:C21)</f>
        <v>244</v>
      </c>
      <c r="T12" s="17">
        <f t="shared" si="4"/>
        <v>35</v>
      </c>
      <c r="U12" s="17">
        <f t="shared" si="4"/>
        <v>42</v>
      </c>
      <c r="V12" s="17">
        <f t="shared" si="4"/>
        <v>204</v>
      </c>
      <c r="W12" s="17">
        <f t="shared" si="4"/>
        <v>11</v>
      </c>
      <c r="X12" s="17">
        <f t="shared" si="4"/>
        <v>0</v>
      </c>
      <c r="Y12" s="17">
        <f t="shared" si="4"/>
        <v>56</v>
      </c>
      <c r="Z12" s="17">
        <f t="shared" si="4"/>
        <v>21</v>
      </c>
      <c r="AA12" s="17">
        <f t="shared" si="4"/>
        <v>12</v>
      </c>
      <c r="AB12" s="17">
        <f t="shared" si="4"/>
        <v>30</v>
      </c>
      <c r="AC12" s="17">
        <f t="shared" si="4"/>
        <v>490</v>
      </c>
      <c r="AD12" s="17">
        <f t="shared" si="4"/>
        <v>0</v>
      </c>
      <c r="AE12" s="31">
        <f t="shared" si="4"/>
        <v>655</v>
      </c>
      <c r="AF12" s="31">
        <f t="shared" si="4"/>
        <v>1145</v>
      </c>
    </row>
    <row r="13" spans="2:32" ht="23.1" customHeight="1" x14ac:dyDescent="0.25">
      <c r="B13" s="23" t="s">
        <v>40</v>
      </c>
      <c r="C13" s="50">
        <v>61</v>
      </c>
      <c r="D13" s="50">
        <v>9</v>
      </c>
      <c r="E13" s="50">
        <v>4</v>
      </c>
      <c r="F13" s="50">
        <v>38</v>
      </c>
      <c r="G13" s="50">
        <v>0</v>
      </c>
      <c r="H13" s="50">
        <v>0</v>
      </c>
      <c r="I13" s="50">
        <v>5</v>
      </c>
      <c r="J13" s="50">
        <v>2</v>
      </c>
      <c r="K13" s="50">
        <v>2</v>
      </c>
      <c r="L13" s="50">
        <v>4</v>
      </c>
      <c r="M13" s="50">
        <v>81</v>
      </c>
      <c r="N13" s="50">
        <v>0</v>
      </c>
      <c r="O13" s="15">
        <f t="shared" si="0"/>
        <v>125</v>
      </c>
      <c r="P13" s="15">
        <f t="shared" si="1"/>
        <v>206</v>
      </c>
      <c r="R13" s="1" t="s">
        <v>9</v>
      </c>
      <c r="S13" s="17">
        <f t="shared" ref="S13:AF13" si="5">SUM(C22:C25)</f>
        <v>211</v>
      </c>
      <c r="T13" s="17">
        <f t="shared" si="5"/>
        <v>24</v>
      </c>
      <c r="U13" s="17">
        <f t="shared" si="5"/>
        <v>34</v>
      </c>
      <c r="V13" s="17">
        <f t="shared" si="5"/>
        <v>211</v>
      </c>
      <c r="W13" s="17">
        <f t="shared" si="5"/>
        <v>8</v>
      </c>
      <c r="X13" s="17">
        <f t="shared" si="5"/>
        <v>2</v>
      </c>
      <c r="Y13" s="17">
        <f t="shared" si="5"/>
        <v>49</v>
      </c>
      <c r="Z13" s="17">
        <f t="shared" si="5"/>
        <v>20</v>
      </c>
      <c r="AA13" s="17">
        <f t="shared" si="5"/>
        <v>10</v>
      </c>
      <c r="AB13" s="17">
        <f t="shared" si="5"/>
        <v>19</v>
      </c>
      <c r="AC13" s="17">
        <f t="shared" si="5"/>
        <v>356</v>
      </c>
      <c r="AD13" s="17">
        <f t="shared" si="5"/>
        <v>0</v>
      </c>
      <c r="AE13" s="31">
        <f t="shared" si="5"/>
        <v>588</v>
      </c>
      <c r="AF13" s="31">
        <f t="shared" si="5"/>
        <v>944</v>
      </c>
    </row>
    <row r="14" spans="2:32" ht="23.1" customHeight="1" x14ac:dyDescent="0.25">
      <c r="B14" s="23" t="s">
        <v>41</v>
      </c>
      <c r="C14" s="50">
        <v>60</v>
      </c>
      <c r="D14" s="50">
        <v>16</v>
      </c>
      <c r="E14" s="50">
        <v>15</v>
      </c>
      <c r="F14" s="50">
        <v>45</v>
      </c>
      <c r="G14" s="50">
        <v>2</v>
      </c>
      <c r="H14" s="50">
        <v>1</v>
      </c>
      <c r="I14" s="50">
        <v>13</v>
      </c>
      <c r="J14" s="50">
        <v>3</v>
      </c>
      <c r="K14" s="50">
        <v>5</v>
      </c>
      <c r="L14" s="50">
        <v>5</v>
      </c>
      <c r="M14" s="50">
        <v>114</v>
      </c>
      <c r="N14" s="50">
        <v>0</v>
      </c>
      <c r="O14" s="15">
        <f t="shared" si="0"/>
        <v>165</v>
      </c>
      <c r="P14" s="15">
        <f t="shared" si="1"/>
        <v>279</v>
      </c>
      <c r="R14" s="1" t="s">
        <v>10</v>
      </c>
      <c r="S14" s="17">
        <f t="shared" ref="S14:AF14" si="6">SUM(C26:C29)</f>
        <v>179</v>
      </c>
      <c r="T14" s="17">
        <f t="shared" si="6"/>
        <v>30</v>
      </c>
      <c r="U14" s="17">
        <f t="shared" si="6"/>
        <v>28</v>
      </c>
      <c r="V14" s="17">
        <f t="shared" si="6"/>
        <v>153</v>
      </c>
      <c r="W14" s="17">
        <f t="shared" si="6"/>
        <v>7</v>
      </c>
      <c r="X14" s="17">
        <f t="shared" si="6"/>
        <v>2</v>
      </c>
      <c r="Y14" s="17">
        <f t="shared" si="6"/>
        <v>62</v>
      </c>
      <c r="Z14" s="17">
        <f t="shared" si="6"/>
        <v>29</v>
      </c>
      <c r="AA14" s="17">
        <f t="shared" si="6"/>
        <v>21</v>
      </c>
      <c r="AB14" s="17">
        <f t="shared" si="6"/>
        <v>63</v>
      </c>
      <c r="AC14" s="17">
        <f t="shared" si="6"/>
        <v>460</v>
      </c>
      <c r="AD14" s="17">
        <f t="shared" si="6"/>
        <v>0</v>
      </c>
      <c r="AE14" s="31">
        <f t="shared" si="6"/>
        <v>574</v>
      </c>
      <c r="AF14" s="31">
        <f t="shared" si="6"/>
        <v>1034</v>
      </c>
    </row>
    <row r="15" spans="2:32" ht="23.1" customHeight="1" x14ac:dyDescent="0.25">
      <c r="B15" s="23" t="s">
        <v>42</v>
      </c>
      <c r="C15" s="50">
        <v>55</v>
      </c>
      <c r="D15" s="50">
        <v>9</v>
      </c>
      <c r="E15" s="50">
        <v>10</v>
      </c>
      <c r="F15" s="50">
        <v>53</v>
      </c>
      <c r="G15" s="50">
        <v>0</v>
      </c>
      <c r="H15" s="50">
        <v>1</v>
      </c>
      <c r="I15" s="50">
        <v>15</v>
      </c>
      <c r="J15" s="50">
        <v>6</v>
      </c>
      <c r="K15" s="50">
        <v>2</v>
      </c>
      <c r="L15" s="50">
        <v>4</v>
      </c>
      <c r="M15" s="50">
        <v>100</v>
      </c>
      <c r="N15" s="50">
        <v>0</v>
      </c>
      <c r="O15" s="15">
        <f t="shared" si="0"/>
        <v>155</v>
      </c>
      <c r="P15" s="15">
        <f t="shared" si="1"/>
        <v>255</v>
      </c>
      <c r="R15" s="1" t="s">
        <v>11</v>
      </c>
      <c r="S15" s="17">
        <f t="shared" ref="S15:AF15" si="7">SUM(C30:C33)</f>
        <v>202</v>
      </c>
      <c r="T15" s="17">
        <f t="shared" si="7"/>
        <v>22</v>
      </c>
      <c r="U15" s="17">
        <f t="shared" si="7"/>
        <v>36</v>
      </c>
      <c r="V15" s="17">
        <f t="shared" si="7"/>
        <v>181</v>
      </c>
      <c r="W15" s="17">
        <f t="shared" si="7"/>
        <v>10</v>
      </c>
      <c r="X15" s="17">
        <f t="shared" si="7"/>
        <v>1</v>
      </c>
      <c r="Y15" s="17">
        <f t="shared" si="7"/>
        <v>72</v>
      </c>
      <c r="Z15" s="17">
        <f t="shared" si="7"/>
        <v>27</v>
      </c>
      <c r="AA15" s="17">
        <f t="shared" si="7"/>
        <v>12</v>
      </c>
      <c r="AB15" s="17">
        <f t="shared" si="7"/>
        <v>44</v>
      </c>
      <c r="AC15" s="17">
        <f t="shared" si="7"/>
        <v>486</v>
      </c>
      <c r="AD15" s="17">
        <f t="shared" si="7"/>
        <v>1</v>
      </c>
      <c r="AE15" s="31">
        <f t="shared" si="7"/>
        <v>608</v>
      </c>
      <c r="AF15" s="31">
        <f t="shared" si="7"/>
        <v>1094</v>
      </c>
    </row>
    <row r="16" spans="2:32" ht="23.1" customHeight="1" x14ac:dyDescent="0.25">
      <c r="B16" s="23" t="s">
        <v>43</v>
      </c>
      <c r="C16" s="50">
        <v>79</v>
      </c>
      <c r="D16" s="50">
        <v>12</v>
      </c>
      <c r="E16" s="50">
        <v>11</v>
      </c>
      <c r="F16" s="50">
        <v>48</v>
      </c>
      <c r="G16" s="50">
        <v>2</v>
      </c>
      <c r="H16" s="50">
        <v>0</v>
      </c>
      <c r="I16" s="50">
        <v>17</v>
      </c>
      <c r="J16" s="50">
        <v>7</v>
      </c>
      <c r="K16" s="50">
        <v>1</v>
      </c>
      <c r="L16" s="50">
        <v>2</v>
      </c>
      <c r="M16" s="50">
        <v>100</v>
      </c>
      <c r="N16" s="50">
        <v>0</v>
      </c>
      <c r="O16" s="15">
        <f t="shared" si="0"/>
        <v>179</v>
      </c>
      <c r="P16" s="15">
        <f t="shared" si="1"/>
        <v>279</v>
      </c>
      <c r="R16" s="1" t="s">
        <v>12</v>
      </c>
      <c r="S16" s="17">
        <f t="shared" ref="S16:AF16" si="8">SUM(C34:C37)</f>
        <v>210</v>
      </c>
      <c r="T16" s="17">
        <f t="shared" si="8"/>
        <v>28</v>
      </c>
      <c r="U16" s="17">
        <f t="shared" si="8"/>
        <v>29</v>
      </c>
      <c r="V16" s="17">
        <f t="shared" si="8"/>
        <v>235</v>
      </c>
      <c r="W16" s="17">
        <f t="shared" si="8"/>
        <v>14</v>
      </c>
      <c r="X16" s="17">
        <f t="shared" si="8"/>
        <v>2</v>
      </c>
      <c r="Y16" s="17">
        <f t="shared" si="8"/>
        <v>73</v>
      </c>
      <c r="Z16" s="17">
        <f t="shared" si="8"/>
        <v>42</v>
      </c>
      <c r="AA16" s="17">
        <f t="shared" si="8"/>
        <v>31</v>
      </c>
      <c r="AB16" s="17">
        <f t="shared" si="8"/>
        <v>102</v>
      </c>
      <c r="AC16" s="17">
        <f t="shared" si="8"/>
        <v>514</v>
      </c>
      <c r="AD16" s="17">
        <f t="shared" si="8"/>
        <v>0</v>
      </c>
      <c r="AE16" s="31">
        <f t="shared" si="8"/>
        <v>766</v>
      </c>
      <c r="AF16" s="31">
        <f t="shared" si="8"/>
        <v>1280</v>
      </c>
    </row>
    <row r="17" spans="2:32" ht="23.1" customHeight="1" x14ac:dyDescent="0.25">
      <c r="B17" s="23" t="s">
        <v>44</v>
      </c>
      <c r="C17" s="50">
        <v>66</v>
      </c>
      <c r="D17" s="50">
        <v>14</v>
      </c>
      <c r="E17" s="50">
        <v>13</v>
      </c>
      <c r="F17" s="50">
        <v>30</v>
      </c>
      <c r="G17" s="50">
        <v>0</v>
      </c>
      <c r="H17" s="50">
        <v>0</v>
      </c>
      <c r="I17" s="50">
        <v>11</v>
      </c>
      <c r="J17" s="50">
        <v>3</v>
      </c>
      <c r="K17" s="50">
        <v>5</v>
      </c>
      <c r="L17" s="50">
        <v>4</v>
      </c>
      <c r="M17" s="50">
        <v>119</v>
      </c>
      <c r="N17" s="50">
        <v>0</v>
      </c>
      <c r="O17" s="15">
        <f t="shared" si="0"/>
        <v>146</v>
      </c>
      <c r="P17" s="15">
        <f t="shared" si="1"/>
        <v>265</v>
      </c>
      <c r="R17" s="1" t="s">
        <v>13</v>
      </c>
      <c r="S17" s="17">
        <f t="shared" ref="S17:AF17" si="9">SUM(C38:C41)</f>
        <v>184</v>
      </c>
      <c r="T17" s="17">
        <f t="shared" si="9"/>
        <v>25</v>
      </c>
      <c r="U17" s="17">
        <f t="shared" si="9"/>
        <v>28</v>
      </c>
      <c r="V17" s="17">
        <f t="shared" si="9"/>
        <v>180</v>
      </c>
      <c r="W17" s="17">
        <f t="shared" si="9"/>
        <v>9</v>
      </c>
      <c r="X17" s="17">
        <f t="shared" si="9"/>
        <v>0</v>
      </c>
      <c r="Y17" s="17">
        <f t="shared" si="9"/>
        <v>71</v>
      </c>
      <c r="Z17" s="17">
        <f t="shared" si="9"/>
        <v>32</v>
      </c>
      <c r="AA17" s="17">
        <f t="shared" si="9"/>
        <v>15</v>
      </c>
      <c r="AB17" s="17">
        <f t="shared" si="9"/>
        <v>50</v>
      </c>
      <c r="AC17" s="17">
        <f t="shared" si="9"/>
        <v>441</v>
      </c>
      <c r="AD17" s="17">
        <f t="shared" si="9"/>
        <v>0</v>
      </c>
      <c r="AE17" s="31">
        <f t="shared" si="9"/>
        <v>594</v>
      </c>
      <c r="AF17" s="31">
        <f t="shared" si="9"/>
        <v>1035</v>
      </c>
    </row>
    <row r="18" spans="2:32" ht="23.1" customHeight="1" x14ac:dyDescent="0.25">
      <c r="B18" s="23" t="s">
        <v>45</v>
      </c>
      <c r="C18" s="50">
        <v>63</v>
      </c>
      <c r="D18" s="50">
        <v>8</v>
      </c>
      <c r="E18" s="50">
        <v>16</v>
      </c>
      <c r="F18" s="50">
        <v>55</v>
      </c>
      <c r="G18" s="50">
        <v>1</v>
      </c>
      <c r="H18" s="50">
        <v>0</v>
      </c>
      <c r="I18" s="50">
        <v>14</v>
      </c>
      <c r="J18" s="50">
        <v>6</v>
      </c>
      <c r="K18" s="50">
        <v>4</v>
      </c>
      <c r="L18" s="50">
        <v>8</v>
      </c>
      <c r="M18" s="50">
        <v>128</v>
      </c>
      <c r="N18" s="50">
        <v>0</v>
      </c>
      <c r="O18" s="15">
        <f t="shared" si="0"/>
        <v>175</v>
      </c>
      <c r="P18" s="15">
        <f t="shared" si="1"/>
        <v>303</v>
      </c>
      <c r="R18" s="1" t="s">
        <v>14</v>
      </c>
      <c r="S18" s="17">
        <f t="shared" ref="S18:AF18" si="10">SUM(C42:C45)</f>
        <v>129</v>
      </c>
      <c r="T18" s="17">
        <f t="shared" si="10"/>
        <v>19</v>
      </c>
      <c r="U18" s="17">
        <f t="shared" si="10"/>
        <v>38</v>
      </c>
      <c r="V18" s="17">
        <f t="shared" si="10"/>
        <v>168</v>
      </c>
      <c r="W18" s="17">
        <f t="shared" si="10"/>
        <v>9</v>
      </c>
      <c r="X18" s="17">
        <f t="shared" si="10"/>
        <v>2</v>
      </c>
      <c r="Y18" s="17">
        <f t="shared" si="10"/>
        <v>66</v>
      </c>
      <c r="Z18" s="17">
        <f t="shared" si="10"/>
        <v>17</v>
      </c>
      <c r="AA18" s="17">
        <f t="shared" si="10"/>
        <v>25</v>
      </c>
      <c r="AB18" s="17">
        <f t="shared" si="10"/>
        <v>59</v>
      </c>
      <c r="AC18" s="17">
        <f t="shared" si="10"/>
        <v>450</v>
      </c>
      <c r="AD18" s="17">
        <f t="shared" si="10"/>
        <v>0</v>
      </c>
      <c r="AE18" s="31">
        <f t="shared" si="10"/>
        <v>532</v>
      </c>
      <c r="AF18" s="31">
        <f t="shared" si="10"/>
        <v>982</v>
      </c>
    </row>
    <row r="19" spans="2:32" ht="23.1" customHeight="1" x14ac:dyDescent="0.25">
      <c r="B19" s="23" t="s">
        <v>46</v>
      </c>
      <c r="C19" s="50">
        <v>69</v>
      </c>
      <c r="D19" s="50">
        <v>7</v>
      </c>
      <c r="E19" s="50">
        <v>11</v>
      </c>
      <c r="F19" s="50">
        <v>61</v>
      </c>
      <c r="G19" s="50">
        <v>2</v>
      </c>
      <c r="H19" s="50">
        <v>0</v>
      </c>
      <c r="I19" s="50">
        <v>11</v>
      </c>
      <c r="J19" s="50">
        <v>5</v>
      </c>
      <c r="K19" s="50">
        <v>1</v>
      </c>
      <c r="L19" s="50">
        <v>9</v>
      </c>
      <c r="M19" s="50">
        <v>113</v>
      </c>
      <c r="N19" s="50">
        <v>0</v>
      </c>
      <c r="O19" s="15">
        <f t="shared" si="0"/>
        <v>176</v>
      </c>
      <c r="P19" s="15">
        <f t="shared" si="1"/>
        <v>289</v>
      </c>
      <c r="R19" s="1" t="s">
        <v>15</v>
      </c>
      <c r="S19" s="17">
        <f t="shared" ref="S19:AF19" si="11">SUM(C46:C49)</f>
        <v>152</v>
      </c>
      <c r="T19" s="17">
        <f t="shared" si="11"/>
        <v>16</v>
      </c>
      <c r="U19" s="17">
        <f t="shared" si="11"/>
        <v>26</v>
      </c>
      <c r="V19" s="17">
        <f t="shared" si="11"/>
        <v>159</v>
      </c>
      <c r="W19" s="17">
        <f t="shared" si="11"/>
        <v>12</v>
      </c>
      <c r="X19" s="17">
        <f t="shared" si="11"/>
        <v>3</v>
      </c>
      <c r="Y19" s="17">
        <f t="shared" si="11"/>
        <v>52</v>
      </c>
      <c r="Z19" s="17">
        <f t="shared" si="11"/>
        <v>30</v>
      </c>
      <c r="AA19" s="17">
        <f t="shared" si="11"/>
        <v>18</v>
      </c>
      <c r="AB19" s="17">
        <f t="shared" si="11"/>
        <v>134</v>
      </c>
      <c r="AC19" s="17">
        <f t="shared" si="11"/>
        <v>395</v>
      </c>
      <c r="AD19" s="17">
        <f t="shared" si="11"/>
        <v>0</v>
      </c>
      <c r="AE19" s="31">
        <f t="shared" si="11"/>
        <v>602</v>
      </c>
      <c r="AF19" s="31">
        <f t="shared" si="11"/>
        <v>997</v>
      </c>
    </row>
    <row r="20" spans="2:32" ht="23.1" customHeight="1" x14ac:dyDescent="0.25">
      <c r="B20" s="23" t="s">
        <v>47</v>
      </c>
      <c r="C20" s="50">
        <v>54</v>
      </c>
      <c r="D20" s="50">
        <v>10</v>
      </c>
      <c r="E20" s="50">
        <v>7</v>
      </c>
      <c r="F20" s="50">
        <v>33</v>
      </c>
      <c r="G20" s="50">
        <v>3</v>
      </c>
      <c r="H20" s="50">
        <v>0</v>
      </c>
      <c r="I20" s="50">
        <v>14</v>
      </c>
      <c r="J20" s="50">
        <v>4</v>
      </c>
      <c r="K20" s="50">
        <v>6</v>
      </c>
      <c r="L20" s="50">
        <v>5</v>
      </c>
      <c r="M20" s="50">
        <v>128</v>
      </c>
      <c r="N20" s="50">
        <v>0</v>
      </c>
      <c r="O20" s="15">
        <f t="shared" si="0"/>
        <v>136</v>
      </c>
      <c r="P20" s="15">
        <f t="shared" si="1"/>
        <v>264</v>
      </c>
      <c r="R20" s="1" t="s">
        <v>16</v>
      </c>
      <c r="S20" s="17">
        <f t="shared" ref="S20:AF20" si="12">SUM(C50:C53)</f>
        <v>220</v>
      </c>
      <c r="T20" s="17">
        <f t="shared" si="12"/>
        <v>26</v>
      </c>
      <c r="U20" s="17">
        <f t="shared" si="12"/>
        <v>29</v>
      </c>
      <c r="V20" s="17">
        <f t="shared" si="12"/>
        <v>148</v>
      </c>
      <c r="W20" s="17">
        <f t="shared" si="12"/>
        <v>8</v>
      </c>
      <c r="X20" s="17">
        <f t="shared" si="12"/>
        <v>0</v>
      </c>
      <c r="Y20" s="17">
        <f t="shared" si="12"/>
        <v>55</v>
      </c>
      <c r="Z20" s="17">
        <f t="shared" si="12"/>
        <v>19</v>
      </c>
      <c r="AA20" s="17">
        <f t="shared" si="12"/>
        <v>7</v>
      </c>
      <c r="AB20" s="17">
        <f t="shared" si="12"/>
        <v>73</v>
      </c>
      <c r="AC20" s="17">
        <f t="shared" si="12"/>
        <v>405</v>
      </c>
      <c r="AD20" s="17">
        <f t="shared" si="12"/>
        <v>0</v>
      </c>
      <c r="AE20" s="31">
        <f t="shared" si="12"/>
        <v>585</v>
      </c>
      <c r="AF20" s="31">
        <f t="shared" si="12"/>
        <v>990</v>
      </c>
    </row>
    <row r="21" spans="2:32" ht="23.1" customHeight="1" x14ac:dyDescent="0.25">
      <c r="B21" s="23" t="s">
        <v>48</v>
      </c>
      <c r="C21" s="50">
        <v>58</v>
      </c>
      <c r="D21" s="50">
        <v>10</v>
      </c>
      <c r="E21" s="50">
        <v>8</v>
      </c>
      <c r="F21" s="50">
        <v>55</v>
      </c>
      <c r="G21" s="50">
        <v>5</v>
      </c>
      <c r="H21" s="50">
        <v>0</v>
      </c>
      <c r="I21" s="50">
        <v>17</v>
      </c>
      <c r="J21" s="50">
        <v>6</v>
      </c>
      <c r="K21" s="50">
        <v>1</v>
      </c>
      <c r="L21" s="50">
        <v>8</v>
      </c>
      <c r="M21" s="50">
        <v>121</v>
      </c>
      <c r="N21" s="50">
        <v>0</v>
      </c>
      <c r="O21" s="15">
        <f t="shared" si="0"/>
        <v>168</v>
      </c>
      <c r="P21" s="15">
        <f t="shared" si="1"/>
        <v>289</v>
      </c>
      <c r="R21" s="36" t="s">
        <v>20</v>
      </c>
      <c r="S21" s="34">
        <f t="shared" ref="S21:AF21" si="13">SUM(C54:C57)</f>
        <v>192</v>
      </c>
      <c r="T21" s="17">
        <f t="shared" si="13"/>
        <v>33</v>
      </c>
      <c r="U21" s="17">
        <f t="shared" si="13"/>
        <v>28</v>
      </c>
      <c r="V21" s="17">
        <f t="shared" si="13"/>
        <v>138</v>
      </c>
      <c r="W21" s="17">
        <f t="shared" si="13"/>
        <v>21</v>
      </c>
      <c r="X21" s="17">
        <f t="shared" si="13"/>
        <v>3</v>
      </c>
      <c r="Y21" s="17">
        <f t="shared" si="13"/>
        <v>42</v>
      </c>
      <c r="Z21" s="17">
        <f t="shared" si="13"/>
        <v>18</v>
      </c>
      <c r="AA21" s="17">
        <f t="shared" si="13"/>
        <v>5</v>
      </c>
      <c r="AB21" s="17">
        <f t="shared" si="13"/>
        <v>81</v>
      </c>
      <c r="AC21" s="17">
        <f t="shared" si="13"/>
        <v>616</v>
      </c>
      <c r="AD21" s="17">
        <f t="shared" si="13"/>
        <v>0</v>
      </c>
      <c r="AE21" s="31">
        <f t="shared" si="13"/>
        <v>561</v>
      </c>
      <c r="AF21" s="31">
        <f t="shared" si="13"/>
        <v>1177</v>
      </c>
    </row>
    <row r="22" spans="2:32" ht="23.1" customHeight="1" x14ac:dyDescent="0.25">
      <c r="B22" s="23" t="s">
        <v>49</v>
      </c>
      <c r="C22" s="50">
        <v>77</v>
      </c>
      <c r="D22" s="50">
        <v>9</v>
      </c>
      <c r="E22" s="50">
        <v>9</v>
      </c>
      <c r="F22" s="50">
        <v>36</v>
      </c>
      <c r="G22" s="50">
        <v>2</v>
      </c>
      <c r="H22" s="50">
        <v>2</v>
      </c>
      <c r="I22" s="50">
        <v>17</v>
      </c>
      <c r="J22" s="50">
        <v>8</v>
      </c>
      <c r="K22" s="50">
        <v>3</v>
      </c>
      <c r="L22" s="50">
        <v>1</v>
      </c>
      <c r="M22" s="50">
        <v>109</v>
      </c>
      <c r="N22" s="50">
        <v>0</v>
      </c>
      <c r="O22" s="15">
        <f t="shared" si="0"/>
        <v>164</v>
      </c>
      <c r="P22" s="15">
        <f t="shared" si="1"/>
        <v>273</v>
      </c>
      <c r="R22" s="38" t="s">
        <v>90</v>
      </c>
      <c r="S22" s="39">
        <f>MAX(S10:S12)</f>
        <v>260</v>
      </c>
      <c r="T22" s="39">
        <f t="shared" ref="T22:AF22" si="14">MAX(T10:T12)</f>
        <v>51</v>
      </c>
      <c r="U22" s="39">
        <f t="shared" si="14"/>
        <v>50</v>
      </c>
      <c r="V22" s="39">
        <f t="shared" si="14"/>
        <v>204</v>
      </c>
      <c r="W22" s="39">
        <f t="shared" si="14"/>
        <v>11</v>
      </c>
      <c r="X22" s="39">
        <f t="shared" si="14"/>
        <v>2</v>
      </c>
      <c r="Y22" s="39">
        <f t="shared" si="14"/>
        <v>56</v>
      </c>
      <c r="Z22" s="39">
        <f t="shared" si="14"/>
        <v>21</v>
      </c>
      <c r="AA22" s="39">
        <f t="shared" si="14"/>
        <v>13</v>
      </c>
      <c r="AB22" s="39">
        <f t="shared" si="14"/>
        <v>30</v>
      </c>
      <c r="AC22" s="39">
        <f t="shared" si="14"/>
        <v>490</v>
      </c>
      <c r="AD22" s="39">
        <f t="shared" si="14"/>
        <v>1</v>
      </c>
      <c r="AE22" s="40">
        <f t="shared" si="14"/>
        <v>655</v>
      </c>
      <c r="AF22" s="40">
        <f t="shared" si="14"/>
        <v>1145</v>
      </c>
    </row>
    <row r="23" spans="2:32" ht="23.1" customHeight="1" x14ac:dyDescent="0.25">
      <c r="B23" s="23" t="s">
        <v>50</v>
      </c>
      <c r="C23" s="50">
        <v>51</v>
      </c>
      <c r="D23" s="50">
        <v>7</v>
      </c>
      <c r="E23" s="50">
        <v>9</v>
      </c>
      <c r="F23" s="50">
        <v>53</v>
      </c>
      <c r="G23" s="50">
        <v>3</v>
      </c>
      <c r="H23" s="50">
        <v>0</v>
      </c>
      <c r="I23" s="50">
        <v>18</v>
      </c>
      <c r="J23" s="50">
        <v>4</v>
      </c>
      <c r="K23" s="50">
        <v>4</v>
      </c>
      <c r="L23" s="50">
        <v>5</v>
      </c>
      <c r="M23" s="50">
        <v>134</v>
      </c>
      <c r="N23" s="50">
        <v>0</v>
      </c>
      <c r="O23" s="15">
        <f t="shared" si="0"/>
        <v>154</v>
      </c>
      <c r="P23" s="15">
        <f t="shared" si="1"/>
        <v>288</v>
      </c>
      <c r="R23" s="38" t="s">
        <v>91</v>
      </c>
      <c r="S23" s="39">
        <f>MAX(S13:S18)</f>
        <v>211</v>
      </c>
      <c r="T23" s="39">
        <f t="shared" ref="T23:AF23" si="15">MAX(T13:T18)</f>
        <v>30</v>
      </c>
      <c r="U23" s="39">
        <f t="shared" si="15"/>
        <v>38</v>
      </c>
      <c r="V23" s="39">
        <f t="shared" si="15"/>
        <v>235</v>
      </c>
      <c r="W23" s="39">
        <f t="shared" si="15"/>
        <v>14</v>
      </c>
      <c r="X23" s="39">
        <f t="shared" si="15"/>
        <v>2</v>
      </c>
      <c r="Y23" s="39">
        <f t="shared" si="15"/>
        <v>73</v>
      </c>
      <c r="Z23" s="39">
        <f t="shared" si="15"/>
        <v>42</v>
      </c>
      <c r="AA23" s="39">
        <f t="shared" si="15"/>
        <v>31</v>
      </c>
      <c r="AB23" s="39">
        <f t="shared" si="15"/>
        <v>102</v>
      </c>
      <c r="AC23" s="39">
        <f t="shared" si="15"/>
        <v>514</v>
      </c>
      <c r="AD23" s="39">
        <f t="shared" si="15"/>
        <v>1</v>
      </c>
      <c r="AE23" s="40">
        <f t="shared" si="15"/>
        <v>766</v>
      </c>
      <c r="AF23" s="40">
        <f t="shared" si="15"/>
        <v>1280</v>
      </c>
    </row>
    <row r="24" spans="2:32" ht="23.1" customHeight="1" x14ac:dyDescent="0.25">
      <c r="B24" s="23" t="s">
        <v>51</v>
      </c>
      <c r="C24" s="50">
        <v>48</v>
      </c>
      <c r="D24" s="50">
        <v>5</v>
      </c>
      <c r="E24" s="50">
        <v>6</v>
      </c>
      <c r="F24" s="50">
        <v>52</v>
      </c>
      <c r="G24" s="50">
        <v>0</v>
      </c>
      <c r="H24" s="50">
        <v>0</v>
      </c>
      <c r="I24" s="50">
        <v>0</v>
      </c>
      <c r="J24" s="50">
        <v>0</v>
      </c>
      <c r="K24" s="50">
        <v>0</v>
      </c>
      <c r="L24" s="50">
        <v>6</v>
      </c>
      <c r="M24" s="50">
        <v>0</v>
      </c>
      <c r="N24" s="50">
        <v>0</v>
      </c>
      <c r="O24" s="15">
        <f t="shared" si="0"/>
        <v>117</v>
      </c>
      <c r="P24" s="15">
        <f t="shared" si="1"/>
        <v>117</v>
      </c>
      <c r="R24" s="38" t="s">
        <v>92</v>
      </c>
      <c r="S24" s="39">
        <f>MAX(S19:S21)</f>
        <v>220</v>
      </c>
      <c r="T24" s="39">
        <f t="shared" ref="T24:AF24" si="16">MAX(T19:T21)</f>
        <v>33</v>
      </c>
      <c r="U24" s="39">
        <f t="shared" si="16"/>
        <v>29</v>
      </c>
      <c r="V24" s="39">
        <f t="shared" si="16"/>
        <v>159</v>
      </c>
      <c r="W24" s="39">
        <f t="shared" si="16"/>
        <v>21</v>
      </c>
      <c r="X24" s="39">
        <f t="shared" si="16"/>
        <v>3</v>
      </c>
      <c r="Y24" s="39">
        <f t="shared" si="16"/>
        <v>55</v>
      </c>
      <c r="Z24" s="39">
        <f t="shared" si="16"/>
        <v>30</v>
      </c>
      <c r="AA24" s="39">
        <f t="shared" si="16"/>
        <v>18</v>
      </c>
      <c r="AB24" s="39">
        <f t="shared" si="16"/>
        <v>134</v>
      </c>
      <c r="AC24" s="39">
        <f t="shared" si="16"/>
        <v>616</v>
      </c>
      <c r="AD24" s="39">
        <f t="shared" si="16"/>
        <v>0</v>
      </c>
      <c r="AE24" s="40">
        <f t="shared" si="16"/>
        <v>602</v>
      </c>
      <c r="AF24" s="40">
        <f t="shared" si="16"/>
        <v>1177</v>
      </c>
    </row>
    <row r="25" spans="2:32" ht="23.1" customHeight="1" x14ac:dyDescent="0.25">
      <c r="B25" s="23" t="s">
        <v>52</v>
      </c>
      <c r="C25" s="50">
        <v>35</v>
      </c>
      <c r="D25" s="50">
        <v>3</v>
      </c>
      <c r="E25" s="50">
        <v>10</v>
      </c>
      <c r="F25" s="50">
        <v>70</v>
      </c>
      <c r="G25" s="50">
        <v>3</v>
      </c>
      <c r="H25" s="50">
        <v>0</v>
      </c>
      <c r="I25" s="50">
        <v>14</v>
      </c>
      <c r="J25" s="50">
        <v>8</v>
      </c>
      <c r="K25" s="50">
        <v>3</v>
      </c>
      <c r="L25" s="50">
        <v>7</v>
      </c>
      <c r="M25" s="50">
        <v>113</v>
      </c>
      <c r="N25" s="50">
        <v>0</v>
      </c>
      <c r="O25" s="15">
        <f t="shared" si="0"/>
        <v>153</v>
      </c>
      <c r="P25" s="15">
        <f t="shared" si="1"/>
        <v>266</v>
      </c>
      <c r="R25" s="37" t="s">
        <v>85</v>
      </c>
      <c r="S25" s="35">
        <f t="shared" ref="S25:AF25" si="17">SUM(S10:S12)</f>
        <v>740</v>
      </c>
      <c r="T25" s="16">
        <f t="shared" si="17"/>
        <v>110</v>
      </c>
      <c r="U25" s="16">
        <f t="shared" si="17"/>
        <v>141</v>
      </c>
      <c r="V25" s="16">
        <f t="shared" si="17"/>
        <v>559</v>
      </c>
      <c r="W25" s="16">
        <f t="shared" si="17"/>
        <v>18</v>
      </c>
      <c r="X25" s="16">
        <f t="shared" si="17"/>
        <v>4</v>
      </c>
      <c r="Y25" s="16">
        <f t="shared" si="17"/>
        <v>141</v>
      </c>
      <c r="Z25" s="16">
        <f t="shared" si="17"/>
        <v>54</v>
      </c>
      <c r="AA25" s="16">
        <f t="shared" si="17"/>
        <v>33</v>
      </c>
      <c r="AB25" s="16">
        <f t="shared" si="17"/>
        <v>60</v>
      </c>
      <c r="AC25" s="16">
        <f t="shared" si="17"/>
        <v>1249</v>
      </c>
      <c r="AD25" s="16">
        <f t="shared" si="17"/>
        <v>1</v>
      </c>
      <c r="AE25" s="32">
        <f t="shared" si="17"/>
        <v>1861</v>
      </c>
      <c r="AF25" s="32">
        <f t="shared" si="17"/>
        <v>3110</v>
      </c>
    </row>
    <row r="26" spans="2:32" ht="23.1" customHeight="1" x14ac:dyDescent="0.25">
      <c r="B26" s="23" t="s">
        <v>53</v>
      </c>
      <c r="C26" s="50">
        <v>47</v>
      </c>
      <c r="D26" s="50">
        <v>10</v>
      </c>
      <c r="E26" s="50">
        <v>7</v>
      </c>
      <c r="F26" s="50">
        <v>41</v>
      </c>
      <c r="G26" s="50">
        <v>0</v>
      </c>
      <c r="H26" s="50">
        <v>0</v>
      </c>
      <c r="I26" s="50">
        <v>20</v>
      </c>
      <c r="J26" s="50">
        <v>6</v>
      </c>
      <c r="K26" s="50">
        <v>5</v>
      </c>
      <c r="L26" s="50">
        <v>17</v>
      </c>
      <c r="M26" s="50">
        <v>140</v>
      </c>
      <c r="N26" s="50">
        <v>0</v>
      </c>
      <c r="O26" s="15">
        <f t="shared" si="0"/>
        <v>153</v>
      </c>
      <c r="P26" s="15">
        <f t="shared" si="1"/>
        <v>293</v>
      </c>
      <c r="R26" s="28" t="s">
        <v>86</v>
      </c>
      <c r="S26" s="16">
        <f t="shared" ref="S26:AF26" si="18">SUM(S13:S18)</f>
        <v>1115</v>
      </c>
      <c r="T26" s="16">
        <f t="shared" si="18"/>
        <v>148</v>
      </c>
      <c r="U26" s="16">
        <f t="shared" si="18"/>
        <v>193</v>
      </c>
      <c r="V26" s="16">
        <f t="shared" si="18"/>
        <v>1128</v>
      </c>
      <c r="W26" s="16">
        <f t="shared" si="18"/>
        <v>57</v>
      </c>
      <c r="X26" s="16">
        <f t="shared" si="18"/>
        <v>9</v>
      </c>
      <c r="Y26" s="16">
        <f t="shared" si="18"/>
        <v>393</v>
      </c>
      <c r="Z26" s="16">
        <f t="shared" si="18"/>
        <v>167</v>
      </c>
      <c r="AA26" s="16">
        <f t="shared" si="18"/>
        <v>114</v>
      </c>
      <c r="AB26" s="16">
        <f t="shared" si="18"/>
        <v>337</v>
      </c>
      <c r="AC26" s="16">
        <f t="shared" si="18"/>
        <v>2707</v>
      </c>
      <c r="AD26" s="16">
        <f t="shared" si="18"/>
        <v>1</v>
      </c>
      <c r="AE26" s="32">
        <f t="shared" si="18"/>
        <v>3662</v>
      </c>
      <c r="AF26" s="32">
        <f t="shared" si="18"/>
        <v>6369</v>
      </c>
    </row>
    <row r="27" spans="2:32" ht="23.1" customHeight="1" x14ac:dyDescent="0.25">
      <c r="B27" s="23" t="s">
        <v>54</v>
      </c>
      <c r="C27" s="50">
        <v>51</v>
      </c>
      <c r="D27" s="50">
        <v>5</v>
      </c>
      <c r="E27" s="50">
        <v>4</v>
      </c>
      <c r="F27" s="50">
        <v>41</v>
      </c>
      <c r="G27" s="50">
        <v>2</v>
      </c>
      <c r="H27" s="50">
        <v>0</v>
      </c>
      <c r="I27" s="50">
        <v>12</v>
      </c>
      <c r="J27" s="50">
        <v>11</v>
      </c>
      <c r="K27" s="50">
        <v>2</v>
      </c>
      <c r="L27" s="50">
        <v>24</v>
      </c>
      <c r="M27" s="50">
        <v>127</v>
      </c>
      <c r="N27" s="50">
        <v>0</v>
      </c>
      <c r="O27" s="15">
        <f t="shared" si="0"/>
        <v>152</v>
      </c>
      <c r="P27" s="15">
        <f t="shared" si="1"/>
        <v>279</v>
      </c>
      <c r="R27" s="29" t="s">
        <v>87</v>
      </c>
      <c r="S27" s="16">
        <f t="shared" ref="S27:AF27" si="19">SUM(S19:S21)</f>
        <v>564</v>
      </c>
      <c r="T27" s="16">
        <f t="shared" si="19"/>
        <v>75</v>
      </c>
      <c r="U27" s="16">
        <f t="shared" si="19"/>
        <v>83</v>
      </c>
      <c r="V27" s="16">
        <f t="shared" si="19"/>
        <v>445</v>
      </c>
      <c r="W27" s="16">
        <f t="shared" si="19"/>
        <v>41</v>
      </c>
      <c r="X27" s="16">
        <f t="shared" si="19"/>
        <v>6</v>
      </c>
      <c r="Y27" s="16">
        <f t="shared" si="19"/>
        <v>149</v>
      </c>
      <c r="Z27" s="16">
        <f t="shared" si="19"/>
        <v>67</v>
      </c>
      <c r="AA27" s="16">
        <f t="shared" si="19"/>
        <v>30</v>
      </c>
      <c r="AB27" s="16">
        <f t="shared" si="19"/>
        <v>288</v>
      </c>
      <c r="AC27" s="16">
        <f t="shared" si="19"/>
        <v>1416</v>
      </c>
      <c r="AD27" s="16">
        <f t="shared" si="19"/>
        <v>0</v>
      </c>
      <c r="AE27" s="32">
        <f t="shared" si="19"/>
        <v>1748</v>
      </c>
      <c r="AF27" s="32">
        <f t="shared" si="19"/>
        <v>3164</v>
      </c>
    </row>
    <row r="28" spans="2:32" ht="23.1" customHeight="1" x14ac:dyDescent="0.25">
      <c r="B28" s="23" t="s">
        <v>55</v>
      </c>
      <c r="C28" s="50">
        <v>39</v>
      </c>
      <c r="D28" s="50">
        <v>9</v>
      </c>
      <c r="E28" s="50">
        <v>10</v>
      </c>
      <c r="F28" s="50">
        <v>32</v>
      </c>
      <c r="G28" s="50">
        <v>4</v>
      </c>
      <c r="H28" s="50">
        <v>1</v>
      </c>
      <c r="I28" s="50">
        <v>18</v>
      </c>
      <c r="J28" s="50">
        <v>8</v>
      </c>
      <c r="K28" s="50">
        <v>10</v>
      </c>
      <c r="L28" s="50">
        <v>14</v>
      </c>
      <c r="M28" s="50">
        <v>110</v>
      </c>
      <c r="N28" s="50">
        <v>0</v>
      </c>
      <c r="O28" s="15">
        <f t="shared" si="0"/>
        <v>145</v>
      </c>
      <c r="P28" s="15">
        <f t="shared" si="1"/>
        <v>255</v>
      </c>
      <c r="R28" s="5" t="s">
        <v>17</v>
      </c>
      <c r="S28" s="16">
        <f t="shared" ref="S28:AF28" si="20">SUM(S10:S21)</f>
        <v>2419</v>
      </c>
      <c r="T28" s="16">
        <f t="shared" si="20"/>
        <v>333</v>
      </c>
      <c r="U28" s="16">
        <f t="shared" si="20"/>
        <v>417</v>
      </c>
      <c r="V28" s="16">
        <f t="shared" si="20"/>
        <v>2132</v>
      </c>
      <c r="W28" s="16">
        <f t="shared" si="20"/>
        <v>116</v>
      </c>
      <c r="X28" s="16">
        <f t="shared" si="20"/>
        <v>19</v>
      </c>
      <c r="Y28" s="16">
        <f t="shared" si="20"/>
        <v>683</v>
      </c>
      <c r="Z28" s="16">
        <f t="shared" si="20"/>
        <v>288</v>
      </c>
      <c r="AA28" s="16">
        <f t="shared" si="20"/>
        <v>177</v>
      </c>
      <c r="AB28" s="16">
        <f t="shared" si="20"/>
        <v>685</v>
      </c>
      <c r="AC28" s="16">
        <f t="shared" si="20"/>
        <v>5372</v>
      </c>
      <c r="AD28" s="16">
        <f t="shared" si="20"/>
        <v>2</v>
      </c>
      <c r="AE28" s="32">
        <f t="shared" si="20"/>
        <v>7271</v>
      </c>
      <c r="AF28" s="32">
        <f t="shared" si="20"/>
        <v>12643</v>
      </c>
    </row>
    <row r="29" spans="2:32" ht="23.1" customHeight="1" x14ac:dyDescent="0.25">
      <c r="B29" s="23" t="s">
        <v>56</v>
      </c>
      <c r="C29" s="50">
        <v>42</v>
      </c>
      <c r="D29" s="50">
        <v>6</v>
      </c>
      <c r="E29" s="50">
        <v>7</v>
      </c>
      <c r="F29" s="50">
        <v>39</v>
      </c>
      <c r="G29" s="50">
        <v>1</v>
      </c>
      <c r="H29" s="50">
        <v>1</v>
      </c>
      <c r="I29" s="50">
        <v>12</v>
      </c>
      <c r="J29" s="50">
        <v>4</v>
      </c>
      <c r="K29" s="50">
        <v>4</v>
      </c>
      <c r="L29" s="50">
        <v>8</v>
      </c>
      <c r="M29" s="50">
        <v>83</v>
      </c>
      <c r="N29" s="50">
        <v>0</v>
      </c>
      <c r="O29" s="15">
        <f t="shared" si="0"/>
        <v>124</v>
      </c>
      <c r="P29" s="15">
        <f t="shared" si="1"/>
        <v>207</v>
      </c>
      <c r="R29"/>
      <c r="S29" s="20"/>
      <c r="T29" s="19"/>
    </row>
    <row r="30" spans="2:32" ht="23.1" customHeight="1" x14ac:dyDescent="0.25">
      <c r="B30" s="23" t="s">
        <v>57</v>
      </c>
      <c r="C30" s="50">
        <v>61</v>
      </c>
      <c r="D30" s="50">
        <v>8</v>
      </c>
      <c r="E30" s="50">
        <v>10</v>
      </c>
      <c r="F30" s="50">
        <v>56</v>
      </c>
      <c r="G30" s="50">
        <v>4</v>
      </c>
      <c r="H30" s="50">
        <v>0</v>
      </c>
      <c r="I30" s="50">
        <v>23</v>
      </c>
      <c r="J30" s="50">
        <v>6</v>
      </c>
      <c r="K30" s="50">
        <v>6</v>
      </c>
      <c r="L30" s="50">
        <v>11</v>
      </c>
      <c r="M30" s="50">
        <v>123</v>
      </c>
      <c r="N30" s="50">
        <v>1</v>
      </c>
      <c r="O30" s="15">
        <f t="shared" si="0"/>
        <v>186</v>
      </c>
      <c r="P30" s="15">
        <f t="shared" si="1"/>
        <v>309</v>
      </c>
    </row>
    <row r="31" spans="2:32" ht="23.1" customHeight="1" x14ac:dyDescent="0.25">
      <c r="B31" s="24" t="s">
        <v>58</v>
      </c>
      <c r="C31" s="50">
        <v>50</v>
      </c>
      <c r="D31" s="50">
        <v>1</v>
      </c>
      <c r="E31" s="50">
        <v>10</v>
      </c>
      <c r="F31" s="50">
        <v>38</v>
      </c>
      <c r="G31" s="50">
        <v>2</v>
      </c>
      <c r="H31" s="50">
        <v>0</v>
      </c>
      <c r="I31" s="50">
        <v>17</v>
      </c>
      <c r="J31" s="50">
        <v>9</v>
      </c>
      <c r="K31" s="50">
        <v>3</v>
      </c>
      <c r="L31" s="50">
        <v>13</v>
      </c>
      <c r="M31" s="50">
        <v>130</v>
      </c>
      <c r="N31" s="50">
        <v>0</v>
      </c>
      <c r="O31" s="15">
        <f t="shared" si="0"/>
        <v>143</v>
      </c>
      <c r="P31" s="15">
        <f t="shared" si="1"/>
        <v>273</v>
      </c>
    </row>
    <row r="32" spans="2:32" ht="23.1" customHeight="1" x14ac:dyDescent="0.25">
      <c r="B32" s="24" t="s">
        <v>59</v>
      </c>
      <c r="C32" s="50">
        <v>47</v>
      </c>
      <c r="D32" s="50">
        <v>4</v>
      </c>
      <c r="E32" s="50">
        <v>8</v>
      </c>
      <c r="F32" s="50">
        <v>34</v>
      </c>
      <c r="G32" s="50">
        <v>1</v>
      </c>
      <c r="H32" s="50">
        <v>1</v>
      </c>
      <c r="I32" s="50">
        <v>12</v>
      </c>
      <c r="J32" s="50">
        <v>7</v>
      </c>
      <c r="K32" s="50">
        <v>3</v>
      </c>
      <c r="L32" s="50">
        <v>7</v>
      </c>
      <c r="M32" s="50">
        <v>123</v>
      </c>
      <c r="N32" s="50">
        <v>0</v>
      </c>
      <c r="O32" s="15">
        <f t="shared" si="0"/>
        <v>124</v>
      </c>
      <c r="P32" s="15">
        <f t="shared" si="1"/>
        <v>247</v>
      </c>
    </row>
    <row r="33" spans="2:20" ht="23.1" customHeight="1" x14ac:dyDescent="0.25">
      <c r="B33" s="23" t="s">
        <v>60</v>
      </c>
      <c r="C33" s="50">
        <v>44</v>
      </c>
      <c r="D33" s="50">
        <v>9</v>
      </c>
      <c r="E33" s="50">
        <v>8</v>
      </c>
      <c r="F33" s="50">
        <v>53</v>
      </c>
      <c r="G33" s="50">
        <v>3</v>
      </c>
      <c r="H33" s="50">
        <v>0</v>
      </c>
      <c r="I33" s="50">
        <v>20</v>
      </c>
      <c r="J33" s="50">
        <v>5</v>
      </c>
      <c r="K33" s="50">
        <v>0</v>
      </c>
      <c r="L33" s="50">
        <v>13</v>
      </c>
      <c r="M33" s="50">
        <v>110</v>
      </c>
      <c r="N33" s="50">
        <v>0</v>
      </c>
      <c r="O33" s="15">
        <f t="shared" si="0"/>
        <v>155</v>
      </c>
      <c r="P33" s="15">
        <f t="shared" si="1"/>
        <v>265</v>
      </c>
    </row>
    <row r="34" spans="2:20" ht="23.1" customHeight="1" x14ac:dyDescent="0.25">
      <c r="B34" s="24" t="s">
        <v>61</v>
      </c>
      <c r="C34" s="50">
        <v>60</v>
      </c>
      <c r="D34" s="50">
        <v>8</v>
      </c>
      <c r="E34" s="50">
        <v>6</v>
      </c>
      <c r="F34" s="50">
        <v>75</v>
      </c>
      <c r="G34" s="50">
        <v>5</v>
      </c>
      <c r="H34" s="50">
        <v>0</v>
      </c>
      <c r="I34" s="50">
        <v>22</v>
      </c>
      <c r="J34" s="50">
        <v>11</v>
      </c>
      <c r="K34" s="50">
        <v>4</v>
      </c>
      <c r="L34" s="50">
        <v>23</v>
      </c>
      <c r="M34" s="50">
        <v>95</v>
      </c>
      <c r="N34" s="50">
        <v>0</v>
      </c>
      <c r="O34" s="15">
        <f t="shared" si="0"/>
        <v>214</v>
      </c>
      <c r="P34" s="15">
        <f t="shared" si="1"/>
        <v>309</v>
      </c>
    </row>
    <row r="35" spans="2:20" ht="23.1" customHeight="1" x14ac:dyDescent="0.25">
      <c r="B35" s="24" t="s">
        <v>62</v>
      </c>
      <c r="C35" s="50">
        <v>50</v>
      </c>
      <c r="D35" s="50">
        <v>2</v>
      </c>
      <c r="E35" s="50">
        <v>5</v>
      </c>
      <c r="F35" s="50">
        <v>42</v>
      </c>
      <c r="G35" s="50">
        <v>2</v>
      </c>
      <c r="H35" s="50">
        <v>0</v>
      </c>
      <c r="I35" s="50">
        <v>12</v>
      </c>
      <c r="J35" s="50">
        <v>12</v>
      </c>
      <c r="K35" s="50">
        <v>7</v>
      </c>
      <c r="L35" s="50">
        <v>30</v>
      </c>
      <c r="M35" s="50">
        <v>119</v>
      </c>
      <c r="N35" s="50">
        <v>0</v>
      </c>
      <c r="O35" s="15">
        <f t="shared" si="0"/>
        <v>162</v>
      </c>
      <c r="P35" s="15">
        <f t="shared" si="1"/>
        <v>281</v>
      </c>
    </row>
    <row r="36" spans="2:20" ht="23.1" customHeight="1" x14ac:dyDescent="0.25">
      <c r="B36" s="24" t="s">
        <v>63</v>
      </c>
      <c r="C36" s="50">
        <v>45</v>
      </c>
      <c r="D36" s="50">
        <v>10</v>
      </c>
      <c r="E36" s="50">
        <v>10</v>
      </c>
      <c r="F36" s="50">
        <v>46</v>
      </c>
      <c r="G36" s="50">
        <v>3</v>
      </c>
      <c r="H36" s="50">
        <v>2</v>
      </c>
      <c r="I36" s="50">
        <v>18</v>
      </c>
      <c r="J36" s="50">
        <v>8</v>
      </c>
      <c r="K36" s="50">
        <v>6</v>
      </c>
      <c r="L36" s="50">
        <v>26</v>
      </c>
      <c r="M36" s="50">
        <v>206</v>
      </c>
      <c r="N36" s="50">
        <v>0</v>
      </c>
      <c r="O36" s="15">
        <f t="shared" si="0"/>
        <v>174</v>
      </c>
      <c r="P36" s="15">
        <f t="shared" si="1"/>
        <v>380</v>
      </c>
    </row>
    <row r="37" spans="2:20" ht="23.1" customHeight="1" x14ac:dyDescent="0.25">
      <c r="B37" s="23" t="s">
        <v>64</v>
      </c>
      <c r="C37" s="50">
        <v>55</v>
      </c>
      <c r="D37" s="50">
        <v>8</v>
      </c>
      <c r="E37" s="50">
        <v>8</v>
      </c>
      <c r="F37" s="50">
        <v>72</v>
      </c>
      <c r="G37" s="50">
        <v>4</v>
      </c>
      <c r="H37" s="50">
        <v>0</v>
      </c>
      <c r="I37" s="50">
        <v>21</v>
      </c>
      <c r="J37" s="50">
        <v>11</v>
      </c>
      <c r="K37" s="50">
        <v>14</v>
      </c>
      <c r="L37" s="50">
        <v>23</v>
      </c>
      <c r="M37" s="50">
        <v>94</v>
      </c>
      <c r="N37" s="50">
        <v>0</v>
      </c>
      <c r="O37" s="15">
        <f t="shared" si="0"/>
        <v>216</v>
      </c>
      <c r="P37" s="15">
        <f t="shared" si="1"/>
        <v>310</v>
      </c>
    </row>
    <row r="38" spans="2:20" ht="23.1" customHeight="1" x14ac:dyDescent="0.25">
      <c r="B38" s="24" t="s">
        <v>65</v>
      </c>
      <c r="C38" s="50">
        <v>61</v>
      </c>
      <c r="D38" s="50">
        <v>9</v>
      </c>
      <c r="E38" s="50">
        <v>12</v>
      </c>
      <c r="F38" s="50">
        <v>47</v>
      </c>
      <c r="G38" s="50">
        <v>2</v>
      </c>
      <c r="H38" s="50">
        <v>0</v>
      </c>
      <c r="I38" s="50">
        <v>12</v>
      </c>
      <c r="J38" s="50">
        <v>9</v>
      </c>
      <c r="K38" s="50">
        <v>11</v>
      </c>
      <c r="L38" s="50">
        <v>18</v>
      </c>
      <c r="M38" s="50">
        <v>98</v>
      </c>
      <c r="N38" s="50">
        <v>0</v>
      </c>
      <c r="O38" s="15">
        <f t="shared" si="0"/>
        <v>181</v>
      </c>
      <c r="P38" s="15">
        <f t="shared" si="1"/>
        <v>279</v>
      </c>
    </row>
    <row r="39" spans="2:20" ht="23.1" customHeight="1" x14ac:dyDescent="0.25">
      <c r="B39" s="24" t="s">
        <v>66</v>
      </c>
      <c r="C39" s="50">
        <v>32</v>
      </c>
      <c r="D39" s="50">
        <v>9</v>
      </c>
      <c r="E39" s="50">
        <v>6</v>
      </c>
      <c r="F39" s="50">
        <v>45</v>
      </c>
      <c r="G39" s="50">
        <v>3</v>
      </c>
      <c r="H39" s="50">
        <v>0</v>
      </c>
      <c r="I39" s="50">
        <v>23</v>
      </c>
      <c r="J39" s="50">
        <v>7</v>
      </c>
      <c r="K39" s="50">
        <v>4</v>
      </c>
      <c r="L39" s="50">
        <v>10</v>
      </c>
      <c r="M39" s="50">
        <v>131</v>
      </c>
      <c r="N39" s="50">
        <v>0</v>
      </c>
      <c r="O39" s="15">
        <f t="shared" si="0"/>
        <v>139</v>
      </c>
      <c r="P39" s="15">
        <f t="shared" si="1"/>
        <v>270</v>
      </c>
    </row>
    <row r="40" spans="2:20" ht="23.1" customHeight="1" x14ac:dyDescent="0.25">
      <c r="B40" s="24" t="s">
        <v>67</v>
      </c>
      <c r="C40" s="50">
        <v>46</v>
      </c>
      <c r="D40" s="50">
        <v>2</v>
      </c>
      <c r="E40" s="50">
        <v>4</v>
      </c>
      <c r="F40" s="50">
        <v>49</v>
      </c>
      <c r="G40" s="50">
        <v>4</v>
      </c>
      <c r="H40" s="50">
        <v>0</v>
      </c>
      <c r="I40" s="50">
        <v>20</v>
      </c>
      <c r="J40" s="50">
        <v>10</v>
      </c>
      <c r="K40" s="50">
        <v>0</v>
      </c>
      <c r="L40" s="50">
        <v>10</v>
      </c>
      <c r="M40" s="50">
        <v>114</v>
      </c>
      <c r="N40" s="50">
        <v>0</v>
      </c>
      <c r="O40" s="15">
        <f t="shared" si="0"/>
        <v>145</v>
      </c>
      <c r="P40" s="15">
        <f t="shared" si="1"/>
        <v>259</v>
      </c>
    </row>
    <row r="41" spans="2:20" ht="23.1" customHeight="1" x14ac:dyDescent="0.25">
      <c r="B41" s="23" t="s">
        <v>68</v>
      </c>
      <c r="C41" s="50">
        <v>45</v>
      </c>
      <c r="D41" s="50">
        <v>5</v>
      </c>
      <c r="E41" s="50">
        <v>6</v>
      </c>
      <c r="F41" s="50">
        <v>39</v>
      </c>
      <c r="G41" s="50">
        <v>0</v>
      </c>
      <c r="H41" s="50">
        <v>0</v>
      </c>
      <c r="I41" s="50">
        <v>16</v>
      </c>
      <c r="J41" s="50">
        <v>6</v>
      </c>
      <c r="K41" s="50">
        <v>0</v>
      </c>
      <c r="L41" s="50">
        <v>12</v>
      </c>
      <c r="M41" s="50">
        <v>98</v>
      </c>
      <c r="N41" s="50">
        <v>0</v>
      </c>
      <c r="O41" s="15">
        <f t="shared" si="0"/>
        <v>129</v>
      </c>
      <c r="P41" s="15">
        <f t="shared" si="1"/>
        <v>227</v>
      </c>
    </row>
    <row r="42" spans="2:20" ht="23.1" customHeight="1" x14ac:dyDescent="0.25">
      <c r="B42" s="24" t="s">
        <v>69</v>
      </c>
      <c r="C42" s="50">
        <v>37</v>
      </c>
      <c r="D42" s="50">
        <v>4</v>
      </c>
      <c r="E42" s="50">
        <v>14</v>
      </c>
      <c r="F42" s="50">
        <v>50</v>
      </c>
      <c r="G42" s="50">
        <v>1</v>
      </c>
      <c r="H42" s="50">
        <v>1</v>
      </c>
      <c r="I42" s="50">
        <v>21</v>
      </c>
      <c r="J42" s="50">
        <v>4</v>
      </c>
      <c r="K42" s="50">
        <v>4</v>
      </c>
      <c r="L42" s="50">
        <v>14</v>
      </c>
      <c r="M42" s="50">
        <v>98</v>
      </c>
      <c r="N42" s="50">
        <v>0</v>
      </c>
      <c r="O42" s="15">
        <f t="shared" si="0"/>
        <v>150</v>
      </c>
      <c r="P42" s="15">
        <f t="shared" si="1"/>
        <v>248</v>
      </c>
    </row>
    <row r="43" spans="2:20" ht="23.1" customHeight="1" x14ac:dyDescent="0.25">
      <c r="B43" s="23" t="s">
        <v>70</v>
      </c>
      <c r="C43" s="50">
        <v>41</v>
      </c>
      <c r="D43" s="50">
        <v>9</v>
      </c>
      <c r="E43" s="50">
        <v>4</v>
      </c>
      <c r="F43" s="50">
        <v>73</v>
      </c>
      <c r="G43" s="50">
        <v>5</v>
      </c>
      <c r="H43" s="50">
        <v>0</v>
      </c>
      <c r="I43" s="50">
        <v>18</v>
      </c>
      <c r="J43" s="50">
        <v>4</v>
      </c>
      <c r="K43" s="50">
        <v>6</v>
      </c>
      <c r="L43" s="50">
        <v>12</v>
      </c>
      <c r="M43" s="50">
        <v>111</v>
      </c>
      <c r="N43" s="50">
        <v>0</v>
      </c>
      <c r="O43" s="15">
        <f t="shared" si="0"/>
        <v>172</v>
      </c>
      <c r="P43" s="15">
        <f t="shared" si="1"/>
        <v>283</v>
      </c>
    </row>
    <row r="44" spans="2:20" ht="23.1" customHeight="1" x14ac:dyDescent="0.25">
      <c r="B44" s="25" t="s">
        <v>71</v>
      </c>
      <c r="C44" s="50">
        <v>37</v>
      </c>
      <c r="D44" s="50">
        <v>5</v>
      </c>
      <c r="E44" s="50">
        <v>11</v>
      </c>
      <c r="F44" s="50">
        <v>13</v>
      </c>
      <c r="G44" s="50">
        <v>1</v>
      </c>
      <c r="H44" s="50">
        <v>1</v>
      </c>
      <c r="I44" s="50">
        <v>19</v>
      </c>
      <c r="J44" s="50">
        <v>5</v>
      </c>
      <c r="K44" s="50">
        <v>11</v>
      </c>
      <c r="L44" s="50">
        <v>19</v>
      </c>
      <c r="M44" s="50">
        <v>141</v>
      </c>
      <c r="N44" s="50">
        <v>0</v>
      </c>
      <c r="O44" s="15">
        <f t="shared" si="0"/>
        <v>122</v>
      </c>
      <c r="P44" s="15">
        <f t="shared" si="1"/>
        <v>263</v>
      </c>
    </row>
    <row r="45" spans="2:20" ht="23.1" customHeight="1" x14ac:dyDescent="0.25">
      <c r="B45" s="23" t="s">
        <v>72</v>
      </c>
      <c r="C45" s="50">
        <v>14</v>
      </c>
      <c r="D45" s="50">
        <v>1</v>
      </c>
      <c r="E45" s="50">
        <v>9</v>
      </c>
      <c r="F45" s="50">
        <v>32</v>
      </c>
      <c r="G45" s="50">
        <v>2</v>
      </c>
      <c r="H45" s="50">
        <v>0</v>
      </c>
      <c r="I45" s="50">
        <v>8</v>
      </c>
      <c r="J45" s="50">
        <v>4</v>
      </c>
      <c r="K45" s="50">
        <v>4</v>
      </c>
      <c r="L45" s="50">
        <v>14</v>
      </c>
      <c r="M45" s="50">
        <v>100</v>
      </c>
      <c r="N45" s="50">
        <v>0</v>
      </c>
      <c r="O45" s="15">
        <f t="shared" si="0"/>
        <v>88</v>
      </c>
      <c r="P45" s="15">
        <f t="shared" si="1"/>
        <v>188</v>
      </c>
    </row>
    <row r="46" spans="2:20" ht="23.1" customHeight="1" x14ac:dyDescent="0.25">
      <c r="B46" s="24" t="s">
        <v>73</v>
      </c>
      <c r="C46" s="50">
        <v>45</v>
      </c>
      <c r="D46" s="50">
        <v>5</v>
      </c>
      <c r="E46" s="50">
        <v>7</v>
      </c>
      <c r="F46" s="50">
        <v>46</v>
      </c>
      <c r="G46" s="50">
        <v>1</v>
      </c>
      <c r="H46" s="50">
        <v>0</v>
      </c>
      <c r="I46" s="50">
        <v>17</v>
      </c>
      <c r="J46" s="50">
        <v>8</v>
      </c>
      <c r="K46" s="50">
        <v>9</v>
      </c>
      <c r="L46" s="50">
        <v>39</v>
      </c>
      <c r="M46" s="50">
        <v>109</v>
      </c>
      <c r="N46" s="50">
        <v>0</v>
      </c>
      <c r="O46" s="15">
        <f t="shared" si="0"/>
        <v>177</v>
      </c>
      <c r="P46" s="15">
        <f t="shared" si="1"/>
        <v>286</v>
      </c>
      <c r="R46" s="8"/>
      <c r="T46"/>
    </row>
    <row r="47" spans="2:20" ht="23.1" customHeight="1" x14ac:dyDescent="0.25">
      <c r="B47" s="24" t="s">
        <v>74</v>
      </c>
      <c r="C47" s="50">
        <v>35</v>
      </c>
      <c r="D47" s="50">
        <v>3</v>
      </c>
      <c r="E47" s="50">
        <v>7</v>
      </c>
      <c r="F47" s="50">
        <v>45</v>
      </c>
      <c r="G47" s="50">
        <v>6</v>
      </c>
      <c r="H47" s="50">
        <v>2</v>
      </c>
      <c r="I47" s="50">
        <v>7</v>
      </c>
      <c r="J47" s="50">
        <v>6</v>
      </c>
      <c r="K47" s="50">
        <v>4</v>
      </c>
      <c r="L47" s="50">
        <v>30</v>
      </c>
      <c r="M47" s="50">
        <v>93</v>
      </c>
      <c r="N47" s="50">
        <v>0</v>
      </c>
      <c r="O47" s="15">
        <f t="shared" si="0"/>
        <v>145</v>
      </c>
      <c r="P47" s="15">
        <f t="shared" si="1"/>
        <v>238</v>
      </c>
      <c r="R47" s="8"/>
      <c r="T47"/>
    </row>
    <row r="48" spans="2:20" ht="23.1" customHeight="1" x14ac:dyDescent="0.25">
      <c r="B48" s="24" t="s">
        <v>75</v>
      </c>
      <c r="C48" s="50">
        <v>29</v>
      </c>
      <c r="D48" s="50">
        <v>2</v>
      </c>
      <c r="E48" s="50">
        <v>6</v>
      </c>
      <c r="F48" s="50">
        <v>31</v>
      </c>
      <c r="G48" s="50">
        <v>1</v>
      </c>
      <c r="H48" s="50">
        <v>1</v>
      </c>
      <c r="I48" s="50">
        <v>10</v>
      </c>
      <c r="J48" s="50">
        <v>11</v>
      </c>
      <c r="K48" s="50">
        <v>3</v>
      </c>
      <c r="L48" s="50">
        <v>23</v>
      </c>
      <c r="M48" s="50">
        <v>93</v>
      </c>
      <c r="N48" s="50">
        <v>0</v>
      </c>
      <c r="O48" s="15">
        <f t="shared" si="0"/>
        <v>117</v>
      </c>
      <c r="P48" s="15">
        <f t="shared" si="1"/>
        <v>210</v>
      </c>
      <c r="R48" s="8"/>
      <c r="T48"/>
    </row>
    <row r="49" spans="2:20" ht="23.1" customHeight="1" x14ac:dyDescent="0.25">
      <c r="B49" s="23" t="s">
        <v>76</v>
      </c>
      <c r="C49" s="50">
        <v>43</v>
      </c>
      <c r="D49" s="50">
        <v>6</v>
      </c>
      <c r="E49" s="50">
        <v>6</v>
      </c>
      <c r="F49" s="50">
        <v>37</v>
      </c>
      <c r="G49" s="50">
        <v>4</v>
      </c>
      <c r="H49" s="50">
        <v>0</v>
      </c>
      <c r="I49" s="50">
        <v>18</v>
      </c>
      <c r="J49" s="50">
        <v>5</v>
      </c>
      <c r="K49" s="50">
        <v>2</v>
      </c>
      <c r="L49" s="50">
        <v>42</v>
      </c>
      <c r="M49" s="50">
        <v>100</v>
      </c>
      <c r="N49" s="50">
        <v>0</v>
      </c>
      <c r="O49" s="15">
        <f t="shared" si="0"/>
        <v>163</v>
      </c>
      <c r="P49" s="15">
        <f t="shared" si="1"/>
        <v>263</v>
      </c>
      <c r="R49" s="8"/>
      <c r="T49"/>
    </row>
    <row r="50" spans="2:20" ht="23.1" customHeight="1" x14ac:dyDescent="0.25">
      <c r="B50" s="24" t="s">
        <v>77</v>
      </c>
      <c r="C50" s="50">
        <v>53</v>
      </c>
      <c r="D50" s="50">
        <v>6</v>
      </c>
      <c r="E50" s="50">
        <v>10</v>
      </c>
      <c r="F50" s="50">
        <v>0</v>
      </c>
      <c r="G50" s="50">
        <v>0</v>
      </c>
      <c r="H50" s="50">
        <v>0</v>
      </c>
      <c r="I50" s="50">
        <v>0</v>
      </c>
      <c r="J50" s="50">
        <v>0</v>
      </c>
      <c r="K50" s="50">
        <v>0</v>
      </c>
      <c r="L50" s="50">
        <v>0</v>
      </c>
      <c r="M50" s="50">
        <v>0</v>
      </c>
      <c r="N50" s="50">
        <v>0</v>
      </c>
      <c r="O50" s="15">
        <f t="shared" si="0"/>
        <v>69</v>
      </c>
      <c r="P50" s="15">
        <f t="shared" si="1"/>
        <v>69</v>
      </c>
      <c r="R50" s="8"/>
      <c r="T50"/>
    </row>
    <row r="51" spans="2:20" ht="23.1" customHeight="1" x14ac:dyDescent="0.25">
      <c r="B51" s="24" t="s">
        <v>78</v>
      </c>
      <c r="C51" s="50">
        <v>53</v>
      </c>
      <c r="D51" s="50">
        <v>6</v>
      </c>
      <c r="E51" s="50">
        <v>6</v>
      </c>
      <c r="F51" s="50">
        <v>45</v>
      </c>
      <c r="G51" s="50">
        <v>5</v>
      </c>
      <c r="H51" s="50">
        <v>0</v>
      </c>
      <c r="I51" s="50">
        <v>15</v>
      </c>
      <c r="J51" s="50">
        <v>5</v>
      </c>
      <c r="K51" s="50">
        <v>2</v>
      </c>
      <c r="L51" s="50">
        <v>25</v>
      </c>
      <c r="M51" s="50">
        <v>125</v>
      </c>
      <c r="N51" s="50">
        <v>0</v>
      </c>
      <c r="O51" s="15">
        <f t="shared" si="0"/>
        <v>162</v>
      </c>
      <c r="P51" s="15">
        <f t="shared" si="1"/>
        <v>287</v>
      </c>
      <c r="R51" s="8"/>
      <c r="T51"/>
    </row>
    <row r="52" spans="2:20" ht="23.1" customHeight="1" x14ac:dyDescent="0.25">
      <c r="B52" s="24" t="s">
        <v>79</v>
      </c>
      <c r="C52" s="50">
        <v>59</v>
      </c>
      <c r="D52" s="50">
        <v>6</v>
      </c>
      <c r="E52" s="50">
        <v>7</v>
      </c>
      <c r="F52" s="50">
        <v>45</v>
      </c>
      <c r="G52" s="50">
        <v>1</v>
      </c>
      <c r="H52" s="50">
        <v>0</v>
      </c>
      <c r="I52" s="50">
        <v>22</v>
      </c>
      <c r="J52" s="50">
        <v>5</v>
      </c>
      <c r="K52" s="50">
        <v>4</v>
      </c>
      <c r="L52" s="50">
        <v>20</v>
      </c>
      <c r="M52" s="50">
        <v>151</v>
      </c>
      <c r="N52" s="50">
        <v>0</v>
      </c>
      <c r="O52" s="15">
        <f t="shared" si="0"/>
        <v>169</v>
      </c>
      <c r="P52" s="15">
        <f t="shared" si="1"/>
        <v>320</v>
      </c>
      <c r="R52" s="8"/>
      <c r="T52"/>
    </row>
    <row r="53" spans="2:20" ht="23.1" customHeight="1" x14ac:dyDescent="0.25">
      <c r="B53" s="23" t="s">
        <v>80</v>
      </c>
      <c r="C53" s="50">
        <v>55</v>
      </c>
      <c r="D53" s="50">
        <v>8</v>
      </c>
      <c r="E53" s="50">
        <v>6</v>
      </c>
      <c r="F53" s="50">
        <v>58</v>
      </c>
      <c r="G53" s="50">
        <v>2</v>
      </c>
      <c r="H53" s="50">
        <v>0</v>
      </c>
      <c r="I53" s="50">
        <v>18</v>
      </c>
      <c r="J53" s="50">
        <v>9</v>
      </c>
      <c r="K53" s="50">
        <v>1</v>
      </c>
      <c r="L53" s="50">
        <v>28</v>
      </c>
      <c r="M53" s="50">
        <v>129</v>
      </c>
      <c r="N53" s="50">
        <v>0</v>
      </c>
      <c r="O53" s="15">
        <f t="shared" si="0"/>
        <v>185</v>
      </c>
      <c r="P53" s="15">
        <f t="shared" si="1"/>
        <v>314</v>
      </c>
      <c r="R53" s="8"/>
      <c r="T53"/>
    </row>
    <row r="54" spans="2:20" ht="23.1" customHeight="1" x14ac:dyDescent="0.25">
      <c r="B54" s="23" t="s">
        <v>81</v>
      </c>
      <c r="C54" s="50">
        <v>46</v>
      </c>
      <c r="D54" s="50">
        <v>7</v>
      </c>
      <c r="E54" s="50">
        <v>5</v>
      </c>
      <c r="F54" s="50">
        <v>32</v>
      </c>
      <c r="G54" s="50">
        <v>6</v>
      </c>
      <c r="H54" s="50">
        <v>0</v>
      </c>
      <c r="I54" s="50">
        <v>11</v>
      </c>
      <c r="J54" s="50">
        <v>2</v>
      </c>
      <c r="K54" s="50">
        <v>0</v>
      </c>
      <c r="L54" s="50">
        <v>19</v>
      </c>
      <c r="M54" s="50">
        <v>141</v>
      </c>
      <c r="N54" s="50">
        <v>0</v>
      </c>
      <c r="O54" s="15">
        <f t="shared" si="0"/>
        <v>128</v>
      </c>
      <c r="P54" s="15">
        <f t="shared" si="1"/>
        <v>269</v>
      </c>
      <c r="R54" s="8"/>
      <c r="T54"/>
    </row>
    <row r="55" spans="2:20" ht="23.1" customHeight="1" x14ac:dyDescent="0.25">
      <c r="B55" s="23" t="s">
        <v>82</v>
      </c>
      <c r="C55" s="50">
        <v>51</v>
      </c>
      <c r="D55" s="50">
        <v>8</v>
      </c>
      <c r="E55" s="50">
        <v>9</v>
      </c>
      <c r="F55" s="50">
        <v>29</v>
      </c>
      <c r="G55" s="50">
        <v>3</v>
      </c>
      <c r="H55" s="50">
        <v>0</v>
      </c>
      <c r="I55" s="50">
        <v>6</v>
      </c>
      <c r="J55" s="50">
        <v>7</v>
      </c>
      <c r="K55" s="50">
        <v>2</v>
      </c>
      <c r="L55" s="50">
        <v>23</v>
      </c>
      <c r="M55" s="50">
        <v>171</v>
      </c>
      <c r="N55" s="50">
        <v>0</v>
      </c>
      <c r="O55" s="15">
        <f t="shared" si="0"/>
        <v>138</v>
      </c>
      <c r="P55" s="15">
        <f t="shared" si="1"/>
        <v>309</v>
      </c>
      <c r="R55" s="8"/>
      <c r="T55"/>
    </row>
    <row r="56" spans="2:20" ht="23.1" customHeight="1" x14ac:dyDescent="0.25">
      <c r="B56" s="23" t="s">
        <v>83</v>
      </c>
      <c r="C56" s="50">
        <v>62</v>
      </c>
      <c r="D56" s="50">
        <v>12</v>
      </c>
      <c r="E56" s="50">
        <v>11</v>
      </c>
      <c r="F56" s="50">
        <v>32</v>
      </c>
      <c r="G56" s="50">
        <v>5</v>
      </c>
      <c r="H56" s="50">
        <v>2</v>
      </c>
      <c r="I56" s="50">
        <v>15</v>
      </c>
      <c r="J56" s="50">
        <v>4</v>
      </c>
      <c r="K56" s="50">
        <v>2</v>
      </c>
      <c r="L56" s="50">
        <v>23</v>
      </c>
      <c r="M56" s="50">
        <v>124</v>
      </c>
      <c r="N56" s="50">
        <v>0</v>
      </c>
      <c r="O56" s="15">
        <f t="shared" si="0"/>
        <v>168</v>
      </c>
      <c r="P56" s="15">
        <f t="shared" si="1"/>
        <v>292</v>
      </c>
      <c r="R56" s="8"/>
      <c r="T56"/>
    </row>
    <row r="57" spans="2:20" ht="23.1" customHeight="1" x14ac:dyDescent="0.25">
      <c r="B57" s="23" t="s">
        <v>84</v>
      </c>
      <c r="C57" s="50">
        <v>33</v>
      </c>
      <c r="D57" s="50">
        <v>6</v>
      </c>
      <c r="E57" s="50">
        <v>3</v>
      </c>
      <c r="F57" s="50">
        <v>45</v>
      </c>
      <c r="G57" s="50">
        <v>7</v>
      </c>
      <c r="H57" s="50">
        <v>1</v>
      </c>
      <c r="I57" s="50">
        <v>10</v>
      </c>
      <c r="J57" s="50">
        <v>5</v>
      </c>
      <c r="K57" s="50">
        <v>1</v>
      </c>
      <c r="L57" s="50">
        <v>16</v>
      </c>
      <c r="M57" s="50">
        <v>180</v>
      </c>
      <c r="N57" s="50">
        <v>0</v>
      </c>
      <c r="O57" s="15">
        <f t="shared" si="0"/>
        <v>127</v>
      </c>
      <c r="P57" s="15">
        <f t="shared" si="1"/>
        <v>307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2419</v>
      </c>
      <c r="D58" s="16">
        <f t="shared" si="21"/>
        <v>333</v>
      </c>
      <c r="E58" s="16">
        <f t="shared" si="21"/>
        <v>417</v>
      </c>
      <c r="F58" s="16">
        <f t="shared" si="21"/>
        <v>2132</v>
      </c>
      <c r="G58" s="16">
        <f t="shared" si="21"/>
        <v>116</v>
      </c>
      <c r="H58" s="16">
        <f t="shared" si="21"/>
        <v>19</v>
      </c>
      <c r="I58" s="16">
        <f t="shared" si="21"/>
        <v>683</v>
      </c>
      <c r="J58" s="16">
        <f t="shared" si="21"/>
        <v>288</v>
      </c>
      <c r="K58" s="16">
        <f t="shared" si="21"/>
        <v>177</v>
      </c>
      <c r="L58" s="16">
        <f t="shared" si="21"/>
        <v>685</v>
      </c>
      <c r="M58" s="16">
        <f t="shared" si="21"/>
        <v>5372</v>
      </c>
      <c r="N58" s="16">
        <f t="shared" si="21"/>
        <v>2</v>
      </c>
      <c r="O58" s="16">
        <f t="shared" si="21"/>
        <v>7271</v>
      </c>
      <c r="P58" s="16">
        <f t="shared" si="21"/>
        <v>12643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0.19133117139919323</v>
      </c>
      <c r="D59" s="43">
        <f t="shared" si="22"/>
        <v>2.6338685438582615E-2</v>
      </c>
      <c r="E59" s="43">
        <f t="shared" si="22"/>
        <v>3.2982678161828677E-2</v>
      </c>
      <c r="F59" s="43">
        <f t="shared" si="22"/>
        <v>0.1686308629281025</v>
      </c>
      <c r="G59" s="43">
        <f t="shared" si="22"/>
        <v>9.1750375701969474E-3</v>
      </c>
      <c r="H59" s="43">
        <f t="shared" si="22"/>
        <v>1.5028078778770862E-3</v>
      </c>
      <c r="I59" s="43">
        <f t="shared" si="22"/>
        <v>5.4021988452107886E-2</v>
      </c>
      <c r="J59" s="43">
        <f t="shared" si="22"/>
        <v>2.2779403622557936E-2</v>
      </c>
      <c r="K59" s="43">
        <f t="shared" si="22"/>
        <v>1.3999841809697065E-2</v>
      </c>
      <c r="L59" s="43">
        <f t="shared" si="22"/>
        <v>5.4180178755042316E-2</v>
      </c>
      <c r="M59" s="43">
        <f t="shared" si="22"/>
        <v>0.4248991536818793</v>
      </c>
      <c r="N59" s="43">
        <f t="shared" si="22"/>
        <v>1.5819030293443012E-4</v>
      </c>
      <c r="R59" s="8"/>
      <c r="T59"/>
    </row>
    <row r="60" spans="2:20" ht="23.1" customHeight="1" x14ac:dyDescent="0.25">
      <c r="B60" s="42" t="s">
        <v>94</v>
      </c>
      <c r="C60" s="44">
        <f>C58/$O$58</f>
        <v>0.33269151423463073</v>
      </c>
      <c r="D60" s="44">
        <f t="shared" ref="D60:N60" si="23">D58/$O$58</f>
        <v>4.5798377114564706E-2</v>
      </c>
      <c r="E60" s="44">
        <f t="shared" si="23"/>
        <v>5.7351120891211665E-2</v>
      </c>
      <c r="F60" s="44">
        <f t="shared" si="23"/>
        <v>0.29321963966442027</v>
      </c>
      <c r="G60" s="44">
        <f t="shared" si="23"/>
        <v>1.5953789024893413E-2</v>
      </c>
      <c r="H60" s="44">
        <f t="shared" si="23"/>
        <v>2.6131206161463349E-3</v>
      </c>
      <c r="I60" s="44">
        <f t="shared" si="23"/>
        <v>9.3934809517260354E-2</v>
      </c>
      <c r="J60" s="44">
        <f t="shared" si="23"/>
        <v>3.960940723421813E-2</v>
      </c>
      <c r="K60" s="44">
        <f t="shared" si="23"/>
        <v>2.4343281529363225E-2</v>
      </c>
      <c r="L60" s="44">
        <f t="shared" si="23"/>
        <v>9.4209874845275751E-2</v>
      </c>
      <c r="M60" s="44"/>
      <c r="N60" s="44">
        <f t="shared" si="23"/>
        <v>2.7506532801540364E-4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AF126"/>
  <sheetViews>
    <sheetView view="pageBreakPreview" zoomScale="60" workbookViewId="0">
      <selection activeCell="P7" sqref="P7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2" t="s">
        <v>23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  <c r="AE1" s="62"/>
    </row>
    <row r="2" spans="2:32" ht="20.100000000000001" customHeight="1" x14ac:dyDescent="0.25">
      <c r="B2" s="63" t="s">
        <v>95</v>
      </c>
      <c r="C2" s="63"/>
      <c r="D2" s="63"/>
      <c r="E2" s="63"/>
      <c r="F2" s="63"/>
      <c r="G2" s="63"/>
      <c r="H2" s="63"/>
      <c r="I2" s="63"/>
      <c r="J2" s="63"/>
      <c r="K2" s="63"/>
      <c r="L2" s="63"/>
      <c r="M2" s="63"/>
      <c r="N2" s="63"/>
      <c r="O2" s="63"/>
      <c r="P2" s="63"/>
      <c r="Q2" s="63"/>
      <c r="R2" s="63"/>
      <c r="S2" s="63"/>
      <c r="T2" s="63"/>
      <c r="U2" s="63"/>
      <c r="V2" s="63"/>
      <c r="W2" s="63"/>
      <c r="X2" s="63"/>
      <c r="Y2" s="63"/>
      <c r="Z2" s="63"/>
      <c r="AA2" s="63"/>
      <c r="AB2" s="63"/>
      <c r="AC2" s="63"/>
      <c r="AD2" s="63"/>
      <c r="AE2" s="63"/>
    </row>
    <row r="3" spans="2:32" ht="20.100000000000001" customHeight="1" x14ac:dyDescent="0.25">
      <c r="B3" s="22" t="s">
        <v>96</v>
      </c>
      <c r="C3" s="67" t="str">
        <f>'23.09 Mukono-Seeta'!C3:G3</f>
        <v>MCC - C2 - STN074 - SONDE  ROAD</v>
      </c>
      <c r="D3" s="67"/>
      <c r="E3" s="67"/>
      <c r="F3" s="67"/>
      <c r="G3" s="67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'24.09 Seeta-Mukono'!D5</f>
        <v>24.09.19</v>
      </c>
      <c r="E5" s="3"/>
      <c r="F5" s="41" t="s">
        <v>1</v>
      </c>
      <c r="G5" s="68" t="str">
        <f>'23.09 Seeta-Mukono'!G5:H5</f>
        <v>Gasco Petrol Sta'n</v>
      </c>
      <c r="H5" s="69"/>
      <c r="I5" s="14"/>
      <c r="J5" s="2" t="s">
        <v>5</v>
      </c>
      <c r="K5" s="68" t="str">
        <f>'23.09 Seeta-Mukono'!K5:L5</f>
        <v>Namuddu. M</v>
      </c>
      <c r="L5" s="69"/>
      <c r="M5" s="10"/>
      <c r="N5" s="10"/>
      <c r="O5" s="3"/>
      <c r="P5" s="3"/>
    </row>
    <row r="6" spans="2:32" ht="23.25" customHeight="1" x14ac:dyDescent="0.25">
      <c r="C6" s="2" t="s">
        <v>4</v>
      </c>
      <c r="D6" s="68" t="str">
        <f>'23.09 Mukono-Seeta'!D6:E6</f>
        <v>Makindye</v>
      </c>
      <c r="E6" s="69"/>
      <c r="F6" s="2" t="s">
        <v>2</v>
      </c>
      <c r="G6" s="68" t="str">
        <f>'23.09 Mukono-Seeta'!G6:H6</f>
        <v>Kibuye</v>
      </c>
      <c r="H6" s="69"/>
      <c r="J6" s="2" t="s">
        <v>21</v>
      </c>
      <c r="K6" s="68" t="str">
        <f>'23.09 Seeta-Mukono'!K6:L6</f>
        <v>Tracy</v>
      </c>
      <c r="L6" s="69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1" t="s">
        <v>88</v>
      </c>
      <c r="S8" s="61"/>
      <c r="T8" s="61"/>
      <c r="U8" s="61"/>
      <c r="V8" s="61"/>
      <c r="W8" s="61"/>
      <c r="X8" s="61"/>
      <c r="Y8" s="61"/>
      <c r="Z8" s="61"/>
      <c r="AA8" s="61"/>
      <c r="AB8" s="61"/>
      <c r="AC8" s="61"/>
      <c r="AD8" s="61"/>
      <c r="AE8" s="61"/>
      <c r="AF8" s="61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14</v>
      </c>
      <c r="D10" s="50">
        <v>10</v>
      </c>
      <c r="E10" s="50">
        <v>4</v>
      </c>
      <c r="F10" s="50">
        <v>32</v>
      </c>
      <c r="G10" s="50">
        <v>4</v>
      </c>
      <c r="H10" s="50">
        <v>0</v>
      </c>
      <c r="I10" s="50">
        <v>1</v>
      </c>
      <c r="J10" s="50">
        <v>5</v>
      </c>
      <c r="K10" s="50">
        <v>4</v>
      </c>
      <c r="L10" s="50">
        <v>14</v>
      </c>
      <c r="M10" s="50">
        <v>94</v>
      </c>
      <c r="N10" s="50">
        <v>0</v>
      </c>
      <c r="O10" s="15">
        <f t="shared" ref="O10:O57" si="0">SUM(C10:L10,N10)</f>
        <v>88</v>
      </c>
      <c r="P10" s="15">
        <f t="shared" ref="P10:P57" si="1">SUM(C10:N10)</f>
        <v>182</v>
      </c>
      <c r="R10" s="1" t="s">
        <v>6</v>
      </c>
      <c r="S10" s="17">
        <f t="shared" ref="S10:AF10" si="2">SUM(C10:C13)</f>
        <v>105</v>
      </c>
      <c r="T10" s="17">
        <f t="shared" si="2"/>
        <v>38</v>
      </c>
      <c r="U10" s="17">
        <f t="shared" si="2"/>
        <v>25</v>
      </c>
      <c r="V10" s="17">
        <f t="shared" si="2"/>
        <v>184</v>
      </c>
      <c r="W10" s="17">
        <f t="shared" si="2"/>
        <v>12</v>
      </c>
      <c r="X10" s="17">
        <f t="shared" si="2"/>
        <v>0</v>
      </c>
      <c r="Y10" s="17">
        <f t="shared" si="2"/>
        <v>4</v>
      </c>
      <c r="Z10" s="17">
        <f t="shared" si="2"/>
        <v>17</v>
      </c>
      <c r="AA10" s="17">
        <f t="shared" si="2"/>
        <v>11</v>
      </c>
      <c r="AB10" s="17">
        <f t="shared" si="2"/>
        <v>60</v>
      </c>
      <c r="AC10" s="17">
        <f t="shared" si="2"/>
        <v>555</v>
      </c>
      <c r="AD10" s="17">
        <f t="shared" si="2"/>
        <v>0</v>
      </c>
      <c r="AE10" s="31">
        <f t="shared" si="2"/>
        <v>456</v>
      </c>
      <c r="AF10" s="31">
        <f t="shared" si="2"/>
        <v>1011</v>
      </c>
    </row>
    <row r="11" spans="2:32" s="6" customFormat="1" ht="23.1" customHeight="1" x14ac:dyDescent="0.25">
      <c r="B11" s="23" t="s">
        <v>38</v>
      </c>
      <c r="C11" s="50">
        <v>27</v>
      </c>
      <c r="D11" s="50">
        <v>14</v>
      </c>
      <c r="E11" s="50">
        <v>6</v>
      </c>
      <c r="F11" s="50">
        <v>50</v>
      </c>
      <c r="G11" s="50">
        <v>3</v>
      </c>
      <c r="H11" s="50">
        <v>0</v>
      </c>
      <c r="I11" s="50">
        <v>1</v>
      </c>
      <c r="J11" s="50">
        <v>5</v>
      </c>
      <c r="K11" s="50">
        <v>1</v>
      </c>
      <c r="L11" s="50">
        <v>16</v>
      </c>
      <c r="M11" s="50">
        <v>97</v>
      </c>
      <c r="N11" s="50">
        <v>0</v>
      </c>
      <c r="O11" s="15">
        <f t="shared" si="0"/>
        <v>123</v>
      </c>
      <c r="P11" s="15">
        <f t="shared" si="1"/>
        <v>220</v>
      </c>
      <c r="R11" s="1" t="s">
        <v>7</v>
      </c>
      <c r="S11" s="17">
        <f t="shared" ref="S11:AF11" si="3">SUM(C14:C17)</f>
        <v>88</v>
      </c>
      <c r="T11" s="17">
        <f t="shared" si="3"/>
        <v>41</v>
      </c>
      <c r="U11" s="17">
        <f t="shared" si="3"/>
        <v>14</v>
      </c>
      <c r="V11" s="17">
        <f t="shared" si="3"/>
        <v>181</v>
      </c>
      <c r="W11" s="17">
        <f t="shared" si="3"/>
        <v>6</v>
      </c>
      <c r="X11" s="17">
        <f t="shared" si="3"/>
        <v>0</v>
      </c>
      <c r="Y11" s="17">
        <f t="shared" si="3"/>
        <v>9</v>
      </c>
      <c r="Z11" s="17">
        <f t="shared" si="3"/>
        <v>13</v>
      </c>
      <c r="AA11" s="17">
        <f t="shared" si="3"/>
        <v>12</v>
      </c>
      <c r="AB11" s="17">
        <f t="shared" si="3"/>
        <v>76</v>
      </c>
      <c r="AC11" s="17">
        <f t="shared" si="3"/>
        <v>488</v>
      </c>
      <c r="AD11" s="17">
        <f t="shared" si="3"/>
        <v>0</v>
      </c>
      <c r="AE11" s="31">
        <f t="shared" si="3"/>
        <v>440</v>
      </c>
      <c r="AF11" s="31">
        <f t="shared" si="3"/>
        <v>928</v>
      </c>
    </row>
    <row r="12" spans="2:32" ht="23.1" customHeight="1" x14ac:dyDescent="0.25">
      <c r="B12" s="23" t="s">
        <v>39</v>
      </c>
      <c r="C12" s="50">
        <v>30</v>
      </c>
      <c r="D12" s="50">
        <v>11</v>
      </c>
      <c r="E12" s="50">
        <v>8</v>
      </c>
      <c r="F12" s="50">
        <v>49</v>
      </c>
      <c r="G12" s="50">
        <v>2</v>
      </c>
      <c r="H12" s="50">
        <v>0</v>
      </c>
      <c r="I12" s="50">
        <v>0</v>
      </c>
      <c r="J12" s="50">
        <v>5</v>
      </c>
      <c r="K12" s="50">
        <v>2</v>
      </c>
      <c r="L12" s="50">
        <v>12</v>
      </c>
      <c r="M12" s="50">
        <v>148</v>
      </c>
      <c r="N12" s="50">
        <v>0</v>
      </c>
      <c r="O12" s="15">
        <f t="shared" si="0"/>
        <v>119</v>
      </c>
      <c r="P12" s="15">
        <f t="shared" si="1"/>
        <v>267</v>
      </c>
      <c r="R12" s="1" t="s">
        <v>8</v>
      </c>
      <c r="S12" s="17">
        <f t="shared" ref="S12:AF12" si="4">SUM(C18:C21)</f>
        <v>100</v>
      </c>
      <c r="T12" s="17">
        <f t="shared" si="4"/>
        <v>58</v>
      </c>
      <c r="U12" s="17">
        <f t="shared" si="4"/>
        <v>25</v>
      </c>
      <c r="V12" s="17">
        <f t="shared" si="4"/>
        <v>183</v>
      </c>
      <c r="W12" s="17">
        <f t="shared" si="4"/>
        <v>6</v>
      </c>
      <c r="X12" s="17">
        <f t="shared" si="4"/>
        <v>7</v>
      </c>
      <c r="Y12" s="17">
        <f t="shared" si="4"/>
        <v>17</v>
      </c>
      <c r="Z12" s="17">
        <f t="shared" si="4"/>
        <v>31</v>
      </c>
      <c r="AA12" s="17">
        <f t="shared" si="4"/>
        <v>20</v>
      </c>
      <c r="AB12" s="17">
        <f t="shared" si="4"/>
        <v>82</v>
      </c>
      <c r="AC12" s="17">
        <f t="shared" si="4"/>
        <v>590</v>
      </c>
      <c r="AD12" s="17">
        <f t="shared" si="4"/>
        <v>0</v>
      </c>
      <c r="AE12" s="31">
        <f t="shared" si="4"/>
        <v>529</v>
      </c>
      <c r="AF12" s="31">
        <f t="shared" si="4"/>
        <v>1119</v>
      </c>
    </row>
    <row r="13" spans="2:32" ht="23.1" customHeight="1" x14ac:dyDescent="0.25">
      <c r="B13" s="23" t="s">
        <v>40</v>
      </c>
      <c r="C13" s="50">
        <v>34</v>
      </c>
      <c r="D13" s="50">
        <v>3</v>
      </c>
      <c r="E13" s="50">
        <v>7</v>
      </c>
      <c r="F13" s="50">
        <v>53</v>
      </c>
      <c r="G13" s="50">
        <v>3</v>
      </c>
      <c r="H13" s="50">
        <v>0</v>
      </c>
      <c r="I13" s="50">
        <v>2</v>
      </c>
      <c r="J13" s="50">
        <v>2</v>
      </c>
      <c r="K13" s="50">
        <v>4</v>
      </c>
      <c r="L13" s="50">
        <v>18</v>
      </c>
      <c r="M13" s="50">
        <v>216</v>
      </c>
      <c r="N13" s="50">
        <v>0</v>
      </c>
      <c r="O13" s="15">
        <f t="shared" si="0"/>
        <v>126</v>
      </c>
      <c r="P13" s="15">
        <f t="shared" si="1"/>
        <v>342</v>
      </c>
      <c r="R13" s="1" t="s">
        <v>9</v>
      </c>
      <c r="S13" s="17">
        <f t="shared" ref="S13:AF13" si="5">SUM(C22:C25)</f>
        <v>102</v>
      </c>
      <c r="T13" s="17">
        <f t="shared" si="5"/>
        <v>35</v>
      </c>
      <c r="U13" s="17">
        <f t="shared" si="5"/>
        <v>25</v>
      </c>
      <c r="V13" s="17">
        <f t="shared" si="5"/>
        <v>204</v>
      </c>
      <c r="W13" s="17">
        <f t="shared" si="5"/>
        <v>7</v>
      </c>
      <c r="X13" s="17">
        <f t="shared" si="5"/>
        <v>2</v>
      </c>
      <c r="Y13" s="17">
        <f t="shared" si="5"/>
        <v>25</v>
      </c>
      <c r="Z13" s="17">
        <f t="shared" si="5"/>
        <v>32</v>
      </c>
      <c r="AA13" s="17">
        <f t="shared" si="5"/>
        <v>15</v>
      </c>
      <c r="AB13" s="17">
        <f t="shared" si="5"/>
        <v>65</v>
      </c>
      <c r="AC13" s="17">
        <f t="shared" si="5"/>
        <v>496</v>
      </c>
      <c r="AD13" s="17">
        <f t="shared" si="5"/>
        <v>0</v>
      </c>
      <c r="AE13" s="31">
        <f t="shared" si="5"/>
        <v>512</v>
      </c>
      <c r="AF13" s="31">
        <f t="shared" si="5"/>
        <v>1008</v>
      </c>
    </row>
    <row r="14" spans="2:32" ht="23.1" customHeight="1" x14ac:dyDescent="0.25">
      <c r="B14" s="23" t="s">
        <v>41</v>
      </c>
      <c r="C14" s="50">
        <v>21</v>
      </c>
      <c r="D14" s="50">
        <v>9</v>
      </c>
      <c r="E14" s="50">
        <v>1</v>
      </c>
      <c r="F14" s="50">
        <v>43</v>
      </c>
      <c r="G14" s="50">
        <v>0</v>
      </c>
      <c r="H14" s="50">
        <v>0</v>
      </c>
      <c r="I14" s="50">
        <v>3</v>
      </c>
      <c r="J14" s="50">
        <v>3</v>
      </c>
      <c r="K14" s="50">
        <v>1</v>
      </c>
      <c r="L14" s="50">
        <v>21</v>
      </c>
      <c r="M14" s="50">
        <v>137</v>
      </c>
      <c r="N14" s="50">
        <v>0</v>
      </c>
      <c r="O14" s="15">
        <f t="shared" si="0"/>
        <v>102</v>
      </c>
      <c r="P14" s="15">
        <f t="shared" si="1"/>
        <v>239</v>
      </c>
      <c r="R14" s="1" t="s">
        <v>10</v>
      </c>
      <c r="S14" s="17">
        <f t="shared" ref="S14:AF14" si="6">SUM(C26:C29)</f>
        <v>98</v>
      </c>
      <c r="T14" s="17">
        <f t="shared" si="6"/>
        <v>54</v>
      </c>
      <c r="U14" s="17">
        <f t="shared" si="6"/>
        <v>41</v>
      </c>
      <c r="V14" s="17">
        <f t="shared" si="6"/>
        <v>161</v>
      </c>
      <c r="W14" s="17">
        <f t="shared" si="6"/>
        <v>9</v>
      </c>
      <c r="X14" s="17">
        <f t="shared" si="6"/>
        <v>0</v>
      </c>
      <c r="Y14" s="17">
        <f t="shared" si="6"/>
        <v>36</v>
      </c>
      <c r="Z14" s="17">
        <f t="shared" si="6"/>
        <v>42</v>
      </c>
      <c r="AA14" s="17">
        <f t="shared" si="6"/>
        <v>28</v>
      </c>
      <c r="AB14" s="17">
        <f t="shared" si="6"/>
        <v>46</v>
      </c>
      <c r="AC14" s="17">
        <f t="shared" si="6"/>
        <v>499</v>
      </c>
      <c r="AD14" s="17">
        <f t="shared" si="6"/>
        <v>0</v>
      </c>
      <c r="AE14" s="31">
        <f t="shared" si="6"/>
        <v>515</v>
      </c>
      <c r="AF14" s="31">
        <f t="shared" si="6"/>
        <v>1014</v>
      </c>
    </row>
    <row r="15" spans="2:32" ht="23.1" customHeight="1" x14ac:dyDescent="0.25">
      <c r="B15" s="23" t="s">
        <v>42</v>
      </c>
      <c r="C15" s="50">
        <v>26</v>
      </c>
      <c r="D15" s="50">
        <v>8</v>
      </c>
      <c r="E15" s="50">
        <v>6</v>
      </c>
      <c r="F15" s="50">
        <v>54</v>
      </c>
      <c r="G15" s="50">
        <v>1</v>
      </c>
      <c r="H15" s="50">
        <v>0</v>
      </c>
      <c r="I15" s="50">
        <v>4</v>
      </c>
      <c r="J15" s="50">
        <v>5</v>
      </c>
      <c r="K15" s="50">
        <v>7</v>
      </c>
      <c r="L15" s="50">
        <v>15</v>
      </c>
      <c r="M15" s="50">
        <v>141</v>
      </c>
      <c r="N15" s="50">
        <v>0</v>
      </c>
      <c r="O15" s="15">
        <f t="shared" si="0"/>
        <v>126</v>
      </c>
      <c r="P15" s="15">
        <f t="shared" si="1"/>
        <v>267</v>
      </c>
      <c r="R15" s="1" t="s">
        <v>11</v>
      </c>
      <c r="S15" s="17">
        <f t="shared" ref="S15:AF15" si="7">SUM(C30:C33)</f>
        <v>108</v>
      </c>
      <c r="T15" s="17">
        <f t="shared" si="7"/>
        <v>49</v>
      </c>
      <c r="U15" s="17">
        <f t="shared" si="7"/>
        <v>28</v>
      </c>
      <c r="V15" s="17">
        <f t="shared" si="7"/>
        <v>173</v>
      </c>
      <c r="W15" s="17">
        <f t="shared" si="7"/>
        <v>9</v>
      </c>
      <c r="X15" s="17">
        <f t="shared" si="7"/>
        <v>1</v>
      </c>
      <c r="Y15" s="17">
        <f t="shared" si="7"/>
        <v>37</v>
      </c>
      <c r="Z15" s="17">
        <f t="shared" si="7"/>
        <v>34</v>
      </c>
      <c r="AA15" s="17">
        <f t="shared" si="7"/>
        <v>16</v>
      </c>
      <c r="AB15" s="17">
        <f t="shared" si="7"/>
        <v>62</v>
      </c>
      <c r="AC15" s="17">
        <f t="shared" si="7"/>
        <v>418</v>
      </c>
      <c r="AD15" s="17">
        <f t="shared" si="7"/>
        <v>0</v>
      </c>
      <c r="AE15" s="31">
        <f t="shared" si="7"/>
        <v>517</v>
      </c>
      <c r="AF15" s="31">
        <f t="shared" si="7"/>
        <v>935</v>
      </c>
    </row>
    <row r="16" spans="2:32" ht="23.1" customHeight="1" x14ac:dyDescent="0.25">
      <c r="B16" s="23" t="s">
        <v>43</v>
      </c>
      <c r="C16" s="50">
        <v>24</v>
      </c>
      <c r="D16" s="50">
        <v>11</v>
      </c>
      <c r="E16" s="50">
        <v>3</v>
      </c>
      <c r="F16" s="50">
        <v>40</v>
      </c>
      <c r="G16" s="50">
        <v>4</v>
      </c>
      <c r="H16" s="50">
        <v>0</v>
      </c>
      <c r="I16" s="50">
        <v>1</v>
      </c>
      <c r="J16" s="50">
        <v>3</v>
      </c>
      <c r="K16" s="50">
        <v>1</v>
      </c>
      <c r="L16" s="50">
        <v>21</v>
      </c>
      <c r="M16" s="50">
        <v>118</v>
      </c>
      <c r="N16" s="50">
        <v>0</v>
      </c>
      <c r="O16" s="15">
        <f t="shared" si="0"/>
        <v>108</v>
      </c>
      <c r="P16" s="15">
        <f t="shared" si="1"/>
        <v>226</v>
      </c>
      <c r="R16" s="1" t="s">
        <v>12</v>
      </c>
      <c r="S16" s="17">
        <f t="shared" ref="S16:AF16" si="8">SUM(C34:C37)</f>
        <v>89</v>
      </c>
      <c r="T16" s="17">
        <f t="shared" si="8"/>
        <v>62</v>
      </c>
      <c r="U16" s="17">
        <f t="shared" si="8"/>
        <v>30</v>
      </c>
      <c r="V16" s="17">
        <f t="shared" si="8"/>
        <v>169</v>
      </c>
      <c r="W16" s="17">
        <f t="shared" si="8"/>
        <v>10</v>
      </c>
      <c r="X16" s="17">
        <f t="shared" si="8"/>
        <v>3</v>
      </c>
      <c r="Y16" s="17">
        <f t="shared" si="8"/>
        <v>35</v>
      </c>
      <c r="Z16" s="17">
        <f t="shared" si="8"/>
        <v>32</v>
      </c>
      <c r="AA16" s="17">
        <f t="shared" si="8"/>
        <v>23</v>
      </c>
      <c r="AB16" s="17">
        <f t="shared" si="8"/>
        <v>55</v>
      </c>
      <c r="AC16" s="17">
        <f t="shared" si="8"/>
        <v>377</v>
      </c>
      <c r="AD16" s="17">
        <f t="shared" si="8"/>
        <v>1</v>
      </c>
      <c r="AE16" s="31">
        <f t="shared" si="8"/>
        <v>509</v>
      </c>
      <c r="AF16" s="31">
        <f t="shared" si="8"/>
        <v>886</v>
      </c>
    </row>
    <row r="17" spans="2:32" ht="23.1" customHeight="1" x14ac:dyDescent="0.25">
      <c r="B17" s="23" t="s">
        <v>44</v>
      </c>
      <c r="C17" s="50">
        <v>17</v>
      </c>
      <c r="D17" s="50">
        <v>13</v>
      </c>
      <c r="E17" s="50">
        <v>4</v>
      </c>
      <c r="F17" s="50">
        <v>44</v>
      </c>
      <c r="G17" s="50">
        <v>1</v>
      </c>
      <c r="H17" s="50">
        <v>0</v>
      </c>
      <c r="I17" s="50">
        <v>1</v>
      </c>
      <c r="J17" s="50">
        <v>2</v>
      </c>
      <c r="K17" s="50">
        <v>3</v>
      </c>
      <c r="L17" s="50">
        <v>19</v>
      </c>
      <c r="M17" s="50">
        <v>92</v>
      </c>
      <c r="N17" s="50">
        <v>0</v>
      </c>
      <c r="O17" s="15">
        <f t="shared" si="0"/>
        <v>104</v>
      </c>
      <c r="P17" s="15">
        <f t="shared" si="1"/>
        <v>196</v>
      </c>
      <c r="R17" s="1" t="s">
        <v>13</v>
      </c>
      <c r="S17" s="17">
        <f t="shared" ref="S17:AF17" si="9">SUM(C38:C41)</f>
        <v>99</v>
      </c>
      <c r="T17" s="17">
        <f t="shared" si="9"/>
        <v>52</v>
      </c>
      <c r="U17" s="17">
        <f t="shared" si="9"/>
        <v>38</v>
      </c>
      <c r="V17" s="17">
        <f t="shared" si="9"/>
        <v>155</v>
      </c>
      <c r="W17" s="17">
        <f t="shared" si="9"/>
        <v>5</v>
      </c>
      <c r="X17" s="17">
        <f t="shared" si="9"/>
        <v>5</v>
      </c>
      <c r="Y17" s="17">
        <f t="shared" si="9"/>
        <v>35</v>
      </c>
      <c r="Z17" s="17">
        <f t="shared" si="9"/>
        <v>33</v>
      </c>
      <c r="AA17" s="17">
        <f t="shared" si="9"/>
        <v>19</v>
      </c>
      <c r="AB17" s="17">
        <f t="shared" si="9"/>
        <v>76</v>
      </c>
      <c r="AC17" s="17">
        <f t="shared" si="9"/>
        <v>352</v>
      </c>
      <c r="AD17" s="17">
        <f t="shared" si="9"/>
        <v>0</v>
      </c>
      <c r="AE17" s="31">
        <f t="shared" si="9"/>
        <v>517</v>
      </c>
      <c r="AF17" s="31">
        <f t="shared" si="9"/>
        <v>869</v>
      </c>
    </row>
    <row r="18" spans="2:32" ht="23.1" customHeight="1" x14ac:dyDescent="0.25">
      <c r="B18" s="23" t="s">
        <v>45</v>
      </c>
      <c r="C18" s="50">
        <v>25</v>
      </c>
      <c r="D18" s="50">
        <v>18</v>
      </c>
      <c r="E18" s="50">
        <v>5</v>
      </c>
      <c r="F18" s="50">
        <v>44</v>
      </c>
      <c r="G18" s="50">
        <v>1</v>
      </c>
      <c r="H18" s="50">
        <v>2</v>
      </c>
      <c r="I18" s="50">
        <v>2</v>
      </c>
      <c r="J18" s="50">
        <v>7</v>
      </c>
      <c r="K18" s="50">
        <v>3</v>
      </c>
      <c r="L18" s="50">
        <v>23</v>
      </c>
      <c r="M18" s="50">
        <v>146</v>
      </c>
      <c r="N18" s="50">
        <v>0</v>
      </c>
      <c r="O18" s="15">
        <f t="shared" si="0"/>
        <v>130</v>
      </c>
      <c r="P18" s="15">
        <f t="shared" si="1"/>
        <v>276</v>
      </c>
      <c r="R18" s="1" t="s">
        <v>14</v>
      </c>
      <c r="S18" s="17">
        <f t="shared" ref="S18:AF18" si="10">SUM(C42:C45)</f>
        <v>115</v>
      </c>
      <c r="T18" s="17">
        <f t="shared" si="10"/>
        <v>62</v>
      </c>
      <c r="U18" s="17">
        <f t="shared" si="10"/>
        <v>23</v>
      </c>
      <c r="V18" s="17">
        <f t="shared" si="10"/>
        <v>175</v>
      </c>
      <c r="W18" s="17">
        <f t="shared" si="10"/>
        <v>6</v>
      </c>
      <c r="X18" s="17">
        <f t="shared" si="10"/>
        <v>5</v>
      </c>
      <c r="Y18" s="17">
        <f t="shared" si="10"/>
        <v>37</v>
      </c>
      <c r="Z18" s="17">
        <f t="shared" si="10"/>
        <v>20</v>
      </c>
      <c r="AA18" s="17">
        <f t="shared" si="10"/>
        <v>20</v>
      </c>
      <c r="AB18" s="17">
        <f t="shared" si="10"/>
        <v>74</v>
      </c>
      <c r="AC18" s="17">
        <f t="shared" si="10"/>
        <v>352</v>
      </c>
      <c r="AD18" s="17">
        <f t="shared" si="10"/>
        <v>2</v>
      </c>
      <c r="AE18" s="31">
        <f t="shared" si="10"/>
        <v>539</v>
      </c>
      <c r="AF18" s="31">
        <f t="shared" si="10"/>
        <v>891</v>
      </c>
    </row>
    <row r="19" spans="2:32" ht="23.1" customHeight="1" x14ac:dyDescent="0.25">
      <c r="B19" s="23" t="s">
        <v>46</v>
      </c>
      <c r="C19" s="50">
        <v>16</v>
      </c>
      <c r="D19" s="50">
        <v>19</v>
      </c>
      <c r="E19" s="50">
        <v>6</v>
      </c>
      <c r="F19" s="50">
        <v>30</v>
      </c>
      <c r="G19" s="50">
        <v>2</v>
      </c>
      <c r="H19" s="50">
        <v>1</v>
      </c>
      <c r="I19" s="50">
        <v>6</v>
      </c>
      <c r="J19" s="50">
        <v>8</v>
      </c>
      <c r="K19" s="50">
        <v>2</v>
      </c>
      <c r="L19" s="50">
        <v>14</v>
      </c>
      <c r="M19" s="50">
        <v>135</v>
      </c>
      <c r="N19" s="50">
        <v>0</v>
      </c>
      <c r="O19" s="15">
        <f t="shared" si="0"/>
        <v>104</v>
      </c>
      <c r="P19" s="15">
        <f t="shared" si="1"/>
        <v>239</v>
      </c>
      <c r="R19" s="1" t="s">
        <v>15</v>
      </c>
      <c r="S19" s="17">
        <f t="shared" ref="S19:AF19" si="11">SUM(C46:C49)</f>
        <v>100</v>
      </c>
      <c r="T19" s="17">
        <f t="shared" si="11"/>
        <v>55</v>
      </c>
      <c r="U19" s="17">
        <f t="shared" si="11"/>
        <v>28</v>
      </c>
      <c r="V19" s="17">
        <f t="shared" si="11"/>
        <v>144</v>
      </c>
      <c r="W19" s="17">
        <f t="shared" si="11"/>
        <v>11</v>
      </c>
      <c r="X19" s="17">
        <f t="shared" si="11"/>
        <v>4</v>
      </c>
      <c r="Y19" s="17">
        <f t="shared" si="11"/>
        <v>32</v>
      </c>
      <c r="Z19" s="17">
        <f t="shared" si="11"/>
        <v>29</v>
      </c>
      <c r="AA19" s="17">
        <f t="shared" si="11"/>
        <v>15</v>
      </c>
      <c r="AB19" s="17">
        <f t="shared" si="11"/>
        <v>39</v>
      </c>
      <c r="AC19" s="17">
        <f t="shared" si="11"/>
        <v>356</v>
      </c>
      <c r="AD19" s="17">
        <f t="shared" si="11"/>
        <v>0</v>
      </c>
      <c r="AE19" s="31">
        <f t="shared" si="11"/>
        <v>457</v>
      </c>
      <c r="AF19" s="31">
        <f t="shared" si="11"/>
        <v>813</v>
      </c>
    </row>
    <row r="20" spans="2:32" ht="23.1" customHeight="1" x14ac:dyDescent="0.25">
      <c r="B20" s="23" t="s">
        <v>47</v>
      </c>
      <c r="C20" s="50">
        <v>16</v>
      </c>
      <c r="D20" s="50">
        <v>11</v>
      </c>
      <c r="E20" s="50">
        <v>7</v>
      </c>
      <c r="F20" s="50">
        <v>48</v>
      </c>
      <c r="G20" s="50">
        <v>1</v>
      </c>
      <c r="H20" s="50">
        <v>1</v>
      </c>
      <c r="I20" s="50">
        <v>7</v>
      </c>
      <c r="J20" s="50">
        <v>9</v>
      </c>
      <c r="K20" s="50">
        <v>11</v>
      </c>
      <c r="L20" s="50">
        <v>30</v>
      </c>
      <c r="M20" s="50">
        <v>146</v>
      </c>
      <c r="N20" s="50">
        <v>0</v>
      </c>
      <c r="O20" s="15">
        <f t="shared" si="0"/>
        <v>141</v>
      </c>
      <c r="P20" s="15">
        <f t="shared" si="1"/>
        <v>287</v>
      </c>
      <c r="R20" s="1" t="s">
        <v>16</v>
      </c>
      <c r="S20" s="17">
        <f t="shared" ref="S20:AF20" si="12">SUM(C50:C53)</f>
        <v>88</v>
      </c>
      <c r="T20" s="17">
        <f t="shared" si="12"/>
        <v>53</v>
      </c>
      <c r="U20" s="17">
        <f t="shared" si="12"/>
        <v>36</v>
      </c>
      <c r="V20" s="17">
        <f t="shared" si="12"/>
        <v>186</v>
      </c>
      <c r="W20" s="17">
        <f t="shared" si="12"/>
        <v>21</v>
      </c>
      <c r="X20" s="17">
        <f t="shared" si="12"/>
        <v>4</v>
      </c>
      <c r="Y20" s="17">
        <f t="shared" si="12"/>
        <v>23</v>
      </c>
      <c r="Z20" s="17">
        <f t="shared" si="12"/>
        <v>17</v>
      </c>
      <c r="AA20" s="17">
        <f t="shared" si="12"/>
        <v>11</v>
      </c>
      <c r="AB20" s="17">
        <f t="shared" si="12"/>
        <v>30</v>
      </c>
      <c r="AC20" s="17">
        <f t="shared" si="12"/>
        <v>359</v>
      </c>
      <c r="AD20" s="17">
        <f t="shared" si="12"/>
        <v>0</v>
      </c>
      <c r="AE20" s="31">
        <f t="shared" si="12"/>
        <v>469</v>
      </c>
      <c r="AF20" s="31">
        <f t="shared" si="12"/>
        <v>828</v>
      </c>
    </row>
    <row r="21" spans="2:32" ht="23.1" customHeight="1" x14ac:dyDescent="0.25">
      <c r="B21" s="23" t="s">
        <v>48</v>
      </c>
      <c r="C21" s="50">
        <v>43</v>
      </c>
      <c r="D21" s="50">
        <v>10</v>
      </c>
      <c r="E21" s="50">
        <v>7</v>
      </c>
      <c r="F21" s="50">
        <v>61</v>
      </c>
      <c r="G21" s="50">
        <v>2</v>
      </c>
      <c r="H21" s="50">
        <v>3</v>
      </c>
      <c r="I21" s="50">
        <v>2</v>
      </c>
      <c r="J21" s="50">
        <v>7</v>
      </c>
      <c r="K21" s="50">
        <v>4</v>
      </c>
      <c r="L21" s="50">
        <v>15</v>
      </c>
      <c r="M21" s="50">
        <v>163</v>
      </c>
      <c r="N21" s="50">
        <v>0</v>
      </c>
      <c r="O21" s="15">
        <f t="shared" si="0"/>
        <v>154</v>
      </c>
      <c r="P21" s="15">
        <f t="shared" si="1"/>
        <v>317</v>
      </c>
      <c r="R21" s="36" t="s">
        <v>20</v>
      </c>
      <c r="S21" s="34">
        <f t="shared" ref="S21:AF21" si="13">SUM(C54:C57)</f>
        <v>91</v>
      </c>
      <c r="T21" s="17">
        <f t="shared" si="13"/>
        <v>50</v>
      </c>
      <c r="U21" s="17">
        <f t="shared" si="13"/>
        <v>25</v>
      </c>
      <c r="V21" s="17">
        <f t="shared" si="13"/>
        <v>210</v>
      </c>
      <c r="W21" s="17">
        <f t="shared" si="13"/>
        <v>14</v>
      </c>
      <c r="X21" s="17">
        <f t="shared" si="13"/>
        <v>1</v>
      </c>
      <c r="Y21" s="17">
        <f t="shared" si="13"/>
        <v>22</v>
      </c>
      <c r="Z21" s="17">
        <f t="shared" si="13"/>
        <v>25</v>
      </c>
      <c r="AA21" s="17">
        <f t="shared" si="13"/>
        <v>14</v>
      </c>
      <c r="AB21" s="17">
        <f t="shared" si="13"/>
        <v>37</v>
      </c>
      <c r="AC21" s="17">
        <f t="shared" si="13"/>
        <v>504</v>
      </c>
      <c r="AD21" s="17">
        <f t="shared" si="13"/>
        <v>1</v>
      </c>
      <c r="AE21" s="31">
        <f t="shared" si="13"/>
        <v>490</v>
      </c>
      <c r="AF21" s="31">
        <f t="shared" si="13"/>
        <v>994</v>
      </c>
    </row>
    <row r="22" spans="2:32" ht="23.1" customHeight="1" x14ac:dyDescent="0.25">
      <c r="B22" s="23" t="s">
        <v>49</v>
      </c>
      <c r="C22" s="50">
        <v>26</v>
      </c>
      <c r="D22" s="50">
        <v>8</v>
      </c>
      <c r="E22" s="50">
        <v>4</v>
      </c>
      <c r="F22" s="50">
        <v>64</v>
      </c>
      <c r="G22" s="50">
        <v>0</v>
      </c>
      <c r="H22" s="50">
        <v>0</v>
      </c>
      <c r="I22" s="50">
        <v>6</v>
      </c>
      <c r="J22" s="50">
        <v>5</v>
      </c>
      <c r="K22" s="50">
        <v>1</v>
      </c>
      <c r="L22" s="50">
        <v>16</v>
      </c>
      <c r="M22" s="50">
        <v>121</v>
      </c>
      <c r="N22" s="50">
        <v>0</v>
      </c>
      <c r="O22" s="15">
        <f t="shared" si="0"/>
        <v>130</v>
      </c>
      <c r="P22" s="15">
        <f t="shared" si="1"/>
        <v>251</v>
      </c>
      <c r="R22" s="38" t="s">
        <v>90</v>
      </c>
      <c r="S22" s="39">
        <f>MAX(S10:S12)</f>
        <v>105</v>
      </c>
      <c r="T22" s="39">
        <f t="shared" ref="T22:AF22" si="14">MAX(T10:T12)</f>
        <v>58</v>
      </c>
      <c r="U22" s="39">
        <f t="shared" si="14"/>
        <v>25</v>
      </c>
      <c r="V22" s="39">
        <f t="shared" si="14"/>
        <v>184</v>
      </c>
      <c r="W22" s="39">
        <f t="shared" si="14"/>
        <v>12</v>
      </c>
      <c r="X22" s="39">
        <f t="shared" si="14"/>
        <v>7</v>
      </c>
      <c r="Y22" s="39">
        <f t="shared" si="14"/>
        <v>17</v>
      </c>
      <c r="Z22" s="39">
        <f t="shared" si="14"/>
        <v>31</v>
      </c>
      <c r="AA22" s="39">
        <f t="shared" si="14"/>
        <v>20</v>
      </c>
      <c r="AB22" s="39">
        <f t="shared" si="14"/>
        <v>82</v>
      </c>
      <c r="AC22" s="39">
        <f t="shared" si="14"/>
        <v>590</v>
      </c>
      <c r="AD22" s="39">
        <f t="shared" si="14"/>
        <v>0</v>
      </c>
      <c r="AE22" s="40">
        <f t="shared" si="14"/>
        <v>529</v>
      </c>
      <c r="AF22" s="40">
        <f t="shared" si="14"/>
        <v>1119</v>
      </c>
    </row>
    <row r="23" spans="2:32" ht="23.1" customHeight="1" x14ac:dyDescent="0.25">
      <c r="B23" s="23" t="s">
        <v>50</v>
      </c>
      <c r="C23" s="50">
        <v>29</v>
      </c>
      <c r="D23" s="50">
        <v>8</v>
      </c>
      <c r="E23" s="50">
        <v>6</v>
      </c>
      <c r="F23" s="50">
        <v>46</v>
      </c>
      <c r="G23" s="50">
        <v>2</v>
      </c>
      <c r="H23" s="50">
        <v>0</v>
      </c>
      <c r="I23" s="50">
        <v>6</v>
      </c>
      <c r="J23" s="50">
        <v>4</v>
      </c>
      <c r="K23" s="50">
        <v>5</v>
      </c>
      <c r="L23" s="50">
        <v>15</v>
      </c>
      <c r="M23" s="50">
        <v>129</v>
      </c>
      <c r="N23" s="50">
        <v>0</v>
      </c>
      <c r="O23" s="15">
        <f t="shared" si="0"/>
        <v>121</v>
      </c>
      <c r="P23" s="15">
        <f t="shared" si="1"/>
        <v>250</v>
      </c>
      <c r="R23" s="38" t="s">
        <v>91</v>
      </c>
      <c r="S23" s="39">
        <f>MAX(S13:S18)</f>
        <v>115</v>
      </c>
      <c r="T23" s="39">
        <f t="shared" ref="T23:AF23" si="15">MAX(T13:T18)</f>
        <v>62</v>
      </c>
      <c r="U23" s="39">
        <f t="shared" si="15"/>
        <v>41</v>
      </c>
      <c r="V23" s="39">
        <f t="shared" si="15"/>
        <v>204</v>
      </c>
      <c r="W23" s="39">
        <f t="shared" si="15"/>
        <v>10</v>
      </c>
      <c r="X23" s="39">
        <f t="shared" si="15"/>
        <v>5</v>
      </c>
      <c r="Y23" s="39">
        <f t="shared" si="15"/>
        <v>37</v>
      </c>
      <c r="Z23" s="39">
        <f t="shared" si="15"/>
        <v>42</v>
      </c>
      <c r="AA23" s="39">
        <f t="shared" si="15"/>
        <v>28</v>
      </c>
      <c r="AB23" s="39">
        <f t="shared" si="15"/>
        <v>76</v>
      </c>
      <c r="AC23" s="39">
        <f t="shared" si="15"/>
        <v>499</v>
      </c>
      <c r="AD23" s="39">
        <f t="shared" si="15"/>
        <v>2</v>
      </c>
      <c r="AE23" s="40">
        <f t="shared" si="15"/>
        <v>539</v>
      </c>
      <c r="AF23" s="40">
        <f t="shared" si="15"/>
        <v>1014</v>
      </c>
    </row>
    <row r="24" spans="2:32" ht="23.1" customHeight="1" x14ac:dyDescent="0.25">
      <c r="B24" s="23" t="s">
        <v>51</v>
      </c>
      <c r="C24" s="50">
        <v>24</v>
      </c>
      <c r="D24" s="50">
        <v>8</v>
      </c>
      <c r="E24" s="50">
        <v>9</v>
      </c>
      <c r="F24" s="50">
        <v>56</v>
      </c>
      <c r="G24" s="50">
        <v>3</v>
      </c>
      <c r="H24" s="50">
        <v>0</v>
      </c>
      <c r="I24" s="50">
        <v>9</v>
      </c>
      <c r="J24" s="50">
        <v>16</v>
      </c>
      <c r="K24" s="50">
        <v>5</v>
      </c>
      <c r="L24" s="50">
        <v>19</v>
      </c>
      <c r="M24" s="50">
        <v>132</v>
      </c>
      <c r="N24" s="50">
        <v>0</v>
      </c>
      <c r="O24" s="15">
        <f t="shared" si="0"/>
        <v>149</v>
      </c>
      <c r="P24" s="15">
        <f t="shared" si="1"/>
        <v>281</v>
      </c>
      <c r="R24" s="38" t="s">
        <v>92</v>
      </c>
      <c r="S24" s="39">
        <f>MAX(S19:S21)</f>
        <v>100</v>
      </c>
      <c r="T24" s="39">
        <f t="shared" ref="T24:AF24" si="16">MAX(T19:T21)</f>
        <v>55</v>
      </c>
      <c r="U24" s="39">
        <f t="shared" si="16"/>
        <v>36</v>
      </c>
      <c r="V24" s="39">
        <f t="shared" si="16"/>
        <v>210</v>
      </c>
      <c r="W24" s="39">
        <f t="shared" si="16"/>
        <v>21</v>
      </c>
      <c r="X24" s="39">
        <f t="shared" si="16"/>
        <v>4</v>
      </c>
      <c r="Y24" s="39">
        <f t="shared" si="16"/>
        <v>32</v>
      </c>
      <c r="Z24" s="39">
        <f t="shared" si="16"/>
        <v>29</v>
      </c>
      <c r="AA24" s="39">
        <f t="shared" si="16"/>
        <v>15</v>
      </c>
      <c r="AB24" s="39">
        <f t="shared" si="16"/>
        <v>39</v>
      </c>
      <c r="AC24" s="39">
        <f t="shared" si="16"/>
        <v>504</v>
      </c>
      <c r="AD24" s="39">
        <f t="shared" si="16"/>
        <v>1</v>
      </c>
      <c r="AE24" s="40">
        <f t="shared" si="16"/>
        <v>490</v>
      </c>
      <c r="AF24" s="40">
        <f t="shared" si="16"/>
        <v>994</v>
      </c>
    </row>
    <row r="25" spans="2:32" ht="23.1" customHeight="1" x14ac:dyDescent="0.25">
      <c r="B25" s="23" t="s">
        <v>52</v>
      </c>
      <c r="C25" s="50">
        <v>23</v>
      </c>
      <c r="D25" s="50">
        <v>11</v>
      </c>
      <c r="E25" s="50">
        <v>6</v>
      </c>
      <c r="F25" s="50">
        <v>38</v>
      </c>
      <c r="G25" s="50">
        <v>2</v>
      </c>
      <c r="H25" s="50">
        <v>2</v>
      </c>
      <c r="I25" s="50">
        <v>4</v>
      </c>
      <c r="J25" s="50">
        <v>7</v>
      </c>
      <c r="K25" s="50">
        <v>4</v>
      </c>
      <c r="L25" s="50">
        <v>15</v>
      </c>
      <c r="M25" s="50">
        <v>114</v>
      </c>
      <c r="N25" s="50">
        <v>0</v>
      </c>
      <c r="O25" s="15">
        <f t="shared" si="0"/>
        <v>112</v>
      </c>
      <c r="P25" s="15">
        <f t="shared" si="1"/>
        <v>226</v>
      </c>
      <c r="R25" s="37" t="s">
        <v>85</v>
      </c>
      <c r="S25" s="35">
        <f t="shared" ref="S25:AF25" si="17">SUM(S10:S12)</f>
        <v>293</v>
      </c>
      <c r="T25" s="16">
        <f t="shared" si="17"/>
        <v>137</v>
      </c>
      <c r="U25" s="16">
        <f t="shared" si="17"/>
        <v>64</v>
      </c>
      <c r="V25" s="16">
        <f t="shared" si="17"/>
        <v>548</v>
      </c>
      <c r="W25" s="16">
        <f t="shared" si="17"/>
        <v>24</v>
      </c>
      <c r="X25" s="16">
        <f t="shared" si="17"/>
        <v>7</v>
      </c>
      <c r="Y25" s="16">
        <f t="shared" si="17"/>
        <v>30</v>
      </c>
      <c r="Z25" s="16">
        <f t="shared" si="17"/>
        <v>61</v>
      </c>
      <c r="AA25" s="16">
        <f t="shared" si="17"/>
        <v>43</v>
      </c>
      <c r="AB25" s="16">
        <f t="shared" si="17"/>
        <v>218</v>
      </c>
      <c r="AC25" s="16">
        <f t="shared" si="17"/>
        <v>1633</v>
      </c>
      <c r="AD25" s="16">
        <f t="shared" si="17"/>
        <v>0</v>
      </c>
      <c r="AE25" s="32">
        <f t="shared" si="17"/>
        <v>1425</v>
      </c>
      <c r="AF25" s="32">
        <f t="shared" si="17"/>
        <v>3058</v>
      </c>
    </row>
    <row r="26" spans="2:32" ht="23.1" customHeight="1" x14ac:dyDescent="0.25">
      <c r="B26" s="23" t="s">
        <v>53</v>
      </c>
      <c r="C26" s="50">
        <v>16</v>
      </c>
      <c r="D26" s="50">
        <v>10</v>
      </c>
      <c r="E26" s="50">
        <v>14</v>
      </c>
      <c r="F26" s="50">
        <v>36</v>
      </c>
      <c r="G26" s="50">
        <v>1</v>
      </c>
      <c r="H26" s="50">
        <v>0</v>
      </c>
      <c r="I26" s="50">
        <v>4</v>
      </c>
      <c r="J26" s="50">
        <v>10</v>
      </c>
      <c r="K26" s="50">
        <v>9</v>
      </c>
      <c r="L26" s="50">
        <v>12</v>
      </c>
      <c r="M26" s="50">
        <v>139</v>
      </c>
      <c r="N26" s="50">
        <v>0</v>
      </c>
      <c r="O26" s="15">
        <f t="shared" si="0"/>
        <v>112</v>
      </c>
      <c r="P26" s="15">
        <f t="shared" si="1"/>
        <v>251</v>
      </c>
      <c r="R26" s="28" t="s">
        <v>86</v>
      </c>
      <c r="S26" s="16">
        <f t="shared" ref="S26:AF26" si="18">SUM(S13:S18)</f>
        <v>611</v>
      </c>
      <c r="T26" s="16">
        <f t="shared" si="18"/>
        <v>314</v>
      </c>
      <c r="U26" s="16">
        <f t="shared" si="18"/>
        <v>185</v>
      </c>
      <c r="V26" s="16">
        <f t="shared" si="18"/>
        <v>1037</v>
      </c>
      <c r="W26" s="16">
        <f t="shared" si="18"/>
        <v>46</v>
      </c>
      <c r="X26" s="16">
        <f t="shared" si="18"/>
        <v>16</v>
      </c>
      <c r="Y26" s="16">
        <f t="shared" si="18"/>
        <v>205</v>
      </c>
      <c r="Z26" s="16">
        <f t="shared" si="18"/>
        <v>193</v>
      </c>
      <c r="AA26" s="16">
        <f t="shared" si="18"/>
        <v>121</v>
      </c>
      <c r="AB26" s="16">
        <f t="shared" si="18"/>
        <v>378</v>
      </c>
      <c r="AC26" s="16">
        <f t="shared" si="18"/>
        <v>2494</v>
      </c>
      <c r="AD26" s="16">
        <f t="shared" si="18"/>
        <v>3</v>
      </c>
      <c r="AE26" s="32">
        <f t="shared" si="18"/>
        <v>3109</v>
      </c>
      <c r="AF26" s="32">
        <f t="shared" si="18"/>
        <v>5603</v>
      </c>
    </row>
    <row r="27" spans="2:32" ht="23.1" customHeight="1" x14ac:dyDescent="0.25">
      <c r="B27" s="23" t="s">
        <v>54</v>
      </c>
      <c r="C27" s="50">
        <v>31</v>
      </c>
      <c r="D27" s="50">
        <v>16</v>
      </c>
      <c r="E27" s="50">
        <v>12</v>
      </c>
      <c r="F27" s="50">
        <v>35</v>
      </c>
      <c r="G27" s="50">
        <v>2</v>
      </c>
      <c r="H27" s="50">
        <v>0</v>
      </c>
      <c r="I27" s="50">
        <v>6</v>
      </c>
      <c r="J27" s="50">
        <v>7</v>
      </c>
      <c r="K27" s="50">
        <v>7</v>
      </c>
      <c r="L27" s="50">
        <v>8</v>
      </c>
      <c r="M27" s="50">
        <v>129</v>
      </c>
      <c r="N27" s="50">
        <v>0</v>
      </c>
      <c r="O27" s="15">
        <f t="shared" si="0"/>
        <v>124</v>
      </c>
      <c r="P27" s="15">
        <f t="shared" si="1"/>
        <v>253</v>
      </c>
      <c r="R27" s="29" t="s">
        <v>87</v>
      </c>
      <c r="S27" s="16">
        <f t="shared" ref="S27:AF27" si="19">SUM(S19:S21)</f>
        <v>279</v>
      </c>
      <c r="T27" s="16">
        <f t="shared" si="19"/>
        <v>158</v>
      </c>
      <c r="U27" s="16">
        <f t="shared" si="19"/>
        <v>89</v>
      </c>
      <c r="V27" s="16">
        <f t="shared" si="19"/>
        <v>540</v>
      </c>
      <c r="W27" s="16">
        <f t="shared" si="19"/>
        <v>46</v>
      </c>
      <c r="X27" s="16">
        <f t="shared" si="19"/>
        <v>9</v>
      </c>
      <c r="Y27" s="16">
        <f t="shared" si="19"/>
        <v>77</v>
      </c>
      <c r="Z27" s="16">
        <f t="shared" si="19"/>
        <v>71</v>
      </c>
      <c r="AA27" s="16">
        <f t="shared" si="19"/>
        <v>40</v>
      </c>
      <c r="AB27" s="16">
        <f t="shared" si="19"/>
        <v>106</v>
      </c>
      <c r="AC27" s="16">
        <f t="shared" si="19"/>
        <v>1219</v>
      </c>
      <c r="AD27" s="16">
        <f t="shared" si="19"/>
        <v>1</v>
      </c>
      <c r="AE27" s="32">
        <f t="shared" si="19"/>
        <v>1416</v>
      </c>
      <c r="AF27" s="32">
        <f t="shared" si="19"/>
        <v>2635</v>
      </c>
    </row>
    <row r="28" spans="2:32" ht="23.1" customHeight="1" x14ac:dyDescent="0.25">
      <c r="B28" s="23" t="s">
        <v>55</v>
      </c>
      <c r="C28" s="50">
        <v>27</v>
      </c>
      <c r="D28" s="50">
        <v>18</v>
      </c>
      <c r="E28" s="50">
        <v>6</v>
      </c>
      <c r="F28" s="50">
        <v>51</v>
      </c>
      <c r="G28" s="50">
        <v>2</v>
      </c>
      <c r="H28" s="50">
        <v>0</v>
      </c>
      <c r="I28" s="50">
        <v>11</v>
      </c>
      <c r="J28" s="50">
        <v>15</v>
      </c>
      <c r="K28" s="50">
        <v>5</v>
      </c>
      <c r="L28" s="50">
        <v>15</v>
      </c>
      <c r="M28" s="50">
        <v>112</v>
      </c>
      <c r="N28" s="50">
        <v>0</v>
      </c>
      <c r="O28" s="15">
        <f t="shared" si="0"/>
        <v>150</v>
      </c>
      <c r="P28" s="15">
        <f t="shared" si="1"/>
        <v>262</v>
      </c>
      <c r="R28" s="5" t="s">
        <v>17</v>
      </c>
      <c r="S28" s="16">
        <f t="shared" ref="S28:AF28" si="20">SUM(S10:S21)</f>
        <v>1183</v>
      </c>
      <c r="T28" s="16">
        <f t="shared" si="20"/>
        <v>609</v>
      </c>
      <c r="U28" s="16">
        <f t="shared" si="20"/>
        <v>338</v>
      </c>
      <c r="V28" s="16">
        <f t="shared" si="20"/>
        <v>2125</v>
      </c>
      <c r="W28" s="16">
        <f t="shared" si="20"/>
        <v>116</v>
      </c>
      <c r="X28" s="16">
        <f t="shared" si="20"/>
        <v>32</v>
      </c>
      <c r="Y28" s="16">
        <f t="shared" si="20"/>
        <v>312</v>
      </c>
      <c r="Z28" s="16">
        <f t="shared" si="20"/>
        <v>325</v>
      </c>
      <c r="AA28" s="16">
        <f t="shared" si="20"/>
        <v>204</v>
      </c>
      <c r="AB28" s="16">
        <f t="shared" si="20"/>
        <v>702</v>
      </c>
      <c r="AC28" s="16">
        <f t="shared" si="20"/>
        <v>5346</v>
      </c>
      <c r="AD28" s="16">
        <f t="shared" si="20"/>
        <v>4</v>
      </c>
      <c r="AE28" s="32">
        <f t="shared" si="20"/>
        <v>5950</v>
      </c>
      <c r="AF28" s="32">
        <f t="shared" si="20"/>
        <v>11296</v>
      </c>
    </row>
    <row r="29" spans="2:32" ht="23.1" customHeight="1" x14ac:dyDescent="0.25">
      <c r="B29" s="23" t="s">
        <v>56</v>
      </c>
      <c r="C29" s="50">
        <v>24</v>
      </c>
      <c r="D29" s="50">
        <v>10</v>
      </c>
      <c r="E29" s="50">
        <v>9</v>
      </c>
      <c r="F29" s="50">
        <v>39</v>
      </c>
      <c r="G29" s="50">
        <v>4</v>
      </c>
      <c r="H29" s="50">
        <v>0</v>
      </c>
      <c r="I29" s="50">
        <v>15</v>
      </c>
      <c r="J29" s="50">
        <v>10</v>
      </c>
      <c r="K29" s="50">
        <v>7</v>
      </c>
      <c r="L29" s="50">
        <v>11</v>
      </c>
      <c r="M29" s="50">
        <v>119</v>
      </c>
      <c r="N29" s="50">
        <v>0</v>
      </c>
      <c r="O29" s="15">
        <f t="shared" si="0"/>
        <v>129</v>
      </c>
      <c r="P29" s="15">
        <f t="shared" si="1"/>
        <v>248</v>
      </c>
      <c r="R29"/>
      <c r="S29" s="20"/>
      <c r="T29" s="19"/>
    </row>
    <row r="30" spans="2:32" ht="23.1" customHeight="1" x14ac:dyDescent="0.25">
      <c r="B30" s="23" t="s">
        <v>57</v>
      </c>
      <c r="C30" s="50">
        <v>31</v>
      </c>
      <c r="D30" s="50">
        <v>14</v>
      </c>
      <c r="E30" s="50">
        <v>11</v>
      </c>
      <c r="F30" s="50">
        <v>55</v>
      </c>
      <c r="G30" s="50">
        <v>1</v>
      </c>
      <c r="H30" s="50">
        <v>0</v>
      </c>
      <c r="I30" s="50">
        <v>10</v>
      </c>
      <c r="J30" s="50">
        <v>14</v>
      </c>
      <c r="K30" s="50">
        <v>6</v>
      </c>
      <c r="L30" s="50">
        <v>17</v>
      </c>
      <c r="M30" s="50">
        <v>137</v>
      </c>
      <c r="N30" s="50">
        <v>0</v>
      </c>
      <c r="O30" s="15">
        <f t="shared" si="0"/>
        <v>159</v>
      </c>
      <c r="P30" s="15">
        <f t="shared" si="1"/>
        <v>296</v>
      </c>
    </row>
    <row r="31" spans="2:32" ht="23.1" customHeight="1" x14ac:dyDescent="0.25">
      <c r="B31" s="24" t="s">
        <v>58</v>
      </c>
      <c r="C31" s="50">
        <v>27</v>
      </c>
      <c r="D31" s="50">
        <v>17</v>
      </c>
      <c r="E31" s="50">
        <v>7</v>
      </c>
      <c r="F31" s="50">
        <v>45</v>
      </c>
      <c r="G31" s="50">
        <v>2</v>
      </c>
      <c r="H31" s="50">
        <v>1</v>
      </c>
      <c r="I31" s="50">
        <v>11</v>
      </c>
      <c r="J31" s="50">
        <v>4</v>
      </c>
      <c r="K31" s="50">
        <v>8</v>
      </c>
      <c r="L31" s="50">
        <v>20</v>
      </c>
      <c r="M31" s="50">
        <v>110</v>
      </c>
      <c r="N31" s="50">
        <v>0</v>
      </c>
      <c r="O31" s="15">
        <f t="shared" si="0"/>
        <v>142</v>
      </c>
      <c r="P31" s="15">
        <f t="shared" si="1"/>
        <v>252</v>
      </c>
    </row>
    <row r="32" spans="2:32" ht="23.1" customHeight="1" x14ac:dyDescent="0.25">
      <c r="B32" s="24" t="s">
        <v>59</v>
      </c>
      <c r="C32" s="50">
        <v>34</v>
      </c>
      <c r="D32" s="50">
        <v>13</v>
      </c>
      <c r="E32" s="50">
        <v>8</v>
      </c>
      <c r="F32" s="50">
        <v>47</v>
      </c>
      <c r="G32" s="50">
        <v>4</v>
      </c>
      <c r="H32" s="50">
        <v>0</v>
      </c>
      <c r="I32" s="50">
        <v>10</v>
      </c>
      <c r="J32" s="50">
        <v>10</v>
      </c>
      <c r="K32" s="50">
        <v>2</v>
      </c>
      <c r="L32" s="50">
        <v>19</v>
      </c>
      <c r="M32" s="50">
        <v>133</v>
      </c>
      <c r="N32" s="50">
        <v>0</v>
      </c>
      <c r="O32" s="15">
        <f t="shared" si="0"/>
        <v>147</v>
      </c>
      <c r="P32" s="15">
        <f t="shared" si="1"/>
        <v>280</v>
      </c>
    </row>
    <row r="33" spans="2:20" ht="23.1" customHeight="1" x14ac:dyDescent="0.25">
      <c r="B33" s="23" t="s">
        <v>60</v>
      </c>
      <c r="C33" s="50">
        <v>16</v>
      </c>
      <c r="D33" s="50">
        <v>5</v>
      </c>
      <c r="E33" s="50">
        <v>2</v>
      </c>
      <c r="F33" s="50">
        <v>26</v>
      </c>
      <c r="G33" s="50">
        <v>2</v>
      </c>
      <c r="H33" s="50">
        <v>0</v>
      </c>
      <c r="I33" s="50">
        <v>6</v>
      </c>
      <c r="J33" s="50">
        <v>6</v>
      </c>
      <c r="K33" s="50">
        <v>0</v>
      </c>
      <c r="L33" s="50">
        <v>6</v>
      </c>
      <c r="M33" s="50">
        <v>38</v>
      </c>
      <c r="N33" s="50">
        <v>0</v>
      </c>
      <c r="O33" s="15">
        <f t="shared" si="0"/>
        <v>69</v>
      </c>
      <c r="P33" s="15">
        <f t="shared" si="1"/>
        <v>107</v>
      </c>
    </row>
    <row r="34" spans="2:20" ht="23.1" customHeight="1" x14ac:dyDescent="0.25">
      <c r="B34" s="24" t="s">
        <v>61</v>
      </c>
      <c r="C34" s="50">
        <v>20</v>
      </c>
      <c r="D34" s="50">
        <v>16</v>
      </c>
      <c r="E34" s="50">
        <v>11</v>
      </c>
      <c r="F34" s="50">
        <v>39</v>
      </c>
      <c r="G34" s="50">
        <v>3</v>
      </c>
      <c r="H34" s="50">
        <v>0</v>
      </c>
      <c r="I34" s="50">
        <v>7</v>
      </c>
      <c r="J34" s="50">
        <v>9</v>
      </c>
      <c r="K34" s="50">
        <v>7</v>
      </c>
      <c r="L34" s="50">
        <v>9</v>
      </c>
      <c r="M34" s="50">
        <v>90</v>
      </c>
      <c r="N34" s="50">
        <v>0</v>
      </c>
      <c r="O34" s="15">
        <f t="shared" si="0"/>
        <v>121</v>
      </c>
      <c r="P34" s="15">
        <f t="shared" si="1"/>
        <v>211</v>
      </c>
    </row>
    <row r="35" spans="2:20" ht="23.1" customHeight="1" x14ac:dyDescent="0.25">
      <c r="B35" s="24" t="s">
        <v>62</v>
      </c>
      <c r="C35" s="50">
        <v>23</v>
      </c>
      <c r="D35" s="50">
        <v>12</v>
      </c>
      <c r="E35" s="50">
        <v>7</v>
      </c>
      <c r="F35" s="50">
        <v>47</v>
      </c>
      <c r="G35" s="50">
        <v>2</v>
      </c>
      <c r="H35" s="50">
        <v>0</v>
      </c>
      <c r="I35" s="50">
        <v>13</v>
      </c>
      <c r="J35" s="50">
        <v>8</v>
      </c>
      <c r="K35" s="50">
        <v>8</v>
      </c>
      <c r="L35" s="50">
        <v>14</v>
      </c>
      <c r="M35" s="50">
        <v>98</v>
      </c>
      <c r="N35" s="50">
        <v>1</v>
      </c>
      <c r="O35" s="15">
        <f t="shared" si="0"/>
        <v>135</v>
      </c>
      <c r="P35" s="15">
        <f t="shared" si="1"/>
        <v>233</v>
      </c>
    </row>
    <row r="36" spans="2:20" ht="23.1" customHeight="1" x14ac:dyDescent="0.25">
      <c r="B36" s="24" t="s">
        <v>63</v>
      </c>
      <c r="C36" s="50">
        <v>29</v>
      </c>
      <c r="D36" s="50">
        <v>16</v>
      </c>
      <c r="E36" s="50">
        <v>6</v>
      </c>
      <c r="F36" s="50">
        <v>48</v>
      </c>
      <c r="G36" s="50">
        <v>3</v>
      </c>
      <c r="H36" s="50">
        <v>2</v>
      </c>
      <c r="I36" s="50">
        <v>7</v>
      </c>
      <c r="J36" s="50">
        <v>9</v>
      </c>
      <c r="K36" s="50">
        <v>4</v>
      </c>
      <c r="L36" s="50">
        <v>22</v>
      </c>
      <c r="M36" s="50">
        <v>80</v>
      </c>
      <c r="N36" s="50">
        <v>0</v>
      </c>
      <c r="O36" s="15">
        <f t="shared" si="0"/>
        <v>146</v>
      </c>
      <c r="P36" s="15">
        <f t="shared" si="1"/>
        <v>226</v>
      </c>
    </row>
    <row r="37" spans="2:20" ht="23.1" customHeight="1" x14ac:dyDescent="0.25">
      <c r="B37" s="23" t="s">
        <v>64</v>
      </c>
      <c r="C37" s="50">
        <v>17</v>
      </c>
      <c r="D37" s="50">
        <v>18</v>
      </c>
      <c r="E37" s="50">
        <v>6</v>
      </c>
      <c r="F37" s="50">
        <v>35</v>
      </c>
      <c r="G37" s="50">
        <v>2</v>
      </c>
      <c r="H37" s="50">
        <v>1</v>
      </c>
      <c r="I37" s="50">
        <v>8</v>
      </c>
      <c r="J37" s="50">
        <v>6</v>
      </c>
      <c r="K37" s="50">
        <v>4</v>
      </c>
      <c r="L37" s="50">
        <v>10</v>
      </c>
      <c r="M37" s="50">
        <v>109</v>
      </c>
      <c r="N37" s="50">
        <v>0</v>
      </c>
      <c r="O37" s="15">
        <f t="shared" si="0"/>
        <v>107</v>
      </c>
      <c r="P37" s="15">
        <f t="shared" si="1"/>
        <v>216</v>
      </c>
    </row>
    <row r="38" spans="2:20" ht="23.1" customHeight="1" x14ac:dyDescent="0.25">
      <c r="B38" s="24" t="s">
        <v>65</v>
      </c>
      <c r="C38" s="50">
        <v>24</v>
      </c>
      <c r="D38" s="50">
        <v>21</v>
      </c>
      <c r="E38" s="50">
        <v>11</v>
      </c>
      <c r="F38" s="50">
        <v>42</v>
      </c>
      <c r="G38" s="50">
        <v>1</v>
      </c>
      <c r="H38" s="50">
        <v>0</v>
      </c>
      <c r="I38" s="50">
        <v>8</v>
      </c>
      <c r="J38" s="50">
        <v>10</v>
      </c>
      <c r="K38" s="50">
        <v>5</v>
      </c>
      <c r="L38" s="50">
        <v>16</v>
      </c>
      <c r="M38" s="50">
        <v>103</v>
      </c>
      <c r="N38" s="50">
        <v>0</v>
      </c>
      <c r="O38" s="15">
        <f t="shared" si="0"/>
        <v>138</v>
      </c>
      <c r="P38" s="15">
        <f t="shared" si="1"/>
        <v>241</v>
      </c>
    </row>
    <row r="39" spans="2:20" ht="23.1" customHeight="1" x14ac:dyDescent="0.25">
      <c r="B39" s="24" t="s">
        <v>66</v>
      </c>
      <c r="C39" s="50">
        <v>27</v>
      </c>
      <c r="D39" s="50">
        <v>10</v>
      </c>
      <c r="E39" s="50">
        <v>3</v>
      </c>
      <c r="F39" s="50">
        <v>41</v>
      </c>
      <c r="G39" s="50">
        <v>3</v>
      </c>
      <c r="H39" s="50">
        <v>1</v>
      </c>
      <c r="I39" s="50">
        <v>8</v>
      </c>
      <c r="J39" s="50">
        <v>10</v>
      </c>
      <c r="K39" s="50">
        <v>8</v>
      </c>
      <c r="L39" s="50">
        <v>21</v>
      </c>
      <c r="M39" s="50">
        <v>103</v>
      </c>
      <c r="N39" s="50">
        <v>0</v>
      </c>
      <c r="O39" s="15">
        <f t="shared" si="0"/>
        <v>132</v>
      </c>
      <c r="P39" s="15">
        <f t="shared" si="1"/>
        <v>235</v>
      </c>
    </row>
    <row r="40" spans="2:20" ht="23.1" customHeight="1" x14ac:dyDescent="0.25">
      <c r="B40" s="24" t="s">
        <v>67</v>
      </c>
      <c r="C40" s="50">
        <v>25</v>
      </c>
      <c r="D40" s="50">
        <v>4</v>
      </c>
      <c r="E40" s="50">
        <v>2</v>
      </c>
      <c r="F40" s="50">
        <v>31</v>
      </c>
      <c r="G40" s="50">
        <v>1</v>
      </c>
      <c r="H40" s="50">
        <v>3</v>
      </c>
      <c r="I40" s="50">
        <v>9</v>
      </c>
      <c r="J40" s="50">
        <v>6</v>
      </c>
      <c r="K40" s="50">
        <v>4</v>
      </c>
      <c r="L40" s="50">
        <v>14</v>
      </c>
      <c r="M40" s="50">
        <v>69</v>
      </c>
      <c r="N40" s="50">
        <v>0</v>
      </c>
      <c r="O40" s="15">
        <f t="shared" si="0"/>
        <v>99</v>
      </c>
      <c r="P40" s="15">
        <f t="shared" si="1"/>
        <v>168</v>
      </c>
    </row>
    <row r="41" spans="2:20" ht="23.1" customHeight="1" x14ac:dyDescent="0.25">
      <c r="B41" s="23" t="s">
        <v>68</v>
      </c>
      <c r="C41" s="50">
        <v>23</v>
      </c>
      <c r="D41" s="50">
        <v>17</v>
      </c>
      <c r="E41" s="50">
        <v>22</v>
      </c>
      <c r="F41" s="50">
        <v>41</v>
      </c>
      <c r="G41" s="50">
        <v>0</v>
      </c>
      <c r="H41" s="50">
        <v>1</v>
      </c>
      <c r="I41" s="50">
        <v>10</v>
      </c>
      <c r="J41" s="50">
        <v>7</v>
      </c>
      <c r="K41" s="50">
        <v>2</v>
      </c>
      <c r="L41" s="50">
        <v>25</v>
      </c>
      <c r="M41" s="50">
        <v>77</v>
      </c>
      <c r="N41" s="50">
        <v>0</v>
      </c>
      <c r="O41" s="15">
        <f t="shared" si="0"/>
        <v>148</v>
      </c>
      <c r="P41" s="15">
        <f t="shared" si="1"/>
        <v>225</v>
      </c>
    </row>
    <row r="42" spans="2:20" ht="23.1" customHeight="1" x14ac:dyDescent="0.25">
      <c r="B42" s="24" t="s">
        <v>69</v>
      </c>
      <c r="C42" s="50">
        <v>36</v>
      </c>
      <c r="D42" s="50">
        <v>12</v>
      </c>
      <c r="E42" s="50">
        <v>6</v>
      </c>
      <c r="F42" s="50">
        <v>48</v>
      </c>
      <c r="G42" s="50">
        <v>2</v>
      </c>
      <c r="H42" s="50">
        <v>2</v>
      </c>
      <c r="I42" s="50">
        <v>7</v>
      </c>
      <c r="J42" s="50">
        <v>3</v>
      </c>
      <c r="K42" s="50">
        <v>2</v>
      </c>
      <c r="L42" s="50">
        <v>20</v>
      </c>
      <c r="M42" s="50">
        <v>98</v>
      </c>
      <c r="N42" s="50">
        <v>0</v>
      </c>
      <c r="O42" s="15">
        <f t="shared" si="0"/>
        <v>138</v>
      </c>
      <c r="P42" s="15">
        <f t="shared" si="1"/>
        <v>236</v>
      </c>
    </row>
    <row r="43" spans="2:20" ht="23.1" customHeight="1" x14ac:dyDescent="0.25">
      <c r="B43" s="23" t="s">
        <v>70</v>
      </c>
      <c r="C43" s="50">
        <v>25</v>
      </c>
      <c r="D43" s="50">
        <v>17</v>
      </c>
      <c r="E43" s="50">
        <v>9</v>
      </c>
      <c r="F43" s="50">
        <v>39</v>
      </c>
      <c r="G43" s="50">
        <v>3</v>
      </c>
      <c r="H43" s="50">
        <v>0</v>
      </c>
      <c r="I43" s="50">
        <v>10</v>
      </c>
      <c r="J43" s="50">
        <v>4</v>
      </c>
      <c r="K43" s="50">
        <v>3</v>
      </c>
      <c r="L43" s="50">
        <v>20</v>
      </c>
      <c r="M43" s="50">
        <v>90</v>
      </c>
      <c r="N43" s="50">
        <v>0</v>
      </c>
      <c r="O43" s="15">
        <f t="shared" si="0"/>
        <v>130</v>
      </c>
      <c r="P43" s="15">
        <f t="shared" si="1"/>
        <v>220</v>
      </c>
    </row>
    <row r="44" spans="2:20" ht="23.1" customHeight="1" x14ac:dyDescent="0.25">
      <c r="B44" s="25" t="s">
        <v>71</v>
      </c>
      <c r="C44" s="50">
        <v>26</v>
      </c>
      <c r="D44" s="50">
        <v>12</v>
      </c>
      <c r="E44" s="50">
        <v>2</v>
      </c>
      <c r="F44" s="50">
        <v>50</v>
      </c>
      <c r="G44" s="50">
        <v>0</v>
      </c>
      <c r="H44" s="50">
        <v>1</v>
      </c>
      <c r="I44" s="50">
        <v>8</v>
      </c>
      <c r="J44" s="50">
        <v>7</v>
      </c>
      <c r="K44" s="50">
        <v>8</v>
      </c>
      <c r="L44" s="50">
        <v>22</v>
      </c>
      <c r="M44" s="50">
        <v>70</v>
      </c>
      <c r="N44" s="50">
        <v>0</v>
      </c>
      <c r="O44" s="15">
        <f t="shared" si="0"/>
        <v>136</v>
      </c>
      <c r="P44" s="15">
        <f t="shared" si="1"/>
        <v>206</v>
      </c>
    </row>
    <row r="45" spans="2:20" ht="23.1" customHeight="1" x14ac:dyDescent="0.25">
      <c r="B45" s="23" t="s">
        <v>72</v>
      </c>
      <c r="C45" s="50">
        <v>28</v>
      </c>
      <c r="D45" s="50">
        <v>21</v>
      </c>
      <c r="E45" s="50">
        <v>6</v>
      </c>
      <c r="F45" s="50">
        <v>38</v>
      </c>
      <c r="G45" s="50">
        <v>1</v>
      </c>
      <c r="H45" s="50">
        <v>2</v>
      </c>
      <c r="I45" s="50">
        <v>12</v>
      </c>
      <c r="J45" s="50">
        <v>6</v>
      </c>
      <c r="K45" s="50">
        <v>7</v>
      </c>
      <c r="L45" s="50">
        <v>12</v>
      </c>
      <c r="M45" s="50">
        <v>94</v>
      </c>
      <c r="N45" s="50">
        <v>2</v>
      </c>
      <c r="O45" s="15">
        <f t="shared" si="0"/>
        <v>135</v>
      </c>
      <c r="P45" s="15">
        <f t="shared" si="1"/>
        <v>229</v>
      </c>
    </row>
    <row r="46" spans="2:20" ht="23.1" customHeight="1" x14ac:dyDescent="0.25">
      <c r="B46" s="24" t="s">
        <v>73</v>
      </c>
      <c r="C46" s="50">
        <v>22</v>
      </c>
      <c r="D46" s="50">
        <v>22</v>
      </c>
      <c r="E46" s="50">
        <v>16</v>
      </c>
      <c r="F46" s="50">
        <v>51</v>
      </c>
      <c r="G46" s="50">
        <v>3</v>
      </c>
      <c r="H46" s="50">
        <v>2</v>
      </c>
      <c r="I46" s="50">
        <v>7</v>
      </c>
      <c r="J46" s="50">
        <v>14</v>
      </c>
      <c r="K46" s="50">
        <v>7</v>
      </c>
      <c r="L46" s="50">
        <v>18</v>
      </c>
      <c r="M46" s="50">
        <v>136</v>
      </c>
      <c r="N46" s="50">
        <v>0</v>
      </c>
      <c r="O46" s="15">
        <f t="shared" si="0"/>
        <v>162</v>
      </c>
      <c r="P46" s="15">
        <f t="shared" si="1"/>
        <v>298</v>
      </c>
      <c r="R46" s="8"/>
      <c r="T46"/>
    </row>
    <row r="47" spans="2:20" ht="23.1" customHeight="1" x14ac:dyDescent="0.25">
      <c r="B47" s="24" t="s">
        <v>74</v>
      </c>
      <c r="C47" s="50">
        <v>19</v>
      </c>
      <c r="D47" s="50">
        <v>8</v>
      </c>
      <c r="E47" s="50">
        <v>2</v>
      </c>
      <c r="F47" s="50">
        <v>10</v>
      </c>
      <c r="G47" s="50">
        <v>2</v>
      </c>
      <c r="H47" s="50">
        <v>2</v>
      </c>
      <c r="I47" s="50">
        <v>8</v>
      </c>
      <c r="J47" s="50">
        <v>8</v>
      </c>
      <c r="K47" s="50">
        <v>1</v>
      </c>
      <c r="L47" s="50">
        <v>6</v>
      </c>
      <c r="M47" s="50">
        <v>45</v>
      </c>
      <c r="N47" s="50">
        <v>0</v>
      </c>
      <c r="O47" s="15">
        <f t="shared" si="0"/>
        <v>66</v>
      </c>
      <c r="P47" s="15">
        <f t="shared" si="1"/>
        <v>111</v>
      </c>
      <c r="R47" s="8"/>
      <c r="T47"/>
    </row>
    <row r="48" spans="2:20" ht="23.1" customHeight="1" x14ac:dyDescent="0.25">
      <c r="B48" s="24" t="s">
        <v>75</v>
      </c>
      <c r="C48" s="50">
        <v>21</v>
      </c>
      <c r="D48" s="50">
        <v>15</v>
      </c>
      <c r="E48" s="50">
        <v>3</v>
      </c>
      <c r="F48" s="50">
        <v>37</v>
      </c>
      <c r="G48" s="50">
        <v>3</v>
      </c>
      <c r="H48" s="50">
        <v>0</v>
      </c>
      <c r="I48" s="50">
        <v>8</v>
      </c>
      <c r="J48" s="50">
        <v>1</v>
      </c>
      <c r="K48" s="50">
        <v>2</v>
      </c>
      <c r="L48" s="50">
        <v>10</v>
      </c>
      <c r="M48" s="50">
        <v>69</v>
      </c>
      <c r="N48" s="50">
        <v>0</v>
      </c>
      <c r="O48" s="15">
        <f t="shared" si="0"/>
        <v>100</v>
      </c>
      <c r="P48" s="15">
        <f t="shared" si="1"/>
        <v>169</v>
      </c>
      <c r="R48" s="8"/>
      <c r="T48"/>
    </row>
    <row r="49" spans="2:20" ht="23.1" customHeight="1" x14ac:dyDescent="0.25">
      <c r="B49" s="23" t="s">
        <v>76</v>
      </c>
      <c r="C49" s="50">
        <v>38</v>
      </c>
      <c r="D49" s="50">
        <v>10</v>
      </c>
      <c r="E49" s="50">
        <v>7</v>
      </c>
      <c r="F49" s="50">
        <v>46</v>
      </c>
      <c r="G49" s="50">
        <v>3</v>
      </c>
      <c r="H49" s="50">
        <v>0</v>
      </c>
      <c r="I49" s="50">
        <v>9</v>
      </c>
      <c r="J49" s="50">
        <v>6</v>
      </c>
      <c r="K49" s="50">
        <v>5</v>
      </c>
      <c r="L49" s="50">
        <v>5</v>
      </c>
      <c r="M49" s="50">
        <v>106</v>
      </c>
      <c r="N49" s="50">
        <v>0</v>
      </c>
      <c r="O49" s="15">
        <f t="shared" si="0"/>
        <v>129</v>
      </c>
      <c r="P49" s="15">
        <f t="shared" si="1"/>
        <v>235</v>
      </c>
      <c r="R49" s="8"/>
      <c r="T49"/>
    </row>
    <row r="50" spans="2:20" ht="23.1" customHeight="1" x14ac:dyDescent="0.25">
      <c r="B50" s="24" t="s">
        <v>77</v>
      </c>
      <c r="C50" s="50">
        <v>25</v>
      </c>
      <c r="D50" s="50">
        <v>14</v>
      </c>
      <c r="E50" s="50">
        <v>5</v>
      </c>
      <c r="F50" s="50">
        <v>49</v>
      </c>
      <c r="G50" s="50">
        <v>6</v>
      </c>
      <c r="H50" s="50">
        <v>0</v>
      </c>
      <c r="I50" s="50">
        <v>8</v>
      </c>
      <c r="J50" s="50">
        <v>2</v>
      </c>
      <c r="K50" s="50">
        <v>4</v>
      </c>
      <c r="L50" s="50">
        <v>10</v>
      </c>
      <c r="M50" s="50">
        <v>0</v>
      </c>
      <c r="N50" s="50">
        <v>0</v>
      </c>
      <c r="O50" s="15">
        <f t="shared" si="0"/>
        <v>123</v>
      </c>
      <c r="P50" s="15">
        <f t="shared" si="1"/>
        <v>123</v>
      </c>
      <c r="R50" s="8"/>
      <c r="T50"/>
    </row>
    <row r="51" spans="2:20" ht="23.1" customHeight="1" x14ac:dyDescent="0.25">
      <c r="B51" s="24" t="s">
        <v>78</v>
      </c>
      <c r="C51" s="50">
        <v>21</v>
      </c>
      <c r="D51" s="50">
        <v>11</v>
      </c>
      <c r="E51" s="50">
        <v>6</v>
      </c>
      <c r="F51" s="50">
        <v>38</v>
      </c>
      <c r="G51" s="50">
        <v>2</v>
      </c>
      <c r="H51" s="50">
        <v>2</v>
      </c>
      <c r="I51" s="50">
        <v>4</v>
      </c>
      <c r="J51" s="50">
        <v>4</v>
      </c>
      <c r="K51" s="50">
        <v>4</v>
      </c>
      <c r="L51" s="50">
        <v>7</v>
      </c>
      <c r="M51" s="50">
        <v>108</v>
      </c>
      <c r="N51" s="50">
        <v>0</v>
      </c>
      <c r="O51" s="15">
        <f t="shared" si="0"/>
        <v>99</v>
      </c>
      <c r="P51" s="15">
        <f t="shared" si="1"/>
        <v>207</v>
      </c>
      <c r="R51" s="8"/>
      <c r="T51"/>
    </row>
    <row r="52" spans="2:20" ht="23.1" customHeight="1" x14ac:dyDescent="0.25">
      <c r="B52" s="24" t="s">
        <v>79</v>
      </c>
      <c r="C52" s="50">
        <v>19</v>
      </c>
      <c r="D52" s="50">
        <v>13</v>
      </c>
      <c r="E52" s="50">
        <v>18</v>
      </c>
      <c r="F52" s="50">
        <v>63</v>
      </c>
      <c r="G52" s="50">
        <v>6</v>
      </c>
      <c r="H52" s="50">
        <v>2</v>
      </c>
      <c r="I52" s="50">
        <v>6</v>
      </c>
      <c r="J52" s="50">
        <v>1</v>
      </c>
      <c r="K52" s="50">
        <v>0</v>
      </c>
      <c r="L52" s="50">
        <v>4</v>
      </c>
      <c r="M52" s="50">
        <v>116</v>
      </c>
      <c r="N52" s="50">
        <v>0</v>
      </c>
      <c r="O52" s="15">
        <f t="shared" si="0"/>
        <v>132</v>
      </c>
      <c r="P52" s="15">
        <f t="shared" si="1"/>
        <v>248</v>
      </c>
      <c r="R52" s="8"/>
      <c r="T52"/>
    </row>
    <row r="53" spans="2:20" ht="23.1" customHeight="1" x14ac:dyDescent="0.25">
      <c r="B53" s="23" t="s">
        <v>80</v>
      </c>
      <c r="C53" s="50">
        <v>23</v>
      </c>
      <c r="D53" s="50">
        <v>15</v>
      </c>
      <c r="E53" s="50">
        <v>7</v>
      </c>
      <c r="F53" s="50">
        <v>36</v>
      </c>
      <c r="G53" s="50">
        <v>7</v>
      </c>
      <c r="H53" s="50">
        <v>0</v>
      </c>
      <c r="I53" s="50">
        <v>5</v>
      </c>
      <c r="J53" s="50">
        <v>10</v>
      </c>
      <c r="K53" s="50">
        <v>3</v>
      </c>
      <c r="L53" s="50">
        <v>9</v>
      </c>
      <c r="M53" s="50">
        <v>135</v>
      </c>
      <c r="N53" s="50">
        <v>0</v>
      </c>
      <c r="O53" s="15">
        <f t="shared" si="0"/>
        <v>115</v>
      </c>
      <c r="P53" s="15">
        <f t="shared" si="1"/>
        <v>250</v>
      </c>
      <c r="R53" s="8"/>
      <c r="T53"/>
    </row>
    <row r="54" spans="2:20" ht="23.1" customHeight="1" x14ac:dyDescent="0.25">
      <c r="B54" s="23" t="s">
        <v>81</v>
      </c>
      <c r="C54" s="50">
        <v>28</v>
      </c>
      <c r="D54" s="50">
        <v>9</v>
      </c>
      <c r="E54" s="50">
        <v>7</v>
      </c>
      <c r="F54" s="50">
        <v>46</v>
      </c>
      <c r="G54" s="50">
        <v>1</v>
      </c>
      <c r="H54" s="50">
        <v>0</v>
      </c>
      <c r="I54" s="50">
        <v>5</v>
      </c>
      <c r="J54" s="50">
        <v>4</v>
      </c>
      <c r="K54" s="50">
        <v>4</v>
      </c>
      <c r="L54" s="50">
        <v>11</v>
      </c>
      <c r="M54" s="50">
        <v>106</v>
      </c>
      <c r="N54" s="50">
        <v>1</v>
      </c>
      <c r="O54" s="15">
        <f t="shared" si="0"/>
        <v>116</v>
      </c>
      <c r="P54" s="15">
        <f t="shared" si="1"/>
        <v>222</v>
      </c>
      <c r="R54" s="8"/>
      <c r="T54"/>
    </row>
    <row r="55" spans="2:20" ht="23.1" customHeight="1" x14ac:dyDescent="0.25">
      <c r="B55" s="23" t="s">
        <v>82</v>
      </c>
      <c r="C55" s="50">
        <v>22</v>
      </c>
      <c r="D55" s="50">
        <v>12</v>
      </c>
      <c r="E55" s="50">
        <v>4</v>
      </c>
      <c r="F55" s="50">
        <v>53</v>
      </c>
      <c r="G55" s="50">
        <v>6</v>
      </c>
      <c r="H55" s="50">
        <v>0</v>
      </c>
      <c r="I55" s="50">
        <v>4</v>
      </c>
      <c r="J55" s="50">
        <v>5</v>
      </c>
      <c r="K55" s="50">
        <v>2</v>
      </c>
      <c r="L55" s="50">
        <v>9</v>
      </c>
      <c r="M55" s="50">
        <v>125</v>
      </c>
      <c r="N55" s="50">
        <v>0</v>
      </c>
      <c r="O55" s="15">
        <f t="shared" si="0"/>
        <v>117</v>
      </c>
      <c r="P55" s="15">
        <f t="shared" si="1"/>
        <v>242</v>
      </c>
      <c r="R55" s="8"/>
      <c r="T55"/>
    </row>
    <row r="56" spans="2:20" ht="23.1" customHeight="1" x14ac:dyDescent="0.25">
      <c r="B56" s="23" t="s">
        <v>83</v>
      </c>
      <c r="C56" s="50">
        <v>25</v>
      </c>
      <c r="D56" s="50">
        <v>22</v>
      </c>
      <c r="E56" s="50">
        <v>6</v>
      </c>
      <c r="F56" s="50">
        <v>55</v>
      </c>
      <c r="G56" s="50">
        <v>3</v>
      </c>
      <c r="H56" s="50">
        <v>1</v>
      </c>
      <c r="I56" s="50">
        <v>10</v>
      </c>
      <c r="J56" s="50">
        <v>6</v>
      </c>
      <c r="K56" s="50">
        <v>2</v>
      </c>
      <c r="L56" s="50">
        <v>10</v>
      </c>
      <c r="M56" s="50">
        <v>136</v>
      </c>
      <c r="N56" s="50">
        <v>0</v>
      </c>
      <c r="O56" s="15">
        <f t="shared" si="0"/>
        <v>140</v>
      </c>
      <c r="P56" s="15">
        <f t="shared" si="1"/>
        <v>276</v>
      </c>
      <c r="R56" s="8"/>
      <c r="T56"/>
    </row>
    <row r="57" spans="2:20" ht="23.1" customHeight="1" x14ac:dyDescent="0.25">
      <c r="B57" s="23" t="s">
        <v>84</v>
      </c>
      <c r="C57" s="50">
        <v>16</v>
      </c>
      <c r="D57" s="50">
        <v>7</v>
      </c>
      <c r="E57" s="50">
        <v>8</v>
      </c>
      <c r="F57" s="50">
        <v>56</v>
      </c>
      <c r="G57" s="50">
        <v>4</v>
      </c>
      <c r="H57" s="50">
        <v>0</v>
      </c>
      <c r="I57" s="50">
        <v>3</v>
      </c>
      <c r="J57" s="50">
        <v>10</v>
      </c>
      <c r="K57" s="50">
        <v>6</v>
      </c>
      <c r="L57" s="50">
        <v>7</v>
      </c>
      <c r="M57" s="50">
        <v>137</v>
      </c>
      <c r="N57" s="50">
        <v>0</v>
      </c>
      <c r="O57" s="15">
        <f t="shared" si="0"/>
        <v>117</v>
      </c>
      <c r="P57" s="15">
        <f t="shared" si="1"/>
        <v>254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1183</v>
      </c>
      <c r="D58" s="16">
        <f t="shared" si="21"/>
        <v>609</v>
      </c>
      <c r="E58" s="16">
        <f t="shared" si="21"/>
        <v>338</v>
      </c>
      <c r="F58" s="16">
        <f t="shared" si="21"/>
        <v>2125</v>
      </c>
      <c r="G58" s="16">
        <f t="shared" si="21"/>
        <v>116</v>
      </c>
      <c r="H58" s="16">
        <f t="shared" si="21"/>
        <v>32</v>
      </c>
      <c r="I58" s="16">
        <f t="shared" si="21"/>
        <v>312</v>
      </c>
      <c r="J58" s="16">
        <f t="shared" si="21"/>
        <v>325</v>
      </c>
      <c r="K58" s="16">
        <f t="shared" si="21"/>
        <v>204</v>
      </c>
      <c r="L58" s="16">
        <f t="shared" si="21"/>
        <v>702</v>
      </c>
      <c r="M58" s="16">
        <f t="shared" si="21"/>
        <v>5346</v>
      </c>
      <c r="N58" s="16">
        <f t="shared" si="21"/>
        <v>4</v>
      </c>
      <c r="O58" s="16">
        <f t="shared" si="21"/>
        <v>5950</v>
      </c>
      <c r="P58" s="16">
        <f t="shared" si="21"/>
        <v>11296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0.10472733711048159</v>
      </c>
      <c r="D59" s="43">
        <f t="shared" si="22"/>
        <v>5.3912889518413595E-2</v>
      </c>
      <c r="E59" s="43">
        <f t="shared" si="22"/>
        <v>2.9922096317280454E-2</v>
      </c>
      <c r="F59" s="43">
        <f t="shared" si="22"/>
        <v>0.18811968838526913</v>
      </c>
      <c r="G59" s="43">
        <f t="shared" si="22"/>
        <v>1.0269121813031162E-2</v>
      </c>
      <c r="H59" s="43">
        <f t="shared" si="22"/>
        <v>2.8328611898016999E-3</v>
      </c>
      <c r="I59" s="43">
        <f t="shared" si="22"/>
        <v>2.7620396600566571E-2</v>
      </c>
      <c r="J59" s="43">
        <f t="shared" si="22"/>
        <v>2.8771246458923514E-2</v>
      </c>
      <c r="K59" s="43">
        <f t="shared" si="22"/>
        <v>1.8059490084985835E-2</v>
      </c>
      <c r="L59" s="43">
        <f t="shared" si="22"/>
        <v>6.2145892351274788E-2</v>
      </c>
      <c r="M59" s="43">
        <f t="shared" si="22"/>
        <v>0.47326487252124644</v>
      </c>
      <c r="N59" s="43">
        <f t="shared" si="22"/>
        <v>3.5410764872521248E-4</v>
      </c>
      <c r="R59" s="8"/>
      <c r="T59"/>
    </row>
    <row r="60" spans="2:20" ht="23.1" customHeight="1" x14ac:dyDescent="0.25">
      <c r="B60" s="42" t="s">
        <v>94</v>
      </c>
      <c r="C60" s="44">
        <f>C58/$O$58</f>
        <v>0.1988235294117647</v>
      </c>
      <c r="D60" s="44">
        <f t="shared" ref="D60:N60" si="23">D58/$O$58</f>
        <v>0.10235294117647059</v>
      </c>
      <c r="E60" s="44">
        <f t="shared" si="23"/>
        <v>5.6806722689075627E-2</v>
      </c>
      <c r="F60" s="44">
        <f t="shared" si="23"/>
        <v>0.35714285714285715</v>
      </c>
      <c r="G60" s="44">
        <f t="shared" si="23"/>
        <v>1.9495798319327733E-2</v>
      </c>
      <c r="H60" s="44">
        <f t="shared" si="23"/>
        <v>5.3781512605042018E-3</v>
      </c>
      <c r="I60" s="44">
        <f t="shared" si="23"/>
        <v>5.2436974789915963E-2</v>
      </c>
      <c r="J60" s="44">
        <f t="shared" si="23"/>
        <v>5.4621848739495799E-2</v>
      </c>
      <c r="K60" s="44">
        <f t="shared" si="23"/>
        <v>3.4285714285714287E-2</v>
      </c>
      <c r="L60" s="44">
        <f t="shared" si="23"/>
        <v>0.11798319327731092</v>
      </c>
      <c r="M60" s="44"/>
      <c r="N60" s="44">
        <f t="shared" si="23"/>
        <v>6.7226890756302523E-4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F126"/>
  <sheetViews>
    <sheetView view="pageBreakPreview" zoomScale="60" workbookViewId="0">
      <selection activeCell="R6" sqref="R6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2" t="s">
        <v>23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  <c r="AE1" s="62"/>
    </row>
    <row r="2" spans="2:32" ht="20.100000000000001" customHeight="1" x14ac:dyDescent="0.25">
      <c r="B2" s="63" t="s">
        <v>95</v>
      </c>
      <c r="C2" s="63"/>
      <c r="D2" s="63"/>
      <c r="E2" s="63"/>
      <c r="F2" s="63"/>
      <c r="G2" s="63"/>
      <c r="H2" s="63"/>
      <c r="I2" s="63"/>
      <c r="J2" s="63"/>
      <c r="K2" s="63"/>
      <c r="L2" s="63"/>
      <c r="M2" s="63"/>
      <c r="N2" s="63"/>
      <c r="O2" s="63"/>
      <c r="P2" s="63"/>
      <c r="Q2" s="63"/>
      <c r="R2" s="63"/>
      <c r="S2" s="63"/>
      <c r="T2" s="63"/>
      <c r="U2" s="63"/>
      <c r="V2" s="63"/>
      <c r="W2" s="63"/>
      <c r="X2" s="63"/>
      <c r="Y2" s="63"/>
      <c r="Z2" s="63"/>
      <c r="AA2" s="63"/>
      <c r="AB2" s="63"/>
      <c r="AC2" s="63"/>
      <c r="AD2" s="63"/>
      <c r="AE2" s="63"/>
    </row>
    <row r="3" spans="2:32" ht="20.100000000000001" customHeight="1" x14ac:dyDescent="0.25">
      <c r="B3" s="22" t="s">
        <v>96</v>
      </c>
      <c r="C3" s="71" t="str">
        <f>'[1]23.09 Seeta-Mukono'!C3:G3</f>
        <v>MCC - C2 - STN074 - SONDE  ROAD</v>
      </c>
      <c r="D3" s="71"/>
      <c r="E3" s="71"/>
      <c r="F3" s="71"/>
      <c r="G3" s="71"/>
      <c r="H3" s="22"/>
      <c r="I3" s="22"/>
      <c r="J3" s="22"/>
      <c r="K3" s="22"/>
      <c r="L3" s="22"/>
      <c r="M3" s="22"/>
      <c r="N3" s="22"/>
      <c r="O3" s="22"/>
      <c r="P3" s="22"/>
      <c r="R3"/>
      <c r="S3" s="19"/>
      <c r="T3" s="19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R4"/>
      <c r="S4" s="19"/>
      <c r="T4" s="19"/>
    </row>
    <row r="5" spans="2:32" ht="20.100000000000001" customHeight="1" x14ac:dyDescent="0.25">
      <c r="C5" s="2" t="s">
        <v>3</v>
      </c>
      <c r="D5" s="36" t="s">
        <v>174</v>
      </c>
      <c r="F5" s="41" t="s">
        <v>1</v>
      </c>
      <c r="G5" s="68" t="str">
        <f>'[1]23.09 Seeta-Mukono'!G5:H5</f>
        <v>Gasco Petrol Sta'n</v>
      </c>
      <c r="H5" s="69"/>
      <c r="I5" s="14"/>
      <c r="J5" s="2" t="s">
        <v>5</v>
      </c>
      <c r="K5" s="68" t="str">
        <f>'[1]23.09 Seeta-Mukono'!K5:L5</f>
        <v>Namuddu. M</v>
      </c>
      <c r="L5" s="69"/>
      <c r="M5" s="19"/>
      <c r="N5" s="19"/>
      <c r="R5"/>
      <c r="S5" s="19"/>
      <c r="T5" s="19"/>
    </row>
    <row r="6" spans="2:32" ht="23.25" customHeight="1" x14ac:dyDescent="0.25">
      <c r="C6" s="2" t="s">
        <v>4</v>
      </c>
      <c r="D6" s="68" t="str">
        <f>'[1]23.09 Seeta-Mukono'!D6:E6</f>
        <v>Seeta</v>
      </c>
      <c r="E6" s="69"/>
      <c r="F6" s="2" t="s">
        <v>2</v>
      </c>
      <c r="G6" s="68" t="str">
        <f>'[1]23.09 Seeta-Mukono'!G6:H6</f>
        <v>Mukono</v>
      </c>
      <c r="H6" s="69"/>
      <c r="J6" s="2" t="s">
        <v>21</v>
      </c>
      <c r="K6" s="68" t="str">
        <f>'[1]23.09 Seeta-Mukono'!K6:L6</f>
        <v>Tracy</v>
      </c>
      <c r="L6" s="69"/>
      <c r="M6" s="19"/>
      <c r="N6" s="19"/>
      <c r="R6"/>
      <c r="S6" s="19"/>
      <c r="T6" s="19"/>
    </row>
    <row r="7" spans="2:32" ht="20.100000000000001" customHeight="1" x14ac:dyDescent="0.25">
      <c r="B7" s="2"/>
      <c r="I7" s="2"/>
      <c r="R7"/>
      <c r="S7" s="19"/>
      <c r="T7" s="19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70" t="s">
        <v>88</v>
      </c>
      <c r="S8" s="70"/>
      <c r="T8" s="70"/>
      <c r="U8" s="70"/>
      <c r="V8" s="70"/>
      <c r="W8" s="70"/>
      <c r="X8" s="70"/>
      <c r="Y8" s="70"/>
      <c r="Z8" s="70"/>
      <c r="AA8" s="70"/>
      <c r="AB8" s="70"/>
      <c r="AC8" s="70"/>
      <c r="AD8" s="70"/>
      <c r="AE8" s="70"/>
      <c r="AF8" s="70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105</v>
      </c>
      <c r="D10" s="50">
        <v>4</v>
      </c>
      <c r="E10" s="50">
        <v>11</v>
      </c>
      <c r="F10" s="50">
        <v>3</v>
      </c>
      <c r="G10" s="50">
        <v>2</v>
      </c>
      <c r="H10" s="50">
        <v>23</v>
      </c>
      <c r="I10" s="50">
        <v>6</v>
      </c>
      <c r="J10" s="50">
        <v>2</v>
      </c>
      <c r="K10" s="50">
        <v>2</v>
      </c>
      <c r="L10" s="50">
        <v>0</v>
      </c>
      <c r="M10" s="50">
        <v>117</v>
      </c>
      <c r="N10" s="50">
        <v>0</v>
      </c>
      <c r="O10" s="17">
        <f t="shared" ref="O10:O57" si="0">SUM(C10:L10,N10)</f>
        <v>158</v>
      </c>
      <c r="P10" s="17">
        <f t="shared" ref="P10:P57" si="1">SUM(C10:N10)</f>
        <v>275</v>
      </c>
      <c r="R10" s="1" t="s">
        <v>6</v>
      </c>
      <c r="S10" s="17">
        <f t="shared" ref="S10:AF10" si="2">SUM(C10:C13)</f>
        <v>283</v>
      </c>
      <c r="T10" s="17">
        <f t="shared" si="2"/>
        <v>28</v>
      </c>
      <c r="U10" s="17">
        <f t="shared" si="2"/>
        <v>45</v>
      </c>
      <c r="V10" s="17">
        <f t="shared" si="2"/>
        <v>134</v>
      </c>
      <c r="W10" s="17">
        <f t="shared" si="2"/>
        <v>5</v>
      </c>
      <c r="X10" s="17">
        <f t="shared" si="2"/>
        <v>24</v>
      </c>
      <c r="Y10" s="17">
        <f t="shared" si="2"/>
        <v>42</v>
      </c>
      <c r="Z10" s="17">
        <f t="shared" si="2"/>
        <v>13</v>
      </c>
      <c r="AA10" s="17">
        <f t="shared" si="2"/>
        <v>14</v>
      </c>
      <c r="AB10" s="17">
        <f t="shared" si="2"/>
        <v>10</v>
      </c>
      <c r="AC10" s="17">
        <f t="shared" si="2"/>
        <v>393</v>
      </c>
      <c r="AD10" s="17">
        <f t="shared" si="2"/>
        <v>0</v>
      </c>
      <c r="AE10" s="31">
        <f t="shared" si="2"/>
        <v>598</v>
      </c>
      <c r="AF10" s="31">
        <f t="shared" si="2"/>
        <v>991</v>
      </c>
    </row>
    <row r="11" spans="2:32" s="6" customFormat="1" ht="23.1" customHeight="1" x14ac:dyDescent="0.25">
      <c r="B11" s="23" t="s">
        <v>38</v>
      </c>
      <c r="C11" s="50">
        <v>46</v>
      </c>
      <c r="D11" s="50">
        <v>12</v>
      </c>
      <c r="E11" s="50">
        <v>7</v>
      </c>
      <c r="F11" s="50">
        <v>37</v>
      </c>
      <c r="G11" s="50">
        <v>1</v>
      </c>
      <c r="H11" s="50">
        <v>0</v>
      </c>
      <c r="I11" s="50">
        <v>13</v>
      </c>
      <c r="J11" s="50">
        <v>3</v>
      </c>
      <c r="K11" s="50">
        <v>5</v>
      </c>
      <c r="L11" s="50">
        <v>3</v>
      </c>
      <c r="M11" s="50">
        <v>50</v>
      </c>
      <c r="N11" s="50">
        <v>0</v>
      </c>
      <c r="O11" s="17">
        <f t="shared" si="0"/>
        <v>127</v>
      </c>
      <c r="P11" s="17">
        <f t="shared" si="1"/>
        <v>177</v>
      </c>
      <c r="R11" s="1" t="s">
        <v>7</v>
      </c>
      <c r="S11" s="17">
        <f t="shared" ref="S11:AF11" si="3">SUM(C14:C17)</f>
        <v>273</v>
      </c>
      <c r="T11" s="17">
        <f t="shared" si="3"/>
        <v>31</v>
      </c>
      <c r="U11" s="17">
        <f t="shared" si="3"/>
        <v>31</v>
      </c>
      <c r="V11" s="17">
        <f t="shared" si="3"/>
        <v>150</v>
      </c>
      <c r="W11" s="17">
        <f t="shared" si="3"/>
        <v>8</v>
      </c>
      <c r="X11" s="17">
        <f t="shared" si="3"/>
        <v>12</v>
      </c>
      <c r="Y11" s="17">
        <f t="shared" si="3"/>
        <v>54</v>
      </c>
      <c r="Z11" s="17">
        <f t="shared" si="3"/>
        <v>26</v>
      </c>
      <c r="AA11" s="17">
        <f t="shared" si="3"/>
        <v>7</v>
      </c>
      <c r="AB11" s="17">
        <f t="shared" si="3"/>
        <v>11</v>
      </c>
      <c r="AC11" s="17">
        <f t="shared" si="3"/>
        <v>453</v>
      </c>
      <c r="AD11" s="17">
        <f t="shared" si="3"/>
        <v>0</v>
      </c>
      <c r="AE11" s="31">
        <f t="shared" si="3"/>
        <v>603</v>
      </c>
      <c r="AF11" s="31">
        <f t="shared" si="3"/>
        <v>1056</v>
      </c>
    </row>
    <row r="12" spans="2:32" ht="23.1" customHeight="1" x14ac:dyDescent="0.25">
      <c r="B12" s="23" t="s">
        <v>39</v>
      </c>
      <c r="C12" s="50">
        <v>55</v>
      </c>
      <c r="D12" s="50">
        <v>7</v>
      </c>
      <c r="E12" s="50">
        <v>10</v>
      </c>
      <c r="F12" s="50">
        <v>50</v>
      </c>
      <c r="G12" s="50">
        <v>1</v>
      </c>
      <c r="H12" s="50">
        <v>1</v>
      </c>
      <c r="I12" s="50">
        <v>12</v>
      </c>
      <c r="J12" s="50">
        <v>7</v>
      </c>
      <c r="K12" s="50">
        <v>5</v>
      </c>
      <c r="L12" s="50">
        <v>4</v>
      </c>
      <c r="M12" s="50">
        <v>109</v>
      </c>
      <c r="N12" s="50">
        <v>0</v>
      </c>
      <c r="O12" s="17">
        <f t="shared" si="0"/>
        <v>152</v>
      </c>
      <c r="P12" s="17">
        <f t="shared" si="1"/>
        <v>261</v>
      </c>
      <c r="R12" s="1" t="s">
        <v>8</v>
      </c>
      <c r="S12" s="17">
        <f t="shared" ref="S12:AF12" si="4">SUM(C18:C21)</f>
        <v>250</v>
      </c>
      <c r="T12" s="17">
        <f t="shared" si="4"/>
        <v>41</v>
      </c>
      <c r="U12" s="17">
        <f t="shared" si="4"/>
        <v>42</v>
      </c>
      <c r="V12" s="17">
        <f t="shared" si="4"/>
        <v>221</v>
      </c>
      <c r="W12" s="17">
        <f t="shared" si="4"/>
        <v>14</v>
      </c>
      <c r="X12" s="17">
        <f t="shared" si="4"/>
        <v>1</v>
      </c>
      <c r="Y12" s="17">
        <f t="shared" si="4"/>
        <v>38</v>
      </c>
      <c r="Z12" s="17">
        <f t="shared" si="4"/>
        <v>36</v>
      </c>
      <c r="AA12" s="17">
        <f t="shared" si="4"/>
        <v>14</v>
      </c>
      <c r="AB12" s="17">
        <f t="shared" si="4"/>
        <v>8</v>
      </c>
      <c r="AC12" s="17">
        <f t="shared" si="4"/>
        <v>451</v>
      </c>
      <c r="AD12" s="17">
        <f t="shared" si="4"/>
        <v>0</v>
      </c>
      <c r="AE12" s="31">
        <f t="shared" si="4"/>
        <v>665</v>
      </c>
      <c r="AF12" s="31">
        <f t="shared" si="4"/>
        <v>1116</v>
      </c>
    </row>
    <row r="13" spans="2:32" ht="23.1" customHeight="1" x14ac:dyDescent="0.25">
      <c r="B13" s="23" t="s">
        <v>40</v>
      </c>
      <c r="C13" s="50">
        <v>77</v>
      </c>
      <c r="D13" s="50">
        <v>5</v>
      </c>
      <c r="E13" s="50">
        <v>17</v>
      </c>
      <c r="F13" s="50">
        <v>44</v>
      </c>
      <c r="G13" s="50">
        <v>1</v>
      </c>
      <c r="H13" s="50">
        <v>0</v>
      </c>
      <c r="I13" s="50">
        <v>11</v>
      </c>
      <c r="J13" s="50">
        <v>1</v>
      </c>
      <c r="K13" s="50">
        <v>2</v>
      </c>
      <c r="L13" s="50">
        <v>3</v>
      </c>
      <c r="M13" s="50">
        <v>117</v>
      </c>
      <c r="N13" s="50">
        <v>0</v>
      </c>
      <c r="O13" s="17">
        <f t="shared" si="0"/>
        <v>161</v>
      </c>
      <c r="P13" s="17">
        <f t="shared" si="1"/>
        <v>278</v>
      </c>
      <c r="R13" s="1" t="s">
        <v>9</v>
      </c>
      <c r="S13" s="17">
        <f t="shared" ref="S13:AF13" si="5">SUM(C22:C25)</f>
        <v>231</v>
      </c>
      <c r="T13" s="17">
        <f t="shared" si="5"/>
        <v>19</v>
      </c>
      <c r="U13" s="17">
        <f t="shared" si="5"/>
        <v>34</v>
      </c>
      <c r="V13" s="17">
        <f t="shared" si="5"/>
        <v>188</v>
      </c>
      <c r="W13" s="17">
        <f t="shared" si="5"/>
        <v>7</v>
      </c>
      <c r="X13" s="17">
        <f t="shared" si="5"/>
        <v>3</v>
      </c>
      <c r="Y13" s="17">
        <f t="shared" si="5"/>
        <v>69</v>
      </c>
      <c r="Z13" s="17">
        <f t="shared" si="5"/>
        <v>23</v>
      </c>
      <c r="AA13" s="17">
        <f t="shared" si="5"/>
        <v>17</v>
      </c>
      <c r="AB13" s="17">
        <f t="shared" si="5"/>
        <v>44</v>
      </c>
      <c r="AC13" s="17">
        <f t="shared" si="5"/>
        <v>451</v>
      </c>
      <c r="AD13" s="17">
        <f t="shared" si="5"/>
        <v>0</v>
      </c>
      <c r="AE13" s="31">
        <f t="shared" si="5"/>
        <v>635</v>
      </c>
      <c r="AF13" s="31">
        <f t="shared" si="5"/>
        <v>1086</v>
      </c>
    </row>
    <row r="14" spans="2:32" ht="23.1" customHeight="1" x14ac:dyDescent="0.25">
      <c r="B14" s="23" t="s">
        <v>41</v>
      </c>
      <c r="C14" s="50">
        <v>76</v>
      </c>
      <c r="D14" s="50">
        <v>6</v>
      </c>
      <c r="E14" s="50">
        <v>4</v>
      </c>
      <c r="F14" s="50">
        <v>2</v>
      </c>
      <c r="G14" s="50">
        <v>3</v>
      </c>
      <c r="H14" s="50">
        <v>12</v>
      </c>
      <c r="I14" s="50">
        <v>4</v>
      </c>
      <c r="J14" s="50">
        <v>5</v>
      </c>
      <c r="K14" s="50">
        <v>2</v>
      </c>
      <c r="L14" s="50">
        <v>0</v>
      </c>
      <c r="M14" s="50">
        <v>100</v>
      </c>
      <c r="N14" s="50">
        <v>0</v>
      </c>
      <c r="O14" s="17">
        <f t="shared" si="0"/>
        <v>114</v>
      </c>
      <c r="P14" s="17">
        <f t="shared" si="1"/>
        <v>214</v>
      </c>
      <c r="R14" s="1" t="s">
        <v>10</v>
      </c>
      <c r="S14" s="17">
        <f t="shared" ref="S14:AF14" si="6">SUM(C26:C29)</f>
        <v>188</v>
      </c>
      <c r="T14" s="17">
        <f t="shared" si="6"/>
        <v>29</v>
      </c>
      <c r="U14" s="17">
        <f t="shared" si="6"/>
        <v>36</v>
      </c>
      <c r="V14" s="17">
        <f t="shared" si="6"/>
        <v>175</v>
      </c>
      <c r="W14" s="17">
        <f t="shared" si="6"/>
        <v>7</v>
      </c>
      <c r="X14" s="17">
        <f t="shared" si="6"/>
        <v>0</v>
      </c>
      <c r="Y14" s="17">
        <f t="shared" si="6"/>
        <v>67</v>
      </c>
      <c r="Z14" s="17">
        <f t="shared" si="6"/>
        <v>38</v>
      </c>
      <c r="AA14" s="17">
        <f t="shared" si="6"/>
        <v>19</v>
      </c>
      <c r="AB14" s="17">
        <f t="shared" si="6"/>
        <v>64</v>
      </c>
      <c r="AC14" s="17">
        <f t="shared" si="6"/>
        <v>474</v>
      </c>
      <c r="AD14" s="17">
        <f t="shared" si="6"/>
        <v>0</v>
      </c>
      <c r="AE14" s="31">
        <f t="shared" si="6"/>
        <v>623</v>
      </c>
      <c r="AF14" s="31">
        <f t="shared" si="6"/>
        <v>1097</v>
      </c>
    </row>
    <row r="15" spans="2:32" ht="23.1" customHeight="1" x14ac:dyDescent="0.25">
      <c r="B15" s="23" t="s">
        <v>42</v>
      </c>
      <c r="C15" s="50">
        <v>61</v>
      </c>
      <c r="D15" s="50">
        <v>9</v>
      </c>
      <c r="E15" s="50">
        <v>8</v>
      </c>
      <c r="F15" s="50">
        <v>50</v>
      </c>
      <c r="G15" s="50">
        <v>1</v>
      </c>
      <c r="H15" s="50">
        <v>0</v>
      </c>
      <c r="I15" s="50">
        <v>14</v>
      </c>
      <c r="J15" s="50">
        <v>6</v>
      </c>
      <c r="K15" s="50">
        <v>3</v>
      </c>
      <c r="L15" s="50">
        <v>3</v>
      </c>
      <c r="M15" s="50">
        <v>141</v>
      </c>
      <c r="N15" s="50">
        <v>0</v>
      </c>
      <c r="O15" s="17">
        <f t="shared" si="0"/>
        <v>155</v>
      </c>
      <c r="P15" s="17">
        <f t="shared" si="1"/>
        <v>296</v>
      </c>
      <c r="R15" s="1" t="s">
        <v>11</v>
      </c>
      <c r="S15" s="17">
        <f t="shared" ref="S15:AF15" si="7">SUM(C30:C33)</f>
        <v>176</v>
      </c>
      <c r="T15" s="17">
        <f t="shared" si="7"/>
        <v>26</v>
      </c>
      <c r="U15" s="17">
        <f t="shared" si="7"/>
        <v>30</v>
      </c>
      <c r="V15" s="17">
        <f t="shared" si="7"/>
        <v>154</v>
      </c>
      <c r="W15" s="17">
        <f t="shared" si="7"/>
        <v>7</v>
      </c>
      <c r="X15" s="17">
        <f t="shared" si="7"/>
        <v>18</v>
      </c>
      <c r="Y15" s="17">
        <f t="shared" si="7"/>
        <v>53</v>
      </c>
      <c r="Z15" s="17">
        <f t="shared" si="7"/>
        <v>35</v>
      </c>
      <c r="AA15" s="17">
        <f t="shared" si="7"/>
        <v>32</v>
      </c>
      <c r="AB15" s="17">
        <f t="shared" si="7"/>
        <v>44</v>
      </c>
      <c r="AC15" s="17">
        <f t="shared" si="7"/>
        <v>474</v>
      </c>
      <c r="AD15" s="17">
        <f t="shared" si="7"/>
        <v>0</v>
      </c>
      <c r="AE15" s="31">
        <f t="shared" si="7"/>
        <v>575</v>
      </c>
      <c r="AF15" s="31">
        <f t="shared" si="7"/>
        <v>1049</v>
      </c>
    </row>
    <row r="16" spans="2:32" ht="23.1" customHeight="1" x14ac:dyDescent="0.25">
      <c r="B16" s="23" t="s">
        <v>43</v>
      </c>
      <c r="C16" s="50">
        <v>66</v>
      </c>
      <c r="D16" s="50">
        <v>6</v>
      </c>
      <c r="E16" s="50">
        <v>7</v>
      </c>
      <c r="F16" s="50">
        <v>44</v>
      </c>
      <c r="G16" s="50">
        <v>2</v>
      </c>
      <c r="H16" s="50">
        <v>0</v>
      </c>
      <c r="I16" s="50">
        <v>18</v>
      </c>
      <c r="J16" s="50">
        <v>9</v>
      </c>
      <c r="K16" s="50">
        <v>0</v>
      </c>
      <c r="L16" s="50">
        <v>4</v>
      </c>
      <c r="M16" s="50">
        <v>99</v>
      </c>
      <c r="N16" s="50">
        <v>0</v>
      </c>
      <c r="O16" s="17">
        <f t="shared" si="0"/>
        <v>156</v>
      </c>
      <c r="P16" s="17">
        <f t="shared" si="1"/>
        <v>255</v>
      </c>
      <c r="R16" s="1" t="s">
        <v>12</v>
      </c>
      <c r="S16" s="17">
        <f t="shared" ref="S16:AF16" si="8">SUM(C34:C37)</f>
        <v>186</v>
      </c>
      <c r="T16" s="17">
        <f t="shared" si="8"/>
        <v>26</v>
      </c>
      <c r="U16" s="17">
        <f t="shared" si="8"/>
        <v>25</v>
      </c>
      <c r="V16" s="17">
        <f t="shared" si="8"/>
        <v>160</v>
      </c>
      <c r="W16" s="17">
        <f t="shared" si="8"/>
        <v>8</v>
      </c>
      <c r="X16" s="17">
        <f t="shared" si="8"/>
        <v>1</v>
      </c>
      <c r="Y16" s="17">
        <f t="shared" si="8"/>
        <v>64</v>
      </c>
      <c r="Z16" s="17">
        <f t="shared" si="8"/>
        <v>32</v>
      </c>
      <c r="AA16" s="17">
        <f t="shared" si="8"/>
        <v>28</v>
      </c>
      <c r="AB16" s="17">
        <f t="shared" si="8"/>
        <v>92</v>
      </c>
      <c r="AC16" s="17">
        <f t="shared" si="8"/>
        <v>398</v>
      </c>
      <c r="AD16" s="17">
        <f t="shared" si="8"/>
        <v>0</v>
      </c>
      <c r="AE16" s="31">
        <f t="shared" si="8"/>
        <v>622</v>
      </c>
      <c r="AF16" s="31">
        <f t="shared" si="8"/>
        <v>1020</v>
      </c>
    </row>
    <row r="17" spans="2:32" ht="23.1" customHeight="1" x14ac:dyDescent="0.25">
      <c r="B17" s="23" t="s">
        <v>44</v>
      </c>
      <c r="C17" s="50">
        <v>70</v>
      </c>
      <c r="D17" s="50">
        <v>10</v>
      </c>
      <c r="E17" s="50">
        <v>12</v>
      </c>
      <c r="F17" s="50">
        <v>54</v>
      </c>
      <c r="G17" s="50">
        <v>2</v>
      </c>
      <c r="H17" s="50">
        <v>0</v>
      </c>
      <c r="I17" s="50">
        <v>18</v>
      </c>
      <c r="J17" s="50">
        <v>6</v>
      </c>
      <c r="K17" s="50">
        <v>2</v>
      </c>
      <c r="L17" s="50">
        <v>4</v>
      </c>
      <c r="M17" s="50">
        <v>113</v>
      </c>
      <c r="N17" s="50">
        <v>0</v>
      </c>
      <c r="O17" s="17">
        <f t="shared" si="0"/>
        <v>178</v>
      </c>
      <c r="P17" s="17">
        <f t="shared" si="1"/>
        <v>291</v>
      </c>
      <c r="R17" s="1" t="s">
        <v>13</v>
      </c>
      <c r="S17" s="17">
        <f t="shared" ref="S17:AF17" si="9">SUM(C38:C41)</f>
        <v>167</v>
      </c>
      <c r="T17" s="17">
        <f t="shared" si="9"/>
        <v>7</v>
      </c>
      <c r="U17" s="17">
        <f t="shared" si="9"/>
        <v>25</v>
      </c>
      <c r="V17" s="17">
        <f t="shared" si="9"/>
        <v>159</v>
      </c>
      <c r="W17" s="17">
        <f t="shared" si="9"/>
        <v>11</v>
      </c>
      <c r="X17" s="17">
        <f t="shared" si="9"/>
        <v>3</v>
      </c>
      <c r="Y17" s="17">
        <f t="shared" si="9"/>
        <v>78</v>
      </c>
      <c r="Z17" s="17">
        <f t="shared" si="9"/>
        <v>33</v>
      </c>
      <c r="AA17" s="17">
        <f t="shared" si="9"/>
        <v>23</v>
      </c>
      <c r="AB17" s="17">
        <f t="shared" si="9"/>
        <v>96</v>
      </c>
      <c r="AC17" s="17">
        <f t="shared" si="9"/>
        <v>342</v>
      </c>
      <c r="AD17" s="17">
        <f t="shared" si="9"/>
        <v>0</v>
      </c>
      <c r="AE17" s="31">
        <f t="shared" si="9"/>
        <v>602</v>
      </c>
      <c r="AF17" s="31">
        <f t="shared" si="9"/>
        <v>944</v>
      </c>
    </row>
    <row r="18" spans="2:32" ht="23.1" customHeight="1" x14ac:dyDescent="0.25">
      <c r="B18" s="23" t="s">
        <v>45</v>
      </c>
      <c r="C18" s="50">
        <v>60</v>
      </c>
      <c r="D18" s="50">
        <v>11</v>
      </c>
      <c r="E18" s="50">
        <v>14</v>
      </c>
      <c r="F18" s="50">
        <v>48</v>
      </c>
      <c r="G18" s="50">
        <v>2</v>
      </c>
      <c r="H18" s="50">
        <v>0</v>
      </c>
      <c r="I18" s="50">
        <v>18</v>
      </c>
      <c r="J18" s="50">
        <v>5</v>
      </c>
      <c r="K18" s="50">
        <v>6</v>
      </c>
      <c r="L18" s="50">
        <v>4</v>
      </c>
      <c r="M18" s="50">
        <v>104</v>
      </c>
      <c r="N18" s="50">
        <v>0</v>
      </c>
      <c r="O18" s="17">
        <f t="shared" si="0"/>
        <v>168</v>
      </c>
      <c r="P18" s="17">
        <f t="shared" si="1"/>
        <v>272</v>
      </c>
      <c r="R18" s="1" t="s">
        <v>14</v>
      </c>
      <c r="S18" s="17">
        <f t="shared" ref="S18:AF18" si="10">SUM(C42:C45)</f>
        <v>142</v>
      </c>
      <c r="T18" s="17">
        <f t="shared" si="10"/>
        <v>28</v>
      </c>
      <c r="U18" s="17">
        <f t="shared" si="10"/>
        <v>30</v>
      </c>
      <c r="V18" s="17">
        <f t="shared" si="10"/>
        <v>151</v>
      </c>
      <c r="W18" s="17">
        <f t="shared" si="10"/>
        <v>7</v>
      </c>
      <c r="X18" s="17">
        <f t="shared" si="10"/>
        <v>20</v>
      </c>
      <c r="Y18" s="17">
        <f t="shared" si="10"/>
        <v>43</v>
      </c>
      <c r="Z18" s="17">
        <f t="shared" si="10"/>
        <v>36</v>
      </c>
      <c r="AA18" s="17">
        <f t="shared" si="10"/>
        <v>41</v>
      </c>
      <c r="AB18" s="17">
        <f t="shared" si="10"/>
        <v>59</v>
      </c>
      <c r="AC18" s="17">
        <f t="shared" si="10"/>
        <v>405</v>
      </c>
      <c r="AD18" s="17">
        <f t="shared" si="10"/>
        <v>0</v>
      </c>
      <c r="AE18" s="31">
        <f t="shared" si="10"/>
        <v>557</v>
      </c>
      <c r="AF18" s="31">
        <f t="shared" si="10"/>
        <v>962</v>
      </c>
    </row>
    <row r="19" spans="2:32" ht="23.1" customHeight="1" x14ac:dyDescent="0.25">
      <c r="B19" s="23" t="s">
        <v>46</v>
      </c>
      <c r="C19" s="50">
        <v>75</v>
      </c>
      <c r="D19" s="50">
        <v>14</v>
      </c>
      <c r="E19" s="50">
        <v>10</v>
      </c>
      <c r="F19" s="50">
        <v>56</v>
      </c>
      <c r="G19" s="50">
        <v>6</v>
      </c>
      <c r="H19" s="50">
        <v>1</v>
      </c>
      <c r="I19" s="50">
        <v>6</v>
      </c>
      <c r="J19" s="50">
        <v>5</v>
      </c>
      <c r="K19" s="50">
        <v>1</v>
      </c>
      <c r="L19" s="50">
        <v>0</v>
      </c>
      <c r="M19" s="50">
        <v>130</v>
      </c>
      <c r="N19" s="50">
        <v>0</v>
      </c>
      <c r="O19" s="17">
        <f t="shared" si="0"/>
        <v>174</v>
      </c>
      <c r="P19" s="17">
        <f t="shared" si="1"/>
        <v>304</v>
      </c>
      <c r="R19" s="1" t="s">
        <v>15</v>
      </c>
      <c r="S19" s="17">
        <f t="shared" ref="S19:AF19" si="11">SUM(C46:C49)</f>
        <v>163</v>
      </c>
      <c r="T19" s="17">
        <f t="shared" si="11"/>
        <v>19</v>
      </c>
      <c r="U19" s="17">
        <f t="shared" si="11"/>
        <v>22</v>
      </c>
      <c r="V19" s="17">
        <f t="shared" si="11"/>
        <v>136</v>
      </c>
      <c r="W19" s="17">
        <f t="shared" si="11"/>
        <v>9</v>
      </c>
      <c r="X19" s="17">
        <f t="shared" si="11"/>
        <v>22</v>
      </c>
      <c r="Y19" s="17">
        <f t="shared" si="11"/>
        <v>55</v>
      </c>
      <c r="Z19" s="17">
        <f t="shared" si="11"/>
        <v>19</v>
      </c>
      <c r="AA19" s="17">
        <f t="shared" si="11"/>
        <v>29</v>
      </c>
      <c r="AB19" s="17">
        <f t="shared" si="11"/>
        <v>181</v>
      </c>
      <c r="AC19" s="17">
        <f t="shared" si="11"/>
        <v>408</v>
      </c>
      <c r="AD19" s="17">
        <f t="shared" si="11"/>
        <v>0</v>
      </c>
      <c r="AE19" s="31">
        <f t="shared" si="11"/>
        <v>655</v>
      </c>
      <c r="AF19" s="31">
        <f t="shared" si="11"/>
        <v>1063</v>
      </c>
    </row>
    <row r="20" spans="2:32" ht="23.1" customHeight="1" x14ac:dyDescent="0.25">
      <c r="B20" s="23" t="s">
        <v>47</v>
      </c>
      <c r="C20" s="50">
        <v>50</v>
      </c>
      <c r="D20" s="50">
        <v>7</v>
      </c>
      <c r="E20" s="50">
        <v>10</v>
      </c>
      <c r="F20" s="50">
        <v>50</v>
      </c>
      <c r="G20" s="50">
        <v>3</v>
      </c>
      <c r="H20" s="50">
        <v>0</v>
      </c>
      <c r="I20" s="50">
        <v>14</v>
      </c>
      <c r="J20" s="50">
        <v>7</v>
      </c>
      <c r="K20" s="50">
        <v>0</v>
      </c>
      <c r="L20" s="50">
        <v>2</v>
      </c>
      <c r="M20" s="50">
        <v>113</v>
      </c>
      <c r="N20" s="50">
        <v>0</v>
      </c>
      <c r="O20" s="17">
        <f t="shared" si="0"/>
        <v>143</v>
      </c>
      <c r="P20" s="17">
        <f t="shared" si="1"/>
        <v>256</v>
      </c>
      <c r="R20" s="1" t="s">
        <v>16</v>
      </c>
      <c r="S20" s="17">
        <f t="shared" ref="S20:AF20" si="12">SUM(C50:C53)</f>
        <v>190</v>
      </c>
      <c r="T20" s="17">
        <f t="shared" si="12"/>
        <v>15</v>
      </c>
      <c r="U20" s="17">
        <f t="shared" si="12"/>
        <v>23</v>
      </c>
      <c r="V20" s="17">
        <f t="shared" si="12"/>
        <v>159</v>
      </c>
      <c r="W20" s="17">
        <f t="shared" si="12"/>
        <v>65</v>
      </c>
      <c r="X20" s="17">
        <f t="shared" si="12"/>
        <v>5</v>
      </c>
      <c r="Y20" s="17">
        <f t="shared" si="12"/>
        <v>36</v>
      </c>
      <c r="Z20" s="17">
        <f t="shared" si="12"/>
        <v>31</v>
      </c>
      <c r="AA20" s="17">
        <f t="shared" si="12"/>
        <v>23</v>
      </c>
      <c r="AB20" s="17">
        <f t="shared" si="12"/>
        <v>62</v>
      </c>
      <c r="AC20" s="17">
        <f t="shared" si="12"/>
        <v>531</v>
      </c>
      <c r="AD20" s="17">
        <f t="shared" si="12"/>
        <v>0</v>
      </c>
      <c r="AE20" s="31">
        <f t="shared" si="12"/>
        <v>609</v>
      </c>
      <c r="AF20" s="31">
        <f t="shared" si="12"/>
        <v>1140</v>
      </c>
    </row>
    <row r="21" spans="2:32" ht="23.1" customHeight="1" x14ac:dyDescent="0.25">
      <c r="B21" s="23" t="s">
        <v>48</v>
      </c>
      <c r="C21" s="50">
        <v>65</v>
      </c>
      <c r="D21" s="50">
        <v>9</v>
      </c>
      <c r="E21" s="50">
        <v>8</v>
      </c>
      <c r="F21" s="50">
        <v>67</v>
      </c>
      <c r="G21" s="50">
        <v>3</v>
      </c>
      <c r="H21" s="50">
        <v>0</v>
      </c>
      <c r="I21" s="50">
        <v>0</v>
      </c>
      <c r="J21" s="50">
        <v>19</v>
      </c>
      <c r="K21" s="50">
        <v>7</v>
      </c>
      <c r="L21" s="50">
        <v>2</v>
      </c>
      <c r="M21" s="50">
        <v>104</v>
      </c>
      <c r="N21" s="50">
        <v>0</v>
      </c>
      <c r="O21" s="17">
        <f t="shared" si="0"/>
        <v>180</v>
      </c>
      <c r="P21" s="17">
        <f t="shared" si="1"/>
        <v>284</v>
      </c>
      <c r="R21" s="36" t="s">
        <v>20</v>
      </c>
      <c r="S21" s="34">
        <f t="shared" ref="S21:AF21" si="13">SUM(C54:C57)</f>
        <v>207</v>
      </c>
      <c r="T21" s="17">
        <f t="shared" si="13"/>
        <v>20</v>
      </c>
      <c r="U21" s="17">
        <f t="shared" si="13"/>
        <v>28</v>
      </c>
      <c r="V21" s="17">
        <f t="shared" si="13"/>
        <v>163</v>
      </c>
      <c r="W21" s="17">
        <f t="shared" si="13"/>
        <v>11</v>
      </c>
      <c r="X21" s="17">
        <f t="shared" si="13"/>
        <v>22</v>
      </c>
      <c r="Y21" s="17">
        <f t="shared" si="13"/>
        <v>43</v>
      </c>
      <c r="Z21" s="17">
        <f t="shared" si="13"/>
        <v>16</v>
      </c>
      <c r="AA21" s="17">
        <f t="shared" si="13"/>
        <v>25</v>
      </c>
      <c r="AB21" s="17">
        <f t="shared" si="13"/>
        <v>35</v>
      </c>
      <c r="AC21" s="17">
        <f t="shared" si="13"/>
        <v>551</v>
      </c>
      <c r="AD21" s="17">
        <f t="shared" si="13"/>
        <v>0</v>
      </c>
      <c r="AE21" s="31">
        <f t="shared" si="13"/>
        <v>570</v>
      </c>
      <c r="AF21" s="31">
        <f t="shared" si="13"/>
        <v>1121</v>
      </c>
    </row>
    <row r="22" spans="2:32" ht="23.1" customHeight="1" x14ac:dyDescent="0.25">
      <c r="B22" s="23" t="s">
        <v>49</v>
      </c>
      <c r="C22" s="50">
        <v>54</v>
      </c>
      <c r="D22" s="50">
        <v>3</v>
      </c>
      <c r="E22" s="50">
        <v>6</v>
      </c>
      <c r="F22" s="50">
        <v>40</v>
      </c>
      <c r="G22" s="50">
        <v>0</v>
      </c>
      <c r="H22" s="50">
        <v>1</v>
      </c>
      <c r="I22" s="50">
        <v>14</v>
      </c>
      <c r="J22" s="50">
        <v>4</v>
      </c>
      <c r="K22" s="50">
        <v>5</v>
      </c>
      <c r="L22" s="50">
        <v>6</v>
      </c>
      <c r="M22" s="50">
        <v>103</v>
      </c>
      <c r="N22" s="50">
        <v>0</v>
      </c>
      <c r="O22" s="17">
        <f t="shared" si="0"/>
        <v>133</v>
      </c>
      <c r="P22" s="17">
        <f t="shared" si="1"/>
        <v>236</v>
      </c>
      <c r="R22" s="51" t="s">
        <v>90</v>
      </c>
      <c r="S22" s="52">
        <f>MAX(S10:S12)</f>
        <v>283</v>
      </c>
      <c r="T22" s="52">
        <f t="shared" ref="T22:AF22" si="14">MAX(T10:T12)</f>
        <v>41</v>
      </c>
      <c r="U22" s="52">
        <f t="shared" si="14"/>
        <v>45</v>
      </c>
      <c r="V22" s="52">
        <f t="shared" si="14"/>
        <v>221</v>
      </c>
      <c r="W22" s="52">
        <f t="shared" si="14"/>
        <v>14</v>
      </c>
      <c r="X22" s="52">
        <f t="shared" si="14"/>
        <v>24</v>
      </c>
      <c r="Y22" s="52">
        <f t="shared" si="14"/>
        <v>54</v>
      </c>
      <c r="Z22" s="52">
        <f t="shared" si="14"/>
        <v>36</v>
      </c>
      <c r="AA22" s="52">
        <f t="shared" si="14"/>
        <v>14</v>
      </c>
      <c r="AB22" s="52">
        <f t="shared" si="14"/>
        <v>11</v>
      </c>
      <c r="AC22" s="52">
        <f t="shared" si="14"/>
        <v>453</v>
      </c>
      <c r="AD22" s="52">
        <f t="shared" si="14"/>
        <v>0</v>
      </c>
      <c r="AE22" s="40">
        <f t="shared" si="14"/>
        <v>665</v>
      </c>
      <c r="AF22" s="40">
        <f t="shared" si="14"/>
        <v>1116</v>
      </c>
    </row>
    <row r="23" spans="2:32" ht="23.1" customHeight="1" x14ac:dyDescent="0.25">
      <c r="B23" s="23" t="s">
        <v>50</v>
      </c>
      <c r="C23" s="50">
        <v>76</v>
      </c>
      <c r="D23" s="50">
        <v>5</v>
      </c>
      <c r="E23" s="50">
        <v>10</v>
      </c>
      <c r="F23" s="50">
        <v>49</v>
      </c>
      <c r="G23" s="50">
        <v>3</v>
      </c>
      <c r="H23" s="50">
        <v>0</v>
      </c>
      <c r="I23" s="50">
        <v>24</v>
      </c>
      <c r="J23" s="50">
        <v>8</v>
      </c>
      <c r="K23" s="50">
        <v>4</v>
      </c>
      <c r="L23" s="50">
        <v>11</v>
      </c>
      <c r="M23" s="50">
        <v>130</v>
      </c>
      <c r="N23" s="50">
        <v>0</v>
      </c>
      <c r="O23" s="17">
        <f t="shared" si="0"/>
        <v>190</v>
      </c>
      <c r="P23" s="17">
        <f t="shared" si="1"/>
        <v>320</v>
      </c>
      <c r="R23" s="51" t="s">
        <v>91</v>
      </c>
      <c r="S23" s="52">
        <f>MAX(S13:S18)</f>
        <v>231</v>
      </c>
      <c r="T23" s="52">
        <f t="shared" ref="T23:AF23" si="15">MAX(T13:T18)</f>
        <v>29</v>
      </c>
      <c r="U23" s="52">
        <f t="shared" si="15"/>
        <v>36</v>
      </c>
      <c r="V23" s="52">
        <f t="shared" si="15"/>
        <v>188</v>
      </c>
      <c r="W23" s="52">
        <f t="shared" si="15"/>
        <v>11</v>
      </c>
      <c r="X23" s="52">
        <f t="shared" si="15"/>
        <v>20</v>
      </c>
      <c r="Y23" s="52">
        <f t="shared" si="15"/>
        <v>78</v>
      </c>
      <c r="Z23" s="52">
        <f t="shared" si="15"/>
        <v>38</v>
      </c>
      <c r="AA23" s="52">
        <f t="shared" si="15"/>
        <v>41</v>
      </c>
      <c r="AB23" s="52">
        <f t="shared" si="15"/>
        <v>96</v>
      </c>
      <c r="AC23" s="52">
        <f t="shared" si="15"/>
        <v>474</v>
      </c>
      <c r="AD23" s="52">
        <f t="shared" si="15"/>
        <v>0</v>
      </c>
      <c r="AE23" s="40">
        <f t="shared" si="15"/>
        <v>635</v>
      </c>
      <c r="AF23" s="40">
        <f t="shared" si="15"/>
        <v>1097</v>
      </c>
    </row>
    <row r="24" spans="2:32" ht="23.1" customHeight="1" x14ac:dyDescent="0.25">
      <c r="B24" s="23" t="s">
        <v>51</v>
      </c>
      <c r="C24" s="50">
        <v>40</v>
      </c>
      <c r="D24" s="50">
        <v>5</v>
      </c>
      <c r="E24" s="50">
        <v>6</v>
      </c>
      <c r="F24" s="50">
        <v>41</v>
      </c>
      <c r="G24" s="50">
        <v>3</v>
      </c>
      <c r="H24" s="50">
        <v>0</v>
      </c>
      <c r="I24" s="50">
        <v>18</v>
      </c>
      <c r="J24" s="50">
        <v>8</v>
      </c>
      <c r="K24" s="50">
        <v>6</v>
      </c>
      <c r="L24" s="50">
        <v>11</v>
      </c>
      <c r="M24" s="50">
        <v>87</v>
      </c>
      <c r="N24" s="50">
        <v>0</v>
      </c>
      <c r="O24" s="17">
        <f t="shared" si="0"/>
        <v>138</v>
      </c>
      <c r="P24" s="17">
        <f t="shared" si="1"/>
        <v>225</v>
      </c>
      <c r="R24" s="51" t="s">
        <v>92</v>
      </c>
      <c r="S24" s="52">
        <f>MAX(S19:S21)</f>
        <v>207</v>
      </c>
      <c r="T24" s="52">
        <f t="shared" ref="T24:AF24" si="16">MAX(T19:T21)</f>
        <v>20</v>
      </c>
      <c r="U24" s="52">
        <f t="shared" si="16"/>
        <v>28</v>
      </c>
      <c r="V24" s="52">
        <f t="shared" si="16"/>
        <v>163</v>
      </c>
      <c r="W24" s="52">
        <f t="shared" si="16"/>
        <v>65</v>
      </c>
      <c r="X24" s="52">
        <f t="shared" si="16"/>
        <v>22</v>
      </c>
      <c r="Y24" s="52">
        <f t="shared" si="16"/>
        <v>55</v>
      </c>
      <c r="Z24" s="52">
        <f t="shared" si="16"/>
        <v>31</v>
      </c>
      <c r="AA24" s="52">
        <f t="shared" si="16"/>
        <v>29</v>
      </c>
      <c r="AB24" s="52">
        <f t="shared" si="16"/>
        <v>181</v>
      </c>
      <c r="AC24" s="52">
        <f t="shared" si="16"/>
        <v>551</v>
      </c>
      <c r="AD24" s="52">
        <f t="shared" si="16"/>
        <v>0</v>
      </c>
      <c r="AE24" s="40">
        <f t="shared" si="16"/>
        <v>655</v>
      </c>
      <c r="AF24" s="40">
        <f t="shared" si="16"/>
        <v>1140</v>
      </c>
    </row>
    <row r="25" spans="2:32" ht="23.1" customHeight="1" x14ac:dyDescent="0.25">
      <c r="B25" s="23" t="s">
        <v>52</v>
      </c>
      <c r="C25" s="50">
        <v>61</v>
      </c>
      <c r="D25" s="50">
        <v>6</v>
      </c>
      <c r="E25" s="50">
        <v>12</v>
      </c>
      <c r="F25" s="50">
        <v>58</v>
      </c>
      <c r="G25" s="50">
        <v>1</v>
      </c>
      <c r="H25" s="50">
        <v>2</v>
      </c>
      <c r="I25" s="50">
        <v>13</v>
      </c>
      <c r="J25" s="50">
        <v>3</v>
      </c>
      <c r="K25" s="50">
        <v>2</v>
      </c>
      <c r="L25" s="50">
        <v>16</v>
      </c>
      <c r="M25" s="50">
        <v>131</v>
      </c>
      <c r="N25" s="50">
        <v>0</v>
      </c>
      <c r="O25" s="17">
        <f t="shared" si="0"/>
        <v>174</v>
      </c>
      <c r="P25" s="17">
        <f t="shared" si="1"/>
        <v>305</v>
      </c>
      <c r="R25" s="37" t="s">
        <v>85</v>
      </c>
      <c r="S25" s="35">
        <f t="shared" ref="S25:AF25" si="17">SUM(S10:S12)</f>
        <v>806</v>
      </c>
      <c r="T25" s="16">
        <f t="shared" si="17"/>
        <v>100</v>
      </c>
      <c r="U25" s="16">
        <f t="shared" si="17"/>
        <v>118</v>
      </c>
      <c r="V25" s="16">
        <f t="shared" si="17"/>
        <v>505</v>
      </c>
      <c r="W25" s="16">
        <f t="shared" si="17"/>
        <v>27</v>
      </c>
      <c r="X25" s="16">
        <f t="shared" si="17"/>
        <v>37</v>
      </c>
      <c r="Y25" s="16">
        <f t="shared" si="17"/>
        <v>134</v>
      </c>
      <c r="Z25" s="16">
        <f t="shared" si="17"/>
        <v>75</v>
      </c>
      <c r="AA25" s="16">
        <f t="shared" si="17"/>
        <v>35</v>
      </c>
      <c r="AB25" s="16">
        <f t="shared" si="17"/>
        <v>29</v>
      </c>
      <c r="AC25" s="16">
        <f t="shared" si="17"/>
        <v>1297</v>
      </c>
      <c r="AD25" s="16">
        <f t="shared" si="17"/>
        <v>0</v>
      </c>
      <c r="AE25" s="32">
        <f t="shared" si="17"/>
        <v>1866</v>
      </c>
      <c r="AF25" s="32">
        <f t="shared" si="17"/>
        <v>3163</v>
      </c>
    </row>
    <row r="26" spans="2:32" ht="23.1" customHeight="1" x14ac:dyDescent="0.25">
      <c r="B26" s="23" t="s">
        <v>53</v>
      </c>
      <c r="C26" s="50">
        <v>45</v>
      </c>
      <c r="D26" s="50">
        <v>6</v>
      </c>
      <c r="E26" s="50">
        <v>12</v>
      </c>
      <c r="F26" s="50">
        <v>43</v>
      </c>
      <c r="G26" s="50">
        <v>3</v>
      </c>
      <c r="H26" s="50">
        <v>0</v>
      </c>
      <c r="I26" s="50">
        <v>16</v>
      </c>
      <c r="J26" s="50">
        <v>13</v>
      </c>
      <c r="K26" s="50">
        <v>5</v>
      </c>
      <c r="L26" s="50">
        <v>26</v>
      </c>
      <c r="M26" s="50">
        <v>121</v>
      </c>
      <c r="N26" s="50">
        <v>0</v>
      </c>
      <c r="O26" s="17">
        <f t="shared" si="0"/>
        <v>169</v>
      </c>
      <c r="P26" s="17">
        <f t="shared" si="1"/>
        <v>290</v>
      </c>
      <c r="R26" s="28" t="s">
        <v>86</v>
      </c>
      <c r="S26" s="16">
        <f t="shared" ref="S26:AF26" si="18">SUM(S13:S18)</f>
        <v>1090</v>
      </c>
      <c r="T26" s="16">
        <f t="shared" si="18"/>
        <v>135</v>
      </c>
      <c r="U26" s="16">
        <f t="shared" si="18"/>
        <v>180</v>
      </c>
      <c r="V26" s="16">
        <f t="shared" si="18"/>
        <v>987</v>
      </c>
      <c r="W26" s="16">
        <f t="shared" si="18"/>
        <v>47</v>
      </c>
      <c r="X26" s="16">
        <f t="shared" si="18"/>
        <v>45</v>
      </c>
      <c r="Y26" s="16">
        <f t="shared" si="18"/>
        <v>374</v>
      </c>
      <c r="Z26" s="16">
        <f t="shared" si="18"/>
        <v>197</v>
      </c>
      <c r="AA26" s="16">
        <f t="shared" si="18"/>
        <v>160</v>
      </c>
      <c r="AB26" s="16">
        <f t="shared" si="18"/>
        <v>399</v>
      </c>
      <c r="AC26" s="16">
        <f t="shared" si="18"/>
        <v>2544</v>
      </c>
      <c r="AD26" s="16">
        <f t="shared" si="18"/>
        <v>0</v>
      </c>
      <c r="AE26" s="32">
        <f t="shared" si="18"/>
        <v>3614</v>
      </c>
      <c r="AF26" s="32">
        <f t="shared" si="18"/>
        <v>6158</v>
      </c>
    </row>
    <row r="27" spans="2:32" ht="23.1" customHeight="1" x14ac:dyDescent="0.25">
      <c r="B27" s="23" t="s">
        <v>54</v>
      </c>
      <c r="C27" s="50">
        <v>40</v>
      </c>
      <c r="D27" s="50">
        <v>7</v>
      </c>
      <c r="E27" s="50">
        <v>4</v>
      </c>
      <c r="F27" s="50">
        <v>45</v>
      </c>
      <c r="G27" s="50">
        <v>1</v>
      </c>
      <c r="H27" s="50">
        <v>0</v>
      </c>
      <c r="I27" s="50">
        <v>16</v>
      </c>
      <c r="J27" s="50">
        <v>8</v>
      </c>
      <c r="K27" s="50">
        <v>4</v>
      </c>
      <c r="L27" s="50">
        <v>15</v>
      </c>
      <c r="M27" s="50">
        <v>128</v>
      </c>
      <c r="N27" s="50">
        <v>0</v>
      </c>
      <c r="O27" s="17">
        <f t="shared" si="0"/>
        <v>140</v>
      </c>
      <c r="P27" s="17">
        <f t="shared" si="1"/>
        <v>268</v>
      </c>
      <c r="R27" s="29" t="s">
        <v>87</v>
      </c>
      <c r="S27" s="16">
        <f t="shared" ref="S27:AF27" si="19">SUM(S19:S21)</f>
        <v>560</v>
      </c>
      <c r="T27" s="16">
        <f t="shared" si="19"/>
        <v>54</v>
      </c>
      <c r="U27" s="16">
        <f t="shared" si="19"/>
        <v>73</v>
      </c>
      <c r="V27" s="16">
        <f t="shared" si="19"/>
        <v>458</v>
      </c>
      <c r="W27" s="16">
        <f t="shared" si="19"/>
        <v>85</v>
      </c>
      <c r="X27" s="16">
        <f t="shared" si="19"/>
        <v>49</v>
      </c>
      <c r="Y27" s="16">
        <f t="shared" si="19"/>
        <v>134</v>
      </c>
      <c r="Z27" s="16">
        <f t="shared" si="19"/>
        <v>66</v>
      </c>
      <c r="AA27" s="16">
        <f t="shared" si="19"/>
        <v>77</v>
      </c>
      <c r="AB27" s="16">
        <f t="shared" si="19"/>
        <v>278</v>
      </c>
      <c r="AC27" s="16">
        <f t="shared" si="19"/>
        <v>1490</v>
      </c>
      <c r="AD27" s="16">
        <f t="shared" si="19"/>
        <v>0</v>
      </c>
      <c r="AE27" s="32">
        <f t="shared" si="19"/>
        <v>1834</v>
      </c>
      <c r="AF27" s="32">
        <f t="shared" si="19"/>
        <v>3324</v>
      </c>
    </row>
    <row r="28" spans="2:32" ht="23.1" customHeight="1" x14ac:dyDescent="0.25">
      <c r="B28" s="23" t="s">
        <v>55</v>
      </c>
      <c r="C28" s="50">
        <v>39</v>
      </c>
      <c r="D28" s="50">
        <v>10</v>
      </c>
      <c r="E28" s="50">
        <v>9</v>
      </c>
      <c r="F28" s="50">
        <v>39</v>
      </c>
      <c r="G28" s="50">
        <v>1</v>
      </c>
      <c r="H28" s="50">
        <v>0</v>
      </c>
      <c r="I28" s="50">
        <v>14</v>
      </c>
      <c r="J28" s="50">
        <v>5</v>
      </c>
      <c r="K28" s="50">
        <v>6</v>
      </c>
      <c r="L28" s="50">
        <v>15</v>
      </c>
      <c r="M28" s="50">
        <v>107</v>
      </c>
      <c r="N28" s="50">
        <v>0</v>
      </c>
      <c r="O28" s="17">
        <f t="shared" si="0"/>
        <v>138</v>
      </c>
      <c r="P28" s="17">
        <f t="shared" si="1"/>
        <v>245</v>
      </c>
      <c r="R28" s="5" t="s">
        <v>17</v>
      </c>
      <c r="S28" s="16">
        <f t="shared" ref="S28:AF28" si="20">SUM(S10:S21)</f>
        <v>2456</v>
      </c>
      <c r="T28" s="16">
        <f t="shared" si="20"/>
        <v>289</v>
      </c>
      <c r="U28" s="16">
        <f t="shared" si="20"/>
        <v>371</v>
      </c>
      <c r="V28" s="16">
        <f t="shared" si="20"/>
        <v>1950</v>
      </c>
      <c r="W28" s="16">
        <f t="shared" si="20"/>
        <v>159</v>
      </c>
      <c r="X28" s="16">
        <f t="shared" si="20"/>
        <v>131</v>
      </c>
      <c r="Y28" s="16">
        <f t="shared" si="20"/>
        <v>642</v>
      </c>
      <c r="Z28" s="16">
        <f t="shared" si="20"/>
        <v>338</v>
      </c>
      <c r="AA28" s="16">
        <f t="shared" si="20"/>
        <v>272</v>
      </c>
      <c r="AB28" s="16">
        <f t="shared" si="20"/>
        <v>706</v>
      </c>
      <c r="AC28" s="16">
        <f t="shared" si="20"/>
        <v>5331</v>
      </c>
      <c r="AD28" s="16">
        <f t="shared" si="20"/>
        <v>0</v>
      </c>
      <c r="AE28" s="32">
        <f t="shared" si="20"/>
        <v>7314</v>
      </c>
      <c r="AF28" s="32">
        <f t="shared" si="20"/>
        <v>12645</v>
      </c>
    </row>
    <row r="29" spans="2:32" ht="23.1" customHeight="1" x14ac:dyDescent="0.25">
      <c r="B29" s="23" t="s">
        <v>56</v>
      </c>
      <c r="C29" s="50">
        <v>64</v>
      </c>
      <c r="D29" s="50">
        <v>6</v>
      </c>
      <c r="E29" s="50">
        <v>11</v>
      </c>
      <c r="F29" s="50">
        <v>48</v>
      </c>
      <c r="G29" s="50">
        <v>2</v>
      </c>
      <c r="H29" s="50">
        <v>0</v>
      </c>
      <c r="I29" s="50">
        <v>21</v>
      </c>
      <c r="J29" s="50">
        <v>12</v>
      </c>
      <c r="K29" s="50">
        <v>4</v>
      </c>
      <c r="L29" s="50">
        <v>8</v>
      </c>
      <c r="M29" s="50">
        <v>118</v>
      </c>
      <c r="N29" s="50">
        <v>0</v>
      </c>
      <c r="O29" s="17">
        <f t="shared" si="0"/>
        <v>176</v>
      </c>
      <c r="P29" s="17">
        <f t="shared" si="1"/>
        <v>294</v>
      </c>
      <c r="R29"/>
      <c r="S29" s="20"/>
      <c r="T29" s="19"/>
    </row>
    <row r="30" spans="2:32" ht="23.1" customHeight="1" x14ac:dyDescent="0.25">
      <c r="B30" s="23" t="s">
        <v>57</v>
      </c>
      <c r="C30" s="50">
        <v>55</v>
      </c>
      <c r="D30" s="50">
        <v>7</v>
      </c>
      <c r="E30" s="50">
        <v>10</v>
      </c>
      <c r="F30" s="50">
        <v>3</v>
      </c>
      <c r="G30" s="50">
        <v>0</v>
      </c>
      <c r="H30" s="50">
        <v>15</v>
      </c>
      <c r="I30" s="50">
        <v>6</v>
      </c>
      <c r="J30" s="50">
        <v>8</v>
      </c>
      <c r="K30" s="50">
        <v>17</v>
      </c>
      <c r="L30" s="50">
        <v>0</v>
      </c>
      <c r="M30" s="50">
        <v>127</v>
      </c>
      <c r="N30" s="50">
        <v>0</v>
      </c>
      <c r="O30" s="17">
        <f t="shared" si="0"/>
        <v>121</v>
      </c>
      <c r="P30" s="17">
        <f t="shared" si="1"/>
        <v>248</v>
      </c>
      <c r="R30"/>
      <c r="S30" s="19"/>
      <c r="T30" s="19"/>
    </row>
    <row r="31" spans="2:32" ht="23.1" customHeight="1" x14ac:dyDescent="0.25">
      <c r="B31" s="24" t="s">
        <v>58</v>
      </c>
      <c r="C31" s="50">
        <v>29</v>
      </c>
      <c r="D31" s="50">
        <v>7</v>
      </c>
      <c r="E31" s="50">
        <v>8</v>
      </c>
      <c r="F31" s="50">
        <v>47</v>
      </c>
      <c r="G31" s="50">
        <v>3</v>
      </c>
      <c r="H31" s="50">
        <v>2</v>
      </c>
      <c r="I31" s="50">
        <v>11</v>
      </c>
      <c r="J31" s="50">
        <v>14</v>
      </c>
      <c r="K31" s="50">
        <v>10</v>
      </c>
      <c r="L31" s="50">
        <v>17</v>
      </c>
      <c r="M31" s="50">
        <v>116</v>
      </c>
      <c r="N31" s="50">
        <v>0</v>
      </c>
      <c r="O31" s="17">
        <f t="shared" si="0"/>
        <v>148</v>
      </c>
      <c r="P31" s="17">
        <f t="shared" si="1"/>
        <v>264</v>
      </c>
      <c r="R31"/>
      <c r="S31" s="19"/>
      <c r="T31" s="19"/>
    </row>
    <row r="32" spans="2:32" ht="23.1" customHeight="1" x14ac:dyDescent="0.25">
      <c r="B32" s="24" t="s">
        <v>59</v>
      </c>
      <c r="C32" s="50">
        <v>43</v>
      </c>
      <c r="D32" s="50">
        <v>5</v>
      </c>
      <c r="E32" s="50">
        <v>6</v>
      </c>
      <c r="F32" s="50">
        <v>48</v>
      </c>
      <c r="G32" s="50">
        <v>2</v>
      </c>
      <c r="H32" s="50">
        <v>1</v>
      </c>
      <c r="I32" s="50">
        <v>18</v>
      </c>
      <c r="J32" s="50">
        <v>8</v>
      </c>
      <c r="K32" s="50">
        <v>3</v>
      </c>
      <c r="L32" s="50">
        <v>16</v>
      </c>
      <c r="M32" s="50">
        <v>120</v>
      </c>
      <c r="N32" s="50">
        <v>0</v>
      </c>
      <c r="O32" s="17">
        <f t="shared" si="0"/>
        <v>150</v>
      </c>
      <c r="P32" s="17">
        <f t="shared" si="1"/>
        <v>270</v>
      </c>
      <c r="R32"/>
      <c r="S32" s="19"/>
      <c r="T32" s="19"/>
    </row>
    <row r="33" spans="2:20" ht="23.1" customHeight="1" x14ac:dyDescent="0.25">
      <c r="B33" s="23" t="s">
        <v>60</v>
      </c>
      <c r="C33" s="50">
        <v>49</v>
      </c>
      <c r="D33" s="50">
        <v>7</v>
      </c>
      <c r="E33" s="50">
        <v>6</v>
      </c>
      <c r="F33" s="50">
        <v>56</v>
      </c>
      <c r="G33" s="50">
        <v>2</v>
      </c>
      <c r="H33" s="50">
        <v>0</v>
      </c>
      <c r="I33" s="50">
        <v>18</v>
      </c>
      <c r="J33" s="50">
        <v>5</v>
      </c>
      <c r="K33" s="50">
        <v>2</v>
      </c>
      <c r="L33" s="50">
        <v>11</v>
      </c>
      <c r="M33" s="50">
        <v>111</v>
      </c>
      <c r="N33" s="50">
        <v>0</v>
      </c>
      <c r="O33" s="17">
        <f t="shared" si="0"/>
        <v>156</v>
      </c>
      <c r="P33" s="17">
        <f t="shared" si="1"/>
        <v>267</v>
      </c>
      <c r="R33"/>
      <c r="S33" s="19"/>
      <c r="T33" s="19"/>
    </row>
    <row r="34" spans="2:20" ht="23.1" customHeight="1" x14ac:dyDescent="0.25">
      <c r="B34" s="24" t="s">
        <v>61</v>
      </c>
      <c r="C34" s="50">
        <v>63</v>
      </c>
      <c r="D34" s="50">
        <v>8</v>
      </c>
      <c r="E34" s="50">
        <v>8</v>
      </c>
      <c r="F34" s="50">
        <v>50</v>
      </c>
      <c r="G34" s="50">
        <v>3</v>
      </c>
      <c r="H34" s="50">
        <v>0</v>
      </c>
      <c r="I34" s="50">
        <v>17</v>
      </c>
      <c r="J34" s="50">
        <v>12</v>
      </c>
      <c r="K34" s="50">
        <v>6</v>
      </c>
      <c r="L34" s="50">
        <v>19</v>
      </c>
      <c r="M34" s="50">
        <v>102</v>
      </c>
      <c r="N34" s="50">
        <v>0</v>
      </c>
      <c r="O34" s="17">
        <f t="shared" si="0"/>
        <v>186</v>
      </c>
      <c r="P34" s="17">
        <f t="shared" si="1"/>
        <v>288</v>
      </c>
      <c r="R34"/>
      <c r="S34" s="19"/>
      <c r="T34" s="19"/>
    </row>
    <row r="35" spans="2:20" ht="23.1" customHeight="1" x14ac:dyDescent="0.25">
      <c r="B35" s="24" t="s">
        <v>62</v>
      </c>
      <c r="C35" s="50">
        <v>37</v>
      </c>
      <c r="D35" s="50">
        <v>6</v>
      </c>
      <c r="E35" s="50">
        <v>5</v>
      </c>
      <c r="F35" s="50">
        <v>36</v>
      </c>
      <c r="G35" s="50">
        <v>3</v>
      </c>
      <c r="H35" s="50">
        <v>0</v>
      </c>
      <c r="I35" s="50">
        <v>9</v>
      </c>
      <c r="J35" s="50">
        <v>4</v>
      </c>
      <c r="K35" s="50">
        <v>9</v>
      </c>
      <c r="L35" s="50">
        <v>11</v>
      </c>
      <c r="M35" s="50">
        <v>51</v>
      </c>
      <c r="N35" s="50">
        <v>0</v>
      </c>
      <c r="O35" s="17">
        <f t="shared" si="0"/>
        <v>120</v>
      </c>
      <c r="P35" s="17">
        <f t="shared" si="1"/>
        <v>171</v>
      </c>
      <c r="R35"/>
      <c r="S35" s="19"/>
      <c r="T35" s="19"/>
    </row>
    <row r="36" spans="2:20" ht="23.1" customHeight="1" x14ac:dyDescent="0.25">
      <c r="B36" s="24" t="s">
        <v>63</v>
      </c>
      <c r="C36" s="50">
        <v>52</v>
      </c>
      <c r="D36" s="50">
        <v>3</v>
      </c>
      <c r="E36" s="50">
        <v>6</v>
      </c>
      <c r="F36" s="50">
        <v>34</v>
      </c>
      <c r="G36" s="50">
        <v>1</v>
      </c>
      <c r="H36" s="50">
        <v>1</v>
      </c>
      <c r="I36" s="50">
        <v>24</v>
      </c>
      <c r="J36" s="50">
        <v>7</v>
      </c>
      <c r="K36" s="50">
        <v>9</v>
      </c>
      <c r="L36" s="50">
        <v>34</v>
      </c>
      <c r="M36" s="50">
        <v>133</v>
      </c>
      <c r="N36" s="50">
        <v>0</v>
      </c>
      <c r="O36" s="17">
        <f t="shared" si="0"/>
        <v>171</v>
      </c>
      <c r="P36" s="17">
        <f t="shared" si="1"/>
        <v>304</v>
      </c>
      <c r="R36"/>
      <c r="S36" s="19"/>
      <c r="T36" s="19"/>
    </row>
    <row r="37" spans="2:20" ht="23.1" customHeight="1" x14ac:dyDescent="0.25">
      <c r="B37" s="23" t="s">
        <v>64</v>
      </c>
      <c r="C37" s="50">
        <v>34</v>
      </c>
      <c r="D37" s="50">
        <v>9</v>
      </c>
      <c r="E37" s="50">
        <v>6</v>
      </c>
      <c r="F37" s="50">
        <v>40</v>
      </c>
      <c r="G37" s="50">
        <v>1</v>
      </c>
      <c r="H37" s="50">
        <v>0</v>
      </c>
      <c r="I37" s="50">
        <v>14</v>
      </c>
      <c r="J37" s="50">
        <v>9</v>
      </c>
      <c r="K37" s="50">
        <v>4</v>
      </c>
      <c r="L37" s="50">
        <v>28</v>
      </c>
      <c r="M37" s="50">
        <v>112</v>
      </c>
      <c r="N37" s="50">
        <v>0</v>
      </c>
      <c r="O37" s="17">
        <f t="shared" si="0"/>
        <v>145</v>
      </c>
      <c r="P37" s="17">
        <f t="shared" si="1"/>
        <v>257</v>
      </c>
      <c r="R37"/>
      <c r="S37" s="19"/>
      <c r="T37" s="19"/>
    </row>
    <row r="38" spans="2:20" ht="23.1" customHeight="1" x14ac:dyDescent="0.25">
      <c r="B38" s="24" t="s">
        <v>65</v>
      </c>
      <c r="C38" s="50">
        <v>30</v>
      </c>
      <c r="D38" s="50">
        <v>2</v>
      </c>
      <c r="E38" s="50">
        <v>9</v>
      </c>
      <c r="F38" s="50">
        <v>52</v>
      </c>
      <c r="G38" s="50">
        <v>3</v>
      </c>
      <c r="H38" s="50">
        <v>1</v>
      </c>
      <c r="I38" s="50">
        <v>17</v>
      </c>
      <c r="J38" s="50">
        <v>5</v>
      </c>
      <c r="K38" s="50">
        <v>6</v>
      </c>
      <c r="L38" s="50">
        <v>23</v>
      </c>
      <c r="M38" s="50">
        <v>100</v>
      </c>
      <c r="N38" s="50">
        <v>0</v>
      </c>
      <c r="O38" s="17">
        <f t="shared" si="0"/>
        <v>148</v>
      </c>
      <c r="P38" s="17">
        <f t="shared" si="1"/>
        <v>248</v>
      </c>
      <c r="R38"/>
      <c r="S38" s="19"/>
      <c r="T38" s="19"/>
    </row>
    <row r="39" spans="2:20" ht="23.1" customHeight="1" x14ac:dyDescent="0.25">
      <c r="B39" s="24" t="s">
        <v>66</v>
      </c>
      <c r="C39" s="50">
        <v>32</v>
      </c>
      <c r="D39" s="50">
        <v>1</v>
      </c>
      <c r="E39" s="50">
        <v>3</v>
      </c>
      <c r="F39" s="50">
        <v>22</v>
      </c>
      <c r="G39" s="50">
        <v>0</v>
      </c>
      <c r="H39" s="50">
        <v>1</v>
      </c>
      <c r="I39" s="50">
        <v>22</v>
      </c>
      <c r="J39" s="50">
        <v>6</v>
      </c>
      <c r="K39" s="50">
        <v>7</v>
      </c>
      <c r="L39" s="50">
        <v>30</v>
      </c>
      <c r="M39" s="50">
        <v>77</v>
      </c>
      <c r="N39" s="50">
        <v>0</v>
      </c>
      <c r="O39" s="17">
        <f t="shared" si="0"/>
        <v>124</v>
      </c>
      <c r="P39" s="17">
        <f t="shared" si="1"/>
        <v>201</v>
      </c>
      <c r="R39"/>
      <c r="S39" s="19"/>
      <c r="T39" s="19"/>
    </row>
    <row r="40" spans="2:20" ht="23.1" customHeight="1" x14ac:dyDescent="0.25">
      <c r="B40" s="24" t="s">
        <v>67</v>
      </c>
      <c r="C40" s="50">
        <v>64</v>
      </c>
      <c r="D40" s="50">
        <v>3</v>
      </c>
      <c r="E40" s="50">
        <v>7</v>
      </c>
      <c r="F40" s="50">
        <v>50</v>
      </c>
      <c r="G40" s="50">
        <v>3</v>
      </c>
      <c r="H40" s="50">
        <v>1</v>
      </c>
      <c r="I40" s="50">
        <v>23</v>
      </c>
      <c r="J40" s="50">
        <v>11</v>
      </c>
      <c r="K40" s="50">
        <v>6</v>
      </c>
      <c r="L40" s="50">
        <v>23</v>
      </c>
      <c r="M40" s="50">
        <v>91</v>
      </c>
      <c r="N40" s="50">
        <v>0</v>
      </c>
      <c r="O40" s="17">
        <f t="shared" si="0"/>
        <v>191</v>
      </c>
      <c r="P40" s="17">
        <f t="shared" si="1"/>
        <v>282</v>
      </c>
      <c r="R40"/>
      <c r="S40" s="19"/>
      <c r="T40" s="19"/>
    </row>
    <row r="41" spans="2:20" ht="23.1" customHeight="1" x14ac:dyDescent="0.25">
      <c r="B41" s="23" t="s">
        <v>68</v>
      </c>
      <c r="C41" s="50">
        <v>41</v>
      </c>
      <c r="D41" s="50">
        <v>1</v>
      </c>
      <c r="E41" s="50">
        <v>6</v>
      </c>
      <c r="F41" s="50">
        <v>35</v>
      </c>
      <c r="G41" s="50">
        <v>5</v>
      </c>
      <c r="H41" s="50">
        <v>0</v>
      </c>
      <c r="I41" s="50">
        <v>16</v>
      </c>
      <c r="J41" s="50">
        <v>11</v>
      </c>
      <c r="K41" s="50">
        <v>4</v>
      </c>
      <c r="L41" s="50">
        <v>20</v>
      </c>
      <c r="M41" s="50">
        <v>74</v>
      </c>
      <c r="N41" s="50">
        <v>0</v>
      </c>
      <c r="O41" s="17">
        <f t="shared" si="0"/>
        <v>139</v>
      </c>
      <c r="P41" s="17">
        <f t="shared" si="1"/>
        <v>213</v>
      </c>
      <c r="R41"/>
      <c r="S41" s="19"/>
      <c r="T41" s="19"/>
    </row>
    <row r="42" spans="2:20" ht="23.1" customHeight="1" x14ac:dyDescent="0.25">
      <c r="B42" s="24" t="s">
        <v>69</v>
      </c>
      <c r="C42" s="50">
        <v>24</v>
      </c>
      <c r="D42" s="50">
        <v>9</v>
      </c>
      <c r="E42" s="50">
        <v>7</v>
      </c>
      <c r="F42" s="50">
        <v>47</v>
      </c>
      <c r="G42" s="50">
        <v>2</v>
      </c>
      <c r="H42" s="50">
        <v>1</v>
      </c>
      <c r="I42" s="50">
        <v>5</v>
      </c>
      <c r="J42" s="50">
        <v>4</v>
      </c>
      <c r="K42" s="50">
        <v>8</v>
      </c>
      <c r="L42" s="50">
        <v>14</v>
      </c>
      <c r="M42" s="50">
        <v>82</v>
      </c>
      <c r="N42" s="50">
        <v>0</v>
      </c>
      <c r="O42" s="17">
        <f t="shared" si="0"/>
        <v>121</v>
      </c>
      <c r="P42" s="17">
        <f t="shared" si="1"/>
        <v>203</v>
      </c>
      <c r="R42"/>
      <c r="S42" s="19"/>
      <c r="T42" s="19"/>
    </row>
    <row r="43" spans="2:20" ht="23.1" customHeight="1" x14ac:dyDescent="0.25">
      <c r="B43" s="23" t="s">
        <v>70</v>
      </c>
      <c r="C43" s="50">
        <v>46</v>
      </c>
      <c r="D43" s="50">
        <v>3</v>
      </c>
      <c r="E43" s="50">
        <v>9</v>
      </c>
      <c r="F43" s="50">
        <v>3</v>
      </c>
      <c r="G43" s="50">
        <v>0</v>
      </c>
      <c r="H43" s="50">
        <v>17</v>
      </c>
      <c r="I43" s="50">
        <v>14</v>
      </c>
      <c r="J43" s="50">
        <v>10</v>
      </c>
      <c r="K43" s="50">
        <v>26</v>
      </c>
      <c r="L43" s="50">
        <v>0</v>
      </c>
      <c r="M43" s="50">
        <v>125</v>
      </c>
      <c r="N43" s="50">
        <v>0</v>
      </c>
      <c r="O43" s="17">
        <f t="shared" si="0"/>
        <v>128</v>
      </c>
      <c r="P43" s="17">
        <f t="shared" si="1"/>
        <v>253</v>
      </c>
      <c r="R43"/>
      <c r="S43" s="19"/>
      <c r="T43" s="19"/>
    </row>
    <row r="44" spans="2:20" ht="23.1" customHeight="1" x14ac:dyDescent="0.25">
      <c r="B44" s="25" t="s">
        <v>71</v>
      </c>
      <c r="C44" s="50">
        <v>35</v>
      </c>
      <c r="D44" s="50">
        <v>8</v>
      </c>
      <c r="E44" s="50">
        <v>5</v>
      </c>
      <c r="F44" s="50">
        <v>44</v>
      </c>
      <c r="G44" s="50">
        <v>4</v>
      </c>
      <c r="H44" s="50">
        <v>2</v>
      </c>
      <c r="I44" s="50">
        <v>10</v>
      </c>
      <c r="J44" s="50">
        <v>12</v>
      </c>
      <c r="K44" s="50">
        <v>2</v>
      </c>
      <c r="L44" s="50">
        <v>24</v>
      </c>
      <c r="M44" s="50">
        <v>93</v>
      </c>
      <c r="N44" s="50">
        <v>0</v>
      </c>
      <c r="O44" s="17">
        <f t="shared" si="0"/>
        <v>146</v>
      </c>
      <c r="P44" s="17">
        <f t="shared" si="1"/>
        <v>239</v>
      </c>
      <c r="R44"/>
      <c r="S44" s="19"/>
      <c r="T44" s="19"/>
    </row>
    <row r="45" spans="2:20" ht="23.1" customHeight="1" x14ac:dyDescent="0.25">
      <c r="B45" s="23" t="s">
        <v>72</v>
      </c>
      <c r="C45" s="50">
        <v>37</v>
      </c>
      <c r="D45" s="50">
        <v>8</v>
      </c>
      <c r="E45" s="50">
        <v>9</v>
      </c>
      <c r="F45" s="50">
        <v>57</v>
      </c>
      <c r="G45" s="50">
        <v>1</v>
      </c>
      <c r="H45" s="50">
        <v>0</v>
      </c>
      <c r="I45" s="50">
        <v>14</v>
      </c>
      <c r="J45" s="50">
        <v>10</v>
      </c>
      <c r="K45" s="50">
        <v>5</v>
      </c>
      <c r="L45" s="50">
        <v>21</v>
      </c>
      <c r="M45" s="50">
        <v>105</v>
      </c>
      <c r="N45" s="50">
        <v>0</v>
      </c>
      <c r="O45" s="17">
        <f t="shared" si="0"/>
        <v>162</v>
      </c>
      <c r="P45" s="17">
        <f t="shared" si="1"/>
        <v>267</v>
      </c>
      <c r="R45"/>
      <c r="S45" s="19"/>
      <c r="T45" s="19"/>
    </row>
    <row r="46" spans="2:20" ht="23.1" customHeight="1" x14ac:dyDescent="0.25">
      <c r="B46" s="24" t="s">
        <v>73</v>
      </c>
      <c r="C46" s="50">
        <v>30</v>
      </c>
      <c r="D46" s="50">
        <v>1</v>
      </c>
      <c r="E46" s="50">
        <v>7</v>
      </c>
      <c r="F46" s="50">
        <v>45</v>
      </c>
      <c r="G46" s="50">
        <v>3</v>
      </c>
      <c r="H46" s="50">
        <v>0</v>
      </c>
      <c r="I46" s="50">
        <v>18</v>
      </c>
      <c r="J46" s="50">
        <v>6</v>
      </c>
      <c r="K46" s="50">
        <v>2</v>
      </c>
      <c r="L46" s="50">
        <v>22</v>
      </c>
      <c r="M46" s="50">
        <v>94</v>
      </c>
      <c r="N46" s="50">
        <v>0</v>
      </c>
      <c r="O46" s="17">
        <f t="shared" si="0"/>
        <v>134</v>
      </c>
      <c r="P46" s="17">
        <f t="shared" si="1"/>
        <v>228</v>
      </c>
      <c r="R46" s="19"/>
      <c r="S46" s="19"/>
      <c r="T46"/>
    </row>
    <row r="47" spans="2:20" ht="23.1" customHeight="1" x14ac:dyDescent="0.25">
      <c r="B47" s="24" t="s">
        <v>74</v>
      </c>
      <c r="C47" s="50">
        <v>52</v>
      </c>
      <c r="D47" s="50">
        <v>8</v>
      </c>
      <c r="E47" s="50">
        <v>7</v>
      </c>
      <c r="F47" s="50">
        <v>50</v>
      </c>
      <c r="G47" s="50">
        <v>2</v>
      </c>
      <c r="H47" s="50">
        <v>1</v>
      </c>
      <c r="I47" s="50">
        <v>18</v>
      </c>
      <c r="J47" s="50">
        <v>3</v>
      </c>
      <c r="K47" s="50">
        <v>3</v>
      </c>
      <c r="L47" s="50">
        <v>27</v>
      </c>
      <c r="M47" s="50">
        <v>112</v>
      </c>
      <c r="N47" s="50">
        <v>0</v>
      </c>
      <c r="O47" s="17">
        <f t="shared" si="0"/>
        <v>171</v>
      </c>
      <c r="P47" s="17">
        <f t="shared" si="1"/>
        <v>283</v>
      </c>
      <c r="R47" s="19"/>
      <c r="S47" s="19"/>
      <c r="T47"/>
    </row>
    <row r="48" spans="2:20" ht="23.1" customHeight="1" x14ac:dyDescent="0.25">
      <c r="B48" s="24" t="s">
        <v>75</v>
      </c>
      <c r="C48" s="50">
        <v>46</v>
      </c>
      <c r="D48" s="50">
        <v>5</v>
      </c>
      <c r="E48" s="50">
        <v>4</v>
      </c>
      <c r="F48" s="50">
        <v>4</v>
      </c>
      <c r="G48" s="50">
        <v>1</v>
      </c>
      <c r="H48" s="50">
        <v>21</v>
      </c>
      <c r="I48" s="50">
        <v>8</v>
      </c>
      <c r="J48" s="50">
        <v>3</v>
      </c>
      <c r="K48" s="50">
        <v>19</v>
      </c>
      <c r="L48" s="50">
        <v>104</v>
      </c>
      <c r="M48" s="50">
        <v>104</v>
      </c>
      <c r="N48" s="50">
        <v>0</v>
      </c>
      <c r="O48" s="17">
        <f t="shared" si="0"/>
        <v>215</v>
      </c>
      <c r="P48" s="17">
        <f t="shared" si="1"/>
        <v>319</v>
      </c>
      <c r="R48" s="19"/>
      <c r="S48" s="19"/>
      <c r="T48"/>
    </row>
    <row r="49" spans="2:20" ht="23.1" customHeight="1" x14ac:dyDescent="0.25">
      <c r="B49" s="23" t="s">
        <v>76</v>
      </c>
      <c r="C49" s="50">
        <v>35</v>
      </c>
      <c r="D49" s="50">
        <v>5</v>
      </c>
      <c r="E49" s="50">
        <v>4</v>
      </c>
      <c r="F49" s="50">
        <v>37</v>
      </c>
      <c r="G49" s="50">
        <v>3</v>
      </c>
      <c r="H49" s="50">
        <v>0</v>
      </c>
      <c r="I49" s="50">
        <v>11</v>
      </c>
      <c r="J49" s="50">
        <v>7</v>
      </c>
      <c r="K49" s="50">
        <v>5</v>
      </c>
      <c r="L49" s="50">
        <v>28</v>
      </c>
      <c r="M49" s="50">
        <v>98</v>
      </c>
      <c r="N49" s="50">
        <v>0</v>
      </c>
      <c r="O49" s="17">
        <f t="shared" si="0"/>
        <v>135</v>
      </c>
      <c r="P49" s="17">
        <f t="shared" si="1"/>
        <v>233</v>
      </c>
      <c r="R49" s="19"/>
      <c r="S49" s="19"/>
      <c r="T49"/>
    </row>
    <row r="50" spans="2:20" ht="23.1" customHeight="1" x14ac:dyDescent="0.25">
      <c r="B50" s="24" t="s">
        <v>77</v>
      </c>
      <c r="C50" s="50">
        <v>54</v>
      </c>
      <c r="D50" s="50">
        <v>4</v>
      </c>
      <c r="E50" s="50">
        <v>7</v>
      </c>
      <c r="F50" s="50">
        <v>37</v>
      </c>
      <c r="G50" s="50">
        <v>2</v>
      </c>
      <c r="H50" s="50">
        <v>1</v>
      </c>
      <c r="I50" s="50">
        <v>12</v>
      </c>
      <c r="J50" s="50">
        <v>4</v>
      </c>
      <c r="K50" s="50">
        <v>5</v>
      </c>
      <c r="L50" s="50">
        <v>29</v>
      </c>
      <c r="M50" s="50">
        <v>105</v>
      </c>
      <c r="N50" s="50">
        <v>0</v>
      </c>
      <c r="O50" s="17">
        <f t="shared" si="0"/>
        <v>155</v>
      </c>
      <c r="P50" s="17">
        <f t="shared" si="1"/>
        <v>260</v>
      </c>
      <c r="R50" s="19"/>
      <c r="S50" s="19"/>
      <c r="T50"/>
    </row>
    <row r="51" spans="2:20" ht="23.1" customHeight="1" x14ac:dyDescent="0.25">
      <c r="B51" s="24" t="s">
        <v>78</v>
      </c>
      <c r="C51" s="50">
        <v>43</v>
      </c>
      <c r="D51" s="50">
        <v>5</v>
      </c>
      <c r="E51" s="50">
        <v>5</v>
      </c>
      <c r="F51" s="50">
        <v>35</v>
      </c>
      <c r="G51" s="50">
        <v>55</v>
      </c>
      <c r="H51" s="50">
        <v>3</v>
      </c>
      <c r="I51" s="50">
        <v>0</v>
      </c>
      <c r="J51" s="50">
        <v>8</v>
      </c>
      <c r="K51" s="50">
        <v>11</v>
      </c>
      <c r="L51" s="50">
        <v>3</v>
      </c>
      <c r="M51" s="50">
        <v>157</v>
      </c>
      <c r="N51" s="50">
        <v>0</v>
      </c>
      <c r="O51" s="17">
        <f t="shared" si="0"/>
        <v>168</v>
      </c>
      <c r="P51" s="17">
        <f t="shared" si="1"/>
        <v>325</v>
      </c>
      <c r="R51" s="19"/>
      <c r="S51" s="19"/>
      <c r="T51"/>
    </row>
    <row r="52" spans="2:20" ht="23.1" customHeight="1" x14ac:dyDescent="0.25">
      <c r="B52" s="24" t="s">
        <v>79</v>
      </c>
      <c r="C52" s="50">
        <v>48</v>
      </c>
      <c r="D52" s="50">
        <v>2</v>
      </c>
      <c r="E52" s="50">
        <v>5</v>
      </c>
      <c r="F52" s="50">
        <v>34</v>
      </c>
      <c r="G52" s="50">
        <v>3</v>
      </c>
      <c r="H52" s="50">
        <v>1</v>
      </c>
      <c r="I52" s="50">
        <v>15</v>
      </c>
      <c r="J52" s="50">
        <v>6</v>
      </c>
      <c r="K52" s="50">
        <v>6</v>
      </c>
      <c r="L52" s="50">
        <v>14</v>
      </c>
      <c r="M52" s="50">
        <v>117</v>
      </c>
      <c r="N52" s="50">
        <v>0</v>
      </c>
      <c r="O52" s="17">
        <f t="shared" si="0"/>
        <v>134</v>
      </c>
      <c r="P52" s="17">
        <f t="shared" si="1"/>
        <v>251</v>
      </c>
      <c r="R52" s="19"/>
      <c r="S52" s="19"/>
      <c r="T52"/>
    </row>
    <row r="53" spans="2:20" ht="23.1" customHeight="1" x14ac:dyDescent="0.25">
      <c r="B53" s="23" t="s">
        <v>80</v>
      </c>
      <c r="C53" s="50">
        <v>45</v>
      </c>
      <c r="D53" s="50">
        <v>4</v>
      </c>
      <c r="E53" s="50">
        <v>6</v>
      </c>
      <c r="F53" s="50">
        <v>53</v>
      </c>
      <c r="G53" s="50">
        <v>5</v>
      </c>
      <c r="H53" s="50">
        <v>0</v>
      </c>
      <c r="I53" s="50">
        <v>9</v>
      </c>
      <c r="J53" s="50">
        <v>13</v>
      </c>
      <c r="K53" s="50">
        <v>1</v>
      </c>
      <c r="L53" s="50">
        <v>16</v>
      </c>
      <c r="M53" s="50">
        <v>152</v>
      </c>
      <c r="N53" s="50">
        <v>0</v>
      </c>
      <c r="O53" s="17">
        <f t="shared" si="0"/>
        <v>152</v>
      </c>
      <c r="P53" s="17">
        <f t="shared" si="1"/>
        <v>304</v>
      </c>
      <c r="R53" s="19"/>
      <c r="S53" s="19"/>
      <c r="T53"/>
    </row>
    <row r="54" spans="2:20" ht="23.1" customHeight="1" x14ac:dyDescent="0.25">
      <c r="B54" s="23" t="s">
        <v>81</v>
      </c>
      <c r="C54" s="50">
        <v>56</v>
      </c>
      <c r="D54" s="50">
        <v>3</v>
      </c>
      <c r="E54" s="50">
        <v>7</v>
      </c>
      <c r="F54" s="50">
        <v>60</v>
      </c>
      <c r="G54" s="50">
        <v>1</v>
      </c>
      <c r="H54" s="50">
        <v>20</v>
      </c>
      <c r="I54" s="50">
        <v>10</v>
      </c>
      <c r="J54" s="50">
        <v>1</v>
      </c>
      <c r="K54" s="50">
        <v>15</v>
      </c>
      <c r="L54" s="50">
        <v>0</v>
      </c>
      <c r="M54" s="50">
        <v>165</v>
      </c>
      <c r="N54" s="50">
        <v>0</v>
      </c>
      <c r="O54" s="17">
        <f t="shared" si="0"/>
        <v>173</v>
      </c>
      <c r="P54" s="17">
        <f t="shared" si="1"/>
        <v>338</v>
      </c>
      <c r="R54" s="19"/>
      <c r="S54" s="19"/>
      <c r="T54"/>
    </row>
    <row r="55" spans="2:20" ht="23.1" customHeight="1" x14ac:dyDescent="0.25">
      <c r="B55" s="23" t="s">
        <v>82</v>
      </c>
      <c r="C55" s="50">
        <v>45</v>
      </c>
      <c r="D55" s="50">
        <v>7</v>
      </c>
      <c r="E55" s="50">
        <v>8</v>
      </c>
      <c r="F55" s="50">
        <v>40</v>
      </c>
      <c r="G55" s="50">
        <v>3</v>
      </c>
      <c r="H55" s="50">
        <v>1</v>
      </c>
      <c r="I55" s="50">
        <v>13</v>
      </c>
      <c r="J55" s="50">
        <v>5</v>
      </c>
      <c r="K55" s="50">
        <v>3</v>
      </c>
      <c r="L55" s="50">
        <v>12</v>
      </c>
      <c r="M55" s="50">
        <v>80</v>
      </c>
      <c r="N55" s="50">
        <v>0</v>
      </c>
      <c r="O55" s="17">
        <f t="shared" si="0"/>
        <v>137</v>
      </c>
      <c r="P55" s="17">
        <f t="shared" si="1"/>
        <v>217</v>
      </c>
      <c r="R55" s="19"/>
      <c r="S55" s="19"/>
      <c r="T55"/>
    </row>
    <row r="56" spans="2:20" ht="23.1" customHeight="1" x14ac:dyDescent="0.25">
      <c r="B56" s="23" t="s">
        <v>83</v>
      </c>
      <c r="C56" s="50">
        <v>46</v>
      </c>
      <c r="D56" s="50">
        <v>7</v>
      </c>
      <c r="E56" s="50">
        <v>8</v>
      </c>
      <c r="F56" s="50">
        <v>40</v>
      </c>
      <c r="G56" s="50">
        <v>3</v>
      </c>
      <c r="H56" s="50">
        <v>1</v>
      </c>
      <c r="I56" s="50">
        <v>13</v>
      </c>
      <c r="J56" s="50">
        <v>5</v>
      </c>
      <c r="K56" s="50">
        <v>3</v>
      </c>
      <c r="L56" s="50">
        <v>12</v>
      </c>
      <c r="M56" s="50">
        <v>95</v>
      </c>
      <c r="N56" s="50">
        <v>0</v>
      </c>
      <c r="O56" s="17">
        <f t="shared" si="0"/>
        <v>138</v>
      </c>
      <c r="P56" s="17">
        <f t="shared" si="1"/>
        <v>233</v>
      </c>
      <c r="R56" s="19"/>
      <c r="S56" s="19"/>
      <c r="T56"/>
    </row>
    <row r="57" spans="2:20" ht="23.1" customHeight="1" x14ac:dyDescent="0.25">
      <c r="B57" s="23" t="s">
        <v>84</v>
      </c>
      <c r="C57" s="50">
        <v>60</v>
      </c>
      <c r="D57" s="50">
        <v>3</v>
      </c>
      <c r="E57" s="50">
        <v>5</v>
      </c>
      <c r="F57" s="50">
        <v>23</v>
      </c>
      <c r="G57" s="50">
        <v>4</v>
      </c>
      <c r="H57" s="50">
        <v>0</v>
      </c>
      <c r="I57" s="50">
        <v>7</v>
      </c>
      <c r="J57" s="50">
        <v>5</v>
      </c>
      <c r="K57" s="50">
        <v>4</v>
      </c>
      <c r="L57" s="50">
        <v>11</v>
      </c>
      <c r="M57" s="50">
        <v>211</v>
      </c>
      <c r="N57" s="50">
        <v>0</v>
      </c>
      <c r="O57" s="17">
        <f t="shared" si="0"/>
        <v>122</v>
      </c>
      <c r="P57" s="17">
        <f t="shared" si="1"/>
        <v>333</v>
      </c>
      <c r="R57" s="19"/>
      <c r="S57" s="19"/>
      <c r="T57"/>
    </row>
    <row r="58" spans="2:20" ht="23.1" customHeight="1" x14ac:dyDescent="0.25">
      <c r="B58" s="53" t="s">
        <v>18</v>
      </c>
      <c r="C58" s="16">
        <f t="shared" ref="C58:P58" si="21">SUM(C10:C57)</f>
        <v>2456</v>
      </c>
      <c r="D58" s="16">
        <f t="shared" si="21"/>
        <v>289</v>
      </c>
      <c r="E58" s="16">
        <f t="shared" si="21"/>
        <v>371</v>
      </c>
      <c r="F58" s="16">
        <f t="shared" si="21"/>
        <v>1950</v>
      </c>
      <c r="G58" s="16">
        <f t="shared" si="21"/>
        <v>159</v>
      </c>
      <c r="H58" s="16">
        <f t="shared" si="21"/>
        <v>131</v>
      </c>
      <c r="I58" s="16">
        <f t="shared" si="21"/>
        <v>642</v>
      </c>
      <c r="J58" s="16">
        <f t="shared" si="21"/>
        <v>338</v>
      </c>
      <c r="K58" s="16">
        <f t="shared" si="21"/>
        <v>272</v>
      </c>
      <c r="L58" s="16">
        <f t="shared" si="21"/>
        <v>706</v>
      </c>
      <c r="M58" s="16">
        <f t="shared" si="21"/>
        <v>5331</v>
      </c>
      <c r="N58" s="16">
        <f t="shared" si="21"/>
        <v>0</v>
      </c>
      <c r="O58" s="16">
        <f t="shared" si="21"/>
        <v>7314</v>
      </c>
      <c r="P58" s="16">
        <f t="shared" si="21"/>
        <v>12645</v>
      </c>
      <c r="R58" s="19"/>
      <c r="S58" s="19"/>
      <c r="T58"/>
    </row>
    <row r="59" spans="2:20" ht="23.1" customHeight="1" x14ac:dyDescent="0.25">
      <c r="B59" s="53" t="s">
        <v>93</v>
      </c>
      <c r="C59" s="43">
        <f t="shared" ref="C59:N59" si="22">C58/$P$58</f>
        <v>0.19422696718070384</v>
      </c>
      <c r="D59" s="43">
        <f t="shared" si="22"/>
        <v>2.2854883353103993E-2</v>
      </c>
      <c r="E59" s="43">
        <f t="shared" si="22"/>
        <v>2.933965994464215E-2</v>
      </c>
      <c r="F59" s="43">
        <f t="shared" si="22"/>
        <v>0.15421115065243179</v>
      </c>
      <c r="G59" s="43">
        <f t="shared" si="22"/>
        <v>1.2574139976275208E-2</v>
      </c>
      <c r="H59" s="43">
        <f t="shared" si="22"/>
        <v>1.0359826018189007E-2</v>
      </c>
      <c r="I59" s="43">
        <f t="shared" si="22"/>
        <v>5.0771055753262156E-2</v>
      </c>
      <c r="J59" s="43">
        <f t="shared" si="22"/>
        <v>2.6729932779754845E-2</v>
      </c>
      <c r="K59" s="43">
        <f t="shared" si="22"/>
        <v>2.151047844998023E-2</v>
      </c>
      <c r="L59" s="43">
        <f t="shared" si="22"/>
        <v>5.5832344800316333E-2</v>
      </c>
      <c r="M59" s="43">
        <f t="shared" si="22"/>
        <v>0.42158956109134044</v>
      </c>
      <c r="N59" s="43">
        <f t="shared" si="22"/>
        <v>0</v>
      </c>
      <c r="R59" s="19"/>
      <c r="S59" s="19"/>
      <c r="T59"/>
    </row>
    <row r="60" spans="2:20" ht="23.1" customHeight="1" x14ac:dyDescent="0.25">
      <c r="B60" s="54" t="s">
        <v>94</v>
      </c>
      <c r="C60" s="44">
        <f>C58/$O$58</f>
        <v>0.33579436696745968</v>
      </c>
      <c r="D60" s="44">
        <f t="shared" ref="D60:N60" si="23">D58/$O$58</f>
        <v>3.9513262236806124E-2</v>
      </c>
      <c r="E60" s="44">
        <f t="shared" si="23"/>
        <v>5.0724637681159424E-2</v>
      </c>
      <c r="F60" s="44">
        <f t="shared" si="23"/>
        <v>0.26661197703035278</v>
      </c>
      <c r="G60" s="44">
        <f t="shared" si="23"/>
        <v>2.1739130434782608E-2</v>
      </c>
      <c r="H60" s="44">
        <f t="shared" si="23"/>
        <v>1.7910855892808313E-2</v>
      </c>
      <c r="I60" s="44">
        <f t="shared" si="23"/>
        <v>8.7776866283839211E-2</v>
      </c>
      <c r="J60" s="44">
        <f t="shared" si="23"/>
        <v>4.6212742685261141E-2</v>
      </c>
      <c r="K60" s="44">
        <f t="shared" si="23"/>
        <v>3.7188952693464589E-2</v>
      </c>
      <c r="L60" s="44">
        <f t="shared" si="23"/>
        <v>9.6527208094066175E-2</v>
      </c>
      <c r="M60" s="44"/>
      <c r="N60" s="44">
        <f t="shared" si="23"/>
        <v>0</v>
      </c>
      <c r="R60" s="19"/>
      <c r="S60" s="19"/>
      <c r="T60"/>
    </row>
    <row r="61" spans="2:20" ht="20.100000000000001" customHeight="1" x14ac:dyDescent="0.25">
      <c r="C61" s="18"/>
      <c r="R61" s="19"/>
      <c r="S61" s="19"/>
      <c r="T61"/>
    </row>
    <row r="62" spans="2:20" ht="20.100000000000001" customHeight="1" x14ac:dyDescent="0.25">
      <c r="C62" s="18"/>
      <c r="R62" s="19"/>
      <c r="S62" s="19"/>
      <c r="T62"/>
    </row>
    <row r="63" spans="2:20" ht="20.100000000000001" customHeight="1" x14ac:dyDescent="0.25">
      <c r="C63" s="18"/>
      <c r="R63"/>
      <c r="S63" s="19"/>
      <c r="T63" s="19"/>
    </row>
    <row r="64" spans="2:20" ht="20.100000000000001" customHeight="1" x14ac:dyDescent="0.25">
      <c r="C64" s="18"/>
      <c r="R64"/>
      <c r="S64" s="19"/>
      <c r="T64" s="19"/>
    </row>
    <row r="65" spans="1:32" s="7" customFormat="1" ht="20.100000000000001" customHeight="1" x14ac:dyDescent="0.25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 s="19"/>
      <c r="T65" s="19"/>
      <c r="U65"/>
      <c r="V65"/>
      <c r="W65"/>
      <c r="X65"/>
      <c r="Y65"/>
      <c r="Z65"/>
      <c r="AA65"/>
      <c r="AB65"/>
      <c r="AC65"/>
      <c r="AD65"/>
      <c r="AE65"/>
      <c r="AF65"/>
    </row>
    <row r="66" spans="1:32" s="7" customFormat="1" ht="20.100000000000001" customHeight="1" x14ac:dyDescent="0.2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 s="19"/>
      <c r="T66" s="19"/>
      <c r="U66"/>
      <c r="V66"/>
      <c r="W66"/>
      <c r="X66"/>
      <c r="Y66"/>
      <c r="Z66"/>
      <c r="AA66"/>
      <c r="AB66"/>
      <c r="AC66"/>
      <c r="AD66"/>
      <c r="AE66"/>
      <c r="AF66"/>
    </row>
    <row r="67" spans="1:32" s="7" customFormat="1" ht="20.100000000000001" customHeight="1" x14ac:dyDescent="0.25">
      <c r="A67"/>
      <c r="B67"/>
      <c r="C67"/>
      <c r="D67"/>
      <c r="E67"/>
      <c r="F67"/>
      <c r="G67"/>
      <c r="H67"/>
      <c r="I67"/>
      <c r="J67"/>
      <c r="K67"/>
      <c r="L67"/>
      <c r="M67"/>
      <c r="N67"/>
      <c r="O67"/>
      <c r="P67"/>
      <c r="Q67"/>
      <c r="R67"/>
      <c r="S67" s="19"/>
      <c r="T67" s="19"/>
      <c r="U67"/>
      <c r="V67"/>
      <c r="W67"/>
      <c r="X67"/>
      <c r="Y67"/>
      <c r="Z67"/>
      <c r="AA67"/>
      <c r="AB67"/>
      <c r="AC67"/>
      <c r="AD67"/>
      <c r="AE67"/>
      <c r="AF67"/>
    </row>
    <row r="68" spans="1:32" s="7" customFormat="1" ht="20.100000000000001" customHeight="1" x14ac:dyDescent="0.25">
      <c r="A68"/>
      <c r="B68"/>
      <c r="C68"/>
      <c r="D68"/>
      <c r="E68"/>
      <c r="F68"/>
      <c r="G68"/>
      <c r="H68"/>
      <c r="I68"/>
      <c r="J68"/>
      <c r="K68"/>
      <c r="L68"/>
      <c r="M68"/>
      <c r="N68"/>
      <c r="O68"/>
      <c r="P68"/>
      <c r="Q68"/>
      <c r="R68"/>
      <c r="S68" s="19"/>
      <c r="T68" s="19"/>
      <c r="U68"/>
      <c r="V68"/>
      <c r="W68"/>
      <c r="X68"/>
      <c r="Y68"/>
      <c r="Z68"/>
      <c r="AA68"/>
      <c r="AB68"/>
      <c r="AC68"/>
      <c r="AD68"/>
      <c r="AE68"/>
      <c r="AF68"/>
    </row>
    <row r="69" spans="1:32" s="7" customFormat="1" ht="20.100000000000001" customHeight="1" x14ac:dyDescent="0.25">
      <c r="A69"/>
      <c r="B69"/>
      <c r="C69"/>
      <c r="D69"/>
      <c r="E69"/>
      <c r="F69"/>
      <c r="G69"/>
      <c r="H69"/>
      <c r="I69"/>
      <c r="J69"/>
      <c r="K69"/>
      <c r="L69"/>
      <c r="M69"/>
      <c r="N69"/>
      <c r="O69"/>
      <c r="P69"/>
      <c r="Q69"/>
      <c r="R69"/>
      <c r="S69" s="19"/>
      <c r="T69" s="19"/>
      <c r="U69"/>
      <c r="V69"/>
      <c r="W69"/>
      <c r="X69"/>
      <c r="Y69"/>
      <c r="Z69"/>
      <c r="AA69"/>
      <c r="AB69"/>
      <c r="AC69"/>
      <c r="AD69"/>
      <c r="AE69"/>
      <c r="AF69"/>
    </row>
    <row r="70" spans="1:32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1:32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1:32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1:32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1:32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1:32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1:32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1:32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1:32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1:32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1:32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AF126"/>
  <sheetViews>
    <sheetView view="pageBreakPreview" zoomScale="60" workbookViewId="0">
      <selection activeCell="R8" sqref="R8:AF8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2" t="s">
        <v>23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  <c r="AE1" s="62"/>
    </row>
    <row r="2" spans="2:32" ht="20.100000000000001" customHeight="1" x14ac:dyDescent="0.25">
      <c r="B2" s="63" t="s">
        <v>95</v>
      </c>
      <c r="C2" s="63"/>
      <c r="D2" s="63"/>
      <c r="E2" s="63"/>
      <c r="F2" s="63"/>
      <c r="G2" s="63"/>
      <c r="H2" s="63"/>
      <c r="I2" s="63"/>
      <c r="J2" s="63"/>
      <c r="K2" s="63"/>
      <c r="L2" s="63"/>
      <c r="M2" s="63"/>
      <c r="N2" s="63"/>
      <c r="O2" s="63"/>
      <c r="P2" s="63"/>
      <c r="Q2" s="63"/>
      <c r="R2" s="63"/>
      <c r="S2" s="63"/>
      <c r="T2" s="63"/>
      <c r="U2" s="63"/>
      <c r="V2" s="63"/>
      <c r="W2" s="63"/>
      <c r="X2" s="63"/>
      <c r="Y2" s="63"/>
      <c r="Z2" s="63"/>
      <c r="AA2" s="63"/>
      <c r="AB2" s="63"/>
      <c r="AC2" s="63"/>
      <c r="AD2" s="63"/>
      <c r="AE2" s="63"/>
    </row>
    <row r="3" spans="2:32" ht="20.100000000000001" customHeight="1" x14ac:dyDescent="0.25">
      <c r="B3" s="22" t="s">
        <v>96</v>
      </c>
      <c r="C3" s="71" t="str">
        <f>'[1]23.09 Mukono-Seeta'!C3:G3</f>
        <v>MCC - C2 - STN074 - SONDE  ROAD</v>
      </c>
      <c r="D3" s="71"/>
      <c r="E3" s="71"/>
      <c r="F3" s="71"/>
      <c r="G3" s="71"/>
      <c r="H3" s="22"/>
      <c r="I3" s="22"/>
      <c r="J3" s="22"/>
      <c r="K3" s="22"/>
      <c r="L3" s="22"/>
      <c r="M3" s="22"/>
      <c r="N3" s="22"/>
      <c r="O3" s="22"/>
      <c r="P3" s="22"/>
      <c r="R3"/>
      <c r="S3" s="19"/>
      <c r="T3" s="19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R4"/>
      <c r="S4" s="19"/>
      <c r="T4" s="19"/>
    </row>
    <row r="5" spans="2:32" ht="20.100000000000001" customHeight="1" x14ac:dyDescent="0.25">
      <c r="C5" s="2" t="s">
        <v>3</v>
      </c>
      <c r="D5" s="36" t="s">
        <v>174</v>
      </c>
      <c r="F5" s="41" t="s">
        <v>1</v>
      </c>
      <c r="G5" s="68" t="s">
        <v>175</v>
      </c>
      <c r="H5" s="69"/>
      <c r="I5" s="14"/>
      <c r="J5" s="2" t="s">
        <v>5</v>
      </c>
      <c r="K5" s="68" t="s">
        <v>176</v>
      </c>
      <c r="L5" s="69"/>
      <c r="M5" s="19"/>
      <c r="N5" s="19"/>
      <c r="R5"/>
      <c r="S5" s="19"/>
      <c r="T5" s="19"/>
    </row>
    <row r="6" spans="2:32" ht="23.25" customHeight="1" x14ac:dyDescent="0.25">
      <c r="C6" s="2" t="s">
        <v>4</v>
      </c>
      <c r="D6" s="68" t="s">
        <v>177</v>
      </c>
      <c r="E6" s="69"/>
      <c r="F6" s="2" t="s">
        <v>2</v>
      </c>
      <c r="G6" s="68" t="s">
        <v>178</v>
      </c>
      <c r="H6" s="69"/>
      <c r="J6" s="2" t="s">
        <v>21</v>
      </c>
      <c r="K6" s="68" t="str">
        <f>'[1]23.09 Seeta-Mukono'!K6:L6</f>
        <v>Tracy</v>
      </c>
      <c r="L6" s="69"/>
      <c r="M6" s="19"/>
      <c r="N6" s="19"/>
      <c r="R6"/>
      <c r="S6" s="19"/>
      <c r="T6" s="19"/>
    </row>
    <row r="7" spans="2:32" ht="20.100000000000001" customHeight="1" x14ac:dyDescent="0.25">
      <c r="B7" s="2"/>
      <c r="I7" s="2"/>
      <c r="R7"/>
      <c r="S7" s="19"/>
      <c r="T7" s="19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70" t="s">
        <v>88</v>
      </c>
      <c r="S8" s="70"/>
      <c r="T8" s="70"/>
      <c r="U8" s="70"/>
      <c r="V8" s="70"/>
      <c r="W8" s="70"/>
      <c r="X8" s="70"/>
      <c r="Y8" s="70"/>
      <c r="Z8" s="70"/>
      <c r="AA8" s="70"/>
      <c r="AB8" s="70"/>
      <c r="AC8" s="70"/>
      <c r="AD8" s="70"/>
      <c r="AE8" s="70"/>
      <c r="AF8" s="70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187</v>
      </c>
      <c r="D10" s="50">
        <v>4</v>
      </c>
      <c r="E10" s="50">
        <v>7</v>
      </c>
      <c r="F10" s="50">
        <v>54</v>
      </c>
      <c r="G10" s="50">
        <v>0</v>
      </c>
      <c r="H10" s="50">
        <v>4</v>
      </c>
      <c r="I10" s="50">
        <v>6</v>
      </c>
      <c r="J10" s="50">
        <v>3</v>
      </c>
      <c r="K10" s="50">
        <v>3</v>
      </c>
      <c r="L10" s="50">
        <v>18</v>
      </c>
      <c r="M10" s="50">
        <v>151</v>
      </c>
      <c r="N10" s="50">
        <v>0</v>
      </c>
      <c r="O10" s="17">
        <f t="shared" ref="O10:O57" si="0">SUM(C10:L10,N10)</f>
        <v>286</v>
      </c>
      <c r="P10" s="17">
        <f t="shared" ref="P10:P57" si="1">SUM(C10:N10)</f>
        <v>437</v>
      </c>
      <c r="R10" s="1" t="s">
        <v>6</v>
      </c>
      <c r="S10" s="17">
        <f t="shared" ref="S10:AF10" si="2">SUM(C10:C13)</f>
        <v>300</v>
      </c>
      <c r="T10" s="17">
        <f t="shared" si="2"/>
        <v>42</v>
      </c>
      <c r="U10" s="17">
        <f t="shared" si="2"/>
        <v>20</v>
      </c>
      <c r="V10" s="17">
        <f t="shared" si="2"/>
        <v>208</v>
      </c>
      <c r="W10" s="17">
        <f t="shared" si="2"/>
        <v>6</v>
      </c>
      <c r="X10" s="17">
        <f t="shared" si="2"/>
        <v>7</v>
      </c>
      <c r="Y10" s="17">
        <f t="shared" si="2"/>
        <v>14</v>
      </c>
      <c r="Z10" s="17">
        <f t="shared" si="2"/>
        <v>17</v>
      </c>
      <c r="AA10" s="17">
        <f t="shared" si="2"/>
        <v>15</v>
      </c>
      <c r="AB10" s="17">
        <f t="shared" si="2"/>
        <v>64</v>
      </c>
      <c r="AC10" s="17">
        <f t="shared" si="2"/>
        <v>671</v>
      </c>
      <c r="AD10" s="17">
        <f t="shared" si="2"/>
        <v>0</v>
      </c>
      <c r="AE10" s="31">
        <f t="shared" si="2"/>
        <v>693</v>
      </c>
      <c r="AF10" s="31">
        <f t="shared" si="2"/>
        <v>1364</v>
      </c>
    </row>
    <row r="11" spans="2:32" s="6" customFormat="1" ht="23.1" customHeight="1" x14ac:dyDescent="0.25">
      <c r="B11" s="23" t="s">
        <v>38</v>
      </c>
      <c r="C11" s="50">
        <v>43</v>
      </c>
      <c r="D11" s="50">
        <v>9</v>
      </c>
      <c r="E11" s="50">
        <v>7</v>
      </c>
      <c r="F11" s="50">
        <v>49</v>
      </c>
      <c r="G11" s="50">
        <v>2</v>
      </c>
      <c r="H11" s="50">
        <v>0</v>
      </c>
      <c r="I11" s="50">
        <v>3</v>
      </c>
      <c r="J11" s="50">
        <v>4</v>
      </c>
      <c r="K11" s="50">
        <v>1</v>
      </c>
      <c r="L11" s="50">
        <v>20</v>
      </c>
      <c r="M11" s="50">
        <v>157</v>
      </c>
      <c r="N11" s="50">
        <v>0</v>
      </c>
      <c r="O11" s="17">
        <f t="shared" si="0"/>
        <v>138</v>
      </c>
      <c r="P11" s="17">
        <f t="shared" si="1"/>
        <v>295</v>
      </c>
      <c r="R11" s="1" t="s">
        <v>7</v>
      </c>
      <c r="S11" s="17">
        <f t="shared" ref="S11:AF11" si="3">SUM(C14:C17)</f>
        <v>80</v>
      </c>
      <c r="T11" s="17">
        <f t="shared" si="3"/>
        <v>55</v>
      </c>
      <c r="U11" s="17">
        <f t="shared" si="3"/>
        <v>21</v>
      </c>
      <c r="V11" s="17">
        <f t="shared" si="3"/>
        <v>128</v>
      </c>
      <c r="W11" s="17">
        <f t="shared" si="3"/>
        <v>7</v>
      </c>
      <c r="X11" s="17">
        <f t="shared" si="3"/>
        <v>3</v>
      </c>
      <c r="Y11" s="17">
        <f t="shared" si="3"/>
        <v>20</v>
      </c>
      <c r="Z11" s="17">
        <f t="shared" si="3"/>
        <v>17</v>
      </c>
      <c r="AA11" s="17">
        <f t="shared" si="3"/>
        <v>20</v>
      </c>
      <c r="AB11" s="17">
        <f t="shared" si="3"/>
        <v>41</v>
      </c>
      <c r="AC11" s="17">
        <f t="shared" si="3"/>
        <v>549</v>
      </c>
      <c r="AD11" s="17">
        <f t="shared" si="3"/>
        <v>0</v>
      </c>
      <c r="AE11" s="31">
        <f t="shared" si="3"/>
        <v>392</v>
      </c>
      <c r="AF11" s="31">
        <f t="shared" si="3"/>
        <v>941</v>
      </c>
    </row>
    <row r="12" spans="2:32" ht="23.1" customHeight="1" x14ac:dyDescent="0.25">
      <c r="B12" s="23" t="s">
        <v>39</v>
      </c>
      <c r="C12" s="50">
        <v>34</v>
      </c>
      <c r="D12" s="50">
        <v>12</v>
      </c>
      <c r="E12" s="50">
        <v>4</v>
      </c>
      <c r="F12" s="50">
        <v>48</v>
      </c>
      <c r="G12" s="50">
        <v>4</v>
      </c>
      <c r="H12" s="50">
        <v>1</v>
      </c>
      <c r="I12" s="50">
        <v>1</v>
      </c>
      <c r="J12" s="50">
        <v>3</v>
      </c>
      <c r="K12" s="50">
        <v>7</v>
      </c>
      <c r="L12" s="50">
        <v>11</v>
      </c>
      <c r="M12" s="50">
        <v>156</v>
      </c>
      <c r="N12" s="50">
        <v>0</v>
      </c>
      <c r="O12" s="17">
        <f t="shared" si="0"/>
        <v>125</v>
      </c>
      <c r="P12" s="17">
        <f t="shared" si="1"/>
        <v>281</v>
      </c>
      <c r="R12" s="1" t="s">
        <v>8</v>
      </c>
      <c r="S12" s="17">
        <f t="shared" ref="S12:AF12" si="4">SUM(C18:C21)</f>
        <v>83</v>
      </c>
      <c r="T12" s="17">
        <f t="shared" si="4"/>
        <v>33</v>
      </c>
      <c r="U12" s="17">
        <f t="shared" si="4"/>
        <v>31</v>
      </c>
      <c r="V12" s="17">
        <f t="shared" si="4"/>
        <v>127</v>
      </c>
      <c r="W12" s="17">
        <f t="shared" si="4"/>
        <v>5</v>
      </c>
      <c r="X12" s="17">
        <f t="shared" si="4"/>
        <v>5</v>
      </c>
      <c r="Y12" s="17">
        <f t="shared" si="4"/>
        <v>24</v>
      </c>
      <c r="Z12" s="17">
        <f t="shared" si="4"/>
        <v>20</v>
      </c>
      <c r="AA12" s="17">
        <f t="shared" si="4"/>
        <v>17</v>
      </c>
      <c r="AB12" s="17">
        <f t="shared" si="4"/>
        <v>21</v>
      </c>
      <c r="AC12" s="17">
        <f t="shared" si="4"/>
        <v>473</v>
      </c>
      <c r="AD12" s="17">
        <f t="shared" si="4"/>
        <v>0</v>
      </c>
      <c r="AE12" s="31">
        <f t="shared" si="4"/>
        <v>366</v>
      </c>
      <c r="AF12" s="31">
        <f t="shared" si="4"/>
        <v>839</v>
      </c>
    </row>
    <row r="13" spans="2:32" ht="23.1" customHeight="1" x14ac:dyDescent="0.25">
      <c r="B13" s="23" t="s">
        <v>40</v>
      </c>
      <c r="C13" s="50">
        <v>36</v>
      </c>
      <c r="D13" s="50">
        <v>17</v>
      </c>
      <c r="E13" s="50">
        <v>2</v>
      </c>
      <c r="F13" s="50">
        <v>57</v>
      </c>
      <c r="G13" s="50">
        <v>0</v>
      </c>
      <c r="H13" s="50">
        <v>2</v>
      </c>
      <c r="I13" s="50">
        <v>4</v>
      </c>
      <c r="J13" s="50">
        <v>7</v>
      </c>
      <c r="K13" s="50">
        <v>4</v>
      </c>
      <c r="L13" s="50">
        <v>15</v>
      </c>
      <c r="M13" s="50">
        <v>207</v>
      </c>
      <c r="N13" s="50">
        <v>0</v>
      </c>
      <c r="O13" s="17">
        <f t="shared" si="0"/>
        <v>144</v>
      </c>
      <c r="P13" s="17">
        <f t="shared" si="1"/>
        <v>351</v>
      </c>
      <c r="R13" s="1" t="s">
        <v>9</v>
      </c>
      <c r="S13" s="17">
        <f t="shared" ref="S13:AF13" si="5">SUM(C22:C25)</f>
        <v>86</v>
      </c>
      <c r="T13" s="17">
        <f t="shared" si="5"/>
        <v>40</v>
      </c>
      <c r="U13" s="17">
        <f t="shared" si="5"/>
        <v>27</v>
      </c>
      <c r="V13" s="17">
        <f t="shared" si="5"/>
        <v>171</v>
      </c>
      <c r="W13" s="17">
        <f t="shared" si="5"/>
        <v>4</v>
      </c>
      <c r="X13" s="17">
        <f t="shared" si="5"/>
        <v>1</v>
      </c>
      <c r="Y13" s="17">
        <f t="shared" si="5"/>
        <v>21</v>
      </c>
      <c r="Z13" s="17">
        <f t="shared" si="5"/>
        <v>21</v>
      </c>
      <c r="AA13" s="17">
        <f t="shared" si="5"/>
        <v>17</v>
      </c>
      <c r="AB13" s="17">
        <f t="shared" si="5"/>
        <v>44</v>
      </c>
      <c r="AC13" s="17">
        <f t="shared" si="5"/>
        <v>456</v>
      </c>
      <c r="AD13" s="17">
        <f t="shared" si="5"/>
        <v>0</v>
      </c>
      <c r="AE13" s="31">
        <f t="shared" si="5"/>
        <v>432</v>
      </c>
      <c r="AF13" s="31">
        <f t="shared" si="5"/>
        <v>888</v>
      </c>
    </row>
    <row r="14" spans="2:32" ht="23.1" customHeight="1" x14ac:dyDescent="0.25">
      <c r="B14" s="23" t="s">
        <v>41</v>
      </c>
      <c r="C14" s="50">
        <v>13</v>
      </c>
      <c r="D14" s="50">
        <v>11</v>
      </c>
      <c r="E14" s="50">
        <v>7</v>
      </c>
      <c r="F14" s="50">
        <v>1</v>
      </c>
      <c r="G14" s="50">
        <v>0</v>
      </c>
      <c r="H14" s="50">
        <v>3</v>
      </c>
      <c r="I14" s="50">
        <v>3</v>
      </c>
      <c r="J14" s="50">
        <v>6</v>
      </c>
      <c r="K14" s="50">
        <v>6</v>
      </c>
      <c r="L14" s="50">
        <v>9</v>
      </c>
      <c r="M14" s="50">
        <v>173</v>
      </c>
      <c r="N14" s="50">
        <v>0</v>
      </c>
      <c r="O14" s="17">
        <f t="shared" si="0"/>
        <v>59</v>
      </c>
      <c r="P14" s="17">
        <f t="shared" si="1"/>
        <v>232</v>
      </c>
      <c r="R14" s="1" t="s">
        <v>10</v>
      </c>
      <c r="S14" s="17">
        <f t="shared" ref="S14:AF14" si="6">SUM(C26:C29)</f>
        <v>96</v>
      </c>
      <c r="T14" s="17">
        <f t="shared" si="6"/>
        <v>66</v>
      </c>
      <c r="U14" s="17">
        <f t="shared" si="6"/>
        <v>40</v>
      </c>
      <c r="V14" s="17">
        <f t="shared" si="6"/>
        <v>211</v>
      </c>
      <c r="W14" s="17">
        <f t="shared" si="6"/>
        <v>8</v>
      </c>
      <c r="X14" s="17">
        <f t="shared" si="6"/>
        <v>1</v>
      </c>
      <c r="Y14" s="17">
        <f t="shared" si="6"/>
        <v>36</v>
      </c>
      <c r="Z14" s="17">
        <f t="shared" si="6"/>
        <v>28</v>
      </c>
      <c r="AA14" s="17">
        <f t="shared" si="6"/>
        <v>19</v>
      </c>
      <c r="AB14" s="17">
        <f t="shared" si="6"/>
        <v>54</v>
      </c>
      <c r="AC14" s="17">
        <f t="shared" si="6"/>
        <v>493</v>
      </c>
      <c r="AD14" s="17">
        <f t="shared" si="6"/>
        <v>1</v>
      </c>
      <c r="AE14" s="31">
        <f t="shared" si="6"/>
        <v>560</v>
      </c>
      <c r="AF14" s="31">
        <f t="shared" si="6"/>
        <v>1053</v>
      </c>
    </row>
    <row r="15" spans="2:32" ht="23.1" customHeight="1" x14ac:dyDescent="0.25">
      <c r="B15" s="23" t="s">
        <v>42</v>
      </c>
      <c r="C15" s="50">
        <v>18</v>
      </c>
      <c r="D15" s="50">
        <v>9</v>
      </c>
      <c r="E15" s="50">
        <v>6</v>
      </c>
      <c r="F15" s="50">
        <v>26</v>
      </c>
      <c r="G15" s="50">
        <v>5</v>
      </c>
      <c r="H15" s="50">
        <v>0</v>
      </c>
      <c r="I15" s="50">
        <v>5</v>
      </c>
      <c r="J15" s="50">
        <v>4</v>
      </c>
      <c r="K15" s="50">
        <v>2</v>
      </c>
      <c r="L15" s="50">
        <v>6</v>
      </c>
      <c r="M15" s="50">
        <v>106</v>
      </c>
      <c r="N15" s="50">
        <v>0</v>
      </c>
      <c r="O15" s="17">
        <f t="shared" si="0"/>
        <v>81</v>
      </c>
      <c r="P15" s="17">
        <f t="shared" si="1"/>
        <v>187</v>
      </c>
      <c r="R15" s="1" t="s">
        <v>11</v>
      </c>
      <c r="S15" s="17">
        <f t="shared" ref="S15:AF15" si="7">SUM(C30:C33)</f>
        <v>108</v>
      </c>
      <c r="T15" s="17">
        <f t="shared" si="7"/>
        <v>62</v>
      </c>
      <c r="U15" s="17">
        <f t="shared" si="7"/>
        <v>29</v>
      </c>
      <c r="V15" s="17">
        <f t="shared" si="7"/>
        <v>168</v>
      </c>
      <c r="W15" s="17">
        <f t="shared" si="7"/>
        <v>4</v>
      </c>
      <c r="X15" s="17">
        <f t="shared" si="7"/>
        <v>3</v>
      </c>
      <c r="Y15" s="17">
        <f t="shared" si="7"/>
        <v>35</v>
      </c>
      <c r="Z15" s="17">
        <f t="shared" si="7"/>
        <v>44</v>
      </c>
      <c r="AA15" s="17">
        <f t="shared" si="7"/>
        <v>18</v>
      </c>
      <c r="AB15" s="17">
        <f t="shared" si="7"/>
        <v>46</v>
      </c>
      <c r="AC15" s="17">
        <f t="shared" si="7"/>
        <v>435</v>
      </c>
      <c r="AD15" s="17">
        <f t="shared" si="7"/>
        <v>0</v>
      </c>
      <c r="AE15" s="31">
        <f t="shared" si="7"/>
        <v>517</v>
      </c>
      <c r="AF15" s="31">
        <f t="shared" si="7"/>
        <v>952</v>
      </c>
    </row>
    <row r="16" spans="2:32" ht="23.1" customHeight="1" x14ac:dyDescent="0.25">
      <c r="B16" s="23" t="s">
        <v>43</v>
      </c>
      <c r="C16" s="50">
        <v>26</v>
      </c>
      <c r="D16" s="50">
        <v>16</v>
      </c>
      <c r="E16" s="50">
        <v>5</v>
      </c>
      <c r="F16" s="50">
        <v>49</v>
      </c>
      <c r="G16" s="50">
        <v>2</v>
      </c>
      <c r="H16" s="50">
        <v>0</v>
      </c>
      <c r="I16" s="50">
        <v>5</v>
      </c>
      <c r="J16" s="50">
        <v>4</v>
      </c>
      <c r="K16" s="50">
        <v>7</v>
      </c>
      <c r="L16" s="50">
        <v>16</v>
      </c>
      <c r="M16" s="50">
        <v>128</v>
      </c>
      <c r="N16" s="50">
        <v>0</v>
      </c>
      <c r="O16" s="17">
        <f t="shared" si="0"/>
        <v>130</v>
      </c>
      <c r="P16" s="17">
        <f t="shared" si="1"/>
        <v>258</v>
      </c>
      <c r="R16" s="1" t="s">
        <v>12</v>
      </c>
      <c r="S16" s="17">
        <f t="shared" ref="S16:AF16" si="8">SUM(C34:C37)</f>
        <v>112</v>
      </c>
      <c r="T16" s="17">
        <f t="shared" si="8"/>
        <v>32</v>
      </c>
      <c r="U16" s="17">
        <f t="shared" si="8"/>
        <v>31</v>
      </c>
      <c r="V16" s="17">
        <f t="shared" si="8"/>
        <v>146</v>
      </c>
      <c r="W16" s="17">
        <f t="shared" si="8"/>
        <v>7</v>
      </c>
      <c r="X16" s="17">
        <f t="shared" si="8"/>
        <v>2</v>
      </c>
      <c r="Y16" s="17">
        <f t="shared" si="8"/>
        <v>21</v>
      </c>
      <c r="Z16" s="17">
        <f t="shared" si="8"/>
        <v>24</v>
      </c>
      <c r="AA16" s="17">
        <f t="shared" si="8"/>
        <v>25</v>
      </c>
      <c r="AB16" s="17">
        <f t="shared" si="8"/>
        <v>35</v>
      </c>
      <c r="AC16" s="17">
        <f t="shared" si="8"/>
        <v>278</v>
      </c>
      <c r="AD16" s="17">
        <f t="shared" si="8"/>
        <v>0</v>
      </c>
      <c r="AE16" s="31">
        <f t="shared" si="8"/>
        <v>435</v>
      </c>
      <c r="AF16" s="31">
        <f t="shared" si="8"/>
        <v>713</v>
      </c>
    </row>
    <row r="17" spans="2:32" ht="23.1" customHeight="1" x14ac:dyDescent="0.25">
      <c r="B17" s="23" t="s">
        <v>44</v>
      </c>
      <c r="C17" s="50">
        <v>23</v>
      </c>
      <c r="D17" s="50">
        <v>19</v>
      </c>
      <c r="E17" s="50">
        <v>3</v>
      </c>
      <c r="F17" s="50">
        <v>52</v>
      </c>
      <c r="G17" s="50">
        <v>0</v>
      </c>
      <c r="H17" s="50">
        <v>0</v>
      </c>
      <c r="I17" s="50">
        <v>7</v>
      </c>
      <c r="J17" s="50">
        <v>3</v>
      </c>
      <c r="K17" s="50">
        <v>5</v>
      </c>
      <c r="L17" s="50">
        <v>10</v>
      </c>
      <c r="M17" s="50">
        <v>142</v>
      </c>
      <c r="N17" s="50">
        <v>0</v>
      </c>
      <c r="O17" s="17">
        <f t="shared" si="0"/>
        <v>122</v>
      </c>
      <c r="P17" s="17">
        <f t="shared" si="1"/>
        <v>264</v>
      </c>
      <c r="R17" s="1" t="s">
        <v>13</v>
      </c>
      <c r="S17" s="17">
        <f t="shared" ref="S17:AF17" si="9">SUM(C38:C41)</f>
        <v>86</v>
      </c>
      <c r="T17" s="17">
        <f t="shared" si="9"/>
        <v>61</v>
      </c>
      <c r="U17" s="17">
        <f t="shared" si="9"/>
        <v>14</v>
      </c>
      <c r="V17" s="17">
        <f t="shared" si="9"/>
        <v>129</v>
      </c>
      <c r="W17" s="17">
        <f t="shared" si="9"/>
        <v>7</v>
      </c>
      <c r="X17" s="17">
        <f t="shared" si="9"/>
        <v>1</v>
      </c>
      <c r="Y17" s="17">
        <f t="shared" si="9"/>
        <v>31</v>
      </c>
      <c r="Z17" s="17">
        <f t="shared" si="9"/>
        <v>26</v>
      </c>
      <c r="AA17" s="17">
        <f t="shared" si="9"/>
        <v>18</v>
      </c>
      <c r="AB17" s="17">
        <f t="shared" si="9"/>
        <v>41</v>
      </c>
      <c r="AC17" s="17">
        <f t="shared" si="9"/>
        <v>256</v>
      </c>
      <c r="AD17" s="17">
        <f t="shared" si="9"/>
        <v>0</v>
      </c>
      <c r="AE17" s="31">
        <f t="shared" si="9"/>
        <v>414</v>
      </c>
      <c r="AF17" s="31">
        <f t="shared" si="9"/>
        <v>670</v>
      </c>
    </row>
    <row r="18" spans="2:32" ht="23.1" customHeight="1" x14ac:dyDescent="0.25">
      <c r="B18" s="23" t="s">
        <v>45</v>
      </c>
      <c r="C18" s="50">
        <v>29</v>
      </c>
      <c r="D18" s="50">
        <v>6</v>
      </c>
      <c r="E18" s="50">
        <v>16</v>
      </c>
      <c r="F18" s="50">
        <v>51</v>
      </c>
      <c r="G18" s="50">
        <v>1</v>
      </c>
      <c r="H18" s="50">
        <v>1</v>
      </c>
      <c r="I18" s="50">
        <v>4</v>
      </c>
      <c r="J18" s="50">
        <v>11</v>
      </c>
      <c r="K18" s="50">
        <v>2</v>
      </c>
      <c r="L18" s="50">
        <v>9</v>
      </c>
      <c r="M18" s="50">
        <v>144</v>
      </c>
      <c r="N18" s="50">
        <v>0</v>
      </c>
      <c r="O18" s="17">
        <f t="shared" si="0"/>
        <v>130</v>
      </c>
      <c r="P18" s="17">
        <f t="shared" si="1"/>
        <v>274</v>
      </c>
      <c r="R18" s="1" t="s">
        <v>14</v>
      </c>
      <c r="S18" s="17">
        <f t="shared" ref="S18:AF18" si="10">SUM(C42:C45)</f>
        <v>95</v>
      </c>
      <c r="T18" s="17">
        <f t="shared" si="10"/>
        <v>58</v>
      </c>
      <c r="U18" s="17">
        <f t="shared" si="10"/>
        <v>35</v>
      </c>
      <c r="V18" s="17">
        <f t="shared" si="10"/>
        <v>177</v>
      </c>
      <c r="W18" s="17">
        <f t="shared" si="10"/>
        <v>6</v>
      </c>
      <c r="X18" s="17">
        <f t="shared" si="10"/>
        <v>1</v>
      </c>
      <c r="Y18" s="17">
        <f t="shared" si="10"/>
        <v>23</v>
      </c>
      <c r="Z18" s="17">
        <f t="shared" si="10"/>
        <v>31</v>
      </c>
      <c r="AA18" s="17">
        <f t="shared" si="10"/>
        <v>18</v>
      </c>
      <c r="AB18" s="17">
        <f t="shared" si="10"/>
        <v>50</v>
      </c>
      <c r="AC18" s="17">
        <f t="shared" si="10"/>
        <v>369</v>
      </c>
      <c r="AD18" s="17">
        <f t="shared" si="10"/>
        <v>0</v>
      </c>
      <c r="AE18" s="31">
        <f t="shared" si="10"/>
        <v>494</v>
      </c>
      <c r="AF18" s="31">
        <f t="shared" si="10"/>
        <v>863</v>
      </c>
    </row>
    <row r="19" spans="2:32" ht="23.1" customHeight="1" x14ac:dyDescent="0.25">
      <c r="B19" s="23" t="s">
        <v>46</v>
      </c>
      <c r="C19" s="50">
        <v>15</v>
      </c>
      <c r="D19" s="50">
        <v>6</v>
      </c>
      <c r="E19" s="50">
        <v>4</v>
      </c>
      <c r="F19" s="50">
        <v>32</v>
      </c>
      <c r="G19" s="50">
        <v>4</v>
      </c>
      <c r="H19" s="50">
        <v>0</v>
      </c>
      <c r="I19" s="50">
        <v>6</v>
      </c>
      <c r="J19" s="50">
        <v>3</v>
      </c>
      <c r="K19" s="50">
        <v>4</v>
      </c>
      <c r="L19" s="50">
        <v>3</v>
      </c>
      <c r="M19" s="50">
        <v>116</v>
      </c>
      <c r="N19" s="50">
        <v>0</v>
      </c>
      <c r="O19" s="17">
        <f t="shared" si="0"/>
        <v>77</v>
      </c>
      <c r="P19" s="17">
        <f t="shared" si="1"/>
        <v>193</v>
      </c>
      <c r="R19" s="1" t="s">
        <v>15</v>
      </c>
      <c r="S19" s="17">
        <f t="shared" ref="S19:AF19" si="11">SUM(C46:C49)</f>
        <v>119</v>
      </c>
      <c r="T19" s="17">
        <f t="shared" si="11"/>
        <v>62</v>
      </c>
      <c r="U19" s="17">
        <f t="shared" si="11"/>
        <v>30</v>
      </c>
      <c r="V19" s="17">
        <f t="shared" si="11"/>
        <v>174</v>
      </c>
      <c r="W19" s="17">
        <f t="shared" si="11"/>
        <v>15</v>
      </c>
      <c r="X19" s="17">
        <f t="shared" si="11"/>
        <v>0</v>
      </c>
      <c r="Y19" s="17">
        <f t="shared" si="11"/>
        <v>43</v>
      </c>
      <c r="Z19" s="17">
        <f t="shared" si="11"/>
        <v>33</v>
      </c>
      <c r="AA19" s="17">
        <f t="shared" si="11"/>
        <v>19</v>
      </c>
      <c r="AB19" s="17">
        <f t="shared" si="11"/>
        <v>42</v>
      </c>
      <c r="AC19" s="17">
        <f t="shared" si="11"/>
        <v>392</v>
      </c>
      <c r="AD19" s="17">
        <f t="shared" si="11"/>
        <v>0</v>
      </c>
      <c r="AE19" s="31">
        <f t="shared" si="11"/>
        <v>537</v>
      </c>
      <c r="AF19" s="31">
        <f t="shared" si="11"/>
        <v>929</v>
      </c>
    </row>
    <row r="20" spans="2:32" ht="23.1" customHeight="1" x14ac:dyDescent="0.25">
      <c r="B20" s="23" t="s">
        <v>47</v>
      </c>
      <c r="C20" s="50">
        <v>17</v>
      </c>
      <c r="D20" s="50">
        <v>12</v>
      </c>
      <c r="E20" s="50">
        <v>7</v>
      </c>
      <c r="F20" s="50">
        <v>44</v>
      </c>
      <c r="G20" s="50">
        <v>0</v>
      </c>
      <c r="H20" s="50">
        <v>0</v>
      </c>
      <c r="I20" s="50">
        <v>5</v>
      </c>
      <c r="J20" s="50">
        <v>3</v>
      </c>
      <c r="K20" s="50">
        <v>1</v>
      </c>
      <c r="L20" s="50">
        <v>9</v>
      </c>
      <c r="M20" s="50">
        <v>121</v>
      </c>
      <c r="N20" s="50">
        <v>0</v>
      </c>
      <c r="O20" s="17">
        <f t="shared" si="0"/>
        <v>98</v>
      </c>
      <c r="P20" s="17">
        <f t="shared" si="1"/>
        <v>219</v>
      </c>
      <c r="R20" s="1" t="s">
        <v>16</v>
      </c>
      <c r="S20" s="17">
        <f t="shared" ref="S20:AF20" si="12">SUM(C50:C53)</f>
        <v>130</v>
      </c>
      <c r="T20" s="17">
        <f t="shared" si="12"/>
        <v>68</v>
      </c>
      <c r="U20" s="17">
        <f t="shared" si="12"/>
        <v>32</v>
      </c>
      <c r="V20" s="17">
        <f t="shared" si="12"/>
        <v>176</v>
      </c>
      <c r="W20" s="17">
        <f t="shared" si="12"/>
        <v>19</v>
      </c>
      <c r="X20" s="17">
        <f t="shared" si="12"/>
        <v>4</v>
      </c>
      <c r="Y20" s="17">
        <f t="shared" si="12"/>
        <v>31</v>
      </c>
      <c r="Z20" s="17">
        <f t="shared" si="12"/>
        <v>31</v>
      </c>
      <c r="AA20" s="17">
        <f t="shared" si="12"/>
        <v>22</v>
      </c>
      <c r="AB20" s="17">
        <f t="shared" si="12"/>
        <v>34</v>
      </c>
      <c r="AC20" s="17">
        <f t="shared" si="12"/>
        <v>487</v>
      </c>
      <c r="AD20" s="17">
        <f t="shared" si="12"/>
        <v>0</v>
      </c>
      <c r="AE20" s="31">
        <f t="shared" si="12"/>
        <v>547</v>
      </c>
      <c r="AF20" s="31">
        <f t="shared" si="12"/>
        <v>1034</v>
      </c>
    </row>
    <row r="21" spans="2:32" ht="23.1" customHeight="1" x14ac:dyDescent="0.25">
      <c r="B21" s="23" t="s">
        <v>48</v>
      </c>
      <c r="C21" s="50">
        <v>22</v>
      </c>
      <c r="D21" s="50">
        <v>9</v>
      </c>
      <c r="E21" s="50">
        <v>4</v>
      </c>
      <c r="F21" s="50">
        <v>0</v>
      </c>
      <c r="G21" s="50">
        <v>0</v>
      </c>
      <c r="H21" s="50">
        <v>4</v>
      </c>
      <c r="I21" s="50">
        <v>9</v>
      </c>
      <c r="J21" s="50">
        <v>3</v>
      </c>
      <c r="K21" s="50">
        <v>10</v>
      </c>
      <c r="L21" s="50">
        <v>0</v>
      </c>
      <c r="M21" s="50">
        <v>92</v>
      </c>
      <c r="N21" s="50">
        <v>0</v>
      </c>
      <c r="O21" s="17">
        <f t="shared" si="0"/>
        <v>61</v>
      </c>
      <c r="P21" s="17">
        <f t="shared" si="1"/>
        <v>153</v>
      </c>
      <c r="R21" s="36" t="s">
        <v>20</v>
      </c>
      <c r="S21" s="34">
        <f t="shared" ref="S21:AF21" si="13">SUM(C54:C57)</f>
        <v>139</v>
      </c>
      <c r="T21" s="17">
        <f t="shared" si="13"/>
        <v>65</v>
      </c>
      <c r="U21" s="17">
        <f t="shared" si="13"/>
        <v>39</v>
      </c>
      <c r="V21" s="17">
        <f t="shared" si="13"/>
        <v>199</v>
      </c>
      <c r="W21" s="17">
        <f t="shared" si="13"/>
        <v>11</v>
      </c>
      <c r="X21" s="17">
        <f t="shared" si="13"/>
        <v>4</v>
      </c>
      <c r="Y21" s="17">
        <f t="shared" si="13"/>
        <v>38</v>
      </c>
      <c r="Z21" s="17">
        <f t="shared" si="13"/>
        <v>28</v>
      </c>
      <c r="AA21" s="17">
        <f t="shared" si="13"/>
        <v>20</v>
      </c>
      <c r="AB21" s="17">
        <f t="shared" si="13"/>
        <v>54</v>
      </c>
      <c r="AC21" s="17">
        <f t="shared" si="13"/>
        <v>476</v>
      </c>
      <c r="AD21" s="17">
        <f t="shared" si="13"/>
        <v>0</v>
      </c>
      <c r="AE21" s="31">
        <f t="shared" si="13"/>
        <v>597</v>
      </c>
      <c r="AF21" s="31">
        <f t="shared" si="13"/>
        <v>1073</v>
      </c>
    </row>
    <row r="22" spans="2:32" ht="23.1" customHeight="1" x14ac:dyDescent="0.25">
      <c r="B22" s="23" t="s">
        <v>49</v>
      </c>
      <c r="C22" s="50">
        <v>26</v>
      </c>
      <c r="D22" s="50">
        <v>10</v>
      </c>
      <c r="E22" s="50">
        <v>8</v>
      </c>
      <c r="F22" s="50">
        <v>53</v>
      </c>
      <c r="G22" s="50">
        <v>2</v>
      </c>
      <c r="H22" s="50">
        <v>0</v>
      </c>
      <c r="I22" s="50">
        <v>8</v>
      </c>
      <c r="J22" s="50">
        <v>5</v>
      </c>
      <c r="K22" s="50">
        <v>4</v>
      </c>
      <c r="L22" s="50">
        <v>6</v>
      </c>
      <c r="M22" s="50">
        <v>118</v>
      </c>
      <c r="N22" s="50">
        <v>0</v>
      </c>
      <c r="O22" s="17">
        <f t="shared" si="0"/>
        <v>122</v>
      </c>
      <c r="P22" s="17">
        <f t="shared" si="1"/>
        <v>240</v>
      </c>
      <c r="R22" s="51" t="s">
        <v>90</v>
      </c>
      <c r="S22" s="52">
        <f>MAX(S10:S12)</f>
        <v>300</v>
      </c>
      <c r="T22" s="52">
        <f t="shared" ref="T22:AF22" si="14">MAX(T10:T12)</f>
        <v>55</v>
      </c>
      <c r="U22" s="52">
        <f t="shared" si="14"/>
        <v>31</v>
      </c>
      <c r="V22" s="52">
        <f t="shared" si="14"/>
        <v>208</v>
      </c>
      <c r="W22" s="52">
        <f t="shared" si="14"/>
        <v>7</v>
      </c>
      <c r="X22" s="52">
        <f t="shared" si="14"/>
        <v>7</v>
      </c>
      <c r="Y22" s="52">
        <f t="shared" si="14"/>
        <v>24</v>
      </c>
      <c r="Z22" s="52">
        <f t="shared" si="14"/>
        <v>20</v>
      </c>
      <c r="AA22" s="52">
        <f t="shared" si="14"/>
        <v>20</v>
      </c>
      <c r="AB22" s="52">
        <f t="shared" si="14"/>
        <v>64</v>
      </c>
      <c r="AC22" s="52">
        <f t="shared" si="14"/>
        <v>671</v>
      </c>
      <c r="AD22" s="52">
        <f t="shared" si="14"/>
        <v>0</v>
      </c>
      <c r="AE22" s="40">
        <f t="shared" si="14"/>
        <v>693</v>
      </c>
      <c r="AF22" s="40">
        <f t="shared" si="14"/>
        <v>1364</v>
      </c>
    </row>
    <row r="23" spans="2:32" ht="23.1" customHeight="1" x14ac:dyDescent="0.25">
      <c r="B23" s="23" t="s">
        <v>50</v>
      </c>
      <c r="C23" s="50">
        <v>17</v>
      </c>
      <c r="D23" s="50">
        <v>8</v>
      </c>
      <c r="E23" s="50">
        <v>7</v>
      </c>
      <c r="F23" s="50">
        <v>39</v>
      </c>
      <c r="G23" s="50">
        <v>0</v>
      </c>
      <c r="H23" s="50">
        <v>0</v>
      </c>
      <c r="I23" s="50">
        <v>1</v>
      </c>
      <c r="J23" s="50">
        <v>3</v>
      </c>
      <c r="K23" s="50">
        <v>2</v>
      </c>
      <c r="L23" s="50">
        <v>7</v>
      </c>
      <c r="M23" s="50">
        <v>111</v>
      </c>
      <c r="N23" s="50">
        <v>0</v>
      </c>
      <c r="O23" s="17">
        <f t="shared" si="0"/>
        <v>84</v>
      </c>
      <c r="P23" s="17">
        <f t="shared" si="1"/>
        <v>195</v>
      </c>
      <c r="R23" s="51" t="s">
        <v>91</v>
      </c>
      <c r="S23" s="52">
        <f>MAX(S13:S18)</f>
        <v>112</v>
      </c>
      <c r="T23" s="52">
        <f t="shared" ref="T23:AF23" si="15">MAX(T13:T18)</f>
        <v>66</v>
      </c>
      <c r="U23" s="52">
        <f t="shared" si="15"/>
        <v>40</v>
      </c>
      <c r="V23" s="52">
        <f t="shared" si="15"/>
        <v>211</v>
      </c>
      <c r="W23" s="52">
        <f t="shared" si="15"/>
        <v>8</v>
      </c>
      <c r="X23" s="52">
        <f t="shared" si="15"/>
        <v>3</v>
      </c>
      <c r="Y23" s="52">
        <f t="shared" si="15"/>
        <v>36</v>
      </c>
      <c r="Z23" s="52">
        <f t="shared" si="15"/>
        <v>44</v>
      </c>
      <c r="AA23" s="52">
        <f t="shared" si="15"/>
        <v>25</v>
      </c>
      <c r="AB23" s="52">
        <f t="shared" si="15"/>
        <v>54</v>
      </c>
      <c r="AC23" s="52">
        <f t="shared" si="15"/>
        <v>493</v>
      </c>
      <c r="AD23" s="52">
        <f t="shared" si="15"/>
        <v>1</v>
      </c>
      <c r="AE23" s="40">
        <f t="shared" si="15"/>
        <v>560</v>
      </c>
      <c r="AF23" s="40">
        <f t="shared" si="15"/>
        <v>1053</v>
      </c>
    </row>
    <row r="24" spans="2:32" ht="23.1" customHeight="1" x14ac:dyDescent="0.25">
      <c r="B24" s="23" t="s">
        <v>51</v>
      </c>
      <c r="C24" s="50">
        <v>15</v>
      </c>
      <c r="D24" s="50">
        <v>10</v>
      </c>
      <c r="E24" s="50">
        <v>3</v>
      </c>
      <c r="F24" s="50">
        <v>44</v>
      </c>
      <c r="G24" s="50">
        <v>1</v>
      </c>
      <c r="H24" s="50">
        <v>0</v>
      </c>
      <c r="I24" s="50">
        <v>8</v>
      </c>
      <c r="J24" s="50">
        <v>5</v>
      </c>
      <c r="K24" s="50">
        <v>6</v>
      </c>
      <c r="L24" s="50">
        <v>12</v>
      </c>
      <c r="M24" s="50">
        <v>128</v>
      </c>
      <c r="N24" s="50">
        <v>0</v>
      </c>
      <c r="O24" s="17">
        <f t="shared" si="0"/>
        <v>104</v>
      </c>
      <c r="P24" s="17">
        <f t="shared" si="1"/>
        <v>232</v>
      </c>
      <c r="R24" s="51" t="s">
        <v>92</v>
      </c>
      <c r="S24" s="52">
        <f>MAX(S19:S21)</f>
        <v>139</v>
      </c>
      <c r="T24" s="52">
        <f t="shared" ref="T24:AF24" si="16">MAX(T19:T21)</f>
        <v>68</v>
      </c>
      <c r="U24" s="52">
        <f t="shared" si="16"/>
        <v>39</v>
      </c>
      <c r="V24" s="52">
        <f t="shared" si="16"/>
        <v>199</v>
      </c>
      <c r="W24" s="52">
        <f t="shared" si="16"/>
        <v>19</v>
      </c>
      <c r="X24" s="52">
        <f t="shared" si="16"/>
        <v>4</v>
      </c>
      <c r="Y24" s="52">
        <f t="shared" si="16"/>
        <v>43</v>
      </c>
      <c r="Z24" s="52">
        <f t="shared" si="16"/>
        <v>33</v>
      </c>
      <c r="AA24" s="52">
        <f t="shared" si="16"/>
        <v>22</v>
      </c>
      <c r="AB24" s="52">
        <f t="shared" si="16"/>
        <v>54</v>
      </c>
      <c r="AC24" s="52">
        <f t="shared" si="16"/>
        <v>487</v>
      </c>
      <c r="AD24" s="52">
        <f t="shared" si="16"/>
        <v>0</v>
      </c>
      <c r="AE24" s="40">
        <f t="shared" si="16"/>
        <v>597</v>
      </c>
      <c r="AF24" s="40">
        <f t="shared" si="16"/>
        <v>1073</v>
      </c>
    </row>
    <row r="25" spans="2:32" ht="23.1" customHeight="1" x14ac:dyDescent="0.25">
      <c r="B25" s="23" t="s">
        <v>52</v>
      </c>
      <c r="C25" s="50">
        <v>28</v>
      </c>
      <c r="D25" s="50">
        <v>12</v>
      </c>
      <c r="E25" s="50">
        <v>9</v>
      </c>
      <c r="F25" s="50">
        <v>35</v>
      </c>
      <c r="G25" s="50">
        <v>1</v>
      </c>
      <c r="H25" s="50">
        <v>1</v>
      </c>
      <c r="I25" s="50">
        <v>4</v>
      </c>
      <c r="J25" s="50">
        <v>8</v>
      </c>
      <c r="K25" s="50">
        <v>5</v>
      </c>
      <c r="L25" s="50">
        <v>19</v>
      </c>
      <c r="M25" s="50">
        <v>99</v>
      </c>
      <c r="N25" s="50">
        <v>0</v>
      </c>
      <c r="O25" s="17">
        <f t="shared" si="0"/>
        <v>122</v>
      </c>
      <c r="P25" s="17">
        <f t="shared" si="1"/>
        <v>221</v>
      </c>
      <c r="R25" s="37" t="s">
        <v>85</v>
      </c>
      <c r="S25" s="35">
        <f t="shared" ref="S25:AF25" si="17">SUM(S10:S12)</f>
        <v>463</v>
      </c>
      <c r="T25" s="16">
        <f t="shared" si="17"/>
        <v>130</v>
      </c>
      <c r="U25" s="16">
        <f t="shared" si="17"/>
        <v>72</v>
      </c>
      <c r="V25" s="16">
        <f t="shared" si="17"/>
        <v>463</v>
      </c>
      <c r="W25" s="16">
        <f t="shared" si="17"/>
        <v>18</v>
      </c>
      <c r="X25" s="16">
        <f t="shared" si="17"/>
        <v>15</v>
      </c>
      <c r="Y25" s="16">
        <f t="shared" si="17"/>
        <v>58</v>
      </c>
      <c r="Z25" s="16">
        <f t="shared" si="17"/>
        <v>54</v>
      </c>
      <c r="AA25" s="16">
        <f t="shared" si="17"/>
        <v>52</v>
      </c>
      <c r="AB25" s="16">
        <f t="shared" si="17"/>
        <v>126</v>
      </c>
      <c r="AC25" s="16">
        <f t="shared" si="17"/>
        <v>1693</v>
      </c>
      <c r="AD25" s="16">
        <f t="shared" si="17"/>
        <v>0</v>
      </c>
      <c r="AE25" s="32">
        <f t="shared" si="17"/>
        <v>1451</v>
      </c>
      <c r="AF25" s="32">
        <f t="shared" si="17"/>
        <v>3144</v>
      </c>
    </row>
    <row r="26" spans="2:32" ht="23.1" customHeight="1" x14ac:dyDescent="0.25">
      <c r="B26" s="23" t="s">
        <v>53</v>
      </c>
      <c r="C26" s="50">
        <v>34</v>
      </c>
      <c r="D26" s="50">
        <v>18</v>
      </c>
      <c r="E26" s="50">
        <v>16</v>
      </c>
      <c r="F26" s="50">
        <v>64</v>
      </c>
      <c r="G26" s="50">
        <v>3</v>
      </c>
      <c r="H26" s="50">
        <v>0</v>
      </c>
      <c r="I26" s="50">
        <v>8</v>
      </c>
      <c r="J26" s="50">
        <v>6</v>
      </c>
      <c r="K26" s="50">
        <v>3</v>
      </c>
      <c r="L26" s="50">
        <v>16</v>
      </c>
      <c r="M26" s="50">
        <v>125</v>
      </c>
      <c r="N26" s="50">
        <v>0</v>
      </c>
      <c r="O26" s="17">
        <f t="shared" si="0"/>
        <v>168</v>
      </c>
      <c r="P26" s="17">
        <f t="shared" si="1"/>
        <v>293</v>
      </c>
      <c r="R26" s="28" t="s">
        <v>86</v>
      </c>
      <c r="S26" s="16">
        <f t="shared" ref="S26:AF26" si="18">SUM(S13:S18)</f>
        <v>583</v>
      </c>
      <c r="T26" s="16">
        <f t="shared" si="18"/>
        <v>319</v>
      </c>
      <c r="U26" s="16">
        <f t="shared" si="18"/>
        <v>176</v>
      </c>
      <c r="V26" s="16">
        <f t="shared" si="18"/>
        <v>1002</v>
      </c>
      <c r="W26" s="16">
        <f t="shared" si="18"/>
        <v>36</v>
      </c>
      <c r="X26" s="16">
        <f t="shared" si="18"/>
        <v>9</v>
      </c>
      <c r="Y26" s="16">
        <f t="shared" si="18"/>
        <v>167</v>
      </c>
      <c r="Z26" s="16">
        <f t="shared" si="18"/>
        <v>174</v>
      </c>
      <c r="AA26" s="16">
        <f t="shared" si="18"/>
        <v>115</v>
      </c>
      <c r="AB26" s="16">
        <f t="shared" si="18"/>
        <v>270</v>
      </c>
      <c r="AC26" s="16">
        <f t="shared" si="18"/>
        <v>2287</v>
      </c>
      <c r="AD26" s="16">
        <f t="shared" si="18"/>
        <v>1</v>
      </c>
      <c r="AE26" s="32">
        <f t="shared" si="18"/>
        <v>2852</v>
      </c>
      <c r="AF26" s="32">
        <f t="shared" si="18"/>
        <v>5139</v>
      </c>
    </row>
    <row r="27" spans="2:32" ht="23.1" customHeight="1" x14ac:dyDescent="0.25">
      <c r="B27" s="23" t="s">
        <v>54</v>
      </c>
      <c r="C27" s="50">
        <v>22</v>
      </c>
      <c r="D27" s="50">
        <v>24</v>
      </c>
      <c r="E27" s="50">
        <v>12</v>
      </c>
      <c r="F27" s="50">
        <v>61</v>
      </c>
      <c r="G27" s="50">
        <v>2</v>
      </c>
      <c r="H27" s="50">
        <v>0</v>
      </c>
      <c r="I27" s="50">
        <v>13</v>
      </c>
      <c r="J27" s="50">
        <v>7</v>
      </c>
      <c r="K27" s="50">
        <v>11</v>
      </c>
      <c r="L27" s="50">
        <v>15</v>
      </c>
      <c r="M27" s="50">
        <v>147</v>
      </c>
      <c r="N27" s="50">
        <v>1</v>
      </c>
      <c r="O27" s="17">
        <f t="shared" si="0"/>
        <v>168</v>
      </c>
      <c r="P27" s="17">
        <f t="shared" si="1"/>
        <v>315</v>
      </c>
      <c r="R27" s="29" t="s">
        <v>87</v>
      </c>
      <c r="S27" s="16">
        <f t="shared" ref="S27:AF27" si="19">SUM(S19:S21)</f>
        <v>388</v>
      </c>
      <c r="T27" s="16">
        <f t="shared" si="19"/>
        <v>195</v>
      </c>
      <c r="U27" s="16">
        <f t="shared" si="19"/>
        <v>101</v>
      </c>
      <c r="V27" s="16">
        <f t="shared" si="19"/>
        <v>549</v>
      </c>
      <c r="W27" s="16">
        <f t="shared" si="19"/>
        <v>45</v>
      </c>
      <c r="X27" s="16">
        <f t="shared" si="19"/>
        <v>8</v>
      </c>
      <c r="Y27" s="16">
        <f t="shared" si="19"/>
        <v>112</v>
      </c>
      <c r="Z27" s="16">
        <f t="shared" si="19"/>
        <v>92</v>
      </c>
      <c r="AA27" s="16">
        <f t="shared" si="19"/>
        <v>61</v>
      </c>
      <c r="AB27" s="16">
        <f t="shared" si="19"/>
        <v>130</v>
      </c>
      <c r="AC27" s="16">
        <f t="shared" si="19"/>
        <v>1355</v>
      </c>
      <c r="AD27" s="16">
        <f t="shared" si="19"/>
        <v>0</v>
      </c>
      <c r="AE27" s="32">
        <f t="shared" si="19"/>
        <v>1681</v>
      </c>
      <c r="AF27" s="32">
        <f t="shared" si="19"/>
        <v>3036</v>
      </c>
    </row>
    <row r="28" spans="2:32" ht="23.1" customHeight="1" x14ac:dyDescent="0.25">
      <c r="B28" s="23" t="s">
        <v>55</v>
      </c>
      <c r="C28" s="50">
        <v>19</v>
      </c>
      <c r="D28" s="50">
        <v>11</v>
      </c>
      <c r="E28" s="50">
        <v>4</v>
      </c>
      <c r="F28" s="50">
        <v>46</v>
      </c>
      <c r="G28" s="50">
        <v>1</v>
      </c>
      <c r="H28" s="50">
        <v>0</v>
      </c>
      <c r="I28" s="50">
        <v>6</v>
      </c>
      <c r="J28" s="50">
        <v>7</v>
      </c>
      <c r="K28" s="50">
        <v>2</v>
      </c>
      <c r="L28" s="50">
        <v>14</v>
      </c>
      <c r="M28" s="50">
        <v>112</v>
      </c>
      <c r="N28" s="50">
        <v>0</v>
      </c>
      <c r="O28" s="17">
        <f t="shared" si="0"/>
        <v>110</v>
      </c>
      <c r="P28" s="17">
        <f t="shared" si="1"/>
        <v>222</v>
      </c>
      <c r="R28" s="5" t="s">
        <v>17</v>
      </c>
      <c r="S28" s="16">
        <f t="shared" ref="S28:AF28" si="20">SUM(S10:S21)</f>
        <v>1434</v>
      </c>
      <c r="T28" s="16">
        <f t="shared" si="20"/>
        <v>644</v>
      </c>
      <c r="U28" s="16">
        <f t="shared" si="20"/>
        <v>349</v>
      </c>
      <c r="V28" s="16">
        <f t="shared" si="20"/>
        <v>2014</v>
      </c>
      <c r="W28" s="16">
        <f t="shared" si="20"/>
        <v>99</v>
      </c>
      <c r="X28" s="16">
        <f t="shared" si="20"/>
        <v>32</v>
      </c>
      <c r="Y28" s="16">
        <f t="shared" si="20"/>
        <v>337</v>
      </c>
      <c r="Z28" s="16">
        <f t="shared" si="20"/>
        <v>320</v>
      </c>
      <c r="AA28" s="16">
        <f t="shared" si="20"/>
        <v>228</v>
      </c>
      <c r="AB28" s="16">
        <f t="shared" si="20"/>
        <v>526</v>
      </c>
      <c r="AC28" s="16">
        <f t="shared" si="20"/>
        <v>5335</v>
      </c>
      <c r="AD28" s="16">
        <f t="shared" si="20"/>
        <v>1</v>
      </c>
      <c r="AE28" s="32">
        <f t="shared" si="20"/>
        <v>5984</v>
      </c>
      <c r="AF28" s="32">
        <f t="shared" si="20"/>
        <v>11319</v>
      </c>
    </row>
    <row r="29" spans="2:32" ht="23.1" customHeight="1" x14ac:dyDescent="0.25">
      <c r="B29" s="23" t="s">
        <v>56</v>
      </c>
      <c r="C29" s="50">
        <v>21</v>
      </c>
      <c r="D29" s="50">
        <v>13</v>
      </c>
      <c r="E29" s="50">
        <v>8</v>
      </c>
      <c r="F29" s="50">
        <v>40</v>
      </c>
      <c r="G29" s="50">
        <v>2</v>
      </c>
      <c r="H29" s="50">
        <v>1</v>
      </c>
      <c r="I29" s="50">
        <v>9</v>
      </c>
      <c r="J29" s="50">
        <v>8</v>
      </c>
      <c r="K29" s="50">
        <v>3</v>
      </c>
      <c r="L29" s="50">
        <v>9</v>
      </c>
      <c r="M29" s="50">
        <v>109</v>
      </c>
      <c r="N29" s="50">
        <v>0</v>
      </c>
      <c r="O29" s="17">
        <f t="shared" si="0"/>
        <v>114</v>
      </c>
      <c r="P29" s="17">
        <f t="shared" si="1"/>
        <v>223</v>
      </c>
      <c r="R29"/>
      <c r="S29" s="20"/>
      <c r="T29" s="19"/>
    </row>
    <row r="30" spans="2:32" ht="23.1" customHeight="1" x14ac:dyDescent="0.25">
      <c r="B30" s="23" t="s">
        <v>57</v>
      </c>
      <c r="C30" s="50">
        <v>32</v>
      </c>
      <c r="D30" s="50">
        <v>16</v>
      </c>
      <c r="E30" s="50">
        <v>7</v>
      </c>
      <c r="F30" s="50">
        <v>42</v>
      </c>
      <c r="G30" s="50">
        <v>1</v>
      </c>
      <c r="H30" s="50">
        <v>2</v>
      </c>
      <c r="I30" s="50">
        <v>13</v>
      </c>
      <c r="J30" s="50">
        <v>6</v>
      </c>
      <c r="K30" s="50">
        <v>7</v>
      </c>
      <c r="L30" s="50">
        <v>11</v>
      </c>
      <c r="M30" s="50">
        <v>94</v>
      </c>
      <c r="N30" s="50">
        <v>0</v>
      </c>
      <c r="O30" s="17">
        <f t="shared" si="0"/>
        <v>137</v>
      </c>
      <c r="P30" s="17">
        <f t="shared" si="1"/>
        <v>231</v>
      </c>
      <c r="R30"/>
      <c r="S30" s="19"/>
      <c r="T30" s="19"/>
    </row>
    <row r="31" spans="2:32" ht="23.1" customHeight="1" x14ac:dyDescent="0.25">
      <c r="B31" s="24" t="s">
        <v>58</v>
      </c>
      <c r="C31" s="50">
        <v>26</v>
      </c>
      <c r="D31" s="50">
        <v>12</v>
      </c>
      <c r="E31" s="50">
        <v>5</v>
      </c>
      <c r="F31" s="50">
        <v>38</v>
      </c>
      <c r="G31" s="50">
        <v>1</v>
      </c>
      <c r="H31" s="50">
        <v>1</v>
      </c>
      <c r="I31" s="50">
        <v>11</v>
      </c>
      <c r="J31" s="50">
        <v>23</v>
      </c>
      <c r="K31" s="50">
        <v>5</v>
      </c>
      <c r="L31" s="50">
        <v>9</v>
      </c>
      <c r="M31" s="50">
        <v>108</v>
      </c>
      <c r="N31" s="50">
        <v>0</v>
      </c>
      <c r="O31" s="17">
        <f t="shared" si="0"/>
        <v>131</v>
      </c>
      <c r="P31" s="17">
        <f t="shared" si="1"/>
        <v>239</v>
      </c>
      <c r="R31"/>
      <c r="S31" s="19"/>
      <c r="T31" s="19"/>
    </row>
    <row r="32" spans="2:32" ht="23.1" customHeight="1" x14ac:dyDescent="0.25">
      <c r="B32" s="24" t="s">
        <v>59</v>
      </c>
      <c r="C32" s="50">
        <v>29</v>
      </c>
      <c r="D32" s="50">
        <v>23</v>
      </c>
      <c r="E32" s="50">
        <v>11</v>
      </c>
      <c r="F32" s="50">
        <v>45</v>
      </c>
      <c r="G32" s="50">
        <v>0</v>
      </c>
      <c r="H32" s="50">
        <v>0</v>
      </c>
      <c r="I32" s="50">
        <v>5</v>
      </c>
      <c r="J32" s="50">
        <v>5</v>
      </c>
      <c r="K32" s="50">
        <v>1</v>
      </c>
      <c r="L32" s="50">
        <v>12</v>
      </c>
      <c r="M32" s="50">
        <v>128</v>
      </c>
      <c r="N32" s="50">
        <v>0</v>
      </c>
      <c r="O32" s="17">
        <f t="shared" si="0"/>
        <v>131</v>
      </c>
      <c r="P32" s="17">
        <f t="shared" si="1"/>
        <v>259</v>
      </c>
      <c r="R32"/>
      <c r="S32" s="19"/>
      <c r="T32" s="19"/>
    </row>
    <row r="33" spans="2:20" ht="23.1" customHeight="1" x14ac:dyDescent="0.25">
      <c r="B33" s="23" t="s">
        <v>60</v>
      </c>
      <c r="C33" s="50">
        <v>21</v>
      </c>
      <c r="D33" s="50">
        <v>11</v>
      </c>
      <c r="E33" s="50">
        <v>6</v>
      </c>
      <c r="F33" s="50">
        <v>43</v>
      </c>
      <c r="G33" s="50">
        <v>2</v>
      </c>
      <c r="H33" s="50">
        <v>0</v>
      </c>
      <c r="I33" s="50">
        <v>6</v>
      </c>
      <c r="J33" s="50">
        <v>10</v>
      </c>
      <c r="K33" s="50">
        <v>5</v>
      </c>
      <c r="L33" s="50">
        <v>14</v>
      </c>
      <c r="M33" s="50">
        <v>105</v>
      </c>
      <c r="N33" s="50">
        <v>0</v>
      </c>
      <c r="O33" s="17">
        <f t="shared" si="0"/>
        <v>118</v>
      </c>
      <c r="P33" s="17">
        <f t="shared" si="1"/>
        <v>223</v>
      </c>
      <c r="R33"/>
      <c r="S33" s="19"/>
      <c r="T33" s="19"/>
    </row>
    <row r="34" spans="2:20" ht="23.1" customHeight="1" x14ac:dyDescent="0.25">
      <c r="B34" s="24" t="s">
        <v>61</v>
      </c>
      <c r="C34" s="50">
        <v>24</v>
      </c>
      <c r="D34" s="50">
        <v>11</v>
      </c>
      <c r="E34" s="50">
        <v>8</v>
      </c>
      <c r="F34" s="50">
        <v>51</v>
      </c>
      <c r="G34" s="50">
        <v>3</v>
      </c>
      <c r="H34" s="50">
        <v>0</v>
      </c>
      <c r="I34" s="50">
        <v>8</v>
      </c>
      <c r="J34" s="50">
        <v>6</v>
      </c>
      <c r="K34" s="50">
        <v>6</v>
      </c>
      <c r="L34" s="50">
        <v>8</v>
      </c>
      <c r="M34" s="50">
        <v>79</v>
      </c>
      <c r="N34" s="50">
        <v>0</v>
      </c>
      <c r="O34" s="17">
        <f t="shared" si="0"/>
        <v>125</v>
      </c>
      <c r="P34" s="17">
        <f t="shared" si="1"/>
        <v>204</v>
      </c>
      <c r="R34"/>
      <c r="S34" s="19"/>
      <c r="T34" s="19"/>
    </row>
    <row r="35" spans="2:20" ht="23.1" customHeight="1" x14ac:dyDescent="0.25">
      <c r="B35" s="24" t="s">
        <v>62</v>
      </c>
      <c r="C35" s="50">
        <v>21</v>
      </c>
      <c r="D35" s="50">
        <v>12</v>
      </c>
      <c r="E35" s="50">
        <v>9</v>
      </c>
      <c r="F35" s="50">
        <v>35</v>
      </c>
      <c r="G35" s="50">
        <v>1</v>
      </c>
      <c r="H35" s="50">
        <v>1</v>
      </c>
      <c r="I35" s="50">
        <v>6</v>
      </c>
      <c r="J35" s="50">
        <v>4</v>
      </c>
      <c r="K35" s="50">
        <v>8</v>
      </c>
      <c r="L35" s="50">
        <v>9</v>
      </c>
      <c r="M35" s="50">
        <v>91</v>
      </c>
      <c r="N35" s="50">
        <v>0</v>
      </c>
      <c r="O35" s="17">
        <f t="shared" si="0"/>
        <v>106</v>
      </c>
      <c r="P35" s="17">
        <f t="shared" si="1"/>
        <v>197</v>
      </c>
      <c r="R35"/>
      <c r="S35" s="19"/>
      <c r="T35" s="19"/>
    </row>
    <row r="36" spans="2:20" ht="23.1" customHeight="1" x14ac:dyDescent="0.25">
      <c r="B36" s="24" t="s">
        <v>63</v>
      </c>
      <c r="C36" s="50">
        <v>36</v>
      </c>
      <c r="D36" s="50">
        <v>4</v>
      </c>
      <c r="E36" s="50">
        <v>6</v>
      </c>
      <c r="F36" s="50">
        <v>26</v>
      </c>
      <c r="G36" s="50">
        <v>2</v>
      </c>
      <c r="H36" s="50">
        <v>1</v>
      </c>
      <c r="I36" s="50">
        <v>4</v>
      </c>
      <c r="J36" s="50">
        <v>5</v>
      </c>
      <c r="K36" s="50">
        <v>7</v>
      </c>
      <c r="L36" s="50">
        <v>6</v>
      </c>
      <c r="M36" s="50">
        <v>52</v>
      </c>
      <c r="N36" s="50">
        <v>0</v>
      </c>
      <c r="O36" s="17">
        <f t="shared" si="0"/>
        <v>97</v>
      </c>
      <c r="P36" s="17">
        <f t="shared" si="1"/>
        <v>149</v>
      </c>
      <c r="R36"/>
      <c r="S36" s="19"/>
      <c r="T36" s="19"/>
    </row>
    <row r="37" spans="2:20" ht="23.1" customHeight="1" x14ac:dyDescent="0.25">
      <c r="B37" s="23" t="s">
        <v>64</v>
      </c>
      <c r="C37" s="50">
        <v>31</v>
      </c>
      <c r="D37" s="50">
        <v>5</v>
      </c>
      <c r="E37" s="50">
        <v>8</v>
      </c>
      <c r="F37" s="50">
        <v>34</v>
      </c>
      <c r="G37" s="50">
        <v>1</v>
      </c>
      <c r="H37" s="50">
        <v>0</v>
      </c>
      <c r="I37" s="50">
        <v>3</v>
      </c>
      <c r="J37" s="50">
        <v>9</v>
      </c>
      <c r="K37" s="50">
        <v>4</v>
      </c>
      <c r="L37" s="50">
        <v>12</v>
      </c>
      <c r="M37" s="50">
        <v>56</v>
      </c>
      <c r="N37" s="50">
        <v>0</v>
      </c>
      <c r="O37" s="17">
        <f t="shared" si="0"/>
        <v>107</v>
      </c>
      <c r="P37" s="17">
        <f t="shared" si="1"/>
        <v>163</v>
      </c>
      <c r="R37"/>
      <c r="S37" s="19"/>
      <c r="T37" s="19"/>
    </row>
    <row r="38" spans="2:20" ht="23.1" customHeight="1" x14ac:dyDescent="0.25">
      <c r="B38" s="24" t="s">
        <v>65</v>
      </c>
      <c r="C38" s="50">
        <v>28</v>
      </c>
      <c r="D38" s="50">
        <v>17</v>
      </c>
      <c r="E38" s="50">
        <v>4</v>
      </c>
      <c r="F38" s="50">
        <v>30</v>
      </c>
      <c r="G38" s="50">
        <v>3</v>
      </c>
      <c r="H38" s="50">
        <v>0</v>
      </c>
      <c r="I38" s="50">
        <v>6</v>
      </c>
      <c r="J38" s="50">
        <v>5</v>
      </c>
      <c r="K38" s="50">
        <v>7</v>
      </c>
      <c r="L38" s="50">
        <v>9</v>
      </c>
      <c r="M38" s="50">
        <v>63</v>
      </c>
      <c r="N38" s="50">
        <v>0</v>
      </c>
      <c r="O38" s="17">
        <f t="shared" si="0"/>
        <v>109</v>
      </c>
      <c r="P38" s="17">
        <f t="shared" si="1"/>
        <v>172</v>
      </c>
      <c r="R38"/>
      <c r="S38" s="19"/>
      <c r="T38" s="19"/>
    </row>
    <row r="39" spans="2:20" ht="23.1" customHeight="1" x14ac:dyDescent="0.25">
      <c r="B39" s="24" t="s">
        <v>66</v>
      </c>
      <c r="C39" s="50">
        <v>18</v>
      </c>
      <c r="D39" s="50">
        <v>14</v>
      </c>
      <c r="E39" s="50">
        <v>4</v>
      </c>
      <c r="F39" s="50">
        <v>20</v>
      </c>
      <c r="G39" s="50">
        <v>0</v>
      </c>
      <c r="H39" s="50">
        <v>0</v>
      </c>
      <c r="I39" s="50">
        <v>5</v>
      </c>
      <c r="J39" s="50">
        <v>7</v>
      </c>
      <c r="K39" s="50">
        <v>3</v>
      </c>
      <c r="L39" s="50">
        <v>5</v>
      </c>
      <c r="M39" s="50">
        <v>67</v>
      </c>
      <c r="N39" s="50">
        <v>0</v>
      </c>
      <c r="O39" s="17">
        <f t="shared" si="0"/>
        <v>76</v>
      </c>
      <c r="P39" s="17">
        <f t="shared" si="1"/>
        <v>143</v>
      </c>
      <c r="R39"/>
      <c r="S39" s="19"/>
      <c r="T39" s="19"/>
    </row>
    <row r="40" spans="2:20" ht="23.1" customHeight="1" x14ac:dyDescent="0.25">
      <c r="B40" s="24" t="s">
        <v>67</v>
      </c>
      <c r="C40" s="50">
        <v>22</v>
      </c>
      <c r="D40" s="50">
        <v>18</v>
      </c>
      <c r="E40" s="50">
        <v>2</v>
      </c>
      <c r="F40" s="50">
        <v>42</v>
      </c>
      <c r="G40" s="50">
        <v>4</v>
      </c>
      <c r="H40" s="50">
        <v>0</v>
      </c>
      <c r="I40" s="50">
        <v>8</v>
      </c>
      <c r="J40" s="50">
        <v>4</v>
      </c>
      <c r="K40" s="50">
        <v>2</v>
      </c>
      <c r="L40" s="50">
        <v>19</v>
      </c>
      <c r="M40" s="50">
        <v>62</v>
      </c>
      <c r="N40" s="50">
        <v>0</v>
      </c>
      <c r="O40" s="17">
        <f t="shared" si="0"/>
        <v>121</v>
      </c>
      <c r="P40" s="17">
        <f t="shared" si="1"/>
        <v>183</v>
      </c>
      <c r="R40"/>
      <c r="S40" s="19"/>
      <c r="T40" s="19"/>
    </row>
    <row r="41" spans="2:20" ht="23.1" customHeight="1" x14ac:dyDescent="0.25">
      <c r="B41" s="23" t="s">
        <v>68</v>
      </c>
      <c r="C41" s="50">
        <v>18</v>
      </c>
      <c r="D41" s="50">
        <v>12</v>
      </c>
      <c r="E41" s="50">
        <v>4</v>
      </c>
      <c r="F41" s="50">
        <v>37</v>
      </c>
      <c r="G41" s="50">
        <v>0</v>
      </c>
      <c r="H41" s="50">
        <v>1</v>
      </c>
      <c r="I41" s="50">
        <v>12</v>
      </c>
      <c r="J41" s="50">
        <v>10</v>
      </c>
      <c r="K41" s="50">
        <v>6</v>
      </c>
      <c r="L41" s="50">
        <v>8</v>
      </c>
      <c r="M41" s="50">
        <v>64</v>
      </c>
      <c r="N41" s="50">
        <v>0</v>
      </c>
      <c r="O41" s="17">
        <f t="shared" si="0"/>
        <v>108</v>
      </c>
      <c r="P41" s="17">
        <f t="shared" si="1"/>
        <v>172</v>
      </c>
      <c r="R41"/>
      <c r="S41" s="19"/>
      <c r="T41" s="19"/>
    </row>
    <row r="42" spans="2:20" ht="23.1" customHeight="1" x14ac:dyDescent="0.25">
      <c r="B42" s="24" t="s">
        <v>69</v>
      </c>
      <c r="C42" s="50">
        <v>22</v>
      </c>
      <c r="D42" s="50">
        <v>14</v>
      </c>
      <c r="E42" s="50">
        <v>6</v>
      </c>
      <c r="F42" s="50">
        <v>42</v>
      </c>
      <c r="G42" s="50">
        <v>3</v>
      </c>
      <c r="H42" s="50">
        <v>0</v>
      </c>
      <c r="I42" s="50">
        <v>5</v>
      </c>
      <c r="J42" s="50">
        <v>8</v>
      </c>
      <c r="K42" s="50">
        <v>5</v>
      </c>
      <c r="L42" s="50">
        <v>23</v>
      </c>
      <c r="M42" s="50">
        <v>112</v>
      </c>
      <c r="N42" s="50">
        <v>0</v>
      </c>
      <c r="O42" s="17">
        <f t="shared" si="0"/>
        <v>128</v>
      </c>
      <c r="P42" s="17">
        <f t="shared" si="1"/>
        <v>240</v>
      </c>
      <c r="R42"/>
      <c r="S42" s="19"/>
      <c r="T42" s="19"/>
    </row>
    <row r="43" spans="2:20" ht="23.1" customHeight="1" x14ac:dyDescent="0.25">
      <c r="B43" s="23" t="s">
        <v>70</v>
      </c>
      <c r="C43" s="50">
        <v>21</v>
      </c>
      <c r="D43" s="50">
        <v>8</v>
      </c>
      <c r="E43" s="50">
        <v>7</v>
      </c>
      <c r="F43" s="50">
        <v>54</v>
      </c>
      <c r="G43" s="50">
        <v>0</v>
      </c>
      <c r="H43" s="50">
        <v>0</v>
      </c>
      <c r="I43" s="50">
        <v>9</v>
      </c>
      <c r="J43" s="50">
        <v>11</v>
      </c>
      <c r="K43" s="50">
        <v>7</v>
      </c>
      <c r="L43" s="50">
        <v>12</v>
      </c>
      <c r="M43" s="50">
        <v>94</v>
      </c>
      <c r="N43" s="50">
        <v>0</v>
      </c>
      <c r="O43" s="17">
        <f t="shared" si="0"/>
        <v>129</v>
      </c>
      <c r="P43" s="17">
        <f t="shared" si="1"/>
        <v>223</v>
      </c>
      <c r="R43"/>
      <c r="S43" s="19"/>
      <c r="T43" s="19"/>
    </row>
    <row r="44" spans="2:20" ht="23.1" customHeight="1" x14ac:dyDescent="0.25">
      <c r="B44" s="25" t="s">
        <v>71</v>
      </c>
      <c r="C44" s="50">
        <v>18</v>
      </c>
      <c r="D44" s="50">
        <v>15</v>
      </c>
      <c r="E44" s="50">
        <v>11</v>
      </c>
      <c r="F44" s="50">
        <v>29</v>
      </c>
      <c r="G44" s="50">
        <v>2</v>
      </c>
      <c r="H44" s="50">
        <v>0</v>
      </c>
      <c r="I44" s="50">
        <v>6</v>
      </c>
      <c r="J44" s="50">
        <v>7</v>
      </c>
      <c r="K44" s="50">
        <v>4</v>
      </c>
      <c r="L44" s="50">
        <v>8</v>
      </c>
      <c r="M44" s="50">
        <v>62</v>
      </c>
      <c r="N44" s="50">
        <v>0</v>
      </c>
      <c r="O44" s="17">
        <f t="shared" si="0"/>
        <v>100</v>
      </c>
      <c r="P44" s="17">
        <f t="shared" si="1"/>
        <v>162</v>
      </c>
      <c r="R44"/>
      <c r="S44" s="19"/>
      <c r="T44" s="19"/>
    </row>
    <row r="45" spans="2:20" ht="23.1" customHeight="1" x14ac:dyDescent="0.25">
      <c r="B45" s="23" t="s">
        <v>72</v>
      </c>
      <c r="C45" s="50">
        <v>34</v>
      </c>
      <c r="D45" s="50">
        <v>21</v>
      </c>
      <c r="E45" s="50">
        <v>11</v>
      </c>
      <c r="F45" s="50">
        <v>52</v>
      </c>
      <c r="G45" s="50">
        <v>1</v>
      </c>
      <c r="H45" s="50">
        <v>1</v>
      </c>
      <c r="I45" s="50">
        <v>3</v>
      </c>
      <c r="J45" s="50">
        <v>5</v>
      </c>
      <c r="K45" s="50">
        <v>2</v>
      </c>
      <c r="L45" s="50">
        <v>7</v>
      </c>
      <c r="M45" s="50">
        <v>101</v>
      </c>
      <c r="N45" s="50">
        <v>0</v>
      </c>
      <c r="O45" s="17">
        <f t="shared" si="0"/>
        <v>137</v>
      </c>
      <c r="P45" s="17">
        <f t="shared" si="1"/>
        <v>238</v>
      </c>
      <c r="R45"/>
      <c r="S45" s="19"/>
      <c r="T45" s="19"/>
    </row>
    <row r="46" spans="2:20" ht="23.1" customHeight="1" x14ac:dyDescent="0.25">
      <c r="B46" s="24" t="s">
        <v>73</v>
      </c>
      <c r="C46" s="50">
        <v>35</v>
      </c>
      <c r="D46" s="50">
        <v>12</v>
      </c>
      <c r="E46" s="50">
        <v>9</v>
      </c>
      <c r="F46" s="50">
        <v>44</v>
      </c>
      <c r="G46" s="50">
        <v>4</v>
      </c>
      <c r="H46" s="50">
        <v>0</v>
      </c>
      <c r="I46" s="50">
        <v>8</v>
      </c>
      <c r="J46" s="50">
        <v>12</v>
      </c>
      <c r="K46" s="50">
        <v>6</v>
      </c>
      <c r="L46" s="50">
        <v>10</v>
      </c>
      <c r="M46" s="50">
        <v>112</v>
      </c>
      <c r="N46" s="50">
        <v>0</v>
      </c>
      <c r="O46" s="17">
        <f t="shared" si="0"/>
        <v>140</v>
      </c>
      <c r="P46" s="17">
        <f t="shared" si="1"/>
        <v>252</v>
      </c>
      <c r="R46" s="19"/>
      <c r="S46" s="19"/>
      <c r="T46"/>
    </row>
    <row r="47" spans="2:20" ht="23.1" customHeight="1" x14ac:dyDescent="0.25">
      <c r="B47" s="24" t="s">
        <v>74</v>
      </c>
      <c r="C47" s="50">
        <v>29</v>
      </c>
      <c r="D47" s="50">
        <v>14</v>
      </c>
      <c r="E47" s="50">
        <v>7</v>
      </c>
      <c r="F47" s="50">
        <v>46</v>
      </c>
      <c r="G47" s="50">
        <v>1</v>
      </c>
      <c r="H47" s="50">
        <v>0</v>
      </c>
      <c r="I47" s="50">
        <v>12</v>
      </c>
      <c r="J47" s="50">
        <v>8</v>
      </c>
      <c r="K47" s="50">
        <v>5</v>
      </c>
      <c r="L47" s="50">
        <v>13</v>
      </c>
      <c r="M47" s="50">
        <v>76</v>
      </c>
      <c r="N47" s="50">
        <v>0</v>
      </c>
      <c r="O47" s="17">
        <f t="shared" si="0"/>
        <v>135</v>
      </c>
      <c r="P47" s="17">
        <f t="shared" si="1"/>
        <v>211</v>
      </c>
      <c r="R47" s="19"/>
      <c r="S47" s="19"/>
      <c r="T47"/>
    </row>
    <row r="48" spans="2:20" ht="23.1" customHeight="1" x14ac:dyDescent="0.25">
      <c r="B48" s="24" t="s">
        <v>75</v>
      </c>
      <c r="C48" s="50">
        <v>21</v>
      </c>
      <c r="D48" s="50">
        <v>20</v>
      </c>
      <c r="E48" s="50">
        <v>8</v>
      </c>
      <c r="F48" s="50">
        <v>37</v>
      </c>
      <c r="G48" s="50">
        <v>6</v>
      </c>
      <c r="H48" s="50">
        <v>0</v>
      </c>
      <c r="I48" s="50">
        <v>10</v>
      </c>
      <c r="J48" s="50">
        <v>9</v>
      </c>
      <c r="K48" s="50">
        <v>3</v>
      </c>
      <c r="L48" s="50">
        <v>12</v>
      </c>
      <c r="M48" s="50">
        <v>101</v>
      </c>
      <c r="N48" s="50">
        <v>0</v>
      </c>
      <c r="O48" s="17">
        <f t="shared" si="0"/>
        <v>126</v>
      </c>
      <c r="P48" s="17">
        <f t="shared" si="1"/>
        <v>227</v>
      </c>
      <c r="R48" s="19"/>
      <c r="S48" s="19"/>
      <c r="T48"/>
    </row>
    <row r="49" spans="2:20" ht="23.1" customHeight="1" x14ac:dyDescent="0.25">
      <c r="B49" s="23" t="s">
        <v>76</v>
      </c>
      <c r="C49" s="50">
        <v>34</v>
      </c>
      <c r="D49" s="50">
        <v>16</v>
      </c>
      <c r="E49" s="50">
        <v>6</v>
      </c>
      <c r="F49" s="50">
        <v>47</v>
      </c>
      <c r="G49" s="50">
        <v>4</v>
      </c>
      <c r="H49" s="50">
        <v>0</v>
      </c>
      <c r="I49" s="50">
        <v>13</v>
      </c>
      <c r="J49" s="50">
        <v>4</v>
      </c>
      <c r="K49" s="50">
        <v>5</v>
      </c>
      <c r="L49" s="50">
        <v>7</v>
      </c>
      <c r="M49" s="50">
        <v>103</v>
      </c>
      <c r="N49" s="50">
        <v>0</v>
      </c>
      <c r="O49" s="17">
        <f t="shared" si="0"/>
        <v>136</v>
      </c>
      <c r="P49" s="17">
        <f t="shared" si="1"/>
        <v>239</v>
      </c>
      <c r="R49" s="19"/>
      <c r="S49" s="19"/>
      <c r="T49"/>
    </row>
    <row r="50" spans="2:20" ht="23.1" customHeight="1" x14ac:dyDescent="0.25">
      <c r="B50" s="24" t="s">
        <v>77</v>
      </c>
      <c r="C50" s="50">
        <v>32</v>
      </c>
      <c r="D50" s="50">
        <v>18</v>
      </c>
      <c r="E50" s="50">
        <v>9</v>
      </c>
      <c r="F50" s="50">
        <v>41</v>
      </c>
      <c r="G50" s="50">
        <v>3</v>
      </c>
      <c r="H50" s="50">
        <v>2</v>
      </c>
      <c r="I50" s="50">
        <v>10</v>
      </c>
      <c r="J50" s="50">
        <v>9</v>
      </c>
      <c r="K50" s="50">
        <v>4</v>
      </c>
      <c r="L50" s="50">
        <v>13</v>
      </c>
      <c r="M50" s="50">
        <v>123</v>
      </c>
      <c r="N50" s="50">
        <v>0</v>
      </c>
      <c r="O50" s="17">
        <f t="shared" si="0"/>
        <v>141</v>
      </c>
      <c r="P50" s="17">
        <f t="shared" si="1"/>
        <v>264</v>
      </c>
      <c r="R50" s="19"/>
      <c r="S50" s="19"/>
      <c r="T50"/>
    </row>
    <row r="51" spans="2:20" ht="23.1" customHeight="1" x14ac:dyDescent="0.25">
      <c r="B51" s="24" t="s">
        <v>78</v>
      </c>
      <c r="C51" s="50">
        <v>28</v>
      </c>
      <c r="D51" s="50">
        <v>17</v>
      </c>
      <c r="E51" s="50">
        <v>6</v>
      </c>
      <c r="F51" s="50">
        <v>45</v>
      </c>
      <c r="G51" s="50">
        <v>4</v>
      </c>
      <c r="H51" s="50">
        <v>2</v>
      </c>
      <c r="I51" s="50">
        <v>7</v>
      </c>
      <c r="J51" s="50">
        <v>7</v>
      </c>
      <c r="K51" s="50">
        <v>8</v>
      </c>
      <c r="L51" s="50">
        <v>9</v>
      </c>
      <c r="M51" s="50">
        <v>109</v>
      </c>
      <c r="N51" s="50">
        <v>0</v>
      </c>
      <c r="O51" s="17">
        <f t="shared" si="0"/>
        <v>133</v>
      </c>
      <c r="P51" s="17">
        <f t="shared" si="1"/>
        <v>242</v>
      </c>
      <c r="R51" s="19"/>
      <c r="S51" s="19"/>
      <c r="T51"/>
    </row>
    <row r="52" spans="2:20" ht="23.1" customHeight="1" x14ac:dyDescent="0.25">
      <c r="B52" s="24" t="s">
        <v>79</v>
      </c>
      <c r="C52" s="50">
        <v>36</v>
      </c>
      <c r="D52" s="50">
        <v>23</v>
      </c>
      <c r="E52" s="50">
        <v>9</v>
      </c>
      <c r="F52" s="50">
        <v>51</v>
      </c>
      <c r="G52" s="50">
        <v>6</v>
      </c>
      <c r="H52" s="50">
        <v>0</v>
      </c>
      <c r="I52" s="50">
        <v>6</v>
      </c>
      <c r="J52" s="50">
        <v>10</v>
      </c>
      <c r="K52" s="50">
        <v>7</v>
      </c>
      <c r="L52" s="50">
        <v>5</v>
      </c>
      <c r="M52" s="50">
        <v>114</v>
      </c>
      <c r="N52" s="50">
        <v>0</v>
      </c>
      <c r="O52" s="17">
        <f t="shared" si="0"/>
        <v>153</v>
      </c>
      <c r="P52" s="17">
        <f t="shared" si="1"/>
        <v>267</v>
      </c>
      <c r="R52" s="19"/>
      <c r="S52" s="19"/>
      <c r="T52"/>
    </row>
    <row r="53" spans="2:20" ht="23.1" customHeight="1" x14ac:dyDescent="0.25">
      <c r="B53" s="23" t="s">
        <v>80</v>
      </c>
      <c r="C53" s="50">
        <v>34</v>
      </c>
      <c r="D53" s="50">
        <v>10</v>
      </c>
      <c r="E53" s="50">
        <v>8</v>
      </c>
      <c r="F53" s="50">
        <v>39</v>
      </c>
      <c r="G53" s="50">
        <v>6</v>
      </c>
      <c r="H53" s="50">
        <v>0</v>
      </c>
      <c r="I53" s="50">
        <v>8</v>
      </c>
      <c r="J53" s="50">
        <v>5</v>
      </c>
      <c r="K53" s="50">
        <v>3</v>
      </c>
      <c r="L53" s="50">
        <v>7</v>
      </c>
      <c r="M53" s="50">
        <v>141</v>
      </c>
      <c r="N53" s="50">
        <v>0</v>
      </c>
      <c r="O53" s="17">
        <f t="shared" si="0"/>
        <v>120</v>
      </c>
      <c r="P53" s="17">
        <f t="shared" si="1"/>
        <v>261</v>
      </c>
      <c r="R53" s="19"/>
      <c r="S53" s="19"/>
      <c r="T53"/>
    </row>
    <row r="54" spans="2:20" ht="23.1" customHeight="1" x14ac:dyDescent="0.25">
      <c r="B54" s="23" t="s">
        <v>81</v>
      </c>
      <c r="C54" s="50">
        <v>29</v>
      </c>
      <c r="D54" s="50">
        <v>17</v>
      </c>
      <c r="E54" s="50">
        <v>5</v>
      </c>
      <c r="F54" s="50">
        <v>58</v>
      </c>
      <c r="G54" s="50">
        <v>3</v>
      </c>
      <c r="H54" s="50">
        <v>0</v>
      </c>
      <c r="I54" s="50">
        <v>6</v>
      </c>
      <c r="J54" s="50">
        <v>8</v>
      </c>
      <c r="K54" s="50">
        <v>9</v>
      </c>
      <c r="L54" s="50">
        <v>8</v>
      </c>
      <c r="M54" s="50">
        <v>124</v>
      </c>
      <c r="N54" s="50">
        <v>0</v>
      </c>
      <c r="O54" s="17">
        <f t="shared" si="0"/>
        <v>143</v>
      </c>
      <c r="P54" s="17">
        <f t="shared" si="1"/>
        <v>267</v>
      </c>
      <c r="R54" s="19"/>
      <c r="S54" s="19"/>
      <c r="T54"/>
    </row>
    <row r="55" spans="2:20" ht="23.1" customHeight="1" x14ac:dyDescent="0.25">
      <c r="B55" s="23" t="s">
        <v>82</v>
      </c>
      <c r="C55" s="50">
        <v>35</v>
      </c>
      <c r="D55" s="50">
        <v>18</v>
      </c>
      <c r="E55" s="50">
        <v>9</v>
      </c>
      <c r="F55" s="50">
        <v>47</v>
      </c>
      <c r="G55" s="50">
        <v>3</v>
      </c>
      <c r="H55" s="50">
        <v>1</v>
      </c>
      <c r="I55" s="50">
        <v>15</v>
      </c>
      <c r="J55" s="50">
        <v>9</v>
      </c>
      <c r="K55" s="50">
        <v>4</v>
      </c>
      <c r="L55" s="50">
        <v>13</v>
      </c>
      <c r="M55" s="50">
        <v>128</v>
      </c>
      <c r="N55" s="50">
        <v>0</v>
      </c>
      <c r="O55" s="17">
        <f t="shared" si="0"/>
        <v>154</v>
      </c>
      <c r="P55" s="17">
        <f t="shared" si="1"/>
        <v>282</v>
      </c>
      <c r="R55" s="19"/>
      <c r="S55" s="19"/>
      <c r="T55"/>
    </row>
    <row r="56" spans="2:20" ht="23.1" customHeight="1" x14ac:dyDescent="0.25">
      <c r="B56" s="23" t="s">
        <v>83</v>
      </c>
      <c r="C56" s="50">
        <v>29</v>
      </c>
      <c r="D56" s="50">
        <v>21</v>
      </c>
      <c r="E56" s="50">
        <v>11</v>
      </c>
      <c r="F56" s="50">
        <v>53</v>
      </c>
      <c r="G56" s="50">
        <v>3</v>
      </c>
      <c r="H56" s="50">
        <v>0</v>
      </c>
      <c r="I56" s="50">
        <v>8</v>
      </c>
      <c r="J56" s="50">
        <v>5</v>
      </c>
      <c r="K56" s="50">
        <v>5</v>
      </c>
      <c r="L56" s="50">
        <v>12</v>
      </c>
      <c r="M56" s="50">
        <v>109</v>
      </c>
      <c r="N56" s="50">
        <v>0</v>
      </c>
      <c r="O56" s="17">
        <f t="shared" si="0"/>
        <v>147</v>
      </c>
      <c r="P56" s="17">
        <f t="shared" si="1"/>
        <v>256</v>
      </c>
      <c r="R56" s="19"/>
      <c r="S56" s="19"/>
      <c r="T56"/>
    </row>
    <row r="57" spans="2:20" ht="23.1" customHeight="1" x14ac:dyDescent="0.25">
      <c r="B57" s="23" t="s">
        <v>84</v>
      </c>
      <c r="C57" s="50">
        <v>46</v>
      </c>
      <c r="D57" s="50">
        <v>9</v>
      </c>
      <c r="E57" s="50">
        <v>14</v>
      </c>
      <c r="F57" s="50">
        <v>41</v>
      </c>
      <c r="G57" s="50">
        <v>2</v>
      </c>
      <c r="H57" s="50">
        <v>3</v>
      </c>
      <c r="I57" s="50">
        <v>9</v>
      </c>
      <c r="J57" s="50">
        <v>6</v>
      </c>
      <c r="K57" s="50">
        <v>2</v>
      </c>
      <c r="L57" s="50">
        <v>21</v>
      </c>
      <c r="M57" s="50">
        <v>115</v>
      </c>
      <c r="N57" s="50">
        <v>0</v>
      </c>
      <c r="O57" s="17">
        <f t="shared" si="0"/>
        <v>153</v>
      </c>
      <c r="P57" s="17">
        <f t="shared" si="1"/>
        <v>268</v>
      </c>
      <c r="R57" s="19"/>
      <c r="S57" s="19"/>
      <c r="T57"/>
    </row>
    <row r="58" spans="2:20" ht="23.1" customHeight="1" x14ac:dyDescent="0.25">
      <c r="B58" s="53" t="s">
        <v>18</v>
      </c>
      <c r="C58" s="16">
        <f t="shared" ref="C58:P58" si="21">SUM(C10:C57)</f>
        <v>1434</v>
      </c>
      <c r="D58" s="16">
        <f t="shared" si="21"/>
        <v>644</v>
      </c>
      <c r="E58" s="16">
        <f t="shared" si="21"/>
        <v>349</v>
      </c>
      <c r="F58" s="16">
        <f t="shared" si="21"/>
        <v>2014</v>
      </c>
      <c r="G58" s="16">
        <f t="shared" si="21"/>
        <v>99</v>
      </c>
      <c r="H58" s="16">
        <f t="shared" si="21"/>
        <v>32</v>
      </c>
      <c r="I58" s="16">
        <f t="shared" si="21"/>
        <v>337</v>
      </c>
      <c r="J58" s="16">
        <f t="shared" si="21"/>
        <v>320</v>
      </c>
      <c r="K58" s="16">
        <f t="shared" si="21"/>
        <v>228</v>
      </c>
      <c r="L58" s="16">
        <f t="shared" si="21"/>
        <v>526</v>
      </c>
      <c r="M58" s="16">
        <f t="shared" si="21"/>
        <v>5335</v>
      </c>
      <c r="N58" s="16">
        <f t="shared" si="21"/>
        <v>1</v>
      </c>
      <c r="O58" s="16">
        <f t="shared" si="21"/>
        <v>5984</v>
      </c>
      <c r="P58" s="16">
        <f t="shared" si="21"/>
        <v>11319</v>
      </c>
      <c r="R58" s="19"/>
      <c r="S58" s="19"/>
      <c r="T58"/>
    </row>
    <row r="59" spans="2:20" ht="23.1" customHeight="1" x14ac:dyDescent="0.25">
      <c r="B59" s="53" t="s">
        <v>93</v>
      </c>
      <c r="C59" s="43">
        <f t="shared" ref="C59:N59" si="22">C58/$P$58</f>
        <v>0.12668963689371854</v>
      </c>
      <c r="D59" s="43">
        <f t="shared" si="22"/>
        <v>5.6895485466914038E-2</v>
      </c>
      <c r="E59" s="43">
        <f t="shared" si="22"/>
        <v>3.0833112465765526E-2</v>
      </c>
      <c r="F59" s="43">
        <f t="shared" si="22"/>
        <v>0.17793091262479019</v>
      </c>
      <c r="G59" s="43">
        <f t="shared" si="22"/>
        <v>8.7463556851311956E-3</v>
      </c>
      <c r="H59" s="43">
        <f t="shared" si="22"/>
        <v>2.8271048679211945E-3</v>
      </c>
      <c r="I59" s="43">
        <f t="shared" si="22"/>
        <v>2.9772948140295078E-2</v>
      </c>
      <c r="J59" s="43">
        <f t="shared" si="22"/>
        <v>2.8271048679211944E-2</v>
      </c>
      <c r="K59" s="43">
        <f t="shared" si="22"/>
        <v>2.014312218393851E-2</v>
      </c>
      <c r="L59" s="43">
        <f t="shared" si="22"/>
        <v>4.6470536266454636E-2</v>
      </c>
      <c r="M59" s="43">
        <f t="shared" si="22"/>
        <v>0.47133138969873661</v>
      </c>
      <c r="N59" s="43">
        <f t="shared" si="22"/>
        <v>8.8347027122537329E-5</v>
      </c>
      <c r="R59" s="19"/>
      <c r="S59" s="19"/>
      <c r="T59"/>
    </row>
    <row r="60" spans="2:20" ht="23.1" customHeight="1" x14ac:dyDescent="0.25">
      <c r="B60" s="54" t="s">
        <v>94</v>
      </c>
      <c r="C60" s="44">
        <f>C58/$O$58</f>
        <v>0.23963903743315507</v>
      </c>
      <c r="D60" s="44">
        <f t="shared" ref="D60:N60" si="23">D58/$O$58</f>
        <v>0.10762032085561497</v>
      </c>
      <c r="E60" s="44">
        <f t="shared" si="23"/>
        <v>5.8322192513368981E-2</v>
      </c>
      <c r="F60" s="44">
        <f t="shared" si="23"/>
        <v>0.33656417112299464</v>
      </c>
      <c r="G60" s="44">
        <f t="shared" si="23"/>
        <v>1.6544117647058824E-2</v>
      </c>
      <c r="H60" s="44">
        <f t="shared" si="23"/>
        <v>5.3475935828877002E-3</v>
      </c>
      <c r="I60" s="44">
        <f t="shared" si="23"/>
        <v>5.6316844919786099E-2</v>
      </c>
      <c r="J60" s="44">
        <f t="shared" si="23"/>
        <v>5.3475935828877004E-2</v>
      </c>
      <c r="K60" s="44">
        <f t="shared" si="23"/>
        <v>3.8101604278074866E-2</v>
      </c>
      <c r="L60" s="44">
        <f t="shared" si="23"/>
        <v>8.7901069518716582E-2</v>
      </c>
      <c r="M60" s="44"/>
      <c r="N60" s="44">
        <f t="shared" si="23"/>
        <v>1.6711229946524063E-4</v>
      </c>
      <c r="R60" s="19"/>
      <c r="S60" s="19"/>
      <c r="T60"/>
    </row>
    <row r="61" spans="2:20" ht="20.100000000000001" customHeight="1" x14ac:dyDescent="0.25">
      <c r="C61" s="18"/>
      <c r="R61" s="19"/>
      <c r="S61" s="19"/>
      <c r="T61"/>
    </row>
    <row r="62" spans="2:20" ht="20.100000000000001" customHeight="1" x14ac:dyDescent="0.25">
      <c r="C62" s="18"/>
      <c r="R62" s="19"/>
      <c r="S62" s="19"/>
      <c r="T62"/>
    </row>
    <row r="63" spans="2:20" ht="20.100000000000001" customHeight="1" x14ac:dyDescent="0.25">
      <c r="C63" s="18"/>
      <c r="R63"/>
      <c r="S63" s="19"/>
      <c r="T63" s="19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2" tint="-0.249977111117893"/>
  </sheetPr>
  <dimension ref="B1:AF174"/>
  <sheetViews>
    <sheetView view="pageBreakPreview" topLeftCell="A43" zoomScale="60" workbookViewId="0">
      <selection activeCell="D5" sqref="D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2" t="s">
        <v>23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  <c r="AE1" s="62"/>
    </row>
    <row r="2" spans="2:32" ht="20.100000000000001" customHeight="1" x14ac:dyDescent="0.25">
      <c r="B2" s="63" t="s">
        <v>95</v>
      </c>
      <c r="C2" s="63"/>
      <c r="D2" s="63"/>
      <c r="E2" s="63"/>
      <c r="F2" s="63"/>
      <c r="G2" s="63"/>
      <c r="H2" s="63"/>
      <c r="I2" s="63"/>
      <c r="J2" s="63"/>
      <c r="K2" s="63"/>
      <c r="L2" s="63"/>
      <c r="M2" s="63"/>
      <c r="N2" s="63"/>
      <c r="O2" s="63"/>
      <c r="P2" s="63"/>
      <c r="Q2" s="63"/>
      <c r="R2" s="63"/>
      <c r="S2" s="63"/>
      <c r="T2" s="63"/>
      <c r="U2" s="63"/>
      <c r="V2" s="63"/>
      <c r="W2" s="63"/>
      <c r="X2" s="63"/>
      <c r="Y2" s="63"/>
      <c r="Z2" s="63"/>
      <c r="AA2" s="63"/>
      <c r="AB2" s="63"/>
      <c r="AC2" s="63"/>
      <c r="AD2" s="63"/>
      <c r="AE2" s="63"/>
    </row>
    <row r="3" spans="2:32" ht="20.100000000000001" customHeight="1" x14ac:dyDescent="0.25">
      <c r="B3" s="22" t="s">
        <v>96</v>
      </c>
      <c r="C3" s="67" t="str">
        <f>'23.09 Seeta-Mukono'!C3:G3</f>
        <v>MCC - C2 - STN074 - SONDE  ROAD</v>
      </c>
      <c r="D3" s="67"/>
      <c r="E3" s="67"/>
      <c r="F3" s="67"/>
      <c r="G3" s="67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183</v>
      </c>
      <c r="E5" s="3"/>
      <c r="F5" s="41" t="s">
        <v>1</v>
      </c>
      <c r="G5" s="68" t="str">
        <f>'27.09 Mukono-Seeta'!G5:H5</f>
        <v>STATION 74</v>
      </c>
      <c r="H5" s="69"/>
      <c r="I5" s="14"/>
      <c r="J5" s="2" t="s">
        <v>5</v>
      </c>
      <c r="K5" s="68" t="s">
        <v>179</v>
      </c>
      <c r="L5" s="69"/>
      <c r="M5" s="10"/>
      <c r="N5" s="10"/>
      <c r="O5" s="3"/>
      <c r="P5" s="3"/>
    </row>
    <row r="6" spans="2:32" ht="23.25" customHeight="1" x14ac:dyDescent="0.25">
      <c r="C6" s="2" t="s">
        <v>4</v>
      </c>
      <c r="D6" s="68" t="str">
        <f>'23.09 Seeta-Mukono'!D6:E6</f>
        <v>Seeta</v>
      </c>
      <c r="E6" s="69"/>
      <c r="F6" s="2" t="s">
        <v>2</v>
      </c>
      <c r="G6" s="68" t="str">
        <f>'23.09 Seeta-Mukono'!G6:H6</f>
        <v>Mukono</v>
      </c>
      <c r="H6" s="69"/>
      <c r="J6" s="2" t="s">
        <v>21</v>
      </c>
      <c r="K6" s="68" t="str">
        <f>'27.09 Mukono-Seeta'!K6:L6</f>
        <v>Tracy</v>
      </c>
      <c r="L6" s="69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1" t="s">
        <v>88</v>
      </c>
      <c r="S8" s="61"/>
      <c r="T8" s="61"/>
      <c r="U8" s="61"/>
      <c r="V8" s="61"/>
      <c r="W8" s="61"/>
      <c r="X8" s="61"/>
      <c r="Y8" s="61"/>
      <c r="Z8" s="61"/>
      <c r="AA8" s="61"/>
      <c r="AB8" s="61"/>
      <c r="AC8" s="61"/>
      <c r="AD8" s="61"/>
      <c r="AE8" s="61"/>
      <c r="AF8" s="61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49</v>
      </c>
      <c r="D10" s="50">
        <v>7</v>
      </c>
      <c r="E10" s="50">
        <v>6</v>
      </c>
      <c r="F10" s="50">
        <v>36</v>
      </c>
      <c r="G10" s="50">
        <v>1</v>
      </c>
      <c r="H10" s="50">
        <v>1</v>
      </c>
      <c r="I10" s="50">
        <v>15</v>
      </c>
      <c r="J10" s="50">
        <v>7</v>
      </c>
      <c r="K10" s="50">
        <v>0</v>
      </c>
      <c r="L10" s="50">
        <v>8</v>
      </c>
      <c r="M10" s="50">
        <v>75</v>
      </c>
      <c r="N10" s="50">
        <v>0</v>
      </c>
      <c r="O10" s="15">
        <f t="shared" ref="O10:O57" si="0">SUM(C10:L10,N10)</f>
        <v>130</v>
      </c>
      <c r="P10" s="15">
        <f t="shared" ref="P10:P57" si="1">SUM(C10:N10)</f>
        <v>205</v>
      </c>
      <c r="R10" s="1" t="s">
        <v>6</v>
      </c>
      <c r="S10" s="17">
        <f t="shared" ref="S10:AF10" si="2">SUM(C10:C13)</f>
        <v>222</v>
      </c>
      <c r="T10" s="17">
        <f t="shared" si="2"/>
        <v>25</v>
      </c>
      <c r="U10" s="17">
        <f t="shared" si="2"/>
        <v>32</v>
      </c>
      <c r="V10" s="17">
        <f t="shared" si="2"/>
        <v>166</v>
      </c>
      <c r="W10" s="17">
        <f t="shared" si="2"/>
        <v>3</v>
      </c>
      <c r="X10" s="17">
        <f t="shared" si="2"/>
        <v>3</v>
      </c>
      <c r="Y10" s="17">
        <f t="shared" si="2"/>
        <v>46</v>
      </c>
      <c r="Z10" s="17">
        <f t="shared" si="2"/>
        <v>21</v>
      </c>
      <c r="AA10" s="17">
        <f t="shared" si="2"/>
        <v>5</v>
      </c>
      <c r="AB10" s="17">
        <f t="shared" si="2"/>
        <v>17</v>
      </c>
      <c r="AC10" s="17">
        <f t="shared" si="2"/>
        <v>340</v>
      </c>
      <c r="AD10" s="17">
        <f t="shared" si="2"/>
        <v>0</v>
      </c>
      <c r="AE10" s="31">
        <f t="shared" si="2"/>
        <v>540</v>
      </c>
      <c r="AF10" s="31">
        <f t="shared" si="2"/>
        <v>880</v>
      </c>
    </row>
    <row r="11" spans="2:32" s="6" customFormat="1" ht="23.1" customHeight="1" x14ac:dyDescent="0.25">
      <c r="B11" s="45" t="s">
        <v>38</v>
      </c>
      <c r="C11" s="50">
        <v>44</v>
      </c>
      <c r="D11" s="50">
        <v>2</v>
      </c>
      <c r="E11" s="50">
        <v>3</v>
      </c>
      <c r="F11" s="50">
        <v>25</v>
      </c>
      <c r="G11" s="50">
        <v>0</v>
      </c>
      <c r="H11" s="50">
        <v>0</v>
      </c>
      <c r="I11" s="50">
        <v>13</v>
      </c>
      <c r="J11" s="50">
        <v>4</v>
      </c>
      <c r="K11" s="50">
        <v>0</v>
      </c>
      <c r="L11" s="50">
        <v>4</v>
      </c>
      <c r="M11" s="50">
        <v>68</v>
      </c>
      <c r="N11" s="50">
        <v>0</v>
      </c>
      <c r="O11" s="15">
        <f t="shared" si="0"/>
        <v>95</v>
      </c>
      <c r="P11" s="15">
        <f t="shared" si="1"/>
        <v>163</v>
      </c>
      <c r="R11" s="1" t="s">
        <v>7</v>
      </c>
      <c r="S11" s="17">
        <f t="shared" ref="S11:AF11" si="3">SUM(C14:C17)</f>
        <v>278</v>
      </c>
      <c r="T11" s="17">
        <f t="shared" si="3"/>
        <v>34</v>
      </c>
      <c r="U11" s="17">
        <f t="shared" si="3"/>
        <v>37</v>
      </c>
      <c r="V11" s="17">
        <f t="shared" si="3"/>
        <v>146</v>
      </c>
      <c r="W11" s="17">
        <f t="shared" si="3"/>
        <v>11</v>
      </c>
      <c r="X11" s="17">
        <f t="shared" si="3"/>
        <v>21</v>
      </c>
      <c r="Y11" s="17">
        <f t="shared" si="3"/>
        <v>39</v>
      </c>
      <c r="Z11" s="17">
        <f t="shared" si="3"/>
        <v>17</v>
      </c>
      <c r="AA11" s="17">
        <f t="shared" si="3"/>
        <v>8</v>
      </c>
      <c r="AB11" s="17">
        <f t="shared" si="3"/>
        <v>24</v>
      </c>
      <c r="AC11" s="17">
        <f t="shared" si="3"/>
        <v>406</v>
      </c>
      <c r="AD11" s="17">
        <f t="shared" si="3"/>
        <v>0</v>
      </c>
      <c r="AE11" s="31">
        <f t="shared" si="3"/>
        <v>615</v>
      </c>
      <c r="AF11" s="31">
        <f t="shared" si="3"/>
        <v>1021</v>
      </c>
    </row>
    <row r="12" spans="2:32" ht="23.1" customHeight="1" x14ac:dyDescent="0.25">
      <c r="B12" s="45" t="s">
        <v>39</v>
      </c>
      <c r="C12" s="50">
        <v>70</v>
      </c>
      <c r="D12" s="50">
        <v>11</v>
      </c>
      <c r="E12" s="50">
        <v>10</v>
      </c>
      <c r="F12" s="50">
        <v>56</v>
      </c>
      <c r="G12" s="50">
        <v>2</v>
      </c>
      <c r="H12" s="50">
        <v>2</v>
      </c>
      <c r="I12" s="50">
        <v>8</v>
      </c>
      <c r="J12" s="50">
        <v>5</v>
      </c>
      <c r="K12" s="50">
        <v>2</v>
      </c>
      <c r="L12" s="50">
        <v>4</v>
      </c>
      <c r="M12" s="50">
        <v>105</v>
      </c>
      <c r="N12" s="50">
        <v>0</v>
      </c>
      <c r="O12" s="15">
        <f t="shared" si="0"/>
        <v>170</v>
      </c>
      <c r="P12" s="15">
        <f t="shared" si="1"/>
        <v>275</v>
      </c>
      <c r="R12" s="1" t="s">
        <v>8</v>
      </c>
      <c r="S12" s="17">
        <f t="shared" ref="S12:AF12" si="4">SUM(C18:C21)</f>
        <v>214</v>
      </c>
      <c r="T12" s="17">
        <f t="shared" si="4"/>
        <v>40</v>
      </c>
      <c r="U12" s="17">
        <f t="shared" si="4"/>
        <v>30</v>
      </c>
      <c r="V12" s="17">
        <f t="shared" si="4"/>
        <v>183</v>
      </c>
      <c r="W12" s="17">
        <f t="shared" si="4"/>
        <v>16</v>
      </c>
      <c r="X12" s="17">
        <f t="shared" si="4"/>
        <v>7</v>
      </c>
      <c r="Y12" s="17">
        <f t="shared" si="4"/>
        <v>58</v>
      </c>
      <c r="Z12" s="17">
        <f t="shared" si="4"/>
        <v>15</v>
      </c>
      <c r="AA12" s="17">
        <f t="shared" si="4"/>
        <v>15</v>
      </c>
      <c r="AB12" s="17">
        <f t="shared" si="4"/>
        <v>22</v>
      </c>
      <c r="AC12" s="17">
        <f t="shared" si="4"/>
        <v>438</v>
      </c>
      <c r="AD12" s="17">
        <f t="shared" si="4"/>
        <v>0</v>
      </c>
      <c r="AE12" s="31">
        <f t="shared" si="4"/>
        <v>600</v>
      </c>
      <c r="AF12" s="31">
        <f t="shared" si="4"/>
        <v>1038</v>
      </c>
    </row>
    <row r="13" spans="2:32" ht="23.1" customHeight="1" x14ac:dyDescent="0.25">
      <c r="B13" s="45" t="s">
        <v>40</v>
      </c>
      <c r="C13" s="50">
        <v>59</v>
      </c>
      <c r="D13" s="50">
        <v>5</v>
      </c>
      <c r="E13" s="50">
        <v>13</v>
      </c>
      <c r="F13" s="50">
        <v>49</v>
      </c>
      <c r="G13" s="50">
        <v>0</v>
      </c>
      <c r="H13" s="50">
        <v>0</v>
      </c>
      <c r="I13" s="50">
        <v>10</v>
      </c>
      <c r="J13" s="50">
        <v>5</v>
      </c>
      <c r="K13" s="50">
        <v>3</v>
      </c>
      <c r="L13" s="50">
        <v>1</v>
      </c>
      <c r="M13" s="50">
        <v>92</v>
      </c>
      <c r="N13" s="50">
        <v>0</v>
      </c>
      <c r="O13" s="15">
        <f t="shared" si="0"/>
        <v>145</v>
      </c>
      <c r="P13" s="15">
        <f t="shared" si="1"/>
        <v>237</v>
      </c>
      <c r="R13" s="1" t="s">
        <v>9</v>
      </c>
      <c r="S13" s="17">
        <f t="shared" ref="S13:AF13" si="5">SUM(C22:C25)</f>
        <v>222</v>
      </c>
      <c r="T13" s="17">
        <f t="shared" si="5"/>
        <v>36</v>
      </c>
      <c r="U13" s="17">
        <f t="shared" si="5"/>
        <v>26</v>
      </c>
      <c r="V13" s="17">
        <f t="shared" si="5"/>
        <v>184</v>
      </c>
      <c r="W13" s="17">
        <f t="shared" si="5"/>
        <v>7</v>
      </c>
      <c r="X13" s="17">
        <f t="shared" si="5"/>
        <v>3</v>
      </c>
      <c r="Y13" s="17">
        <f t="shared" si="5"/>
        <v>83</v>
      </c>
      <c r="Z13" s="17">
        <f t="shared" si="5"/>
        <v>24</v>
      </c>
      <c r="AA13" s="17">
        <f t="shared" si="5"/>
        <v>9</v>
      </c>
      <c r="AB13" s="17">
        <f t="shared" si="5"/>
        <v>37</v>
      </c>
      <c r="AC13" s="17">
        <f t="shared" si="5"/>
        <v>535</v>
      </c>
      <c r="AD13" s="17">
        <f t="shared" si="5"/>
        <v>0</v>
      </c>
      <c r="AE13" s="31">
        <f t="shared" si="5"/>
        <v>631</v>
      </c>
      <c r="AF13" s="31">
        <f t="shared" si="5"/>
        <v>1166</v>
      </c>
    </row>
    <row r="14" spans="2:32" ht="23.1" customHeight="1" x14ac:dyDescent="0.25">
      <c r="B14" s="45" t="s">
        <v>41</v>
      </c>
      <c r="C14" s="50">
        <v>73</v>
      </c>
      <c r="D14" s="50">
        <v>11</v>
      </c>
      <c r="E14" s="50">
        <v>11</v>
      </c>
      <c r="F14" s="50">
        <v>56</v>
      </c>
      <c r="G14" s="50">
        <v>8</v>
      </c>
      <c r="H14" s="50">
        <v>0</v>
      </c>
      <c r="I14" s="50">
        <v>10</v>
      </c>
      <c r="J14" s="50">
        <v>3</v>
      </c>
      <c r="K14" s="50">
        <v>3</v>
      </c>
      <c r="L14" s="50">
        <v>2</v>
      </c>
      <c r="M14" s="50">
        <v>117</v>
      </c>
      <c r="N14" s="50">
        <v>0</v>
      </c>
      <c r="O14" s="15">
        <f t="shared" si="0"/>
        <v>177</v>
      </c>
      <c r="P14" s="15">
        <f t="shared" si="1"/>
        <v>294</v>
      </c>
      <c r="R14" s="1" t="s">
        <v>10</v>
      </c>
      <c r="S14" s="17">
        <f t="shared" ref="S14:AF14" si="6">SUM(C26:C29)</f>
        <v>183</v>
      </c>
      <c r="T14" s="17">
        <f t="shared" si="6"/>
        <v>33</v>
      </c>
      <c r="U14" s="17">
        <f t="shared" si="6"/>
        <v>24</v>
      </c>
      <c r="V14" s="17">
        <f t="shared" si="6"/>
        <v>176</v>
      </c>
      <c r="W14" s="17">
        <f t="shared" si="6"/>
        <v>8</v>
      </c>
      <c r="X14" s="17">
        <f t="shared" si="6"/>
        <v>2</v>
      </c>
      <c r="Y14" s="17">
        <f t="shared" si="6"/>
        <v>58</v>
      </c>
      <c r="Z14" s="17">
        <f t="shared" si="6"/>
        <v>18</v>
      </c>
      <c r="AA14" s="17">
        <f t="shared" si="6"/>
        <v>10</v>
      </c>
      <c r="AB14" s="17">
        <f t="shared" si="6"/>
        <v>52</v>
      </c>
      <c r="AC14" s="17">
        <f t="shared" si="6"/>
        <v>381</v>
      </c>
      <c r="AD14" s="17">
        <f t="shared" si="6"/>
        <v>0</v>
      </c>
      <c r="AE14" s="31">
        <f t="shared" si="6"/>
        <v>564</v>
      </c>
      <c r="AF14" s="31">
        <f t="shared" si="6"/>
        <v>945</v>
      </c>
    </row>
    <row r="15" spans="2:32" ht="23.1" customHeight="1" x14ac:dyDescent="0.25">
      <c r="B15" s="45" t="s">
        <v>42</v>
      </c>
      <c r="C15" s="50">
        <v>88</v>
      </c>
      <c r="D15" s="50">
        <v>8</v>
      </c>
      <c r="E15" s="50">
        <v>10</v>
      </c>
      <c r="F15" s="50">
        <v>49</v>
      </c>
      <c r="G15" s="50">
        <v>0</v>
      </c>
      <c r="H15" s="50">
        <v>1</v>
      </c>
      <c r="I15" s="50">
        <v>15</v>
      </c>
      <c r="J15" s="50">
        <v>2</v>
      </c>
      <c r="K15" s="50">
        <v>1</v>
      </c>
      <c r="L15" s="50">
        <v>10</v>
      </c>
      <c r="M15" s="50">
        <v>115</v>
      </c>
      <c r="N15" s="50">
        <v>0</v>
      </c>
      <c r="O15" s="15">
        <f t="shared" si="0"/>
        <v>184</v>
      </c>
      <c r="P15" s="15">
        <f t="shared" si="1"/>
        <v>299</v>
      </c>
      <c r="R15" s="1" t="s">
        <v>11</v>
      </c>
      <c r="S15" s="17">
        <f t="shared" ref="S15:AF15" si="7">SUM(C30:C33)</f>
        <v>166</v>
      </c>
      <c r="T15" s="17">
        <f t="shared" si="7"/>
        <v>25</v>
      </c>
      <c r="U15" s="17">
        <f t="shared" si="7"/>
        <v>26</v>
      </c>
      <c r="V15" s="17">
        <f t="shared" si="7"/>
        <v>166</v>
      </c>
      <c r="W15" s="17">
        <f t="shared" si="7"/>
        <v>8</v>
      </c>
      <c r="X15" s="17">
        <f t="shared" si="7"/>
        <v>1</v>
      </c>
      <c r="Y15" s="17">
        <f t="shared" si="7"/>
        <v>72</v>
      </c>
      <c r="Z15" s="17">
        <f t="shared" si="7"/>
        <v>20</v>
      </c>
      <c r="AA15" s="17">
        <f t="shared" si="7"/>
        <v>13</v>
      </c>
      <c r="AB15" s="17">
        <f t="shared" si="7"/>
        <v>50</v>
      </c>
      <c r="AC15" s="17">
        <f t="shared" si="7"/>
        <v>362</v>
      </c>
      <c r="AD15" s="17">
        <f t="shared" si="7"/>
        <v>0</v>
      </c>
      <c r="AE15" s="31">
        <f t="shared" si="7"/>
        <v>547</v>
      </c>
      <c r="AF15" s="31">
        <f t="shared" si="7"/>
        <v>909</v>
      </c>
    </row>
    <row r="16" spans="2:32" ht="23.1" customHeight="1" x14ac:dyDescent="0.25">
      <c r="B16" s="45" t="s">
        <v>43</v>
      </c>
      <c r="C16" s="50">
        <v>54</v>
      </c>
      <c r="D16" s="50">
        <v>7</v>
      </c>
      <c r="E16" s="50">
        <v>11</v>
      </c>
      <c r="F16" s="50">
        <v>1</v>
      </c>
      <c r="G16" s="50">
        <v>0</v>
      </c>
      <c r="H16" s="50">
        <v>20</v>
      </c>
      <c r="I16" s="50">
        <v>7</v>
      </c>
      <c r="J16" s="50">
        <v>5</v>
      </c>
      <c r="K16" s="50">
        <v>2</v>
      </c>
      <c r="L16" s="50">
        <v>0</v>
      </c>
      <c r="M16" s="50">
        <v>109</v>
      </c>
      <c r="N16" s="50">
        <v>0</v>
      </c>
      <c r="O16" s="15">
        <f t="shared" si="0"/>
        <v>107</v>
      </c>
      <c r="P16" s="15">
        <f t="shared" si="1"/>
        <v>216</v>
      </c>
      <c r="R16" s="1" t="s">
        <v>12</v>
      </c>
      <c r="S16" s="17">
        <f t="shared" ref="S16:AF16" si="8">SUM(C34:C37)</f>
        <v>176</v>
      </c>
      <c r="T16" s="17">
        <f t="shared" si="8"/>
        <v>22</v>
      </c>
      <c r="U16" s="17">
        <f t="shared" si="8"/>
        <v>17</v>
      </c>
      <c r="V16" s="17">
        <f t="shared" si="8"/>
        <v>222</v>
      </c>
      <c r="W16" s="17">
        <f t="shared" si="8"/>
        <v>11</v>
      </c>
      <c r="X16" s="17">
        <f t="shared" si="8"/>
        <v>3</v>
      </c>
      <c r="Y16" s="17">
        <f t="shared" si="8"/>
        <v>95</v>
      </c>
      <c r="Z16" s="17">
        <f t="shared" si="8"/>
        <v>27</v>
      </c>
      <c r="AA16" s="17">
        <f t="shared" si="8"/>
        <v>20</v>
      </c>
      <c r="AB16" s="17">
        <f t="shared" si="8"/>
        <v>87</v>
      </c>
      <c r="AC16" s="17">
        <f t="shared" si="8"/>
        <v>401</v>
      </c>
      <c r="AD16" s="17">
        <f t="shared" si="8"/>
        <v>0</v>
      </c>
      <c r="AE16" s="31">
        <f t="shared" si="8"/>
        <v>680</v>
      </c>
      <c r="AF16" s="31">
        <f t="shared" si="8"/>
        <v>1081</v>
      </c>
    </row>
    <row r="17" spans="2:32" ht="23.1" customHeight="1" x14ac:dyDescent="0.25">
      <c r="B17" s="45" t="s">
        <v>44</v>
      </c>
      <c r="C17" s="50">
        <v>63</v>
      </c>
      <c r="D17" s="50">
        <v>8</v>
      </c>
      <c r="E17" s="50">
        <v>5</v>
      </c>
      <c r="F17" s="50">
        <v>40</v>
      </c>
      <c r="G17" s="50">
        <v>3</v>
      </c>
      <c r="H17" s="50">
        <v>0</v>
      </c>
      <c r="I17" s="50">
        <v>7</v>
      </c>
      <c r="J17" s="50">
        <v>7</v>
      </c>
      <c r="K17" s="50">
        <v>2</v>
      </c>
      <c r="L17" s="50">
        <v>12</v>
      </c>
      <c r="M17" s="50">
        <v>65</v>
      </c>
      <c r="N17" s="50">
        <v>0</v>
      </c>
      <c r="O17" s="15">
        <f t="shared" si="0"/>
        <v>147</v>
      </c>
      <c r="P17" s="15">
        <f t="shared" si="1"/>
        <v>212</v>
      </c>
      <c r="R17" s="1" t="s">
        <v>13</v>
      </c>
      <c r="S17" s="17">
        <f t="shared" ref="S17:AF17" si="9">SUM(C38:C41)</f>
        <v>171</v>
      </c>
      <c r="T17" s="17">
        <f t="shared" si="9"/>
        <v>40</v>
      </c>
      <c r="U17" s="17">
        <f t="shared" si="9"/>
        <v>37</v>
      </c>
      <c r="V17" s="17">
        <f t="shared" si="9"/>
        <v>214</v>
      </c>
      <c r="W17" s="17">
        <f t="shared" si="9"/>
        <v>12</v>
      </c>
      <c r="X17" s="17">
        <f t="shared" si="9"/>
        <v>2</v>
      </c>
      <c r="Y17" s="17">
        <f t="shared" si="9"/>
        <v>102</v>
      </c>
      <c r="Z17" s="17">
        <f t="shared" si="9"/>
        <v>21</v>
      </c>
      <c r="AA17" s="17">
        <f t="shared" si="9"/>
        <v>14</v>
      </c>
      <c r="AB17" s="17">
        <f t="shared" si="9"/>
        <v>82</v>
      </c>
      <c r="AC17" s="17">
        <f t="shared" si="9"/>
        <v>367</v>
      </c>
      <c r="AD17" s="17">
        <f t="shared" si="9"/>
        <v>0</v>
      </c>
      <c r="AE17" s="31">
        <f t="shared" si="9"/>
        <v>695</v>
      </c>
      <c r="AF17" s="31">
        <f t="shared" si="9"/>
        <v>1062</v>
      </c>
    </row>
    <row r="18" spans="2:32" ht="23.1" customHeight="1" x14ac:dyDescent="0.25">
      <c r="B18" s="45" t="s">
        <v>45</v>
      </c>
      <c r="C18" s="50">
        <v>51</v>
      </c>
      <c r="D18" s="50">
        <v>11</v>
      </c>
      <c r="E18" s="50">
        <v>6</v>
      </c>
      <c r="F18" s="50">
        <v>40</v>
      </c>
      <c r="G18" s="50">
        <v>7</v>
      </c>
      <c r="H18" s="50">
        <v>1</v>
      </c>
      <c r="I18" s="50">
        <v>19</v>
      </c>
      <c r="J18" s="50">
        <v>2</v>
      </c>
      <c r="K18" s="50">
        <v>6</v>
      </c>
      <c r="L18" s="50">
        <v>6</v>
      </c>
      <c r="M18" s="50">
        <v>97</v>
      </c>
      <c r="N18" s="50">
        <v>0</v>
      </c>
      <c r="O18" s="15">
        <f t="shared" si="0"/>
        <v>149</v>
      </c>
      <c r="P18" s="15">
        <f t="shared" si="1"/>
        <v>246</v>
      </c>
      <c r="R18" s="1" t="s">
        <v>14</v>
      </c>
      <c r="S18" s="17">
        <f t="shared" ref="S18:AF18" si="10">SUM(C42:C45)</f>
        <v>197</v>
      </c>
      <c r="T18" s="17">
        <f t="shared" si="10"/>
        <v>36</v>
      </c>
      <c r="U18" s="17">
        <f t="shared" si="10"/>
        <v>21</v>
      </c>
      <c r="V18" s="17">
        <f t="shared" si="10"/>
        <v>193</v>
      </c>
      <c r="W18" s="17">
        <f t="shared" si="10"/>
        <v>6</v>
      </c>
      <c r="X18" s="17">
        <f t="shared" si="10"/>
        <v>2</v>
      </c>
      <c r="Y18" s="17">
        <f t="shared" si="10"/>
        <v>83</v>
      </c>
      <c r="Z18" s="17">
        <f t="shared" si="10"/>
        <v>25</v>
      </c>
      <c r="AA18" s="17">
        <f t="shared" si="10"/>
        <v>10</v>
      </c>
      <c r="AB18" s="17">
        <f t="shared" si="10"/>
        <v>105</v>
      </c>
      <c r="AC18" s="17">
        <f t="shared" si="10"/>
        <v>327</v>
      </c>
      <c r="AD18" s="17">
        <f t="shared" si="10"/>
        <v>0</v>
      </c>
      <c r="AE18" s="31">
        <f t="shared" si="10"/>
        <v>678</v>
      </c>
      <c r="AF18" s="31">
        <f t="shared" si="10"/>
        <v>1005</v>
      </c>
    </row>
    <row r="19" spans="2:32" ht="23.1" customHeight="1" x14ac:dyDescent="0.25">
      <c r="B19" s="45" t="s">
        <v>46</v>
      </c>
      <c r="C19" s="50">
        <v>54</v>
      </c>
      <c r="D19" s="50">
        <v>13</v>
      </c>
      <c r="E19" s="50">
        <v>6</v>
      </c>
      <c r="F19" s="50">
        <v>40</v>
      </c>
      <c r="G19" s="50">
        <v>3</v>
      </c>
      <c r="H19" s="50">
        <v>1</v>
      </c>
      <c r="I19" s="50">
        <v>11</v>
      </c>
      <c r="J19" s="50">
        <v>2</v>
      </c>
      <c r="K19" s="50">
        <v>4</v>
      </c>
      <c r="L19" s="50">
        <v>4</v>
      </c>
      <c r="M19" s="50">
        <v>121</v>
      </c>
      <c r="N19" s="50">
        <v>0</v>
      </c>
      <c r="O19" s="15">
        <f t="shared" si="0"/>
        <v>138</v>
      </c>
      <c r="P19" s="15">
        <f t="shared" si="1"/>
        <v>259</v>
      </c>
      <c r="R19" s="1" t="s">
        <v>15</v>
      </c>
      <c r="S19" s="17">
        <f t="shared" ref="S19:AF19" si="11">SUM(C46:C49)</f>
        <v>197</v>
      </c>
      <c r="T19" s="17">
        <f t="shared" si="11"/>
        <v>33</v>
      </c>
      <c r="U19" s="17">
        <f t="shared" si="11"/>
        <v>39</v>
      </c>
      <c r="V19" s="17">
        <f t="shared" si="11"/>
        <v>187</v>
      </c>
      <c r="W19" s="17">
        <f t="shared" si="11"/>
        <v>11</v>
      </c>
      <c r="X19" s="17">
        <f t="shared" si="11"/>
        <v>4</v>
      </c>
      <c r="Y19" s="17">
        <f t="shared" si="11"/>
        <v>71</v>
      </c>
      <c r="Z19" s="17">
        <f t="shared" si="11"/>
        <v>17</v>
      </c>
      <c r="AA19" s="17">
        <f t="shared" si="11"/>
        <v>10</v>
      </c>
      <c r="AB19" s="17">
        <f t="shared" si="11"/>
        <v>69</v>
      </c>
      <c r="AC19" s="17">
        <f t="shared" si="11"/>
        <v>401</v>
      </c>
      <c r="AD19" s="17">
        <f t="shared" si="11"/>
        <v>0</v>
      </c>
      <c r="AE19" s="31">
        <f t="shared" si="11"/>
        <v>638</v>
      </c>
      <c r="AF19" s="31">
        <f t="shared" si="11"/>
        <v>1039</v>
      </c>
    </row>
    <row r="20" spans="2:32" ht="23.1" customHeight="1" x14ac:dyDescent="0.25">
      <c r="B20" s="45" t="s">
        <v>47</v>
      </c>
      <c r="C20" s="50">
        <v>48</v>
      </c>
      <c r="D20" s="50">
        <v>7</v>
      </c>
      <c r="E20" s="50">
        <v>9</v>
      </c>
      <c r="F20" s="50">
        <v>45</v>
      </c>
      <c r="G20" s="50">
        <v>4</v>
      </c>
      <c r="H20" s="50">
        <v>4</v>
      </c>
      <c r="I20" s="50">
        <v>10</v>
      </c>
      <c r="J20" s="50">
        <v>4</v>
      </c>
      <c r="K20" s="50">
        <v>3</v>
      </c>
      <c r="L20" s="50">
        <v>6</v>
      </c>
      <c r="M20" s="50">
        <v>120</v>
      </c>
      <c r="N20" s="50">
        <v>0</v>
      </c>
      <c r="O20" s="15">
        <f t="shared" si="0"/>
        <v>140</v>
      </c>
      <c r="P20" s="15">
        <f t="shared" si="1"/>
        <v>260</v>
      </c>
      <c r="R20" s="1" t="s">
        <v>16</v>
      </c>
      <c r="S20" s="17">
        <f t="shared" ref="S20:AF20" si="12">SUM(C50:C53)</f>
        <v>208</v>
      </c>
      <c r="T20" s="17">
        <f t="shared" si="12"/>
        <v>21</v>
      </c>
      <c r="U20" s="17">
        <f t="shared" si="12"/>
        <v>29</v>
      </c>
      <c r="V20" s="17">
        <f t="shared" si="12"/>
        <v>287</v>
      </c>
      <c r="W20" s="17">
        <f t="shared" si="12"/>
        <v>10</v>
      </c>
      <c r="X20" s="17">
        <f t="shared" si="12"/>
        <v>0</v>
      </c>
      <c r="Y20" s="17">
        <f t="shared" si="12"/>
        <v>74</v>
      </c>
      <c r="Z20" s="17">
        <f t="shared" si="12"/>
        <v>26</v>
      </c>
      <c r="AA20" s="17">
        <f t="shared" si="12"/>
        <v>10</v>
      </c>
      <c r="AB20" s="17">
        <f t="shared" si="12"/>
        <v>83</v>
      </c>
      <c r="AC20" s="17">
        <f t="shared" si="12"/>
        <v>635</v>
      </c>
      <c r="AD20" s="17">
        <f t="shared" si="12"/>
        <v>0</v>
      </c>
      <c r="AE20" s="31">
        <f t="shared" si="12"/>
        <v>748</v>
      </c>
      <c r="AF20" s="31">
        <f t="shared" si="12"/>
        <v>1383</v>
      </c>
    </row>
    <row r="21" spans="2:32" ht="23.1" customHeight="1" x14ac:dyDescent="0.25">
      <c r="B21" s="45" t="s">
        <v>48</v>
      </c>
      <c r="C21" s="50">
        <v>61</v>
      </c>
      <c r="D21" s="50">
        <v>9</v>
      </c>
      <c r="E21" s="50">
        <v>9</v>
      </c>
      <c r="F21" s="50">
        <v>58</v>
      </c>
      <c r="G21" s="50">
        <v>2</v>
      </c>
      <c r="H21" s="50">
        <v>1</v>
      </c>
      <c r="I21" s="50">
        <v>18</v>
      </c>
      <c r="J21" s="50">
        <v>7</v>
      </c>
      <c r="K21" s="50">
        <v>2</v>
      </c>
      <c r="L21" s="50">
        <v>6</v>
      </c>
      <c r="M21" s="50">
        <v>100</v>
      </c>
      <c r="N21" s="50">
        <v>0</v>
      </c>
      <c r="O21" s="15">
        <f t="shared" si="0"/>
        <v>173</v>
      </c>
      <c r="P21" s="15">
        <f t="shared" si="1"/>
        <v>273</v>
      </c>
      <c r="R21" s="36" t="s">
        <v>20</v>
      </c>
      <c r="S21" s="34">
        <f t="shared" ref="S21:AF21" si="13">SUM(C54:C57)</f>
        <v>187</v>
      </c>
      <c r="T21" s="17">
        <f t="shared" si="13"/>
        <v>24</v>
      </c>
      <c r="U21" s="17">
        <f t="shared" si="13"/>
        <v>21</v>
      </c>
      <c r="V21" s="17">
        <f t="shared" si="13"/>
        <v>160</v>
      </c>
      <c r="W21" s="17">
        <f t="shared" si="13"/>
        <v>82</v>
      </c>
      <c r="X21" s="17">
        <f t="shared" si="13"/>
        <v>3</v>
      </c>
      <c r="Y21" s="17">
        <f t="shared" si="13"/>
        <v>51</v>
      </c>
      <c r="Z21" s="17">
        <f t="shared" si="13"/>
        <v>13</v>
      </c>
      <c r="AA21" s="17">
        <f t="shared" si="13"/>
        <v>14</v>
      </c>
      <c r="AB21" s="17">
        <f t="shared" si="13"/>
        <v>52</v>
      </c>
      <c r="AC21" s="17">
        <f t="shared" si="13"/>
        <v>553</v>
      </c>
      <c r="AD21" s="17">
        <f t="shared" si="13"/>
        <v>0</v>
      </c>
      <c r="AE21" s="31">
        <f t="shared" si="13"/>
        <v>607</v>
      </c>
      <c r="AF21" s="31">
        <f t="shared" si="13"/>
        <v>1160</v>
      </c>
    </row>
    <row r="22" spans="2:32" ht="23.1" customHeight="1" x14ac:dyDescent="0.25">
      <c r="B22" s="45" t="s">
        <v>49</v>
      </c>
      <c r="C22" s="50">
        <v>52</v>
      </c>
      <c r="D22" s="50">
        <v>7</v>
      </c>
      <c r="E22" s="50">
        <v>5</v>
      </c>
      <c r="F22" s="50">
        <v>35</v>
      </c>
      <c r="G22" s="50">
        <v>3</v>
      </c>
      <c r="H22" s="50">
        <v>2</v>
      </c>
      <c r="I22" s="50">
        <v>22</v>
      </c>
      <c r="J22" s="50">
        <v>6</v>
      </c>
      <c r="K22" s="50">
        <v>4</v>
      </c>
      <c r="L22" s="50">
        <v>7</v>
      </c>
      <c r="M22" s="50">
        <v>129</v>
      </c>
      <c r="N22" s="50">
        <v>0</v>
      </c>
      <c r="O22" s="15">
        <f t="shared" si="0"/>
        <v>143</v>
      </c>
      <c r="P22" s="15">
        <f t="shared" si="1"/>
        <v>272</v>
      </c>
      <c r="R22" s="36" t="s">
        <v>146</v>
      </c>
      <c r="S22" s="34">
        <f>SUM(C58:C61)</f>
        <v>86</v>
      </c>
      <c r="T22" s="34">
        <f t="shared" ref="T22:AF22" si="14">SUM(D58:D61)</f>
        <v>49</v>
      </c>
      <c r="U22" s="34">
        <f t="shared" si="14"/>
        <v>22</v>
      </c>
      <c r="V22" s="34">
        <f t="shared" si="14"/>
        <v>118</v>
      </c>
      <c r="W22" s="34">
        <f t="shared" si="14"/>
        <v>13</v>
      </c>
      <c r="X22" s="34">
        <f t="shared" si="14"/>
        <v>2</v>
      </c>
      <c r="Y22" s="34">
        <f t="shared" si="14"/>
        <v>42</v>
      </c>
      <c r="Z22" s="34">
        <f t="shared" si="14"/>
        <v>19</v>
      </c>
      <c r="AA22" s="34">
        <f t="shared" si="14"/>
        <v>13</v>
      </c>
      <c r="AB22" s="34">
        <f t="shared" si="14"/>
        <v>29</v>
      </c>
      <c r="AC22" s="34">
        <f t="shared" si="14"/>
        <v>619</v>
      </c>
      <c r="AD22" s="34">
        <f t="shared" si="14"/>
        <v>0</v>
      </c>
      <c r="AE22" s="31">
        <f t="shared" si="14"/>
        <v>393</v>
      </c>
      <c r="AF22" s="31">
        <f t="shared" si="14"/>
        <v>1012</v>
      </c>
    </row>
    <row r="23" spans="2:32" ht="23.1" customHeight="1" x14ac:dyDescent="0.25">
      <c r="B23" s="45" t="s">
        <v>50</v>
      </c>
      <c r="C23" s="50">
        <v>55</v>
      </c>
      <c r="D23" s="50">
        <v>5</v>
      </c>
      <c r="E23" s="50">
        <v>7</v>
      </c>
      <c r="F23" s="50">
        <v>49</v>
      </c>
      <c r="G23" s="50">
        <v>1</v>
      </c>
      <c r="H23" s="50">
        <v>1</v>
      </c>
      <c r="I23" s="50">
        <v>18</v>
      </c>
      <c r="J23" s="50">
        <v>5</v>
      </c>
      <c r="K23" s="50">
        <v>0</v>
      </c>
      <c r="L23" s="50">
        <v>5</v>
      </c>
      <c r="M23" s="50">
        <v>116</v>
      </c>
      <c r="N23" s="50">
        <v>0</v>
      </c>
      <c r="O23" s="15">
        <f t="shared" si="0"/>
        <v>146</v>
      </c>
      <c r="P23" s="15">
        <f t="shared" si="1"/>
        <v>262</v>
      </c>
      <c r="R23" s="36" t="s">
        <v>147</v>
      </c>
      <c r="S23" s="34">
        <f>SUM(C62:C65)</f>
        <v>228</v>
      </c>
      <c r="T23" s="34">
        <f t="shared" ref="T23:AF23" si="15">SUM(D62:D65)</f>
        <v>57</v>
      </c>
      <c r="U23" s="34">
        <f t="shared" si="15"/>
        <v>26</v>
      </c>
      <c r="V23" s="34">
        <f t="shared" si="15"/>
        <v>204</v>
      </c>
      <c r="W23" s="34">
        <f t="shared" si="15"/>
        <v>8</v>
      </c>
      <c r="X23" s="34">
        <f t="shared" si="15"/>
        <v>10</v>
      </c>
      <c r="Y23" s="34">
        <f t="shared" si="15"/>
        <v>28</v>
      </c>
      <c r="Z23" s="34">
        <f t="shared" si="15"/>
        <v>30</v>
      </c>
      <c r="AA23" s="34">
        <f t="shared" si="15"/>
        <v>14</v>
      </c>
      <c r="AB23" s="34">
        <f t="shared" si="15"/>
        <v>51</v>
      </c>
      <c r="AC23" s="34">
        <f t="shared" si="15"/>
        <v>760</v>
      </c>
      <c r="AD23" s="34">
        <f t="shared" si="15"/>
        <v>0</v>
      </c>
      <c r="AE23" s="31">
        <f t="shared" si="15"/>
        <v>656</v>
      </c>
      <c r="AF23" s="31">
        <f t="shared" si="15"/>
        <v>1416</v>
      </c>
    </row>
    <row r="24" spans="2:32" ht="23.1" customHeight="1" x14ac:dyDescent="0.25">
      <c r="B24" s="45" t="s">
        <v>51</v>
      </c>
      <c r="C24" s="50">
        <v>64</v>
      </c>
      <c r="D24" s="50">
        <v>13</v>
      </c>
      <c r="E24" s="50">
        <v>8</v>
      </c>
      <c r="F24" s="50">
        <v>42</v>
      </c>
      <c r="G24" s="50">
        <v>2</v>
      </c>
      <c r="H24" s="50">
        <v>0</v>
      </c>
      <c r="I24" s="50">
        <v>18</v>
      </c>
      <c r="J24" s="50">
        <v>3</v>
      </c>
      <c r="K24" s="50">
        <v>0</v>
      </c>
      <c r="L24" s="50">
        <v>12</v>
      </c>
      <c r="M24" s="50">
        <v>140</v>
      </c>
      <c r="N24" s="50">
        <v>0</v>
      </c>
      <c r="O24" s="15">
        <f t="shared" si="0"/>
        <v>162</v>
      </c>
      <c r="P24" s="15">
        <f t="shared" si="1"/>
        <v>302</v>
      </c>
      <c r="R24" s="36" t="s">
        <v>148</v>
      </c>
      <c r="S24" s="34">
        <f>SUM(C66:C69)</f>
        <v>143</v>
      </c>
      <c r="T24" s="34">
        <f t="shared" ref="T24:AF24" si="16">SUM(D66:D69)</f>
        <v>28</v>
      </c>
      <c r="U24" s="34">
        <f t="shared" si="16"/>
        <v>21</v>
      </c>
      <c r="V24" s="34">
        <f t="shared" si="16"/>
        <v>197</v>
      </c>
      <c r="W24" s="34">
        <f t="shared" si="16"/>
        <v>12</v>
      </c>
      <c r="X24" s="34">
        <f t="shared" si="16"/>
        <v>1</v>
      </c>
      <c r="Y24" s="34">
        <f t="shared" si="16"/>
        <v>27</v>
      </c>
      <c r="Z24" s="34">
        <f t="shared" si="16"/>
        <v>25</v>
      </c>
      <c r="AA24" s="34">
        <f t="shared" si="16"/>
        <v>10</v>
      </c>
      <c r="AB24" s="34">
        <f t="shared" si="16"/>
        <v>32</v>
      </c>
      <c r="AC24" s="34">
        <f t="shared" si="16"/>
        <v>532</v>
      </c>
      <c r="AD24" s="34">
        <f t="shared" si="16"/>
        <v>0</v>
      </c>
      <c r="AE24" s="31">
        <f t="shared" si="16"/>
        <v>496</v>
      </c>
      <c r="AF24" s="31">
        <f t="shared" si="16"/>
        <v>1028</v>
      </c>
    </row>
    <row r="25" spans="2:32" ht="23.1" customHeight="1" x14ac:dyDescent="0.25">
      <c r="B25" s="45" t="s">
        <v>52</v>
      </c>
      <c r="C25" s="50">
        <v>51</v>
      </c>
      <c r="D25" s="50">
        <v>11</v>
      </c>
      <c r="E25" s="50">
        <v>6</v>
      </c>
      <c r="F25" s="50">
        <v>58</v>
      </c>
      <c r="G25" s="50">
        <v>1</v>
      </c>
      <c r="H25" s="50">
        <v>0</v>
      </c>
      <c r="I25" s="50">
        <v>25</v>
      </c>
      <c r="J25" s="50">
        <v>10</v>
      </c>
      <c r="K25" s="50">
        <v>5</v>
      </c>
      <c r="L25" s="50">
        <v>13</v>
      </c>
      <c r="M25" s="50">
        <v>150</v>
      </c>
      <c r="N25" s="50">
        <v>0</v>
      </c>
      <c r="O25" s="15">
        <f t="shared" si="0"/>
        <v>180</v>
      </c>
      <c r="P25" s="15">
        <f t="shared" si="1"/>
        <v>330</v>
      </c>
      <c r="R25" s="36" t="s">
        <v>149</v>
      </c>
      <c r="S25" s="34">
        <f>SUM(C70:C73)</f>
        <v>162</v>
      </c>
      <c r="T25" s="34">
        <f t="shared" ref="T25:AF25" si="17">SUM(D70:D73)</f>
        <v>56</v>
      </c>
      <c r="U25" s="34">
        <f t="shared" si="17"/>
        <v>27</v>
      </c>
      <c r="V25" s="34">
        <f t="shared" si="17"/>
        <v>156</v>
      </c>
      <c r="W25" s="34">
        <f t="shared" si="17"/>
        <v>26</v>
      </c>
      <c r="X25" s="34">
        <f t="shared" si="17"/>
        <v>4</v>
      </c>
      <c r="Y25" s="34">
        <f t="shared" si="17"/>
        <v>33</v>
      </c>
      <c r="Z25" s="34">
        <f t="shared" si="17"/>
        <v>36</v>
      </c>
      <c r="AA25" s="34">
        <f t="shared" si="17"/>
        <v>14</v>
      </c>
      <c r="AB25" s="34">
        <f t="shared" si="17"/>
        <v>48</v>
      </c>
      <c r="AC25" s="34">
        <f t="shared" si="17"/>
        <v>346</v>
      </c>
      <c r="AD25" s="34">
        <f t="shared" si="17"/>
        <v>0</v>
      </c>
      <c r="AE25" s="31">
        <f t="shared" si="17"/>
        <v>562</v>
      </c>
      <c r="AF25" s="31">
        <f t="shared" si="17"/>
        <v>908</v>
      </c>
    </row>
    <row r="26" spans="2:32" ht="23.1" customHeight="1" x14ac:dyDescent="0.25">
      <c r="B26" s="45" t="s">
        <v>53</v>
      </c>
      <c r="C26" s="50">
        <v>42</v>
      </c>
      <c r="D26" s="50">
        <v>7</v>
      </c>
      <c r="E26" s="50">
        <v>3</v>
      </c>
      <c r="F26" s="50">
        <v>25</v>
      </c>
      <c r="G26" s="50">
        <v>4</v>
      </c>
      <c r="H26" s="50">
        <v>0</v>
      </c>
      <c r="I26" s="50">
        <v>10</v>
      </c>
      <c r="J26" s="50">
        <v>0</v>
      </c>
      <c r="K26" s="50">
        <v>0</v>
      </c>
      <c r="L26" s="50">
        <v>8</v>
      </c>
      <c r="M26" s="50">
        <v>98</v>
      </c>
      <c r="N26" s="50">
        <v>0</v>
      </c>
      <c r="O26" s="15">
        <f t="shared" si="0"/>
        <v>99</v>
      </c>
      <c r="P26" s="15">
        <f t="shared" si="1"/>
        <v>197</v>
      </c>
      <c r="R26" s="36" t="s">
        <v>150</v>
      </c>
      <c r="S26" s="34">
        <f>SUM(C74:C77)</f>
        <v>138</v>
      </c>
      <c r="T26" s="34">
        <f t="shared" ref="T26:AF26" si="18">SUM(D74:D77)</f>
        <v>20</v>
      </c>
      <c r="U26" s="34">
        <f t="shared" si="18"/>
        <v>19</v>
      </c>
      <c r="V26" s="34">
        <f t="shared" si="18"/>
        <v>111</v>
      </c>
      <c r="W26" s="34">
        <f t="shared" si="18"/>
        <v>8</v>
      </c>
      <c r="X26" s="34">
        <f t="shared" si="18"/>
        <v>1</v>
      </c>
      <c r="Y26" s="34">
        <f t="shared" si="18"/>
        <v>20</v>
      </c>
      <c r="Z26" s="34">
        <f t="shared" si="18"/>
        <v>20</v>
      </c>
      <c r="AA26" s="34">
        <f t="shared" si="18"/>
        <v>17</v>
      </c>
      <c r="AB26" s="34">
        <f t="shared" si="18"/>
        <v>36</v>
      </c>
      <c r="AC26" s="34">
        <f t="shared" si="18"/>
        <v>197</v>
      </c>
      <c r="AD26" s="34">
        <f t="shared" si="18"/>
        <v>0</v>
      </c>
      <c r="AE26" s="31">
        <f t="shared" si="18"/>
        <v>390</v>
      </c>
      <c r="AF26" s="31">
        <f t="shared" si="18"/>
        <v>587</v>
      </c>
    </row>
    <row r="27" spans="2:32" ht="23.1" customHeight="1" x14ac:dyDescent="0.25">
      <c r="B27" s="45" t="s">
        <v>54</v>
      </c>
      <c r="C27" s="50">
        <v>56</v>
      </c>
      <c r="D27" s="50">
        <v>11</v>
      </c>
      <c r="E27" s="50">
        <v>11</v>
      </c>
      <c r="F27" s="50">
        <v>48</v>
      </c>
      <c r="G27" s="50">
        <v>2</v>
      </c>
      <c r="H27" s="50">
        <v>1</v>
      </c>
      <c r="I27" s="50">
        <v>18</v>
      </c>
      <c r="J27" s="50">
        <v>7</v>
      </c>
      <c r="K27" s="50">
        <v>5</v>
      </c>
      <c r="L27" s="50">
        <v>15</v>
      </c>
      <c r="M27" s="50">
        <v>118</v>
      </c>
      <c r="N27" s="50">
        <v>0</v>
      </c>
      <c r="O27" s="15">
        <f t="shared" si="0"/>
        <v>174</v>
      </c>
      <c r="P27" s="15">
        <f t="shared" si="1"/>
        <v>292</v>
      </c>
      <c r="R27" s="36" t="s">
        <v>151</v>
      </c>
      <c r="S27" s="34">
        <f>SUM(C78:C81)</f>
        <v>49</v>
      </c>
      <c r="T27" s="34">
        <f t="shared" ref="T27:AF27" si="19">SUM(D78:D81)</f>
        <v>13</v>
      </c>
      <c r="U27" s="34">
        <f t="shared" si="19"/>
        <v>7</v>
      </c>
      <c r="V27" s="34">
        <f t="shared" si="19"/>
        <v>29</v>
      </c>
      <c r="W27" s="34">
        <f t="shared" si="19"/>
        <v>2</v>
      </c>
      <c r="X27" s="34">
        <f t="shared" si="19"/>
        <v>1</v>
      </c>
      <c r="Y27" s="34">
        <f t="shared" si="19"/>
        <v>11</v>
      </c>
      <c r="Z27" s="34">
        <f t="shared" si="19"/>
        <v>23</v>
      </c>
      <c r="AA27" s="34">
        <f t="shared" si="19"/>
        <v>11</v>
      </c>
      <c r="AB27" s="34">
        <f t="shared" si="19"/>
        <v>7</v>
      </c>
      <c r="AC27" s="34">
        <f t="shared" si="19"/>
        <v>98</v>
      </c>
      <c r="AD27" s="34">
        <f t="shared" si="19"/>
        <v>0</v>
      </c>
      <c r="AE27" s="31">
        <f t="shared" si="19"/>
        <v>153</v>
      </c>
      <c r="AF27" s="31">
        <f t="shared" si="19"/>
        <v>251</v>
      </c>
    </row>
    <row r="28" spans="2:32" ht="23.1" customHeight="1" x14ac:dyDescent="0.25">
      <c r="B28" s="45" t="s">
        <v>55</v>
      </c>
      <c r="C28" s="50">
        <v>38</v>
      </c>
      <c r="D28" s="50">
        <v>4</v>
      </c>
      <c r="E28" s="50">
        <v>3</v>
      </c>
      <c r="F28" s="50">
        <v>48</v>
      </c>
      <c r="G28" s="50">
        <v>0</v>
      </c>
      <c r="H28" s="50">
        <v>1</v>
      </c>
      <c r="I28" s="50">
        <v>7</v>
      </c>
      <c r="J28" s="50">
        <v>2</v>
      </c>
      <c r="K28" s="50">
        <v>1</v>
      </c>
      <c r="L28" s="50">
        <v>16</v>
      </c>
      <c r="M28" s="50">
        <v>80</v>
      </c>
      <c r="N28" s="50">
        <v>0</v>
      </c>
      <c r="O28" s="15">
        <f t="shared" si="0"/>
        <v>120</v>
      </c>
      <c r="P28" s="15">
        <f t="shared" si="1"/>
        <v>200</v>
      </c>
      <c r="R28" s="36" t="s">
        <v>152</v>
      </c>
      <c r="S28" s="34">
        <f>SUM(C82:C85)</f>
        <v>19</v>
      </c>
      <c r="T28" s="34">
        <f t="shared" ref="T28:AF28" si="20">SUM(D82:D85)</f>
        <v>4</v>
      </c>
      <c r="U28" s="34">
        <f t="shared" si="20"/>
        <v>4</v>
      </c>
      <c r="V28" s="34">
        <f t="shared" si="20"/>
        <v>19</v>
      </c>
      <c r="W28" s="34">
        <f t="shared" si="20"/>
        <v>1</v>
      </c>
      <c r="X28" s="34">
        <f t="shared" si="20"/>
        <v>2</v>
      </c>
      <c r="Y28" s="34">
        <f t="shared" si="20"/>
        <v>14</v>
      </c>
      <c r="Z28" s="34">
        <f t="shared" si="20"/>
        <v>23</v>
      </c>
      <c r="AA28" s="34">
        <f t="shared" si="20"/>
        <v>7</v>
      </c>
      <c r="AB28" s="34">
        <f t="shared" si="20"/>
        <v>13</v>
      </c>
      <c r="AC28" s="34">
        <f t="shared" si="20"/>
        <v>39</v>
      </c>
      <c r="AD28" s="34">
        <f t="shared" si="20"/>
        <v>0</v>
      </c>
      <c r="AE28" s="31">
        <f t="shared" si="20"/>
        <v>106</v>
      </c>
      <c r="AF28" s="31">
        <f t="shared" si="20"/>
        <v>145</v>
      </c>
    </row>
    <row r="29" spans="2:32" ht="23.1" customHeight="1" x14ac:dyDescent="0.25">
      <c r="B29" s="45" t="s">
        <v>56</v>
      </c>
      <c r="C29" s="50">
        <v>47</v>
      </c>
      <c r="D29" s="50">
        <v>11</v>
      </c>
      <c r="E29" s="50">
        <v>7</v>
      </c>
      <c r="F29" s="50">
        <v>55</v>
      </c>
      <c r="G29" s="50">
        <v>2</v>
      </c>
      <c r="H29" s="50">
        <v>0</v>
      </c>
      <c r="I29" s="50">
        <v>23</v>
      </c>
      <c r="J29" s="50">
        <v>9</v>
      </c>
      <c r="K29" s="50">
        <v>4</v>
      </c>
      <c r="L29" s="50">
        <v>13</v>
      </c>
      <c r="M29" s="50">
        <v>85</v>
      </c>
      <c r="N29" s="50">
        <v>0</v>
      </c>
      <c r="O29" s="15">
        <f t="shared" si="0"/>
        <v>171</v>
      </c>
      <c r="P29" s="15">
        <f t="shared" si="1"/>
        <v>256</v>
      </c>
      <c r="R29" s="36" t="s">
        <v>153</v>
      </c>
      <c r="S29" s="34">
        <f>SUM(C86:C89)</f>
        <v>20</v>
      </c>
      <c r="T29" s="34">
        <f t="shared" ref="T29:AF29" si="21">SUM(D86:D89)</f>
        <v>4</v>
      </c>
      <c r="U29" s="34">
        <f t="shared" si="21"/>
        <v>2</v>
      </c>
      <c r="V29" s="34">
        <f t="shared" si="21"/>
        <v>11</v>
      </c>
      <c r="W29" s="34">
        <f t="shared" si="21"/>
        <v>0</v>
      </c>
      <c r="X29" s="34">
        <f t="shared" si="21"/>
        <v>2</v>
      </c>
      <c r="Y29" s="34">
        <f t="shared" si="21"/>
        <v>6</v>
      </c>
      <c r="Z29" s="34">
        <f t="shared" si="21"/>
        <v>13</v>
      </c>
      <c r="AA29" s="34">
        <f t="shared" si="21"/>
        <v>19</v>
      </c>
      <c r="AB29" s="34">
        <f t="shared" si="21"/>
        <v>8</v>
      </c>
      <c r="AC29" s="34">
        <f t="shared" si="21"/>
        <v>19</v>
      </c>
      <c r="AD29" s="34">
        <f t="shared" si="21"/>
        <v>0</v>
      </c>
      <c r="AE29" s="31">
        <f t="shared" si="21"/>
        <v>85</v>
      </c>
      <c r="AF29" s="31">
        <f t="shared" si="21"/>
        <v>104</v>
      </c>
    </row>
    <row r="30" spans="2:32" ht="23.1" customHeight="1" x14ac:dyDescent="0.25">
      <c r="B30" s="45" t="s">
        <v>57</v>
      </c>
      <c r="C30" s="50">
        <v>31</v>
      </c>
      <c r="D30" s="50">
        <v>2</v>
      </c>
      <c r="E30" s="50">
        <v>6</v>
      </c>
      <c r="F30" s="50">
        <v>18</v>
      </c>
      <c r="G30" s="50">
        <v>0</v>
      </c>
      <c r="H30" s="50">
        <v>0</v>
      </c>
      <c r="I30" s="50">
        <v>9</v>
      </c>
      <c r="J30" s="50">
        <v>5</v>
      </c>
      <c r="K30" s="50">
        <v>1</v>
      </c>
      <c r="L30" s="50">
        <v>10</v>
      </c>
      <c r="M30" s="50">
        <v>36</v>
      </c>
      <c r="N30" s="50">
        <v>0</v>
      </c>
      <c r="O30" s="15">
        <f t="shared" si="0"/>
        <v>82</v>
      </c>
      <c r="P30" s="15">
        <f t="shared" si="1"/>
        <v>118</v>
      </c>
      <c r="R30" s="36" t="s">
        <v>154</v>
      </c>
      <c r="S30" s="34">
        <f>SUM(C90:C93)</f>
        <v>19</v>
      </c>
      <c r="T30" s="34">
        <f t="shared" ref="T30:AF30" si="22">SUM(D90:D93)</f>
        <v>3</v>
      </c>
      <c r="U30" s="34">
        <f t="shared" si="22"/>
        <v>2</v>
      </c>
      <c r="V30" s="34">
        <f t="shared" si="22"/>
        <v>8</v>
      </c>
      <c r="W30" s="34">
        <f t="shared" si="22"/>
        <v>0</v>
      </c>
      <c r="X30" s="34">
        <f t="shared" si="22"/>
        <v>2</v>
      </c>
      <c r="Y30" s="34">
        <f t="shared" si="22"/>
        <v>16</v>
      </c>
      <c r="Z30" s="34">
        <f t="shared" si="22"/>
        <v>19</v>
      </c>
      <c r="AA30" s="34">
        <f t="shared" si="22"/>
        <v>18</v>
      </c>
      <c r="AB30" s="34">
        <f t="shared" si="22"/>
        <v>15</v>
      </c>
      <c r="AC30" s="34">
        <f t="shared" si="22"/>
        <v>8</v>
      </c>
      <c r="AD30" s="34">
        <f t="shared" si="22"/>
        <v>0</v>
      </c>
      <c r="AE30" s="31">
        <f t="shared" si="22"/>
        <v>102</v>
      </c>
      <c r="AF30" s="31">
        <f t="shared" si="22"/>
        <v>110</v>
      </c>
    </row>
    <row r="31" spans="2:32" ht="23.1" customHeight="1" x14ac:dyDescent="0.25">
      <c r="B31" s="46" t="s">
        <v>58</v>
      </c>
      <c r="C31" s="50">
        <v>49</v>
      </c>
      <c r="D31" s="50">
        <v>9</v>
      </c>
      <c r="E31" s="50">
        <v>5</v>
      </c>
      <c r="F31" s="50">
        <v>43</v>
      </c>
      <c r="G31" s="50">
        <v>1</v>
      </c>
      <c r="H31" s="50">
        <v>1</v>
      </c>
      <c r="I31" s="50">
        <v>20</v>
      </c>
      <c r="J31" s="50">
        <v>5</v>
      </c>
      <c r="K31" s="50">
        <v>5</v>
      </c>
      <c r="L31" s="50">
        <v>10</v>
      </c>
      <c r="M31" s="50">
        <v>105</v>
      </c>
      <c r="N31" s="50">
        <v>0</v>
      </c>
      <c r="O31" s="15">
        <f t="shared" si="0"/>
        <v>148</v>
      </c>
      <c r="P31" s="15">
        <f t="shared" si="1"/>
        <v>253</v>
      </c>
      <c r="R31" s="36" t="s">
        <v>155</v>
      </c>
      <c r="S31" s="34">
        <f>SUM(C94:C97)</f>
        <v>18</v>
      </c>
      <c r="T31" s="34">
        <f t="shared" ref="T31:AF31" si="23">SUM(D94:D97)</f>
        <v>7</v>
      </c>
      <c r="U31" s="34">
        <f t="shared" si="23"/>
        <v>1</v>
      </c>
      <c r="V31" s="34">
        <f t="shared" si="23"/>
        <v>19</v>
      </c>
      <c r="W31" s="34">
        <f t="shared" si="23"/>
        <v>0</v>
      </c>
      <c r="X31" s="34">
        <f t="shared" si="23"/>
        <v>11</v>
      </c>
      <c r="Y31" s="34">
        <f t="shared" si="23"/>
        <v>17</v>
      </c>
      <c r="Z31" s="34">
        <f t="shared" si="23"/>
        <v>13</v>
      </c>
      <c r="AA31" s="34">
        <f t="shared" si="23"/>
        <v>8</v>
      </c>
      <c r="AB31" s="34">
        <f t="shared" si="23"/>
        <v>23</v>
      </c>
      <c r="AC31" s="34">
        <f t="shared" si="23"/>
        <v>18</v>
      </c>
      <c r="AD31" s="34">
        <f t="shared" si="23"/>
        <v>0</v>
      </c>
      <c r="AE31" s="31">
        <f t="shared" si="23"/>
        <v>117</v>
      </c>
      <c r="AF31" s="31">
        <f t="shared" si="23"/>
        <v>135</v>
      </c>
    </row>
    <row r="32" spans="2:32" ht="23.1" customHeight="1" x14ac:dyDescent="0.25">
      <c r="B32" s="46" t="s">
        <v>59</v>
      </c>
      <c r="C32" s="50">
        <v>41</v>
      </c>
      <c r="D32" s="50">
        <v>6</v>
      </c>
      <c r="E32" s="50">
        <v>6</v>
      </c>
      <c r="F32" s="50">
        <v>48</v>
      </c>
      <c r="G32" s="50">
        <v>5</v>
      </c>
      <c r="H32" s="50">
        <v>0</v>
      </c>
      <c r="I32" s="50">
        <v>25</v>
      </c>
      <c r="J32" s="50">
        <v>4</v>
      </c>
      <c r="K32" s="50">
        <v>5</v>
      </c>
      <c r="L32" s="50">
        <v>20</v>
      </c>
      <c r="M32" s="50">
        <v>125</v>
      </c>
      <c r="N32" s="50">
        <v>0</v>
      </c>
      <c r="O32" s="15">
        <f t="shared" si="0"/>
        <v>160</v>
      </c>
      <c r="P32" s="15">
        <f t="shared" si="1"/>
        <v>285</v>
      </c>
      <c r="R32" s="33" t="s">
        <v>156</v>
      </c>
      <c r="S32" s="34">
        <f>SUM(C98:C101)</f>
        <v>39</v>
      </c>
      <c r="T32" s="34">
        <f t="shared" ref="T32:AF32" si="24">SUM(D98:D101)</f>
        <v>15</v>
      </c>
      <c r="U32" s="34">
        <f t="shared" si="24"/>
        <v>9</v>
      </c>
      <c r="V32" s="34">
        <f t="shared" si="24"/>
        <v>57</v>
      </c>
      <c r="W32" s="34">
        <f t="shared" si="24"/>
        <v>4</v>
      </c>
      <c r="X32" s="34">
        <f t="shared" si="24"/>
        <v>1</v>
      </c>
      <c r="Y32" s="34">
        <f t="shared" si="24"/>
        <v>33</v>
      </c>
      <c r="Z32" s="34">
        <f t="shared" si="24"/>
        <v>19</v>
      </c>
      <c r="AA32" s="34">
        <f t="shared" si="24"/>
        <v>4</v>
      </c>
      <c r="AB32" s="34">
        <f t="shared" si="24"/>
        <v>17</v>
      </c>
      <c r="AC32" s="34">
        <f t="shared" si="24"/>
        <v>21</v>
      </c>
      <c r="AD32" s="34">
        <f t="shared" si="24"/>
        <v>0</v>
      </c>
      <c r="AE32" s="31">
        <f t="shared" si="24"/>
        <v>198</v>
      </c>
      <c r="AF32" s="31">
        <f t="shared" si="24"/>
        <v>219</v>
      </c>
    </row>
    <row r="33" spans="2:32" ht="23.1" customHeight="1" x14ac:dyDescent="0.25">
      <c r="B33" s="45" t="s">
        <v>60</v>
      </c>
      <c r="C33" s="50">
        <v>45</v>
      </c>
      <c r="D33" s="50">
        <v>8</v>
      </c>
      <c r="E33" s="50">
        <v>9</v>
      </c>
      <c r="F33" s="50">
        <v>57</v>
      </c>
      <c r="G33" s="50">
        <v>2</v>
      </c>
      <c r="H33" s="50">
        <v>0</v>
      </c>
      <c r="I33" s="50">
        <v>18</v>
      </c>
      <c r="J33" s="50">
        <v>6</v>
      </c>
      <c r="K33" s="50">
        <v>2</v>
      </c>
      <c r="L33" s="50">
        <v>10</v>
      </c>
      <c r="M33" s="50">
        <v>96</v>
      </c>
      <c r="N33" s="50">
        <v>0</v>
      </c>
      <c r="O33" s="15">
        <f t="shared" si="0"/>
        <v>157</v>
      </c>
      <c r="P33" s="15">
        <f t="shared" si="1"/>
        <v>253</v>
      </c>
      <c r="R33" s="33" t="s">
        <v>157</v>
      </c>
      <c r="S33" s="34">
        <f>SUM(C102:C105)</f>
        <v>83</v>
      </c>
      <c r="T33" s="34">
        <f t="shared" ref="T33:AF33" si="25">SUM(D102:D105)</f>
        <v>37</v>
      </c>
      <c r="U33" s="34">
        <f t="shared" si="25"/>
        <v>21</v>
      </c>
      <c r="V33" s="34">
        <f t="shared" si="25"/>
        <v>96</v>
      </c>
      <c r="W33" s="34">
        <f t="shared" si="25"/>
        <v>6</v>
      </c>
      <c r="X33" s="34">
        <f t="shared" si="25"/>
        <v>3</v>
      </c>
      <c r="Y33" s="34">
        <f t="shared" si="25"/>
        <v>34</v>
      </c>
      <c r="Z33" s="34">
        <f t="shared" si="25"/>
        <v>13</v>
      </c>
      <c r="AA33" s="34">
        <f t="shared" si="25"/>
        <v>18</v>
      </c>
      <c r="AB33" s="34">
        <f t="shared" si="25"/>
        <v>46</v>
      </c>
      <c r="AC33" s="34">
        <f t="shared" si="25"/>
        <v>75</v>
      </c>
      <c r="AD33" s="34">
        <f t="shared" si="25"/>
        <v>0</v>
      </c>
      <c r="AE33" s="31">
        <f t="shared" si="25"/>
        <v>357</v>
      </c>
      <c r="AF33" s="31">
        <f t="shared" si="25"/>
        <v>432</v>
      </c>
    </row>
    <row r="34" spans="2:32" ht="23.1" customHeight="1" x14ac:dyDescent="0.25">
      <c r="B34" s="46" t="s">
        <v>61</v>
      </c>
      <c r="C34" s="50">
        <v>42</v>
      </c>
      <c r="D34" s="50">
        <v>4</v>
      </c>
      <c r="E34" s="50">
        <v>5</v>
      </c>
      <c r="F34" s="50">
        <v>59</v>
      </c>
      <c r="G34" s="50">
        <v>2</v>
      </c>
      <c r="H34" s="50">
        <v>1</v>
      </c>
      <c r="I34" s="50">
        <v>26</v>
      </c>
      <c r="J34" s="50">
        <v>9</v>
      </c>
      <c r="K34" s="50">
        <v>5</v>
      </c>
      <c r="L34" s="50">
        <v>15</v>
      </c>
      <c r="M34" s="50">
        <v>121</v>
      </c>
      <c r="N34" s="50">
        <v>0</v>
      </c>
      <c r="O34" s="15">
        <f t="shared" si="0"/>
        <v>168</v>
      </c>
      <c r="P34" s="15">
        <f t="shared" si="1"/>
        <v>289</v>
      </c>
      <c r="R34" s="38" t="s">
        <v>90</v>
      </c>
      <c r="S34" s="39">
        <f t="shared" ref="S34:AF34" si="26">MAX(S10:S12)</f>
        <v>278</v>
      </c>
      <c r="T34" s="39">
        <f t="shared" si="26"/>
        <v>40</v>
      </c>
      <c r="U34" s="39">
        <f t="shared" si="26"/>
        <v>37</v>
      </c>
      <c r="V34" s="39">
        <f t="shared" si="26"/>
        <v>183</v>
      </c>
      <c r="W34" s="39">
        <f t="shared" si="26"/>
        <v>16</v>
      </c>
      <c r="X34" s="39">
        <f t="shared" si="26"/>
        <v>21</v>
      </c>
      <c r="Y34" s="39">
        <f t="shared" si="26"/>
        <v>58</v>
      </c>
      <c r="Z34" s="39">
        <f t="shared" si="26"/>
        <v>21</v>
      </c>
      <c r="AA34" s="39">
        <f t="shared" si="26"/>
        <v>15</v>
      </c>
      <c r="AB34" s="39">
        <f t="shared" si="26"/>
        <v>24</v>
      </c>
      <c r="AC34" s="39">
        <f t="shared" si="26"/>
        <v>438</v>
      </c>
      <c r="AD34" s="39">
        <f t="shared" si="26"/>
        <v>0</v>
      </c>
      <c r="AE34" s="40">
        <f t="shared" si="26"/>
        <v>615</v>
      </c>
      <c r="AF34" s="40">
        <f t="shared" si="26"/>
        <v>1038</v>
      </c>
    </row>
    <row r="35" spans="2:32" ht="23.1" customHeight="1" x14ac:dyDescent="0.25">
      <c r="B35" s="46" t="s">
        <v>62</v>
      </c>
      <c r="C35" s="50">
        <v>44</v>
      </c>
      <c r="D35" s="50">
        <v>7</v>
      </c>
      <c r="E35" s="50">
        <v>3</v>
      </c>
      <c r="F35" s="50">
        <v>38</v>
      </c>
      <c r="G35" s="50">
        <v>3</v>
      </c>
      <c r="H35" s="50">
        <v>1</v>
      </c>
      <c r="I35" s="50">
        <v>21</v>
      </c>
      <c r="J35" s="50">
        <v>9</v>
      </c>
      <c r="K35" s="50">
        <v>7</v>
      </c>
      <c r="L35" s="50">
        <v>19</v>
      </c>
      <c r="M35" s="50">
        <v>110</v>
      </c>
      <c r="N35" s="50">
        <v>0</v>
      </c>
      <c r="O35" s="15">
        <f t="shared" si="0"/>
        <v>152</v>
      </c>
      <c r="P35" s="15">
        <f t="shared" si="1"/>
        <v>262</v>
      </c>
      <c r="R35" s="38" t="s">
        <v>91</v>
      </c>
      <c r="S35" s="39">
        <f t="shared" ref="S35:AF35" si="27">MAX(S13:S18)</f>
        <v>222</v>
      </c>
      <c r="T35" s="39">
        <f t="shared" si="27"/>
        <v>40</v>
      </c>
      <c r="U35" s="39">
        <f t="shared" si="27"/>
        <v>37</v>
      </c>
      <c r="V35" s="39">
        <f t="shared" si="27"/>
        <v>222</v>
      </c>
      <c r="W35" s="39">
        <f t="shared" si="27"/>
        <v>12</v>
      </c>
      <c r="X35" s="39">
        <f t="shared" si="27"/>
        <v>3</v>
      </c>
      <c r="Y35" s="39">
        <f t="shared" si="27"/>
        <v>102</v>
      </c>
      <c r="Z35" s="39">
        <f t="shared" si="27"/>
        <v>27</v>
      </c>
      <c r="AA35" s="39">
        <f t="shared" si="27"/>
        <v>20</v>
      </c>
      <c r="AB35" s="39">
        <f t="shared" si="27"/>
        <v>105</v>
      </c>
      <c r="AC35" s="39">
        <f t="shared" si="27"/>
        <v>535</v>
      </c>
      <c r="AD35" s="39">
        <f t="shared" si="27"/>
        <v>0</v>
      </c>
      <c r="AE35" s="40">
        <f t="shared" si="27"/>
        <v>695</v>
      </c>
      <c r="AF35" s="40">
        <f t="shared" si="27"/>
        <v>1166</v>
      </c>
    </row>
    <row r="36" spans="2:32" ht="23.1" customHeight="1" x14ac:dyDescent="0.25">
      <c r="B36" s="46" t="s">
        <v>63</v>
      </c>
      <c r="C36" s="50">
        <v>28</v>
      </c>
      <c r="D36" s="50">
        <v>5</v>
      </c>
      <c r="E36" s="50">
        <v>4</v>
      </c>
      <c r="F36" s="50">
        <v>68</v>
      </c>
      <c r="G36" s="50">
        <v>4</v>
      </c>
      <c r="H36" s="50">
        <v>0</v>
      </c>
      <c r="I36" s="50">
        <v>31</v>
      </c>
      <c r="J36" s="50">
        <v>5</v>
      </c>
      <c r="K36" s="50">
        <v>6</v>
      </c>
      <c r="L36" s="50">
        <v>22</v>
      </c>
      <c r="M36" s="50">
        <v>85</v>
      </c>
      <c r="N36" s="50">
        <v>0</v>
      </c>
      <c r="O36" s="15">
        <f t="shared" si="0"/>
        <v>173</v>
      </c>
      <c r="P36" s="15">
        <f t="shared" si="1"/>
        <v>258</v>
      </c>
      <c r="R36" s="38" t="s">
        <v>92</v>
      </c>
      <c r="S36" s="39">
        <f t="shared" ref="S36:AF36" si="28">MAX(S19:S21)</f>
        <v>208</v>
      </c>
      <c r="T36" s="39">
        <f t="shared" si="28"/>
        <v>33</v>
      </c>
      <c r="U36" s="39">
        <f t="shared" si="28"/>
        <v>39</v>
      </c>
      <c r="V36" s="39">
        <f t="shared" si="28"/>
        <v>287</v>
      </c>
      <c r="W36" s="39">
        <f t="shared" si="28"/>
        <v>82</v>
      </c>
      <c r="X36" s="39">
        <f t="shared" si="28"/>
        <v>4</v>
      </c>
      <c r="Y36" s="39">
        <f t="shared" si="28"/>
        <v>74</v>
      </c>
      <c r="Z36" s="39">
        <f t="shared" si="28"/>
        <v>26</v>
      </c>
      <c r="AA36" s="39">
        <f t="shared" si="28"/>
        <v>14</v>
      </c>
      <c r="AB36" s="39">
        <f t="shared" si="28"/>
        <v>83</v>
      </c>
      <c r="AC36" s="39">
        <f t="shared" si="28"/>
        <v>635</v>
      </c>
      <c r="AD36" s="39">
        <f t="shared" si="28"/>
        <v>0</v>
      </c>
      <c r="AE36" s="40">
        <f t="shared" si="28"/>
        <v>748</v>
      </c>
      <c r="AF36" s="40">
        <f t="shared" si="28"/>
        <v>1383</v>
      </c>
    </row>
    <row r="37" spans="2:32" ht="23.1" customHeight="1" x14ac:dyDescent="0.25">
      <c r="B37" s="45" t="s">
        <v>64</v>
      </c>
      <c r="C37" s="50">
        <v>62</v>
      </c>
      <c r="D37" s="50">
        <v>6</v>
      </c>
      <c r="E37" s="50">
        <v>5</v>
      </c>
      <c r="F37" s="50">
        <v>57</v>
      </c>
      <c r="G37" s="50">
        <v>2</v>
      </c>
      <c r="H37" s="50">
        <v>1</v>
      </c>
      <c r="I37" s="50">
        <v>17</v>
      </c>
      <c r="J37" s="50">
        <v>4</v>
      </c>
      <c r="K37" s="50">
        <v>2</v>
      </c>
      <c r="L37" s="50">
        <v>31</v>
      </c>
      <c r="M37" s="50">
        <v>85</v>
      </c>
      <c r="N37" s="50">
        <v>0</v>
      </c>
      <c r="O37" s="15">
        <f t="shared" si="0"/>
        <v>187</v>
      </c>
      <c r="P37" s="15">
        <f t="shared" si="1"/>
        <v>272</v>
      </c>
      <c r="R37" s="37" t="s">
        <v>85</v>
      </c>
      <c r="S37" s="35">
        <f t="shared" ref="S37:AF37" si="29">SUM(S10:S12)</f>
        <v>714</v>
      </c>
      <c r="T37" s="16">
        <f t="shared" si="29"/>
        <v>99</v>
      </c>
      <c r="U37" s="16">
        <f t="shared" si="29"/>
        <v>99</v>
      </c>
      <c r="V37" s="16">
        <f t="shared" si="29"/>
        <v>495</v>
      </c>
      <c r="W37" s="16">
        <f t="shared" si="29"/>
        <v>30</v>
      </c>
      <c r="X37" s="16">
        <f t="shared" si="29"/>
        <v>31</v>
      </c>
      <c r="Y37" s="16">
        <f t="shared" si="29"/>
        <v>143</v>
      </c>
      <c r="Z37" s="16">
        <f t="shared" si="29"/>
        <v>53</v>
      </c>
      <c r="AA37" s="16">
        <f t="shared" si="29"/>
        <v>28</v>
      </c>
      <c r="AB37" s="16">
        <f t="shared" si="29"/>
        <v>63</v>
      </c>
      <c r="AC37" s="16">
        <f t="shared" si="29"/>
        <v>1184</v>
      </c>
      <c r="AD37" s="16">
        <f t="shared" si="29"/>
        <v>0</v>
      </c>
      <c r="AE37" s="32">
        <f t="shared" si="29"/>
        <v>1755</v>
      </c>
      <c r="AF37" s="32">
        <f t="shared" si="29"/>
        <v>2939</v>
      </c>
    </row>
    <row r="38" spans="2:32" ht="23.1" customHeight="1" x14ac:dyDescent="0.25">
      <c r="B38" s="46" t="s">
        <v>65</v>
      </c>
      <c r="C38" s="50">
        <v>50</v>
      </c>
      <c r="D38" s="50">
        <v>9</v>
      </c>
      <c r="E38" s="50">
        <v>7</v>
      </c>
      <c r="F38" s="50">
        <v>49</v>
      </c>
      <c r="G38" s="50">
        <v>4</v>
      </c>
      <c r="H38" s="50">
        <v>0</v>
      </c>
      <c r="I38" s="50">
        <v>27</v>
      </c>
      <c r="J38" s="50">
        <v>5</v>
      </c>
      <c r="K38" s="50">
        <v>5</v>
      </c>
      <c r="L38" s="50">
        <v>15</v>
      </c>
      <c r="M38" s="50">
        <v>75</v>
      </c>
      <c r="N38" s="50">
        <v>0</v>
      </c>
      <c r="O38" s="15">
        <f t="shared" si="0"/>
        <v>171</v>
      </c>
      <c r="P38" s="15">
        <f t="shared" si="1"/>
        <v>246</v>
      </c>
      <c r="R38" s="28" t="s">
        <v>86</v>
      </c>
      <c r="S38" s="16">
        <f t="shared" ref="S38:AF38" si="30">SUM(S13:S18)</f>
        <v>1115</v>
      </c>
      <c r="T38" s="16">
        <f t="shared" si="30"/>
        <v>192</v>
      </c>
      <c r="U38" s="16">
        <f t="shared" si="30"/>
        <v>151</v>
      </c>
      <c r="V38" s="16">
        <f t="shared" si="30"/>
        <v>1155</v>
      </c>
      <c r="W38" s="16">
        <f t="shared" si="30"/>
        <v>52</v>
      </c>
      <c r="X38" s="16">
        <f t="shared" si="30"/>
        <v>13</v>
      </c>
      <c r="Y38" s="16">
        <f t="shared" si="30"/>
        <v>493</v>
      </c>
      <c r="Z38" s="16">
        <f t="shared" si="30"/>
        <v>135</v>
      </c>
      <c r="AA38" s="16">
        <f t="shared" si="30"/>
        <v>76</v>
      </c>
      <c r="AB38" s="16">
        <f t="shared" si="30"/>
        <v>413</v>
      </c>
      <c r="AC38" s="16">
        <f t="shared" si="30"/>
        <v>2373</v>
      </c>
      <c r="AD38" s="16">
        <f t="shared" si="30"/>
        <v>0</v>
      </c>
      <c r="AE38" s="32">
        <f t="shared" si="30"/>
        <v>3795</v>
      </c>
      <c r="AF38" s="32">
        <f t="shared" si="30"/>
        <v>6168</v>
      </c>
    </row>
    <row r="39" spans="2:32" ht="23.1" customHeight="1" x14ac:dyDescent="0.25">
      <c r="B39" s="46" t="s">
        <v>66</v>
      </c>
      <c r="C39" s="50">
        <v>46</v>
      </c>
      <c r="D39" s="50">
        <v>10</v>
      </c>
      <c r="E39" s="50">
        <v>6</v>
      </c>
      <c r="F39" s="50">
        <v>60</v>
      </c>
      <c r="G39" s="50">
        <v>3</v>
      </c>
      <c r="H39" s="50">
        <v>0</v>
      </c>
      <c r="I39" s="50">
        <v>25</v>
      </c>
      <c r="J39" s="50">
        <v>5</v>
      </c>
      <c r="K39" s="50">
        <v>3</v>
      </c>
      <c r="L39" s="50">
        <v>18</v>
      </c>
      <c r="M39" s="50">
        <v>113</v>
      </c>
      <c r="N39" s="50">
        <v>0</v>
      </c>
      <c r="O39" s="15">
        <f t="shared" si="0"/>
        <v>176</v>
      </c>
      <c r="P39" s="15">
        <f t="shared" si="1"/>
        <v>289</v>
      </c>
      <c r="R39" s="29" t="s">
        <v>87</v>
      </c>
      <c r="S39" s="16">
        <f t="shared" ref="S39:AF39" si="31">SUM(S19:S21)</f>
        <v>592</v>
      </c>
      <c r="T39" s="16">
        <f t="shared" si="31"/>
        <v>78</v>
      </c>
      <c r="U39" s="16">
        <f t="shared" si="31"/>
        <v>89</v>
      </c>
      <c r="V39" s="16">
        <f t="shared" si="31"/>
        <v>634</v>
      </c>
      <c r="W39" s="16">
        <f t="shared" si="31"/>
        <v>103</v>
      </c>
      <c r="X39" s="16">
        <f t="shared" si="31"/>
        <v>7</v>
      </c>
      <c r="Y39" s="16">
        <f t="shared" si="31"/>
        <v>196</v>
      </c>
      <c r="Z39" s="16">
        <f t="shared" si="31"/>
        <v>56</v>
      </c>
      <c r="AA39" s="16">
        <f t="shared" si="31"/>
        <v>34</v>
      </c>
      <c r="AB39" s="16">
        <f t="shared" si="31"/>
        <v>204</v>
      </c>
      <c r="AC39" s="16">
        <f t="shared" si="31"/>
        <v>1589</v>
      </c>
      <c r="AD39" s="16">
        <f t="shared" si="31"/>
        <v>0</v>
      </c>
      <c r="AE39" s="32">
        <f t="shared" si="31"/>
        <v>1993</v>
      </c>
      <c r="AF39" s="32">
        <f t="shared" si="31"/>
        <v>3582</v>
      </c>
    </row>
    <row r="40" spans="2:32" ht="23.1" customHeight="1" x14ac:dyDescent="0.25">
      <c r="B40" s="46" t="s">
        <v>67</v>
      </c>
      <c r="C40" s="50">
        <v>53</v>
      </c>
      <c r="D40" s="50">
        <v>9</v>
      </c>
      <c r="E40" s="50">
        <v>9</v>
      </c>
      <c r="F40" s="50">
        <v>60</v>
      </c>
      <c r="G40" s="50">
        <v>3</v>
      </c>
      <c r="H40" s="50">
        <v>2</v>
      </c>
      <c r="I40" s="50">
        <v>31</v>
      </c>
      <c r="J40" s="50">
        <v>6</v>
      </c>
      <c r="K40" s="50">
        <v>6</v>
      </c>
      <c r="L40" s="50">
        <v>27</v>
      </c>
      <c r="M40" s="50">
        <v>127</v>
      </c>
      <c r="N40" s="50">
        <v>0</v>
      </c>
      <c r="O40" s="15">
        <f t="shared" si="0"/>
        <v>206</v>
      </c>
      <c r="P40" s="15">
        <f t="shared" si="1"/>
        <v>333</v>
      </c>
      <c r="R40" s="5" t="s">
        <v>17</v>
      </c>
      <c r="S40" s="16">
        <f t="shared" ref="S40:AF40" si="32">SUM(S10:S21)</f>
        <v>2421</v>
      </c>
      <c r="T40" s="16">
        <f t="shared" si="32"/>
        <v>369</v>
      </c>
      <c r="U40" s="16">
        <f t="shared" si="32"/>
        <v>339</v>
      </c>
      <c r="V40" s="16">
        <f t="shared" si="32"/>
        <v>2284</v>
      </c>
      <c r="W40" s="16">
        <f t="shared" si="32"/>
        <v>185</v>
      </c>
      <c r="X40" s="16">
        <f t="shared" si="32"/>
        <v>51</v>
      </c>
      <c r="Y40" s="16">
        <f t="shared" si="32"/>
        <v>832</v>
      </c>
      <c r="Z40" s="16">
        <f t="shared" si="32"/>
        <v>244</v>
      </c>
      <c r="AA40" s="16">
        <f t="shared" si="32"/>
        <v>138</v>
      </c>
      <c r="AB40" s="16">
        <f t="shared" si="32"/>
        <v>680</v>
      </c>
      <c r="AC40" s="16">
        <f t="shared" si="32"/>
        <v>5146</v>
      </c>
      <c r="AD40" s="16">
        <f t="shared" si="32"/>
        <v>0</v>
      </c>
      <c r="AE40" s="32">
        <f t="shared" si="32"/>
        <v>7543</v>
      </c>
      <c r="AF40" s="32">
        <f t="shared" si="32"/>
        <v>12689</v>
      </c>
    </row>
    <row r="41" spans="2:32" ht="23.1" customHeight="1" x14ac:dyDescent="0.25">
      <c r="B41" s="45" t="s">
        <v>68</v>
      </c>
      <c r="C41" s="50">
        <v>22</v>
      </c>
      <c r="D41" s="50">
        <v>12</v>
      </c>
      <c r="E41" s="50">
        <v>15</v>
      </c>
      <c r="F41" s="50">
        <v>45</v>
      </c>
      <c r="G41" s="50">
        <v>2</v>
      </c>
      <c r="H41" s="50">
        <v>0</v>
      </c>
      <c r="I41" s="50">
        <v>19</v>
      </c>
      <c r="J41" s="50">
        <v>5</v>
      </c>
      <c r="K41" s="50">
        <v>0</v>
      </c>
      <c r="L41" s="50">
        <v>22</v>
      </c>
      <c r="M41" s="50">
        <v>52</v>
      </c>
      <c r="N41" s="50">
        <v>0</v>
      </c>
      <c r="O41" s="15">
        <f t="shared" si="0"/>
        <v>142</v>
      </c>
      <c r="P41" s="15">
        <f t="shared" si="1"/>
        <v>194</v>
      </c>
      <c r="R41" s="5" t="s">
        <v>159</v>
      </c>
      <c r="S41" s="16">
        <f>SUM(S10:S33)</f>
        <v>3425</v>
      </c>
      <c r="T41" s="16">
        <f t="shared" ref="T41:AF41" si="33">SUM(T10:T33)</f>
        <v>662</v>
      </c>
      <c r="U41" s="16">
        <f t="shared" si="33"/>
        <v>500</v>
      </c>
      <c r="V41" s="16">
        <f t="shared" si="33"/>
        <v>3309</v>
      </c>
      <c r="W41" s="16">
        <f t="shared" si="33"/>
        <v>265</v>
      </c>
      <c r="X41" s="16">
        <f t="shared" si="33"/>
        <v>91</v>
      </c>
      <c r="Y41" s="16">
        <f t="shared" si="33"/>
        <v>1113</v>
      </c>
      <c r="Z41" s="16">
        <f t="shared" si="33"/>
        <v>497</v>
      </c>
      <c r="AA41" s="16">
        <f t="shared" si="33"/>
        <v>291</v>
      </c>
      <c r="AB41" s="16">
        <f t="shared" si="33"/>
        <v>1005</v>
      </c>
      <c r="AC41" s="16">
        <f t="shared" si="33"/>
        <v>7878</v>
      </c>
      <c r="AD41" s="16">
        <f t="shared" si="33"/>
        <v>0</v>
      </c>
      <c r="AE41" s="32">
        <f t="shared" si="33"/>
        <v>11158</v>
      </c>
      <c r="AF41" s="32">
        <f t="shared" si="33"/>
        <v>19036</v>
      </c>
    </row>
    <row r="42" spans="2:32" ht="23.1" customHeight="1" x14ac:dyDescent="0.25">
      <c r="B42" s="46" t="s">
        <v>69</v>
      </c>
      <c r="C42" s="50">
        <v>65</v>
      </c>
      <c r="D42" s="50">
        <v>9</v>
      </c>
      <c r="E42" s="50">
        <v>2</v>
      </c>
      <c r="F42" s="50">
        <v>50</v>
      </c>
      <c r="G42" s="50">
        <v>1</v>
      </c>
      <c r="H42" s="50">
        <v>1</v>
      </c>
      <c r="I42" s="50">
        <v>25</v>
      </c>
      <c r="J42" s="50">
        <v>4</v>
      </c>
      <c r="K42" s="50">
        <v>3</v>
      </c>
      <c r="L42" s="50">
        <v>35</v>
      </c>
      <c r="M42" s="50">
        <v>74</v>
      </c>
      <c r="N42" s="50">
        <v>0</v>
      </c>
      <c r="O42" s="15">
        <f t="shared" si="0"/>
        <v>195</v>
      </c>
      <c r="P42" s="15">
        <f t="shared" si="1"/>
        <v>269</v>
      </c>
      <c r="R42" s="5" t="s">
        <v>160</v>
      </c>
      <c r="S42" s="48">
        <f>S41/S40</f>
        <v>1.4147046674927717</v>
      </c>
      <c r="T42" s="48">
        <f t="shared" ref="T42:AF42" si="34">T41/T40</f>
        <v>1.7940379403794038</v>
      </c>
      <c r="U42" s="48">
        <f t="shared" si="34"/>
        <v>1.4749262536873156</v>
      </c>
      <c r="V42" s="48">
        <f t="shared" si="34"/>
        <v>1.4487740805604203</v>
      </c>
      <c r="W42" s="48">
        <f t="shared" si="34"/>
        <v>1.4324324324324325</v>
      </c>
      <c r="X42" s="48">
        <f t="shared" si="34"/>
        <v>1.7843137254901962</v>
      </c>
      <c r="Y42" s="48">
        <f t="shared" si="34"/>
        <v>1.3377403846153846</v>
      </c>
      <c r="Z42" s="48">
        <f t="shared" si="34"/>
        <v>2.0368852459016393</v>
      </c>
      <c r="AA42" s="48">
        <f t="shared" si="34"/>
        <v>2.1086956521739131</v>
      </c>
      <c r="AB42" s="48">
        <f t="shared" si="34"/>
        <v>1.4779411764705883</v>
      </c>
      <c r="AC42" s="48">
        <f t="shared" si="34"/>
        <v>1.5308977846871357</v>
      </c>
      <c r="AD42" s="48" t="e">
        <f t="shared" si="34"/>
        <v>#DIV/0!</v>
      </c>
      <c r="AE42" s="48">
        <f t="shared" si="34"/>
        <v>1.4792522868885059</v>
      </c>
      <c r="AF42" s="48">
        <f t="shared" si="34"/>
        <v>1.5001970210418474</v>
      </c>
    </row>
    <row r="43" spans="2:32" ht="23.1" customHeight="1" x14ac:dyDescent="0.25">
      <c r="B43" s="45" t="s">
        <v>70</v>
      </c>
      <c r="C43" s="50">
        <v>61</v>
      </c>
      <c r="D43" s="50">
        <v>8</v>
      </c>
      <c r="E43" s="50">
        <v>8</v>
      </c>
      <c r="F43" s="50">
        <v>51</v>
      </c>
      <c r="G43" s="50">
        <v>4</v>
      </c>
      <c r="H43" s="50">
        <v>0</v>
      </c>
      <c r="I43" s="50">
        <v>28</v>
      </c>
      <c r="J43" s="50">
        <v>5</v>
      </c>
      <c r="K43" s="50">
        <v>0</v>
      </c>
      <c r="L43" s="50">
        <v>22</v>
      </c>
      <c r="M43" s="50">
        <v>112</v>
      </c>
      <c r="N43" s="50">
        <v>0</v>
      </c>
      <c r="O43" s="15">
        <f t="shared" si="0"/>
        <v>187</v>
      </c>
      <c r="P43" s="15">
        <f t="shared" si="1"/>
        <v>299</v>
      </c>
    </row>
    <row r="44" spans="2:32" ht="23.1" customHeight="1" x14ac:dyDescent="0.25">
      <c r="B44" s="47" t="s">
        <v>71</v>
      </c>
      <c r="C44" s="50">
        <v>39</v>
      </c>
      <c r="D44" s="50">
        <v>6</v>
      </c>
      <c r="E44" s="50">
        <v>6</v>
      </c>
      <c r="F44" s="50">
        <v>41</v>
      </c>
      <c r="G44" s="50">
        <v>1</v>
      </c>
      <c r="H44" s="50">
        <v>0</v>
      </c>
      <c r="I44" s="50">
        <v>19</v>
      </c>
      <c r="J44" s="50">
        <v>9</v>
      </c>
      <c r="K44" s="50">
        <v>2</v>
      </c>
      <c r="L44" s="50">
        <v>28</v>
      </c>
      <c r="M44" s="50">
        <v>54</v>
      </c>
      <c r="N44" s="50">
        <v>0</v>
      </c>
      <c r="O44" s="15">
        <f t="shared" si="0"/>
        <v>151</v>
      </c>
      <c r="P44" s="15">
        <f t="shared" si="1"/>
        <v>205</v>
      </c>
    </row>
    <row r="45" spans="2:32" ht="23.1" customHeight="1" x14ac:dyDescent="0.25">
      <c r="B45" s="45" t="s">
        <v>72</v>
      </c>
      <c r="C45" s="50">
        <v>32</v>
      </c>
      <c r="D45" s="50">
        <v>13</v>
      </c>
      <c r="E45" s="50">
        <v>5</v>
      </c>
      <c r="F45" s="50">
        <v>51</v>
      </c>
      <c r="G45" s="50">
        <v>0</v>
      </c>
      <c r="H45" s="50">
        <v>1</v>
      </c>
      <c r="I45" s="50">
        <v>11</v>
      </c>
      <c r="J45" s="50">
        <v>7</v>
      </c>
      <c r="K45" s="50">
        <v>5</v>
      </c>
      <c r="L45" s="50">
        <v>20</v>
      </c>
      <c r="M45" s="50">
        <v>87</v>
      </c>
      <c r="N45" s="50">
        <v>0</v>
      </c>
      <c r="O45" s="15">
        <f t="shared" si="0"/>
        <v>145</v>
      </c>
      <c r="P45" s="15">
        <f t="shared" si="1"/>
        <v>232</v>
      </c>
    </row>
    <row r="46" spans="2:32" ht="23.1" customHeight="1" x14ac:dyDescent="0.25">
      <c r="B46" s="46" t="s">
        <v>73</v>
      </c>
      <c r="C46" s="50">
        <v>55</v>
      </c>
      <c r="D46" s="50">
        <v>15</v>
      </c>
      <c r="E46" s="50">
        <v>15</v>
      </c>
      <c r="F46" s="50">
        <v>54</v>
      </c>
      <c r="G46" s="50">
        <v>3</v>
      </c>
      <c r="H46" s="50">
        <v>1</v>
      </c>
      <c r="I46" s="50">
        <v>22</v>
      </c>
      <c r="J46" s="50">
        <v>4</v>
      </c>
      <c r="K46" s="50">
        <v>2</v>
      </c>
      <c r="L46" s="50">
        <v>16</v>
      </c>
      <c r="M46" s="50">
        <v>86</v>
      </c>
      <c r="N46" s="50">
        <v>0</v>
      </c>
      <c r="O46" s="15">
        <f t="shared" si="0"/>
        <v>187</v>
      </c>
      <c r="P46" s="15">
        <f t="shared" si="1"/>
        <v>273</v>
      </c>
      <c r="R46" s="8"/>
      <c r="T46"/>
    </row>
    <row r="47" spans="2:32" ht="23.1" customHeight="1" x14ac:dyDescent="0.25">
      <c r="B47" s="46" t="s">
        <v>74</v>
      </c>
      <c r="C47" s="50">
        <v>44</v>
      </c>
      <c r="D47" s="50">
        <v>6</v>
      </c>
      <c r="E47" s="50">
        <v>12</v>
      </c>
      <c r="F47" s="50">
        <v>46</v>
      </c>
      <c r="G47" s="50">
        <v>1</v>
      </c>
      <c r="H47" s="50">
        <v>1</v>
      </c>
      <c r="I47" s="50">
        <v>23</v>
      </c>
      <c r="J47" s="50">
        <v>3</v>
      </c>
      <c r="K47" s="50">
        <v>2</v>
      </c>
      <c r="L47" s="50">
        <v>15</v>
      </c>
      <c r="M47" s="50">
        <v>113</v>
      </c>
      <c r="N47" s="50">
        <v>0</v>
      </c>
      <c r="O47" s="15">
        <f t="shared" si="0"/>
        <v>153</v>
      </c>
      <c r="P47" s="15">
        <f t="shared" si="1"/>
        <v>266</v>
      </c>
      <c r="R47" s="8"/>
      <c r="T47"/>
    </row>
    <row r="48" spans="2:32" ht="23.1" customHeight="1" x14ac:dyDescent="0.25">
      <c r="B48" s="46" t="s">
        <v>75</v>
      </c>
      <c r="C48" s="50">
        <v>46</v>
      </c>
      <c r="D48" s="50">
        <v>7</v>
      </c>
      <c r="E48" s="50">
        <v>4</v>
      </c>
      <c r="F48" s="50">
        <v>42</v>
      </c>
      <c r="G48" s="50">
        <v>5</v>
      </c>
      <c r="H48" s="50">
        <v>1</v>
      </c>
      <c r="I48" s="50">
        <v>13</v>
      </c>
      <c r="J48" s="50">
        <v>4</v>
      </c>
      <c r="K48" s="50">
        <v>2</v>
      </c>
      <c r="L48" s="50">
        <v>18</v>
      </c>
      <c r="M48" s="50">
        <v>100</v>
      </c>
      <c r="N48" s="50">
        <v>0</v>
      </c>
      <c r="O48" s="15">
        <f t="shared" si="0"/>
        <v>142</v>
      </c>
      <c r="P48" s="15">
        <f t="shared" si="1"/>
        <v>242</v>
      </c>
      <c r="R48" s="8"/>
      <c r="T48"/>
    </row>
    <row r="49" spans="2:20" ht="23.1" customHeight="1" x14ac:dyDescent="0.25">
      <c r="B49" s="45" t="s">
        <v>76</v>
      </c>
      <c r="C49" s="50">
        <v>52</v>
      </c>
      <c r="D49" s="50">
        <v>5</v>
      </c>
      <c r="E49" s="50">
        <v>8</v>
      </c>
      <c r="F49" s="50">
        <v>45</v>
      </c>
      <c r="G49" s="50">
        <v>2</v>
      </c>
      <c r="H49" s="50">
        <v>1</v>
      </c>
      <c r="I49" s="50">
        <v>13</v>
      </c>
      <c r="J49" s="50">
        <v>6</v>
      </c>
      <c r="K49" s="50">
        <v>4</v>
      </c>
      <c r="L49" s="50">
        <v>20</v>
      </c>
      <c r="M49" s="50">
        <v>102</v>
      </c>
      <c r="N49" s="50">
        <v>0</v>
      </c>
      <c r="O49" s="15">
        <f t="shared" si="0"/>
        <v>156</v>
      </c>
      <c r="P49" s="15">
        <f t="shared" si="1"/>
        <v>258</v>
      </c>
      <c r="R49" s="8"/>
      <c r="T49"/>
    </row>
    <row r="50" spans="2:20" ht="23.1" customHeight="1" x14ac:dyDescent="0.25">
      <c r="B50" s="46" t="s">
        <v>77</v>
      </c>
      <c r="C50" s="50">
        <v>48</v>
      </c>
      <c r="D50" s="50">
        <v>5</v>
      </c>
      <c r="E50" s="50">
        <v>10</v>
      </c>
      <c r="F50" s="50">
        <v>55</v>
      </c>
      <c r="G50" s="50">
        <v>3</v>
      </c>
      <c r="H50" s="50">
        <v>0</v>
      </c>
      <c r="I50" s="50">
        <v>18</v>
      </c>
      <c r="J50" s="50">
        <v>8</v>
      </c>
      <c r="K50" s="50">
        <v>0</v>
      </c>
      <c r="L50" s="50">
        <v>20</v>
      </c>
      <c r="M50" s="50">
        <v>138</v>
      </c>
      <c r="N50" s="50">
        <v>0</v>
      </c>
      <c r="O50" s="15">
        <f t="shared" si="0"/>
        <v>167</v>
      </c>
      <c r="P50" s="15">
        <f t="shared" si="1"/>
        <v>305</v>
      </c>
      <c r="R50" s="8"/>
      <c r="T50"/>
    </row>
    <row r="51" spans="2:20" ht="23.1" customHeight="1" x14ac:dyDescent="0.25">
      <c r="B51" s="46" t="s">
        <v>78</v>
      </c>
      <c r="C51" s="50">
        <v>53</v>
      </c>
      <c r="D51" s="50">
        <v>8</v>
      </c>
      <c r="E51" s="50">
        <v>7</v>
      </c>
      <c r="F51" s="50">
        <v>142</v>
      </c>
      <c r="G51" s="50">
        <v>1</v>
      </c>
      <c r="H51" s="50">
        <v>0</v>
      </c>
      <c r="I51" s="50">
        <v>20</v>
      </c>
      <c r="J51" s="50">
        <v>5</v>
      </c>
      <c r="K51" s="50">
        <v>5</v>
      </c>
      <c r="L51" s="50">
        <v>28</v>
      </c>
      <c r="M51" s="50">
        <v>162</v>
      </c>
      <c r="N51" s="50">
        <v>0</v>
      </c>
      <c r="O51" s="15">
        <f t="shared" si="0"/>
        <v>269</v>
      </c>
      <c r="P51" s="15">
        <f t="shared" si="1"/>
        <v>431</v>
      </c>
      <c r="R51" s="8"/>
      <c r="T51"/>
    </row>
    <row r="52" spans="2:20" ht="23.1" customHeight="1" x14ac:dyDescent="0.25">
      <c r="B52" s="46" t="s">
        <v>79</v>
      </c>
      <c r="C52" s="50">
        <v>48</v>
      </c>
      <c r="D52" s="50">
        <v>4</v>
      </c>
      <c r="E52" s="50">
        <v>6</v>
      </c>
      <c r="F52" s="50">
        <v>44</v>
      </c>
      <c r="G52" s="50">
        <v>2</v>
      </c>
      <c r="H52" s="50">
        <v>0</v>
      </c>
      <c r="I52" s="50">
        <v>20</v>
      </c>
      <c r="J52" s="50">
        <v>4</v>
      </c>
      <c r="K52" s="50">
        <v>1</v>
      </c>
      <c r="L52" s="50">
        <v>14</v>
      </c>
      <c r="M52" s="50">
        <v>132</v>
      </c>
      <c r="N52" s="50">
        <v>0</v>
      </c>
      <c r="O52" s="15">
        <f t="shared" si="0"/>
        <v>143</v>
      </c>
      <c r="P52" s="15">
        <f t="shared" si="1"/>
        <v>275</v>
      </c>
      <c r="R52" s="8"/>
      <c r="T52"/>
    </row>
    <row r="53" spans="2:20" ht="23.1" customHeight="1" x14ac:dyDescent="0.25">
      <c r="B53" s="45" t="s">
        <v>80</v>
      </c>
      <c r="C53" s="50">
        <v>59</v>
      </c>
      <c r="D53" s="50">
        <v>4</v>
      </c>
      <c r="E53" s="50">
        <v>6</v>
      </c>
      <c r="F53" s="50">
        <v>46</v>
      </c>
      <c r="G53" s="50">
        <v>4</v>
      </c>
      <c r="H53" s="50">
        <v>0</v>
      </c>
      <c r="I53" s="50">
        <v>16</v>
      </c>
      <c r="J53" s="50">
        <v>9</v>
      </c>
      <c r="K53" s="50">
        <v>4</v>
      </c>
      <c r="L53" s="50">
        <v>21</v>
      </c>
      <c r="M53" s="50">
        <v>203</v>
      </c>
      <c r="N53" s="50">
        <v>0</v>
      </c>
      <c r="O53" s="15">
        <f t="shared" si="0"/>
        <v>169</v>
      </c>
      <c r="P53" s="15">
        <f t="shared" si="1"/>
        <v>372</v>
      </c>
      <c r="R53" s="8"/>
      <c r="T53"/>
    </row>
    <row r="54" spans="2:20" ht="23.1" customHeight="1" x14ac:dyDescent="0.25">
      <c r="B54" s="45" t="s">
        <v>81</v>
      </c>
      <c r="C54" s="50">
        <v>21</v>
      </c>
      <c r="D54" s="50">
        <v>10</v>
      </c>
      <c r="E54" s="50">
        <v>0</v>
      </c>
      <c r="F54" s="50">
        <v>30</v>
      </c>
      <c r="G54" s="50">
        <v>3</v>
      </c>
      <c r="H54" s="50">
        <v>2</v>
      </c>
      <c r="I54" s="50">
        <v>13</v>
      </c>
      <c r="J54" s="50">
        <v>1</v>
      </c>
      <c r="K54" s="50">
        <v>0</v>
      </c>
      <c r="L54" s="50">
        <v>12</v>
      </c>
      <c r="M54" s="50">
        <v>57</v>
      </c>
      <c r="N54" s="50">
        <v>0</v>
      </c>
      <c r="O54" s="15">
        <f t="shared" si="0"/>
        <v>92</v>
      </c>
      <c r="P54" s="15">
        <f t="shared" si="1"/>
        <v>149</v>
      </c>
      <c r="R54" s="8"/>
      <c r="T54"/>
    </row>
    <row r="55" spans="2:20" ht="23.1" customHeight="1" x14ac:dyDescent="0.25">
      <c r="B55" s="45" t="s">
        <v>82</v>
      </c>
      <c r="C55" s="50">
        <v>85</v>
      </c>
      <c r="D55" s="50">
        <v>4</v>
      </c>
      <c r="E55" s="50">
        <v>13</v>
      </c>
      <c r="F55" s="50">
        <v>41</v>
      </c>
      <c r="G55" s="50">
        <v>7</v>
      </c>
      <c r="H55" s="50">
        <v>1</v>
      </c>
      <c r="I55" s="50">
        <v>17</v>
      </c>
      <c r="J55" s="50">
        <v>4</v>
      </c>
      <c r="K55" s="50">
        <v>2</v>
      </c>
      <c r="L55" s="50">
        <v>24</v>
      </c>
      <c r="M55" s="50">
        <v>185</v>
      </c>
      <c r="N55" s="50">
        <v>0</v>
      </c>
      <c r="O55" s="15">
        <f t="shared" si="0"/>
        <v>198</v>
      </c>
      <c r="P55" s="15">
        <f t="shared" si="1"/>
        <v>383</v>
      </c>
      <c r="R55" s="8"/>
      <c r="T55"/>
    </row>
    <row r="56" spans="2:20" ht="23.1" customHeight="1" x14ac:dyDescent="0.25">
      <c r="B56" s="45" t="s">
        <v>83</v>
      </c>
      <c r="C56" s="50">
        <v>56</v>
      </c>
      <c r="D56" s="50">
        <v>6</v>
      </c>
      <c r="E56" s="50">
        <v>6</v>
      </c>
      <c r="F56" s="50">
        <v>66</v>
      </c>
      <c r="G56" s="50">
        <v>6</v>
      </c>
      <c r="H56" s="50">
        <v>0</v>
      </c>
      <c r="I56" s="50">
        <v>16</v>
      </c>
      <c r="J56" s="50">
        <v>3</v>
      </c>
      <c r="K56" s="50">
        <v>4</v>
      </c>
      <c r="L56" s="50">
        <v>13</v>
      </c>
      <c r="M56" s="50">
        <v>196</v>
      </c>
      <c r="N56" s="50">
        <v>0</v>
      </c>
      <c r="O56" s="15">
        <f t="shared" si="0"/>
        <v>176</v>
      </c>
      <c r="P56" s="15">
        <f t="shared" si="1"/>
        <v>372</v>
      </c>
      <c r="R56" s="8"/>
      <c r="T56"/>
    </row>
    <row r="57" spans="2:20" ht="23.1" customHeight="1" x14ac:dyDescent="0.25">
      <c r="B57" s="45" t="s">
        <v>84</v>
      </c>
      <c r="C57" s="50">
        <v>25</v>
      </c>
      <c r="D57" s="50">
        <v>4</v>
      </c>
      <c r="E57" s="50">
        <v>2</v>
      </c>
      <c r="F57" s="50">
        <v>23</v>
      </c>
      <c r="G57" s="50">
        <v>66</v>
      </c>
      <c r="H57" s="50">
        <v>0</v>
      </c>
      <c r="I57" s="50">
        <v>5</v>
      </c>
      <c r="J57" s="50">
        <v>5</v>
      </c>
      <c r="K57" s="50">
        <v>8</v>
      </c>
      <c r="L57" s="50">
        <v>3</v>
      </c>
      <c r="M57" s="50">
        <v>115</v>
      </c>
      <c r="N57" s="50">
        <v>0</v>
      </c>
      <c r="O57" s="15">
        <f t="shared" si="0"/>
        <v>141</v>
      </c>
      <c r="P57" s="15">
        <f t="shared" si="1"/>
        <v>256</v>
      </c>
      <c r="R57" s="8"/>
      <c r="T57"/>
    </row>
    <row r="58" spans="2:20" ht="23.1" customHeight="1" x14ac:dyDescent="0.25">
      <c r="B58" s="45" t="s">
        <v>99</v>
      </c>
      <c r="C58" s="50">
        <v>17</v>
      </c>
      <c r="D58" s="50">
        <v>18</v>
      </c>
      <c r="E58" s="50">
        <v>5</v>
      </c>
      <c r="F58" s="50">
        <v>29</v>
      </c>
      <c r="G58" s="50">
        <v>2</v>
      </c>
      <c r="H58" s="50">
        <v>0</v>
      </c>
      <c r="I58" s="50">
        <v>16</v>
      </c>
      <c r="J58" s="50">
        <v>5</v>
      </c>
      <c r="K58" s="50">
        <v>12</v>
      </c>
      <c r="L58" s="50">
        <v>0</v>
      </c>
      <c r="M58" s="50">
        <v>108</v>
      </c>
      <c r="N58" s="50">
        <v>0</v>
      </c>
      <c r="O58" s="15">
        <f t="shared" ref="O58:O105" si="35">SUM(C58:L58,N58)</f>
        <v>104</v>
      </c>
      <c r="P58" s="15">
        <f t="shared" ref="P58:P105" si="36">SUM(C58:N58)</f>
        <v>212</v>
      </c>
      <c r="R58" s="8"/>
      <c r="T58"/>
    </row>
    <row r="59" spans="2:20" ht="23.1" customHeight="1" x14ac:dyDescent="0.25">
      <c r="B59" s="45" t="s">
        <v>100</v>
      </c>
      <c r="C59" s="50">
        <v>14</v>
      </c>
      <c r="D59" s="50">
        <v>7</v>
      </c>
      <c r="E59" s="50">
        <v>0</v>
      </c>
      <c r="F59" s="50">
        <v>27</v>
      </c>
      <c r="G59" s="50">
        <v>5</v>
      </c>
      <c r="H59" s="50">
        <v>0</v>
      </c>
      <c r="I59" s="50">
        <v>7</v>
      </c>
      <c r="J59" s="50">
        <v>4</v>
      </c>
      <c r="K59" s="50">
        <v>0</v>
      </c>
      <c r="L59" s="50">
        <v>6</v>
      </c>
      <c r="M59" s="50">
        <v>146</v>
      </c>
      <c r="N59" s="50">
        <v>0</v>
      </c>
      <c r="O59" s="15">
        <f t="shared" si="35"/>
        <v>70</v>
      </c>
      <c r="P59" s="15">
        <f t="shared" si="36"/>
        <v>216</v>
      </c>
      <c r="R59" s="8"/>
      <c r="T59"/>
    </row>
    <row r="60" spans="2:20" ht="23.1" customHeight="1" x14ac:dyDescent="0.25">
      <c r="B60" s="45" t="s">
        <v>101</v>
      </c>
      <c r="C60" s="50">
        <v>23</v>
      </c>
      <c r="D60" s="50">
        <v>7</v>
      </c>
      <c r="E60" s="50">
        <v>7</v>
      </c>
      <c r="F60" s="50">
        <v>25</v>
      </c>
      <c r="G60" s="50">
        <v>2</v>
      </c>
      <c r="H60" s="50">
        <v>1</v>
      </c>
      <c r="I60" s="50">
        <v>9</v>
      </c>
      <c r="J60" s="50">
        <v>1</v>
      </c>
      <c r="K60" s="50">
        <v>1</v>
      </c>
      <c r="L60" s="50">
        <v>8</v>
      </c>
      <c r="M60" s="50">
        <v>195</v>
      </c>
      <c r="N60" s="50">
        <v>0</v>
      </c>
      <c r="O60" s="15">
        <f t="shared" si="35"/>
        <v>84</v>
      </c>
      <c r="P60" s="15">
        <f t="shared" si="36"/>
        <v>279</v>
      </c>
      <c r="R60" s="8"/>
      <c r="T60"/>
    </row>
    <row r="61" spans="2:20" ht="23.1" customHeight="1" x14ac:dyDescent="0.25">
      <c r="B61" s="45" t="s">
        <v>102</v>
      </c>
      <c r="C61" s="50">
        <v>32</v>
      </c>
      <c r="D61" s="50">
        <v>17</v>
      </c>
      <c r="E61" s="50">
        <v>10</v>
      </c>
      <c r="F61" s="50">
        <v>37</v>
      </c>
      <c r="G61" s="50">
        <v>4</v>
      </c>
      <c r="H61" s="50">
        <v>1</v>
      </c>
      <c r="I61" s="50">
        <v>10</v>
      </c>
      <c r="J61" s="50">
        <v>9</v>
      </c>
      <c r="K61" s="50">
        <v>0</v>
      </c>
      <c r="L61" s="50">
        <v>15</v>
      </c>
      <c r="M61" s="50">
        <v>170</v>
      </c>
      <c r="N61" s="50">
        <v>0</v>
      </c>
      <c r="O61" s="15">
        <f t="shared" si="35"/>
        <v>135</v>
      </c>
      <c r="P61" s="15">
        <f t="shared" si="36"/>
        <v>305</v>
      </c>
      <c r="R61" s="8"/>
      <c r="T61"/>
    </row>
    <row r="62" spans="2:20" ht="23.1" customHeight="1" x14ac:dyDescent="0.25">
      <c r="B62" s="45" t="s">
        <v>107</v>
      </c>
      <c r="C62" s="50">
        <v>47</v>
      </c>
      <c r="D62" s="50">
        <v>33</v>
      </c>
      <c r="E62" s="50">
        <v>6</v>
      </c>
      <c r="F62" s="50">
        <v>61</v>
      </c>
      <c r="G62" s="50">
        <v>1</v>
      </c>
      <c r="H62" s="50">
        <v>9</v>
      </c>
      <c r="I62" s="50">
        <v>8</v>
      </c>
      <c r="J62" s="50">
        <v>5</v>
      </c>
      <c r="K62" s="50">
        <v>5</v>
      </c>
      <c r="L62" s="50">
        <v>13</v>
      </c>
      <c r="M62" s="50">
        <v>247</v>
      </c>
      <c r="N62" s="50">
        <v>0</v>
      </c>
      <c r="O62" s="15">
        <f t="shared" si="35"/>
        <v>188</v>
      </c>
      <c r="P62" s="15">
        <f t="shared" si="36"/>
        <v>435</v>
      </c>
      <c r="R62" s="8"/>
      <c r="T62"/>
    </row>
    <row r="63" spans="2:20" ht="23.1" customHeight="1" x14ac:dyDescent="0.25">
      <c r="B63" s="45" t="s">
        <v>108</v>
      </c>
      <c r="C63" s="50">
        <v>60</v>
      </c>
      <c r="D63" s="50">
        <v>9</v>
      </c>
      <c r="E63" s="50">
        <v>9</v>
      </c>
      <c r="F63" s="50">
        <v>50</v>
      </c>
      <c r="G63" s="50">
        <v>5</v>
      </c>
      <c r="H63" s="50">
        <v>0</v>
      </c>
      <c r="I63" s="50">
        <v>8</v>
      </c>
      <c r="J63" s="50">
        <v>13</v>
      </c>
      <c r="K63" s="50">
        <v>3</v>
      </c>
      <c r="L63" s="50">
        <v>17</v>
      </c>
      <c r="M63" s="50">
        <v>220</v>
      </c>
      <c r="N63" s="50">
        <v>0</v>
      </c>
      <c r="O63" s="15">
        <f t="shared" si="35"/>
        <v>174</v>
      </c>
      <c r="P63" s="15">
        <f t="shared" si="36"/>
        <v>394</v>
      </c>
      <c r="R63" s="8"/>
      <c r="T63"/>
    </row>
    <row r="64" spans="2:20" ht="23.1" customHeight="1" x14ac:dyDescent="0.25">
      <c r="B64" s="45" t="s">
        <v>109</v>
      </c>
      <c r="C64" s="50">
        <v>74</v>
      </c>
      <c r="D64" s="50">
        <v>7</v>
      </c>
      <c r="E64" s="50">
        <v>5</v>
      </c>
      <c r="F64" s="50">
        <v>53</v>
      </c>
      <c r="G64" s="50">
        <v>0</v>
      </c>
      <c r="H64" s="50">
        <v>0</v>
      </c>
      <c r="I64" s="50">
        <v>7</v>
      </c>
      <c r="J64" s="50">
        <v>7</v>
      </c>
      <c r="K64" s="50">
        <v>4</v>
      </c>
      <c r="L64" s="50">
        <v>13</v>
      </c>
      <c r="M64" s="50">
        <v>163</v>
      </c>
      <c r="N64" s="50">
        <v>0</v>
      </c>
      <c r="O64" s="15">
        <f t="shared" si="35"/>
        <v>170</v>
      </c>
      <c r="P64" s="15">
        <f t="shared" si="36"/>
        <v>333</v>
      </c>
      <c r="R64" s="8"/>
      <c r="T64"/>
    </row>
    <row r="65" spans="2:20" ht="23.1" customHeight="1" x14ac:dyDescent="0.25">
      <c r="B65" s="45" t="s">
        <v>158</v>
      </c>
      <c r="C65" s="50">
        <v>47</v>
      </c>
      <c r="D65" s="50">
        <v>8</v>
      </c>
      <c r="E65" s="50">
        <v>6</v>
      </c>
      <c r="F65" s="50">
        <v>40</v>
      </c>
      <c r="G65" s="50">
        <v>2</v>
      </c>
      <c r="H65" s="50">
        <v>1</v>
      </c>
      <c r="I65" s="50">
        <v>5</v>
      </c>
      <c r="J65" s="50">
        <v>5</v>
      </c>
      <c r="K65" s="50">
        <v>2</v>
      </c>
      <c r="L65" s="50">
        <v>8</v>
      </c>
      <c r="M65" s="50">
        <v>130</v>
      </c>
      <c r="N65" s="50">
        <v>0</v>
      </c>
      <c r="O65" s="15">
        <f t="shared" si="35"/>
        <v>124</v>
      </c>
      <c r="P65" s="15">
        <f t="shared" si="36"/>
        <v>254</v>
      </c>
      <c r="R65" s="8"/>
      <c r="T65"/>
    </row>
    <row r="66" spans="2:20" ht="23.1" customHeight="1" x14ac:dyDescent="0.25">
      <c r="B66" s="45" t="s">
        <v>103</v>
      </c>
      <c r="C66" s="50">
        <v>30</v>
      </c>
      <c r="D66" s="50">
        <v>7</v>
      </c>
      <c r="E66" s="50">
        <v>0</v>
      </c>
      <c r="F66" s="50">
        <v>32</v>
      </c>
      <c r="G66" s="50">
        <v>0</v>
      </c>
      <c r="H66" s="50">
        <v>0</v>
      </c>
      <c r="I66" s="50">
        <v>5</v>
      </c>
      <c r="J66" s="50">
        <v>4</v>
      </c>
      <c r="K66" s="50">
        <v>1</v>
      </c>
      <c r="L66" s="50">
        <v>7</v>
      </c>
      <c r="M66" s="50">
        <v>146</v>
      </c>
      <c r="N66" s="50">
        <v>0</v>
      </c>
      <c r="O66" s="15">
        <f t="shared" si="35"/>
        <v>86</v>
      </c>
      <c r="P66" s="15">
        <f t="shared" si="36"/>
        <v>232</v>
      </c>
      <c r="R66" s="8"/>
      <c r="T66"/>
    </row>
    <row r="67" spans="2:20" ht="23.1" customHeight="1" x14ac:dyDescent="0.25">
      <c r="B67" s="45" t="s">
        <v>104</v>
      </c>
      <c r="C67" s="50">
        <v>45</v>
      </c>
      <c r="D67" s="50">
        <v>7</v>
      </c>
      <c r="E67" s="50">
        <v>3</v>
      </c>
      <c r="F67" s="50">
        <v>62</v>
      </c>
      <c r="G67" s="50">
        <v>2</v>
      </c>
      <c r="H67" s="50">
        <v>1</v>
      </c>
      <c r="I67" s="50">
        <v>8</v>
      </c>
      <c r="J67" s="50">
        <v>3</v>
      </c>
      <c r="K67" s="50">
        <v>1</v>
      </c>
      <c r="L67" s="50">
        <v>8</v>
      </c>
      <c r="M67" s="50">
        <v>132</v>
      </c>
      <c r="N67" s="50">
        <v>0</v>
      </c>
      <c r="O67" s="15">
        <f t="shared" si="35"/>
        <v>140</v>
      </c>
      <c r="P67" s="15">
        <f t="shared" si="36"/>
        <v>272</v>
      </c>
      <c r="R67" s="8"/>
      <c r="T67"/>
    </row>
    <row r="68" spans="2:20" ht="23.1" customHeight="1" x14ac:dyDescent="0.25">
      <c r="B68" s="45" t="s">
        <v>105</v>
      </c>
      <c r="C68" s="50">
        <v>45</v>
      </c>
      <c r="D68" s="50">
        <v>11</v>
      </c>
      <c r="E68" s="50">
        <v>14</v>
      </c>
      <c r="F68" s="50">
        <v>61</v>
      </c>
      <c r="G68" s="50">
        <v>5</v>
      </c>
      <c r="H68" s="50">
        <v>0</v>
      </c>
      <c r="I68" s="50">
        <v>8</v>
      </c>
      <c r="J68" s="50">
        <v>12</v>
      </c>
      <c r="K68" s="50">
        <v>6</v>
      </c>
      <c r="L68" s="50">
        <v>4</v>
      </c>
      <c r="M68" s="50">
        <v>143</v>
      </c>
      <c r="N68" s="50">
        <v>0</v>
      </c>
      <c r="O68" s="15">
        <f t="shared" si="35"/>
        <v>166</v>
      </c>
      <c r="P68" s="15">
        <f t="shared" si="36"/>
        <v>309</v>
      </c>
      <c r="R68" s="8"/>
      <c r="T68"/>
    </row>
    <row r="69" spans="2:20" ht="23.1" customHeight="1" x14ac:dyDescent="0.25">
      <c r="B69" s="45" t="s">
        <v>106</v>
      </c>
      <c r="C69" s="50">
        <v>23</v>
      </c>
      <c r="D69" s="50">
        <v>3</v>
      </c>
      <c r="E69" s="50">
        <v>4</v>
      </c>
      <c r="F69" s="50">
        <v>42</v>
      </c>
      <c r="G69" s="50">
        <v>5</v>
      </c>
      <c r="H69" s="50">
        <v>0</v>
      </c>
      <c r="I69" s="50">
        <v>6</v>
      </c>
      <c r="J69" s="50">
        <v>6</v>
      </c>
      <c r="K69" s="50">
        <v>2</v>
      </c>
      <c r="L69" s="50">
        <v>13</v>
      </c>
      <c r="M69" s="50">
        <v>111</v>
      </c>
      <c r="N69" s="50">
        <v>0</v>
      </c>
      <c r="O69" s="15">
        <f t="shared" si="35"/>
        <v>104</v>
      </c>
      <c r="P69" s="15">
        <f t="shared" si="36"/>
        <v>215</v>
      </c>
      <c r="R69" s="8"/>
      <c r="T69"/>
    </row>
    <row r="70" spans="2:20" ht="23.1" customHeight="1" x14ac:dyDescent="0.25">
      <c r="B70" s="45" t="s">
        <v>110</v>
      </c>
      <c r="C70" s="50">
        <v>37</v>
      </c>
      <c r="D70" s="50">
        <v>11</v>
      </c>
      <c r="E70" s="50">
        <v>5</v>
      </c>
      <c r="F70" s="50">
        <v>32</v>
      </c>
      <c r="G70" s="50">
        <v>7</v>
      </c>
      <c r="H70" s="50">
        <v>1</v>
      </c>
      <c r="I70" s="50">
        <v>5</v>
      </c>
      <c r="J70" s="50">
        <v>6</v>
      </c>
      <c r="K70" s="50">
        <v>3</v>
      </c>
      <c r="L70" s="50">
        <v>14</v>
      </c>
      <c r="M70" s="50">
        <v>114</v>
      </c>
      <c r="N70" s="50">
        <v>0</v>
      </c>
      <c r="O70" s="15">
        <f t="shared" si="35"/>
        <v>121</v>
      </c>
      <c r="P70" s="15">
        <f t="shared" si="36"/>
        <v>235</v>
      </c>
      <c r="R70" s="8"/>
      <c r="T70"/>
    </row>
    <row r="71" spans="2:20" ht="23.1" customHeight="1" x14ac:dyDescent="0.25">
      <c r="B71" s="45" t="s">
        <v>111</v>
      </c>
      <c r="C71" s="50">
        <v>29</v>
      </c>
      <c r="D71" s="50">
        <v>10</v>
      </c>
      <c r="E71" s="50">
        <v>6</v>
      </c>
      <c r="F71" s="50">
        <v>26</v>
      </c>
      <c r="G71" s="50">
        <v>5</v>
      </c>
      <c r="H71" s="50">
        <v>1</v>
      </c>
      <c r="I71" s="50">
        <v>2</v>
      </c>
      <c r="J71" s="50">
        <v>3</v>
      </c>
      <c r="K71" s="50">
        <v>4</v>
      </c>
      <c r="L71" s="50">
        <v>8</v>
      </c>
      <c r="M71" s="50">
        <v>70</v>
      </c>
      <c r="N71" s="50">
        <v>0</v>
      </c>
      <c r="O71" s="15">
        <f t="shared" si="35"/>
        <v>94</v>
      </c>
      <c r="P71" s="15">
        <f t="shared" si="36"/>
        <v>164</v>
      </c>
      <c r="R71" s="8"/>
      <c r="T71"/>
    </row>
    <row r="72" spans="2:20" ht="23.1" customHeight="1" x14ac:dyDescent="0.25">
      <c r="B72" s="45" t="s">
        <v>112</v>
      </c>
      <c r="C72" s="50">
        <v>45</v>
      </c>
      <c r="D72" s="50">
        <v>21</v>
      </c>
      <c r="E72" s="50">
        <v>6</v>
      </c>
      <c r="F72" s="50">
        <v>61</v>
      </c>
      <c r="G72" s="50">
        <v>8</v>
      </c>
      <c r="H72" s="50">
        <v>0</v>
      </c>
      <c r="I72" s="50">
        <v>9</v>
      </c>
      <c r="J72" s="50">
        <v>10</v>
      </c>
      <c r="K72" s="50">
        <v>5</v>
      </c>
      <c r="L72" s="50">
        <v>8</v>
      </c>
      <c r="M72" s="50">
        <v>81</v>
      </c>
      <c r="N72" s="50">
        <v>0</v>
      </c>
      <c r="O72" s="15">
        <f t="shared" si="35"/>
        <v>173</v>
      </c>
      <c r="P72" s="15">
        <f t="shared" si="36"/>
        <v>254</v>
      </c>
      <c r="R72" s="8"/>
      <c r="T72"/>
    </row>
    <row r="73" spans="2:20" ht="23.1" customHeight="1" x14ac:dyDescent="0.25">
      <c r="B73" s="45" t="s">
        <v>113</v>
      </c>
      <c r="C73" s="50">
        <v>51</v>
      </c>
      <c r="D73" s="50">
        <v>14</v>
      </c>
      <c r="E73" s="50">
        <v>10</v>
      </c>
      <c r="F73" s="50">
        <v>37</v>
      </c>
      <c r="G73" s="50">
        <v>6</v>
      </c>
      <c r="H73" s="50">
        <v>2</v>
      </c>
      <c r="I73" s="50">
        <v>17</v>
      </c>
      <c r="J73" s="50">
        <v>17</v>
      </c>
      <c r="K73" s="50">
        <v>2</v>
      </c>
      <c r="L73" s="50">
        <v>18</v>
      </c>
      <c r="M73" s="50">
        <v>81</v>
      </c>
      <c r="N73" s="50">
        <v>0</v>
      </c>
      <c r="O73" s="15">
        <f t="shared" si="35"/>
        <v>174</v>
      </c>
      <c r="P73" s="15">
        <f t="shared" si="36"/>
        <v>255</v>
      </c>
      <c r="R73" s="8"/>
      <c r="T73"/>
    </row>
    <row r="74" spans="2:20" ht="23.1" customHeight="1" x14ac:dyDescent="0.25">
      <c r="B74" s="45" t="s">
        <v>114</v>
      </c>
      <c r="C74" s="50">
        <v>60</v>
      </c>
      <c r="D74" s="50">
        <v>4</v>
      </c>
      <c r="E74" s="50">
        <v>8</v>
      </c>
      <c r="F74" s="50">
        <v>52</v>
      </c>
      <c r="G74" s="50">
        <v>4</v>
      </c>
      <c r="H74" s="50">
        <v>0</v>
      </c>
      <c r="I74" s="50">
        <v>7</v>
      </c>
      <c r="J74" s="50">
        <v>6</v>
      </c>
      <c r="K74" s="50">
        <v>5</v>
      </c>
      <c r="L74" s="50">
        <v>13</v>
      </c>
      <c r="M74" s="50">
        <v>80</v>
      </c>
      <c r="N74" s="50">
        <v>0</v>
      </c>
      <c r="O74" s="15">
        <f t="shared" si="35"/>
        <v>159</v>
      </c>
      <c r="P74" s="15">
        <f t="shared" si="36"/>
        <v>239</v>
      </c>
      <c r="R74" s="8"/>
      <c r="T74"/>
    </row>
    <row r="75" spans="2:20" ht="23.1" customHeight="1" x14ac:dyDescent="0.25">
      <c r="B75" s="45" t="s">
        <v>115</v>
      </c>
      <c r="C75" s="50">
        <v>31</v>
      </c>
      <c r="D75" s="50">
        <v>4</v>
      </c>
      <c r="E75" s="50">
        <v>7</v>
      </c>
      <c r="F75" s="50">
        <v>21</v>
      </c>
      <c r="G75" s="50">
        <v>2</v>
      </c>
      <c r="H75" s="50">
        <v>1</v>
      </c>
      <c r="I75" s="50">
        <v>6</v>
      </c>
      <c r="J75" s="50">
        <v>7</v>
      </c>
      <c r="K75" s="50">
        <v>4</v>
      </c>
      <c r="L75" s="50">
        <v>10</v>
      </c>
      <c r="M75" s="50">
        <v>47</v>
      </c>
      <c r="N75" s="50">
        <v>0</v>
      </c>
      <c r="O75" s="15">
        <f t="shared" si="35"/>
        <v>93</v>
      </c>
      <c r="P75" s="15">
        <f t="shared" si="36"/>
        <v>140</v>
      </c>
      <c r="R75" s="8"/>
      <c r="T75"/>
    </row>
    <row r="76" spans="2:20" ht="23.1" customHeight="1" x14ac:dyDescent="0.25">
      <c r="B76" s="45" t="s">
        <v>116</v>
      </c>
      <c r="C76" s="50">
        <v>15</v>
      </c>
      <c r="D76" s="50">
        <v>5</v>
      </c>
      <c r="E76" s="50">
        <v>0</v>
      </c>
      <c r="F76" s="50">
        <v>18</v>
      </c>
      <c r="G76" s="50">
        <v>1</v>
      </c>
      <c r="H76" s="50">
        <v>0</v>
      </c>
      <c r="I76" s="50">
        <v>2</v>
      </c>
      <c r="J76" s="50">
        <v>2</v>
      </c>
      <c r="K76" s="50">
        <v>2</v>
      </c>
      <c r="L76" s="50">
        <v>2</v>
      </c>
      <c r="M76" s="50">
        <v>35</v>
      </c>
      <c r="N76" s="50">
        <v>0</v>
      </c>
      <c r="O76" s="15">
        <f t="shared" si="35"/>
        <v>47</v>
      </c>
      <c r="P76" s="15">
        <f t="shared" si="36"/>
        <v>82</v>
      </c>
      <c r="R76" s="8"/>
      <c r="T76"/>
    </row>
    <row r="77" spans="2:20" ht="23.1" customHeight="1" x14ac:dyDescent="0.25">
      <c r="B77" s="45" t="s">
        <v>117</v>
      </c>
      <c r="C77" s="50">
        <v>32</v>
      </c>
      <c r="D77" s="50">
        <v>7</v>
      </c>
      <c r="E77" s="50">
        <v>4</v>
      </c>
      <c r="F77" s="50">
        <v>20</v>
      </c>
      <c r="G77" s="50">
        <v>1</v>
      </c>
      <c r="H77" s="50">
        <v>0</v>
      </c>
      <c r="I77" s="50">
        <v>5</v>
      </c>
      <c r="J77" s="50">
        <v>5</v>
      </c>
      <c r="K77" s="50">
        <v>6</v>
      </c>
      <c r="L77" s="50">
        <v>11</v>
      </c>
      <c r="M77" s="50">
        <v>35</v>
      </c>
      <c r="N77" s="50">
        <v>0</v>
      </c>
      <c r="O77" s="15">
        <f t="shared" si="35"/>
        <v>91</v>
      </c>
      <c r="P77" s="15">
        <f t="shared" si="36"/>
        <v>126</v>
      </c>
      <c r="R77" s="8"/>
      <c r="T77"/>
    </row>
    <row r="78" spans="2:20" ht="23.1" customHeight="1" x14ac:dyDescent="0.25">
      <c r="B78" s="46" t="s">
        <v>118</v>
      </c>
      <c r="C78" s="50">
        <v>17</v>
      </c>
      <c r="D78" s="50">
        <v>6</v>
      </c>
      <c r="E78" s="50">
        <v>1</v>
      </c>
      <c r="F78" s="50">
        <v>11</v>
      </c>
      <c r="G78" s="50">
        <v>1</v>
      </c>
      <c r="H78" s="50">
        <v>1</v>
      </c>
      <c r="I78" s="50">
        <v>3</v>
      </c>
      <c r="J78" s="50">
        <v>8</v>
      </c>
      <c r="K78" s="50">
        <v>1</v>
      </c>
      <c r="L78" s="50">
        <v>4</v>
      </c>
      <c r="M78" s="50">
        <v>29</v>
      </c>
      <c r="N78" s="50">
        <v>0</v>
      </c>
      <c r="O78" s="15">
        <f t="shared" si="35"/>
        <v>53</v>
      </c>
      <c r="P78" s="15">
        <f t="shared" si="36"/>
        <v>82</v>
      </c>
      <c r="R78" s="8"/>
      <c r="T78"/>
    </row>
    <row r="79" spans="2:20" ht="23.1" customHeight="1" x14ac:dyDescent="0.25">
      <c r="B79" s="45" t="s">
        <v>119</v>
      </c>
      <c r="C79" s="50">
        <v>12</v>
      </c>
      <c r="D79" s="50">
        <v>4</v>
      </c>
      <c r="E79" s="50">
        <v>2</v>
      </c>
      <c r="F79" s="50">
        <v>7</v>
      </c>
      <c r="G79" s="50">
        <v>0</v>
      </c>
      <c r="H79" s="50">
        <v>0</v>
      </c>
      <c r="I79" s="50">
        <v>3</v>
      </c>
      <c r="J79" s="50">
        <v>4</v>
      </c>
      <c r="K79" s="50">
        <v>3</v>
      </c>
      <c r="L79" s="50">
        <v>2</v>
      </c>
      <c r="M79" s="50">
        <v>30</v>
      </c>
      <c r="N79" s="50">
        <v>0</v>
      </c>
      <c r="O79" s="15">
        <f t="shared" si="35"/>
        <v>37</v>
      </c>
      <c r="P79" s="15">
        <f t="shared" si="36"/>
        <v>67</v>
      </c>
      <c r="R79" s="8"/>
      <c r="T79"/>
    </row>
    <row r="80" spans="2:20" ht="23.1" customHeight="1" x14ac:dyDescent="0.25">
      <c r="B80" s="47" t="s">
        <v>120</v>
      </c>
      <c r="C80" s="50">
        <v>11</v>
      </c>
      <c r="D80" s="50">
        <v>0</v>
      </c>
      <c r="E80" s="50">
        <v>3</v>
      </c>
      <c r="F80" s="50">
        <v>5</v>
      </c>
      <c r="G80" s="50">
        <v>0</v>
      </c>
      <c r="H80" s="50">
        <v>0</v>
      </c>
      <c r="I80" s="50">
        <v>2</v>
      </c>
      <c r="J80" s="50">
        <v>3</v>
      </c>
      <c r="K80" s="50">
        <v>1</v>
      </c>
      <c r="L80" s="50">
        <v>0</v>
      </c>
      <c r="M80" s="50">
        <v>16</v>
      </c>
      <c r="N80" s="50">
        <v>0</v>
      </c>
      <c r="O80" s="15">
        <f t="shared" si="35"/>
        <v>25</v>
      </c>
      <c r="P80" s="15">
        <f t="shared" si="36"/>
        <v>41</v>
      </c>
      <c r="R80" s="8"/>
      <c r="T80"/>
    </row>
    <row r="81" spans="2:20" ht="23.1" customHeight="1" x14ac:dyDescent="0.25">
      <c r="B81" s="45" t="s">
        <v>121</v>
      </c>
      <c r="C81" s="50">
        <v>9</v>
      </c>
      <c r="D81" s="50">
        <v>3</v>
      </c>
      <c r="E81" s="50">
        <v>1</v>
      </c>
      <c r="F81" s="50">
        <v>6</v>
      </c>
      <c r="G81" s="50">
        <v>1</v>
      </c>
      <c r="H81" s="50">
        <v>0</v>
      </c>
      <c r="I81" s="50">
        <v>3</v>
      </c>
      <c r="J81" s="50">
        <v>8</v>
      </c>
      <c r="K81" s="50">
        <v>6</v>
      </c>
      <c r="L81" s="50">
        <v>1</v>
      </c>
      <c r="M81" s="50">
        <v>23</v>
      </c>
      <c r="N81" s="50">
        <v>0</v>
      </c>
      <c r="O81" s="15">
        <f t="shared" si="35"/>
        <v>38</v>
      </c>
      <c r="P81" s="15">
        <f t="shared" si="36"/>
        <v>61</v>
      </c>
      <c r="R81" s="8"/>
      <c r="T81"/>
    </row>
    <row r="82" spans="2:20" ht="23.1" customHeight="1" x14ac:dyDescent="0.25">
      <c r="B82" s="46" t="s">
        <v>122</v>
      </c>
      <c r="C82" s="50">
        <v>6</v>
      </c>
      <c r="D82" s="50">
        <v>0</v>
      </c>
      <c r="E82" s="50">
        <v>2</v>
      </c>
      <c r="F82" s="50">
        <v>7</v>
      </c>
      <c r="G82" s="50">
        <v>1</v>
      </c>
      <c r="H82" s="50">
        <v>0</v>
      </c>
      <c r="I82" s="50">
        <v>7</v>
      </c>
      <c r="J82" s="50">
        <v>9</v>
      </c>
      <c r="K82" s="50">
        <v>4</v>
      </c>
      <c r="L82" s="50">
        <v>4</v>
      </c>
      <c r="M82" s="50">
        <v>10</v>
      </c>
      <c r="N82" s="50">
        <v>0</v>
      </c>
      <c r="O82" s="15">
        <f t="shared" si="35"/>
        <v>40</v>
      </c>
      <c r="P82" s="15">
        <f t="shared" si="36"/>
        <v>50</v>
      </c>
      <c r="R82" s="8"/>
      <c r="T82"/>
    </row>
    <row r="83" spans="2:20" ht="23.1" customHeight="1" x14ac:dyDescent="0.25">
      <c r="B83" s="45" t="s">
        <v>123</v>
      </c>
      <c r="C83" s="50">
        <v>6</v>
      </c>
      <c r="D83" s="50">
        <v>1</v>
      </c>
      <c r="E83" s="50">
        <v>2</v>
      </c>
      <c r="F83" s="50">
        <v>4</v>
      </c>
      <c r="G83" s="50">
        <v>0</v>
      </c>
      <c r="H83" s="50">
        <v>0</v>
      </c>
      <c r="I83" s="50">
        <v>0</v>
      </c>
      <c r="J83" s="50">
        <v>1</v>
      </c>
      <c r="K83" s="50">
        <v>3</v>
      </c>
      <c r="L83" s="50">
        <v>2</v>
      </c>
      <c r="M83" s="50">
        <v>15</v>
      </c>
      <c r="N83" s="50">
        <v>0</v>
      </c>
      <c r="O83" s="15">
        <f t="shared" si="35"/>
        <v>19</v>
      </c>
      <c r="P83" s="15">
        <f t="shared" si="36"/>
        <v>34</v>
      </c>
      <c r="R83" s="8"/>
      <c r="T83"/>
    </row>
    <row r="84" spans="2:20" ht="23.1" customHeight="1" x14ac:dyDescent="0.25">
      <c r="B84" s="47" t="s">
        <v>124</v>
      </c>
      <c r="C84" s="50">
        <v>4</v>
      </c>
      <c r="D84" s="50">
        <v>2</v>
      </c>
      <c r="E84" s="50">
        <v>0</v>
      </c>
      <c r="F84" s="50">
        <v>5</v>
      </c>
      <c r="G84" s="50">
        <v>0</v>
      </c>
      <c r="H84" s="50">
        <v>2</v>
      </c>
      <c r="I84" s="50">
        <v>2</v>
      </c>
      <c r="J84" s="50">
        <v>7</v>
      </c>
      <c r="K84" s="50">
        <v>0</v>
      </c>
      <c r="L84" s="50">
        <v>5</v>
      </c>
      <c r="M84" s="50">
        <v>7</v>
      </c>
      <c r="N84" s="50">
        <v>0</v>
      </c>
      <c r="O84" s="15">
        <f t="shared" si="35"/>
        <v>27</v>
      </c>
      <c r="P84" s="15">
        <f t="shared" si="36"/>
        <v>34</v>
      </c>
      <c r="R84" s="8"/>
      <c r="T84"/>
    </row>
    <row r="85" spans="2:20" ht="23.1" customHeight="1" x14ac:dyDescent="0.25">
      <c r="B85" s="45" t="s">
        <v>125</v>
      </c>
      <c r="C85" s="50">
        <v>3</v>
      </c>
      <c r="D85" s="50">
        <v>1</v>
      </c>
      <c r="E85" s="50">
        <v>0</v>
      </c>
      <c r="F85" s="50">
        <v>3</v>
      </c>
      <c r="G85" s="50">
        <v>0</v>
      </c>
      <c r="H85" s="50">
        <v>0</v>
      </c>
      <c r="I85" s="50">
        <v>5</v>
      </c>
      <c r="J85" s="50">
        <v>6</v>
      </c>
      <c r="K85" s="50">
        <v>0</v>
      </c>
      <c r="L85" s="50">
        <v>2</v>
      </c>
      <c r="M85" s="50">
        <v>7</v>
      </c>
      <c r="N85" s="50">
        <v>0</v>
      </c>
      <c r="O85" s="15">
        <f t="shared" si="35"/>
        <v>20</v>
      </c>
      <c r="P85" s="15">
        <f t="shared" si="36"/>
        <v>27</v>
      </c>
      <c r="R85" s="8"/>
      <c r="T85"/>
    </row>
    <row r="86" spans="2:20" ht="23.1" customHeight="1" x14ac:dyDescent="0.25">
      <c r="B86" s="46" t="s">
        <v>126</v>
      </c>
      <c r="C86" s="50">
        <v>3</v>
      </c>
      <c r="D86" s="50">
        <v>0</v>
      </c>
      <c r="E86" s="50">
        <v>0</v>
      </c>
      <c r="F86" s="50">
        <v>7</v>
      </c>
      <c r="G86" s="50">
        <v>0</v>
      </c>
      <c r="H86" s="50">
        <v>1</v>
      </c>
      <c r="I86" s="50">
        <v>2</v>
      </c>
      <c r="J86" s="50">
        <v>2</v>
      </c>
      <c r="K86" s="50">
        <v>8</v>
      </c>
      <c r="L86" s="50">
        <v>2</v>
      </c>
      <c r="M86" s="50">
        <v>8</v>
      </c>
      <c r="N86" s="50">
        <v>0</v>
      </c>
      <c r="O86" s="15">
        <f t="shared" si="35"/>
        <v>25</v>
      </c>
      <c r="P86" s="15">
        <f t="shared" si="36"/>
        <v>33</v>
      </c>
      <c r="R86" s="8"/>
      <c r="T86"/>
    </row>
    <row r="87" spans="2:20" ht="23.1" customHeight="1" x14ac:dyDescent="0.25">
      <c r="B87" s="45" t="s">
        <v>127</v>
      </c>
      <c r="C87" s="50">
        <v>8</v>
      </c>
      <c r="D87" s="50">
        <v>1</v>
      </c>
      <c r="E87" s="50">
        <v>0</v>
      </c>
      <c r="F87" s="50">
        <v>0</v>
      </c>
      <c r="G87" s="50">
        <v>0</v>
      </c>
      <c r="H87" s="50">
        <v>0</v>
      </c>
      <c r="I87" s="50">
        <v>2</v>
      </c>
      <c r="J87" s="50">
        <v>1</v>
      </c>
      <c r="K87" s="50">
        <v>9</v>
      </c>
      <c r="L87" s="50">
        <v>2</v>
      </c>
      <c r="M87" s="50">
        <v>4</v>
      </c>
      <c r="N87" s="50">
        <v>0</v>
      </c>
      <c r="O87" s="15">
        <f t="shared" si="35"/>
        <v>23</v>
      </c>
      <c r="P87" s="15">
        <f t="shared" si="36"/>
        <v>27</v>
      </c>
      <c r="R87" s="8"/>
      <c r="T87"/>
    </row>
    <row r="88" spans="2:20" ht="23.1" customHeight="1" x14ac:dyDescent="0.25">
      <c r="B88" s="47" t="s">
        <v>128</v>
      </c>
      <c r="C88" s="50">
        <v>6</v>
      </c>
      <c r="D88" s="50">
        <v>3</v>
      </c>
      <c r="E88" s="50">
        <v>1</v>
      </c>
      <c r="F88" s="50">
        <v>1</v>
      </c>
      <c r="G88" s="50">
        <v>0</v>
      </c>
      <c r="H88" s="50">
        <v>1</v>
      </c>
      <c r="I88" s="50">
        <v>0</v>
      </c>
      <c r="J88" s="50">
        <v>5</v>
      </c>
      <c r="K88" s="50">
        <v>2</v>
      </c>
      <c r="L88" s="50">
        <v>1</v>
      </c>
      <c r="M88" s="50">
        <v>3</v>
      </c>
      <c r="N88" s="50">
        <v>0</v>
      </c>
      <c r="O88" s="15">
        <f t="shared" si="35"/>
        <v>20</v>
      </c>
      <c r="P88" s="15">
        <f t="shared" si="36"/>
        <v>23</v>
      </c>
      <c r="R88" s="8"/>
      <c r="T88"/>
    </row>
    <row r="89" spans="2:20" ht="23.1" customHeight="1" x14ac:dyDescent="0.25">
      <c r="B89" s="45" t="s">
        <v>129</v>
      </c>
      <c r="C89" s="50">
        <v>3</v>
      </c>
      <c r="D89" s="50">
        <v>0</v>
      </c>
      <c r="E89" s="50">
        <v>1</v>
      </c>
      <c r="F89" s="50">
        <v>3</v>
      </c>
      <c r="G89" s="50">
        <v>0</v>
      </c>
      <c r="H89" s="50">
        <v>0</v>
      </c>
      <c r="I89" s="50">
        <v>2</v>
      </c>
      <c r="J89" s="50">
        <v>5</v>
      </c>
      <c r="K89" s="50">
        <v>0</v>
      </c>
      <c r="L89" s="50">
        <v>3</v>
      </c>
      <c r="M89" s="50">
        <v>4</v>
      </c>
      <c r="N89" s="50">
        <v>0</v>
      </c>
      <c r="O89" s="15">
        <f t="shared" si="35"/>
        <v>17</v>
      </c>
      <c r="P89" s="15">
        <f t="shared" si="36"/>
        <v>21</v>
      </c>
      <c r="R89" s="8"/>
      <c r="T89"/>
    </row>
    <row r="90" spans="2:20" ht="23.1" customHeight="1" x14ac:dyDescent="0.25">
      <c r="B90" s="46" t="s">
        <v>130</v>
      </c>
      <c r="C90" s="50">
        <v>5</v>
      </c>
      <c r="D90" s="50">
        <v>2</v>
      </c>
      <c r="E90" s="50">
        <v>0</v>
      </c>
      <c r="F90" s="50">
        <v>2</v>
      </c>
      <c r="G90" s="50">
        <v>0</v>
      </c>
      <c r="H90" s="50">
        <v>2</v>
      </c>
      <c r="I90" s="50">
        <v>3</v>
      </c>
      <c r="J90" s="50">
        <v>1</v>
      </c>
      <c r="K90" s="50">
        <v>7</v>
      </c>
      <c r="L90" s="50">
        <v>9</v>
      </c>
      <c r="M90" s="50">
        <v>0</v>
      </c>
      <c r="N90" s="50">
        <v>0</v>
      </c>
      <c r="O90" s="15">
        <f t="shared" si="35"/>
        <v>31</v>
      </c>
      <c r="P90" s="15">
        <f t="shared" si="36"/>
        <v>31</v>
      </c>
      <c r="R90" s="8"/>
      <c r="T90"/>
    </row>
    <row r="91" spans="2:20" ht="23.1" customHeight="1" x14ac:dyDescent="0.25">
      <c r="B91" s="45" t="s">
        <v>131</v>
      </c>
      <c r="C91" s="50">
        <v>4</v>
      </c>
      <c r="D91" s="50">
        <v>0</v>
      </c>
      <c r="E91" s="50">
        <v>0</v>
      </c>
      <c r="F91" s="50">
        <v>2</v>
      </c>
      <c r="G91" s="50">
        <v>0</v>
      </c>
      <c r="H91" s="50">
        <v>0</v>
      </c>
      <c r="I91" s="50">
        <v>3</v>
      </c>
      <c r="J91" s="50">
        <v>6</v>
      </c>
      <c r="K91" s="50">
        <v>4</v>
      </c>
      <c r="L91" s="50">
        <v>4</v>
      </c>
      <c r="M91" s="50">
        <v>3</v>
      </c>
      <c r="N91" s="50">
        <v>0</v>
      </c>
      <c r="O91" s="15">
        <f t="shared" si="35"/>
        <v>23</v>
      </c>
      <c r="P91" s="15">
        <f t="shared" si="36"/>
        <v>26</v>
      </c>
      <c r="R91" s="8"/>
      <c r="T91"/>
    </row>
    <row r="92" spans="2:20" ht="23.1" customHeight="1" x14ac:dyDescent="0.25">
      <c r="B92" s="47" t="s">
        <v>132</v>
      </c>
      <c r="C92" s="50">
        <v>8</v>
      </c>
      <c r="D92" s="50">
        <v>1</v>
      </c>
      <c r="E92" s="50">
        <v>2</v>
      </c>
      <c r="F92" s="50">
        <v>2</v>
      </c>
      <c r="G92" s="50">
        <v>0</v>
      </c>
      <c r="H92" s="50">
        <v>0</v>
      </c>
      <c r="I92" s="50">
        <v>9</v>
      </c>
      <c r="J92" s="50">
        <v>3</v>
      </c>
      <c r="K92" s="50">
        <v>4</v>
      </c>
      <c r="L92" s="50">
        <v>0</v>
      </c>
      <c r="M92" s="50">
        <v>0</v>
      </c>
      <c r="N92" s="50">
        <v>0</v>
      </c>
      <c r="O92" s="15">
        <f t="shared" si="35"/>
        <v>29</v>
      </c>
      <c r="P92" s="15">
        <f t="shared" si="36"/>
        <v>29</v>
      </c>
      <c r="R92" s="8"/>
      <c r="T92"/>
    </row>
    <row r="93" spans="2:20" ht="23.1" customHeight="1" x14ac:dyDescent="0.25">
      <c r="B93" s="45" t="s">
        <v>133</v>
      </c>
      <c r="C93" s="50">
        <v>2</v>
      </c>
      <c r="D93" s="50">
        <v>0</v>
      </c>
      <c r="E93" s="50">
        <v>0</v>
      </c>
      <c r="F93" s="50">
        <v>2</v>
      </c>
      <c r="G93" s="50">
        <v>0</v>
      </c>
      <c r="H93" s="50">
        <v>0</v>
      </c>
      <c r="I93" s="50">
        <v>1</v>
      </c>
      <c r="J93" s="50">
        <v>9</v>
      </c>
      <c r="K93" s="50">
        <v>3</v>
      </c>
      <c r="L93" s="50">
        <v>2</v>
      </c>
      <c r="M93" s="50">
        <v>5</v>
      </c>
      <c r="N93" s="50">
        <v>0</v>
      </c>
      <c r="O93" s="15">
        <f t="shared" si="35"/>
        <v>19</v>
      </c>
      <c r="P93" s="15">
        <f t="shared" si="36"/>
        <v>24</v>
      </c>
      <c r="R93" s="8"/>
      <c r="T93"/>
    </row>
    <row r="94" spans="2:20" ht="23.1" customHeight="1" x14ac:dyDescent="0.25">
      <c r="B94" s="46" t="s">
        <v>134</v>
      </c>
      <c r="C94" s="50">
        <v>2</v>
      </c>
      <c r="D94" s="50">
        <v>2</v>
      </c>
      <c r="E94" s="50">
        <v>0</v>
      </c>
      <c r="F94" s="50">
        <v>1</v>
      </c>
      <c r="G94" s="50">
        <v>0</v>
      </c>
      <c r="H94" s="50">
        <v>10</v>
      </c>
      <c r="I94" s="50">
        <v>7</v>
      </c>
      <c r="J94" s="50">
        <v>0</v>
      </c>
      <c r="K94" s="50">
        <v>5</v>
      </c>
      <c r="L94" s="50">
        <v>5</v>
      </c>
      <c r="M94" s="50">
        <v>0</v>
      </c>
      <c r="N94" s="50">
        <v>0</v>
      </c>
      <c r="O94" s="15">
        <f t="shared" si="35"/>
        <v>32</v>
      </c>
      <c r="P94" s="15">
        <f t="shared" si="36"/>
        <v>32</v>
      </c>
      <c r="R94" s="8"/>
      <c r="T94"/>
    </row>
    <row r="95" spans="2:20" ht="23.1" customHeight="1" x14ac:dyDescent="0.25">
      <c r="B95" s="45" t="s">
        <v>135</v>
      </c>
      <c r="C95" s="50">
        <v>4</v>
      </c>
      <c r="D95" s="50">
        <v>2</v>
      </c>
      <c r="E95" s="50">
        <v>0</v>
      </c>
      <c r="F95" s="50">
        <v>4</v>
      </c>
      <c r="G95" s="50">
        <v>0</v>
      </c>
      <c r="H95" s="50">
        <v>0</v>
      </c>
      <c r="I95" s="50">
        <v>2</v>
      </c>
      <c r="J95" s="50">
        <v>4</v>
      </c>
      <c r="K95" s="50">
        <v>1</v>
      </c>
      <c r="L95" s="50">
        <v>1</v>
      </c>
      <c r="M95" s="50">
        <v>4</v>
      </c>
      <c r="N95" s="50">
        <v>0</v>
      </c>
      <c r="O95" s="15">
        <f t="shared" si="35"/>
        <v>18</v>
      </c>
      <c r="P95" s="15">
        <f t="shared" si="36"/>
        <v>22</v>
      </c>
      <c r="R95" s="8"/>
      <c r="T95"/>
    </row>
    <row r="96" spans="2:20" ht="23.1" customHeight="1" x14ac:dyDescent="0.25">
      <c r="B96" s="47" t="s">
        <v>136</v>
      </c>
      <c r="C96" s="50">
        <v>6</v>
      </c>
      <c r="D96" s="50">
        <v>0</v>
      </c>
      <c r="E96" s="50">
        <v>0</v>
      </c>
      <c r="F96" s="50">
        <v>6</v>
      </c>
      <c r="G96" s="50">
        <v>0</v>
      </c>
      <c r="H96" s="50">
        <v>0</v>
      </c>
      <c r="I96" s="50">
        <v>2</v>
      </c>
      <c r="J96" s="50">
        <v>5</v>
      </c>
      <c r="K96" s="50">
        <v>1</v>
      </c>
      <c r="L96" s="50">
        <v>5</v>
      </c>
      <c r="M96" s="50">
        <v>8</v>
      </c>
      <c r="N96" s="50">
        <v>0</v>
      </c>
      <c r="O96" s="15">
        <f t="shared" si="35"/>
        <v>25</v>
      </c>
      <c r="P96" s="15">
        <f t="shared" si="36"/>
        <v>33</v>
      </c>
      <c r="R96" s="8"/>
      <c r="T96"/>
    </row>
    <row r="97" spans="2:20" ht="23.1" customHeight="1" x14ac:dyDescent="0.25">
      <c r="B97" s="45" t="s">
        <v>137</v>
      </c>
      <c r="C97" s="50">
        <v>6</v>
      </c>
      <c r="D97" s="50">
        <v>3</v>
      </c>
      <c r="E97" s="50">
        <v>1</v>
      </c>
      <c r="F97" s="50">
        <v>8</v>
      </c>
      <c r="G97" s="50">
        <v>0</v>
      </c>
      <c r="H97" s="50">
        <v>1</v>
      </c>
      <c r="I97" s="50">
        <v>6</v>
      </c>
      <c r="J97" s="50">
        <v>4</v>
      </c>
      <c r="K97" s="50">
        <v>1</v>
      </c>
      <c r="L97" s="50">
        <v>12</v>
      </c>
      <c r="M97" s="50">
        <v>6</v>
      </c>
      <c r="N97" s="50">
        <v>0</v>
      </c>
      <c r="O97" s="15">
        <f t="shared" si="35"/>
        <v>42</v>
      </c>
      <c r="P97" s="15">
        <f t="shared" si="36"/>
        <v>48</v>
      </c>
      <c r="R97" s="8"/>
      <c r="T97"/>
    </row>
    <row r="98" spans="2:20" ht="23.1" customHeight="1" x14ac:dyDescent="0.25">
      <c r="B98" s="46" t="s">
        <v>138</v>
      </c>
      <c r="C98" s="50">
        <v>8</v>
      </c>
      <c r="D98" s="50">
        <v>0</v>
      </c>
      <c r="E98" s="50">
        <v>2</v>
      </c>
      <c r="F98" s="50">
        <v>17</v>
      </c>
      <c r="G98" s="50">
        <v>0</v>
      </c>
      <c r="H98" s="50">
        <v>0</v>
      </c>
      <c r="I98" s="50">
        <v>13</v>
      </c>
      <c r="J98" s="50">
        <v>2</v>
      </c>
      <c r="K98" s="50">
        <v>1</v>
      </c>
      <c r="L98" s="50">
        <v>4</v>
      </c>
      <c r="M98" s="50">
        <v>6</v>
      </c>
      <c r="N98" s="50">
        <v>0</v>
      </c>
      <c r="O98" s="15">
        <f t="shared" si="35"/>
        <v>47</v>
      </c>
      <c r="P98" s="15">
        <f t="shared" si="36"/>
        <v>53</v>
      </c>
      <c r="R98" s="8"/>
      <c r="T98"/>
    </row>
    <row r="99" spans="2:20" ht="23.1" customHeight="1" x14ac:dyDescent="0.25">
      <c r="B99" s="45" t="s">
        <v>139</v>
      </c>
      <c r="C99" s="50">
        <v>8</v>
      </c>
      <c r="D99" s="50">
        <v>2</v>
      </c>
      <c r="E99" s="50">
        <v>2</v>
      </c>
      <c r="F99" s="50">
        <v>8</v>
      </c>
      <c r="G99" s="50">
        <v>2</v>
      </c>
      <c r="H99" s="50">
        <v>0</v>
      </c>
      <c r="I99" s="50">
        <v>12</v>
      </c>
      <c r="J99" s="50">
        <v>7</v>
      </c>
      <c r="K99" s="50">
        <v>2</v>
      </c>
      <c r="L99" s="50">
        <v>6</v>
      </c>
      <c r="M99" s="50">
        <v>7</v>
      </c>
      <c r="N99" s="50">
        <v>0</v>
      </c>
      <c r="O99" s="15">
        <f t="shared" si="35"/>
        <v>49</v>
      </c>
      <c r="P99" s="15">
        <f t="shared" si="36"/>
        <v>56</v>
      </c>
      <c r="R99" s="8"/>
      <c r="T99"/>
    </row>
    <row r="100" spans="2:20" ht="23.1" customHeight="1" x14ac:dyDescent="0.25">
      <c r="B100" s="47" t="s">
        <v>140</v>
      </c>
      <c r="C100" s="50">
        <v>10</v>
      </c>
      <c r="D100" s="50">
        <v>4</v>
      </c>
      <c r="E100" s="50">
        <v>2</v>
      </c>
      <c r="F100" s="50">
        <v>14</v>
      </c>
      <c r="G100" s="50">
        <v>1</v>
      </c>
      <c r="H100" s="50">
        <v>1</v>
      </c>
      <c r="I100" s="50">
        <v>4</v>
      </c>
      <c r="J100" s="50">
        <v>5</v>
      </c>
      <c r="K100" s="50">
        <v>1</v>
      </c>
      <c r="L100" s="50">
        <v>2</v>
      </c>
      <c r="M100" s="50">
        <v>4</v>
      </c>
      <c r="N100" s="50">
        <v>0</v>
      </c>
      <c r="O100" s="15">
        <f t="shared" si="35"/>
        <v>44</v>
      </c>
      <c r="P100" s="15">
        <f t="shared" si="36"/>
        <v>48</v>
      </c>
      <c r="R100" s="8"/>
      <c r="T100"/>
    </row>
    <row r="101" spans="2:20" ht="23.1" customHeight="1" x14ac:dyDescent="0.25">
      <c r="B101" s="45" t="s">
        <v>141</v>
      </c>
      <c r="C101" s="50">
        <v>13</v>
      </c>
      <c r="D101" s="50">
        <v>9</v>
      </c>
      <c r="E101" s="50">
        <v>3</v>
      </c>
      <c r="F101" s="50">
        <v>18</v>
      </c>
      <c r="G101" s="50">
        <v>1</v>
      </c>
      <c r="H101" s="50">
        <v>0</v>
      </c>
      <c r="I101" s="50">
        <v>4</v>
      </c>
      <c r="J101" s="50">
        <v>5</v>
      </c>
      <c r="K101" s="50">
        <v>0</v>
      </c>
      <c r="L101" s="50">
        <v>5</v>
      </c>
      <c r="M101" s="50">
        <v>4</v>
      </c>
      <c r="N101" s="50">
        <v>0</v>
      </c>
      <c r="O101" s="15">
        <f t="shared" si="35"/>
        <v>58</v>
      </c>
      <c r="P101" s="15">
        <f t="shared" si="36"/>
        <v>62</v>
      </c>
      <c r="R101" s="8"/>
      <c r="T101"/>
    </row>
    <row r="102" spans="2:20" ht="23.1" customHeight="1" x14ac:dyDescent="0.25">
      <c r="B102" s="46" t="s">
        <v>142</v>
      </c>
      <c r="C102" s="50">
        <v>20</v>
      </c>
      <c r="D102" s="50">
        <v>6</v>
      </c>
      <c r="E102" s="50">
        <v>4</v>
      </c>
      <c r="F102" s="50">
        <v>19</v>
      </c>
      <c r="G102" s="50">
        <v>2</v>
      </c>
      <c r="H102" s="50">
        <v>0</v>
      </c>
      <c r="I102" s="50">
        <v>1</v>
      </c>
      <c r="J102" s="50">
        <v>3</v>
      </c>
      <c r="K102" s="50">
        <v>5</v>
      </c>
      <c r="L102" s="50">
        <v>15</v>
      </c>
      <c r="M102" s="50">
        <v>0</v>
      </c>
      <c r="N102" s="50">
        <v>0</v>
      </c>
      <c r="O102" s="15">
        <f t="shared" si="35"/>
        <v>75</v>
      </c>
      <c r="P102" s="15">
        <f t="shared" si="36"/>
        <v>75</v>
      </c>
      <c r="R102" s="8"/>
      <c r="T102"/>
    </row>
    <row r="103" spans="2:20" ht="23.1" customHeight="1" x14ac:dyDescent="0.25">
      <c r="B103" s="45" t="s">
        <v>143</v>
      </c>
      <c r="C103" s="50">
        <v>19</v>
      </c>
      <c r="D103" s="50">
        <v>4</v>
      </c>
      <c r="E103" s="50">
        <v>3</v>
      </c>
      <c r="F103" s="50">
        <v>9</v>
      </c>
      <c r="G103" s="50">
        <v>0</v>
      </c>
      <c r="H103" s="50">
        <v>2</v>
      </c>
      <c r="I103" s="50">
        <v>7</v>
      </c>
      <c r="J103" s="50">
        <v>5</v>
      </c>
      <c r="K103" s="50">
        <v>1</v>
      </c>
      <c r="L103" s="50">
        <v>4</v>
      </c>
      <c r="M103" s="50">
        <v>13</v>
      </c>
      <c r="N103" s="50">
        <v>0</v>
      </c>
      <c r="O103" s="15">
        <f t="shared" si="35"/>
        <v>54</v>
      </c>
      <c r="P103" s="15">
        <f t="shared" si="36"/>
        <v>67</v>
      </c>
      <c r="R103" s="8"/>
      <c r="T103"/>
    </row>
    <row r="104" spans="2:20" ht="23.1" customHeight="1" x14ac:dyDescent="0.25">
      <c r="B104" s="47" t="s">
        <v>144</v>
      </c>
      <c r="C104" s="50">
        <v>28</v>
      </c>
      <c r="D104" s="50">
        <v>16</v>
      </c>
      <c r="E104" s="50">
        <v>8</v>
      </c>
      <c r="F104" s="50">
        <v>32</v>
      </c>
      <c r="G104" s="50">
        <v>2</v>
      </c>
      <c r="H104" s="50">
        <v>1</v>
      </c>
      <c r="I104" s="50">
        <v>16</v>
      </c>
      <c r="J104" s="50">
        <v>4</v>
      </c>
      <c r="K104" s="50">
        <v>10</v>
      </c>
      <c r="L104" s="50">
        <v>13</v>
      </c>
      <c r="M104" s="50">
        <v>26</v>
      </c>
      <c r="N104" s="50">
        <v>0</v>
      </c>
      <c r="O104" s="15">
        <f t="shared" si="35"/>
        <v>130</v>
      </c>
      <c r="P104" s="15">
        <f t="shared" si="36"/>
        <v>156</v>
      </c>
      <c r="R104" s="8"/>
      <c r="T104"/>
    </row>
    <row r="105" spans="2:20" ht="23.1" customHeight="1" x14ac:dyDescent="0.25">
      <c r="B105" s="45" t="s">
        <v>145</v>
      </c>
      <c r="C105" s="50">
        <v>16</v>
      </c>
      <c r="D105" s="50">
        <v>11</v>
      </c>
      <c r="E105" s="50">
        <v>6</v>
      </c>
      <c r="F105" s="50">
        <v>36</v>
      </c>
      <c r="G105" s="50">
        <v>2</v>
      </c>
      <c r="H105" s="50">
        <v>0</v>
      </c>
      <c r="I105" s="50">
        <v>10</v>
      </c>
      <c r="J105" s="50">
        <v>1</v>
      </c>
      <c r="K105" s="50">
        <v>2</v>
      </c>
      <c r="L105" s="50">
        <v>14</v>
      </c>
      <c r="M105" s="50">
        <v>36</v>
      </c>
      <c r="N105" s="50">
        <v>0</v>
      </c>
      <c r="O105" s="15">
        <f t="shared" si="35"/>
        <v>98</v>
      </c>
      <c r="P105" s="15">
        <f t="shared" si="36"/>
        <v>134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3425</v>
      </c>
      <c r="D106" s="16">
        <f t="shared" ref="D106:P106" si="37">SUM(D10:D105)</f>
        <v>662</v>
      </c>
      <c r="E106" s="16">
        <f t="shared" si="37"/>
        <v>500</v>
      </c>
      <c r="F106" s="16">
        <f t="shared" si="37"/>
        <v>3309</v>
      </c>
      <c r="G106" s="16">
        <f t="shared" si="37"/>
        <v>265</v>
      </c>
      <c r="H106" s="16">
        <f t="shared" si="37"/>
        <v>91</v>
      </c>
      <c r="I106" s="16">
        <f t="shared" si="37"/>
        <v>1113</v>
      </c>
      <c r="J106" s="16">
        <f t="shared" si="37"/>
        <v>497</v>
      </c>
      <c r="K106" s="16">
        <f t="shared" si="37"/>
        <v>291</v>
      </c>
      <c r="L106" s="16">
        <f t="shared" si="37"/>
        <v>1005</v>
      </c>
      <c r="M106" s="16">
        <f t="shared" si="37"/>
        <v>7878</v>
      </c>
      <c r="N106" s="16">
        <f t="shared" si="37"/>
        <v>0</v>
      </c>
      <c r="O106" s="16">
        <f t="shared" si="37"/>
        <v>11158</v>
      </c>
      <c r="P106" s="16">
        <f t="shared" si="37"/>
        <v>19036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0.17992225257407019</v>
      </c>
      <c r="D107" s="43">
        <f t="shared" si="38"/>
        <v>3.4776213490229038E-2</v>
      </c>
      <c r="E107" s="43">
        <f t="shared" si="38"/>
        <v>2.6266022273586889E-2</v>
      </c>
      <c r="F107" s="43">
        <f t="shared" si="38"/>
        <v>0.17382853540659801</v>
      </c>
      <c r="G107" s="43">
        <f t="shared" si="38"/>
        <v>1.3920991805001051E-2</v>
      </c>
      <c r="H107" s="43">
        <f t="shared" si="38"/>
        <v>4.780416053792814E-3</v>
      </c>
      <c r="I107" s="43">
        <f t="shared" si="38"/>
        <v>5.8468165581004414E-2</v>
      </c>
      <c r="J107" s="43">
        <f t="shared" si="38"/>
        <v>2.6108426139945368E-2</v>
      </c>
      <c r="K107" s="43">
        <f t="shared" si="38"/>
        <v>1.5286824963227568E-2</v>
      </c>
      <c r="L107" s="43">
        <f t="shared" si="38"/>
        <v>5.2794704769909648E-2</v>
      </c>
      <c r="M107" s="43">
        <f t="shared" si="38"/>
        <v>0.41384744694263503</v>
      </c>
      <c r="N107" s="43">
        <f t="shared" si="38"/>
        <v>0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0.30695465137121347</v>
      </c>
      <c r="D108" s="44">
        <f t="shared" ref="D108:N108" si="39">D106/$O$106</f>
        <v>5.9329628965764471E-2</v>
      </c>
      <c r="E108" s="44">
        <f t="shared" si="39"/>
        <v>4.481089801039613E-2</v>
      </c>
      <c r="F108" s="44">
        <f t="shared" si="39"/>
        <v>0.29655852303280156</v>
      </c>
      <c r="G108" s="44">
        <f t="shared" si="39"/>
        <v>2.3749775945509949E-2</v>
      </c>
      <c r="H108" s="44">
        <f t="shared" si="39"/>
        <v>8.1555834378920951E-3</v>
      </c>
      <c r="I108" s="44">
        <f t="shared" si="39"/>
        <v>9.974905897114178E-2</v>
      </c>
      <c r="J108" s="44">
        <f t="shared" si="39"/>
        <v>4.4542032622333749E-2</v>
      </c>
      <c r="K108" s="44">
        <f t="shared" si="39"/>
        <v>2.6079942642050546E-2</v>
      </c>
      <c r="L108" s="44">
        <f t="shared" si="39"/>
        <v>9.0069905000896219E-2</v>
      </c>
      <c r="M108" s="44"/>
      <c r="N108" s="44">
        <f t="shared" si="39"/>
        <v>0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honeticPr fontId="14" type="noConversion"/>
  <pageMargins left="0" right="0" top="0" bottom="0" header="0.15748031496063" footer="0.118110236220472"/>
  <pageSetup paperSize="9" scale="40" orientation="landscape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2" tint="-0.249977111117893"/>
  </sheetPr>
  <dimension ref="B1:AF174"/>
  <sheetViews>
    <sheetView view="pageBreakPreview" topLeftCell="A46" zoomScale="60" workbookViewId="0">
      <selection activeCell="C62" sqref="C62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2" t="s">
        <v>23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  <c r="AE1" s="62"/>
    </row>
    <row r="2" spans="2:32" ht="20.100000000000001" customHeight="1" x14ac:dyDescent="0.25">
      <c r="B2" s="63" t="s">
        <v>95</v>
      </c>
      <c r="C2" s="63"/>
      <c r="D2" s="63"/>
      <c r="E2" s="63"/>
      <c r="F2" s="63"/>
      <c r="G2" s="63"/>
      <c r="H2" s="63"/>
      <c r="I2" s="63"/>
      <c r="J2" s="63"/>
      <c r="K2" s="63"/>
      <c r="L2" s="63"/>
      <c r="M2" s="63"/>
      <c r="N2" s="63"/>
      <c r="O2" s="63"/>
      <c r="P2" s="63"/>
      <c r="Q2" s="63"/>
      <c r="R2" s="63"/>
      <c r="S2" s="63"/>
      <c r="T2" s="63"/>
      <c r="U2" s="63"/>
      <c r="V2" s="63"/>
      <c r="W2" s="63"/>
      <c r="X2" s="63"/>
      <c r="Y2" s="63"/>
      <c r="Z2" s="63"/>
      <c r="AA2" s="63"/>
      <c r="AB2" s="63"/>
      <c r="AC2" s="63"/>
      <c r="AD2" s="63"/>
      <c r="AE2" s="63"/>
    </row>
    <row r="3" spans="2:32" ht="20.100000000000001" customHeight="1" x14ac:dyDescent="0.25">
      <c r="B3" s="22" t="s">
        <v>96</v>
      </c>
      <c r="C3" s="67" t="str">
        <f>'23.09 Seeta-Mukono'!C3:G3</f>
        <v>MCC - C2 - STN074 - SONDE  ROAD</v>
      </c>
      <c r="D3" s="67"/>
      <c r="E3" s="67"/>
      <c r="F3" s="67"/>
      <c r="G3" s="67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'26.09 Seeta-Mukono-24h'!D5</f>
        <v>26.09.19</v>
      </c>
      <c r="E5" s="3"/>
      <c r="F5" s="41" t="s">
        <v>1</v>
      </c>
      <c r="G5" s="68" t="str">
        <f>'26.09 Seeta-Mukono-24h'!G5:H5</f>
        <v>STATION 74</v>
      </c>
      <c r="H5" s="69"/>
      <c r="I5" s="14"/>
      <c r="J5" s="2" t="s">
        <v>5</v>
      </c>
      <c r="K5" s="68" t="s">
        <v>176</v>
      </c>
      <c r="L5" s="69"/>
      <c r="M5" s="10"/>
      <c r="N5" s="10"/>
      <c r="O5" s="3"/>
      <c r="P5" s="3"/>
    </row>
    <row r="6" spans="2:32" ht="23.25" customHeight="1" x14ac:dyDescent="0.25">
      <c r="C6" s="2" t="s">
        <v>4</v>
      </c>
      <c r="D6" s="68" t="s">
        <v>168</v>
      </c>
      <c r="E6" s="69"/>
      <c r="F6" s="2" t="s">
        <v>2</v>
      </c>
      <c r="G6" s="68" t="s">
        <v>167</v>
      </c>
      <c r="H6" s="69"/>
      <c r="J6" s="2" t="s">
        <v>21</v>
      </c>
      <c r="K6" s="68" t="str">
        <f>'26.09 Seeta-Mukono-24h'!K6:L6</f>
        <v>Tracy</v>
      </c>
      <c r="L6" s="69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1" t="s">
        <v>88</v>
      </c>
      <c r="S8" s="61"/>
      <c r="T8" s="61"/>
      <c r="U8" s="61"/>
      <c r="V8" s="61"/>
      <c r="W8" s="61"/>
      <c r="X8" s="61"/>
      <c r="Y8" s="61"/>
      <c r="Z8" s="61"/>
      <c r="AA8" s="61"/>
      <c r="AB8" s="61"/>
      <c r="AC8" s="61"/>
      <c r="AD8" s="61"/>
      <c r="AE8" s="61"/>
      <c r="AF8" s="61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21</v>
      </c>
      <c r="D10" s="50">
        <v>16</v>
      </c>
      <c r="E10" s="50">
        <v>6</v>
      </c>
      <c r="F10" s="50">
        <v>24</v>
      </c>
      <c r="G10" s="50">
        <v>4</v>
      </c>
      <c r="H10" s="50">
        <v>3</v>
      </c>
      <c r="I10" s="50">
        <v>3</v>
      </c>
      <c r="J10" s="50">
        <v>9</v>
      </c>
      <c r="K10" s="50">
        <v>2</v>
      </c>
      <c r="L10" s="50">
        <v>9</v>
      </c>
      <c r="M10" s="50">
        <v>107</v>
      </c>
      <c r="N10" s="50">
        <v>0</v>
      </c>
      <c r="O10" s="15">
        <f t="shared" ref="O10:O73" si="0">SUM(C10:L10,N10)</f>
        <v>97</v>
      </c>
      <c r="P10" s="15">
        <f t="shared" ref="P10:P73" si="1">SUM(C10:N10)</f>
        <v>204</v>
      </c>
      <c r="R10" s="1" t="s">
        <v>6</v>
      </c>
      <c r="S10" s="17">
        <f t="shared" ref="S10:AF10" si="2">SUM(C10:C13)</f>
        <v>62</v>
      </c>
      <c r="T10" s="17">
        <f t="shared" si="2"/>
        <v>28</v>
      </c>
      <c r="U10" s="17">
        <f t="shared" si="2"/>
        <v>22</v>
      </c>
      <c r="V10" s="17">
        <f t="shared" si="2"/>
        <v>53</v>
      </c>
      <c r="W10" s="17">
        <f t="shared" si="2"/>
        <v>5</v>
      </c>
      <c r="X10" s="17">
        <f t="shared" si="2"/>
        <v>3</v>
      </c>
      <c r="Y10" s="17">
        <f t="shared" si="2"/>
        <v>10</v>
      </c>
      <c r="Z10" s="17">
        <f t="shared" si="2"/>
        <v>13</v>
      </c>
      <c r="AA10" s="17">
        <f t="shared" si="2"/>
        <v>8</v>
      </c>
      <c r="AB10" s="17">
        <f t="shared" si="2"/>
        <v>46</v>
      </c>
      <c r="AC10" s="17">
        <f t="shared" si="2"/>
        <v>394</v>
      </c>
      <c r="AD10" s="17">
        <f t="shared" si="2"/>
        <v>0</v>
      </c>
      <c r="AE10" s="31">
        <f t="shared" si="2"/>
        <v>250</v>
      </c>
      <c r="AF10" s="31">
        <f t="shared" si="2"/>
        <v>644</v>
      </c>
    </row>
    <row r="11" spans="2:32" s="6" customFormat="1" ht="23.1" customHeight="1" x14ac:dyDescent="0.25">
      <c r="B11" s="45" t="s">
        <v>38</v>
      </c>
      <c r="C11" s="50">
        <v>18</v>
      </c>
      <c r="D11" s="50">
        <v>3</v>
      </c>
      <c r="E11" s="50">
        <v>3</v>
      </c>
      <c r="F11" s="50">
        <v>12</v>
      </c>
      <c r="G11" s="50">
        <v>0</v>
      </c>
      <c r="H11" s="50">
        <v>0</v>
      </c>
      <c r="I11" s="50">
        <v>1</v>
      </c>
      <c r="J11" s="50">
        <v>0</v>
      </c>
      <c r="K11" s="50">
        <v>1</v>
      </c>
      <c r="L11" s="50">
        <v>7</v>
      </c>
      <c r="M11" s="50">
        <v>67</v>
      </c>
      <c r="N11" s="50">
        <v>0</v>
      </c>
      <c r="O11" s="15">
        <f t="shared" si="0"/>
        <v>45</v>
      </c>
      <c r="P11" s="15">
        <f t="shared" si="1"/>
        <v>112</v>
      </c>
      <c r="R11" s="1" t="s">
        <v>7</v>
      </c>
      <c r="S11" s="17">
        <f t="shared" ref="S11:AF11" si="3">SUM(C14:C17)</f>
        <v>70</v>
      </c>
      <c r="T11" s="17">
        <f t="shared" si="3"/>
        <v>37</v>
      </c>
      <c r="U11" s="17">
        <f t="shared" si="3"/>
        <v>23</v>
      </c>
      <c r="V11" s="17">
        <f t="shared" si="3"/>
        <v>173</v>
      </c>
      <c r="W11" s="17">
        <f t="shared" si="3"/>
        <v>12</v>
      </c>
      <c r="X11" s="17">
        <f t="shared" si="3"/>
        <v>1</v>
      </c>
      <c r="Y11" s="17">
        <f t="shared" si="3"/>
        <v>11</v>
      </c>
      <c r="Z11" s="17">
        <f t="shared" si="3"/>
        <v>13</v>
      </c>
      <c r="AA11" s="17">
        <f t="shared" si="3"/>
        <v>7</v>
      </c>
      <c r="AB11" s="17">
        <f t="shared" si="3"/>
        <v>48</v>
      </c>
      <c r="AC11" s="17">
        <f t="shared" si="3"/>
        <v>504</v>
      </c>
      <c r="AD11" s="17">
        <f t="shared" si="3"/>
        <v>0</v>
      </c>
      <c r="AE11" s="31">
        <f t="shared" si="3"/>
        <v>395</v>
      </c>
      <c r="AF11" s="31">
        <f t="shared" si="3"/>
        <v>899</v>
      </c>
    </row>
    <row r="12" spans="2:32" ht="23.1" customHeight="1" x14ac:dyDescent="0.25">
      <c r="B12" s="45" t="s">
        <v>39</v>
      </c>
      <c r="C12" s="50">
        <v>6</v>
      </c>
      <c r="D12" s="50">
        <v>2</v>
      </c>
      <c r="E12" s="50">
        <v>1</v>
      </c>
      <c r="F12" s="50">
        <v>16</v>
      </c>
      <c r="G12" s="50">
        <v>0</v>
      </c>
      <c r="H12" s="50">
        <v>0</v>
      </c>
      <c r="I12" s="50">
        <v>2</v>
      </c>
      <c r="J12" s="50">
        <v>2</v>
      </c>
      <c r="K12" s="50">
        <v>4</v>
      </c>
      <c r="L12" s="50">
        <v>22</v>
      </c>
      <c r="M12" s="50">
        <v>108</v>
      </c>
      <c r="N12" s="50">
        <v>0</v>
      </c>
      <c r="O12" s="15">
        <f t="shared" si="0"/>
        <v>55</v>
      </c>
      <c r="P12" s="15">
        <f t="shared" si="1"/>
        <v>163</v>
      </c>
      <c r="R12" s="1" t="s">
        <v>8</v>
      </c>
      <c r="S12" s="17">
        <f t="shared" ref="S12:AF12" si="4">SUM(C18:C21)</f>
        <v>91</v>
      </c>
      <c r="T12" s="17">
        <f t="shared" si="4"/>
        <v>36</v>
      </c>
      <c r="U12" s="17">
        <f t="shared" si="4"/>
        <v>26</v>
      </c>
      <c r="V12" s="17">
        <f t="shared" si="4"/>
        <v>137</v>
      </c>
      <c r="W12" s="17">
        <f t="shared" si="4"/>
        <v>7</v>
      </c>
      <c r="X12" s="17">
        <f t="shared" si="4"/>
        <v>9</v>
      </c>
      <c r="Y12" s="17">
        <f t="shared" si="4"/>
        <v>23</v>
      </c>
      <c r="Z12" s="17">
        <f t="shared" si="4"/>
        <v>24</v>
      </c>
      <c r="AA12" s="17">
        <f t="shared" si="4"/>
        <v>14</v>
      </c>
      <c r="AB12" s="17">
        <f t="shared" si="4"/>
        <v>48</v>
      </c>
      <c r="AC12" s="17">
        <f t="shared" si="4"/>
        <v>596</v>
      </c>
      <c r="AD12" s="17">
        <f t="shared" si="4"/>
        <v>0</v>
      </c>
      <c r="AE12" s="31">
        <f t="shared" si="4"/>
        <v>415</v>
      </c>
      <c r="AF12" s="31">
        <f t="shared" si="4"/>
        <v>1011</v>
      </c>
    </row>
    <row r="13" spans="2:32" ht="23.1" customHeight="1" x14ac:dyDescent="0.25">
      <c r="B13" s="45" t="s">
        <v>40</v>
      </c>
      <c r="C13" s="50">
        <v>17</v>
      </c>
      <c r="D13" s="50">
        <v>7</v>
      </c>
      <c r="E13" s="50">
        <v>12</v>
      </c>
      <c r="F13" s="50">
        <v>1</v>
      </c>
      <c r="G13" s="50">
        <v>1</v>
      </c>
      <c r="H13" s="50">
        <v>0</v>
      </c>
      <c r="I13" s="50">
        <v>4</v>
      </c>
      <c r="J13" s="50">
        <v>2</v>
      </c>
      <c r="K13" s="50">
        <v>1</v>
      </c>
      <c r="L13" s="50">
        <v>8</v>
      </c>
      <c r="M13" s="50">
        <v>112</v>
      </c>
      <c r="N13" s="50">
        <v>0</v>
      </c>
      <c r="O13" s="15">
        <f t="shared" si="0"/>
        <v>53</v>
      </c>
      <c r="P13" s="15">
        <f t="shared" si="1"/>
        <v>165</v>
      </c>
      <c r="R13" s="1" t="s">
        <v>9</v>
      </c>
      <c r="S13" s="17">
        <f t="shared" ref="S13:AF13" si="5">SUM(C22:C25)</f>
        <v>62</v>
      </c>
      <c r="T13" s="17">
        <f t="shared" si="5"/>
        <v>36</v>
      </c>
      <c r="U13" s="17">
        <f t="shared" si="5"/>
        <v>22</v>
      </c>
      <c r="V13" s="17">
        <f t="shared" si="5"/>
        <v>140</v>
      </c>
      <c r="W13" s="17">
        <f t="shared" si="5"/>
        <v>2</v>
      </c>
      <c r="X13" s="17">
        <f t="shared" si="5"/>
        <v>1</v>
      </c>
      <c r="Y13" s="17">
        <f t="shared" si="5"/>
        <v>27</v>
      </c>
      <c r="Z13" s="17">
        <f t="shared" si="5"/>
        <v>11</v>
      </c>
      <c r="AA13" s="17">
        <f t="shared" si="5"/>
        <v>15</v>
      </c>
      <c r="AB13" s="17">
        <f t="shared" si="5"/>
        <v>52</v>
      </c>
      <c r="AC13" s="17">
        <f t="shared" si="5"/>
        <v>518</v>
      </c>
      <c r="AD13" s="17">
        <f t="shared" si="5"/>
        <v>0</v>
      </c>
      <c r="AE13" s="31">
        <f t="shared" si="5"/>
        <v>368</v>
      </c>
      <c r="AF13" s="31">
        <f t="shared" si="5"/>
        <v>886</v>
      </c>
    </row>
    <row r="14" spans="2:32" ht="23.1" customHeight="1" x14ac:dyDescent="0.25">
      <c r="B14" s="45" t="s">
        <v>41</v>
      </c>
      <c r="C14" s="50">
        <v>13</v>
      </c>
      <c r="D14" s="50">
        <v>8</v>
      </c>
      <c r="E14" s="50">
        <v>2</v>
      </c>
      <c r="F14" s="50">
        <v>23</v>
      </c>
      <c r="G14" s="50">
        <v>3</v>
      </c>
      <c r="H14" s="50">
        <v>0</v>
      </c>
      <c r="I14" s="50">
        <v>4</v>
      </c>
      <c r="J14" s="50">
        <v>3</v>
      </c>
      <c r="K14" s="50">
        <v>6</v>
      </c>
      <c r="L14" s="50">
        <v>13</v>
      </c>
      <c r="M14" s="50">
        <v>134</v>
      </c>
      <c r="N14" s="50">
        <v>0</v>
      </c>
      <c r="O14" s="15">
        <f t="shared" si="0"/>
        <v>75</v>
      </c>
      <c r="P14" s="15">
        <f t="shared" si="1"/>
        <v>209</v>
      </c>
      <c r="R14" s="1" t="s">
        <v>10</v>
      </c>
      <c r="S14" s="17">
        <f t="shared" ref="S14:AF14" si="6">SUM(C26:C29)</f>
        <v>60</v>
      </c>
      <c r="T14" s="17">
        <f t="shared" si="6"/>
        <v>43</v>
      </c>
      <c r="U14" s="17">
        <f t="shared" si="6"/>
        <v>22</v>
      </c>
      <c r="V14" s="17">
        <f t="shared" si="6"/>
        <v>134</v>
      </c>
      <c r="W14" s="17">
        <f t="shared" si="6"/>
        <v>6</v>
      </c>
      <c r="X14" s="17">
        <f t="shared" si="6"/>
        <v>1</v>
      </c>
      <c r="Y14" s="17">
        <f t="shared" si="6"/>
        <v>22</v>
      </c>
      <c r="Z14" s="17">
        <f t="shared" si="6"/>
        <v>15</v>
      </c>
      <c r="AA14" s="17">
        <f t="shared" si="6"/>
        <v>24</v>
      </c>
      <c r="AB14" s="17">
        <f t="shared" si="6"/>
        <v>46</v>
      </c>
      <c r="AC14" s="17">
        <f t="shared" si="6"/>
        <v>478</v>
      </c>
      <c r="AD14" s="17">
        <f t="shared" si="6"/>
        <v>0</v>
      </c>
      <c r="AE14" s="31">
        <f t="shared" si="6"/>
        <v>373</v>
      </c>
      <c r="AF14" s="31">
        <f t="shared" si="6"/>
        <v>851</v>
      </c>
    </row>
    <row r="15" spans="2:32" ht="23.1" customHeight="1" x14ac:dyDescent="0.25">
      <c r="B15" s="45" t="s">
        <v>42</v>
      </c>
      <c r="C15" s="50">
        <v>9</v>
      </c>
      <c r="D15" s="50">
        <v>8</v>
      </c>
      <c r="E15" s="50">
        <v>3</v>
      </c>
      <c r="F15" s="50">
        <v>23</v>
      </c>
      <c r="G15" s="50">
        <v>3</v>
      </c>
      <c r="H15" s="50">
        <v>0</v>
      </c>
      <c r="I15" s="50">
        <v>0</v>
      </c>
      <c r="J15" s="50">
        <v>2</v>
      </c>
      <c r="K15" s="50">
        <v>1</v>
      </c>
      <c r="L15" s="50">
        <v>6</v>
      </c>
      <c r="M15" s="50">
        <v>84</v>
      </c>
      <c r="N15" s="50">
        <v>0</v>
      </c>
      <c r="O15" s="15">
        <f t="shared" si="0"/>
        <v>55</v>
      </c>
      <c r="P15" s="15">
        <f t="shared" si="1"/>
        <v>139</v>
      </c>
      <c r="R15" s="1" t="s">
        <v>11</v>
      </c>
      <c r="S15" s="17">
        <f t="shared" ref="S15:AF15" si="7">SUM(C30:C33)</f>
        <v>95</v>
      </c>
      <c r="T15" s="17">
        <f t="shared" si="7"/>
        <v>47</v>
      </c>
      <c r="U15" s="17">
        <f t="shared" si="7"/>
        <v>19</v>
      </c>
      <c r="V15" s="17">
        <f t="shared" si="7"/>
        <v>131</v>
      </c>
      <c r="W15" s="17">
        <f t="shared" si="7"/>
        <v>6</v>
      </c>
      <c r="X15" s="17">
        <f t="shared" si="7"/>
        <v>0</v>
      </c>
      <c r="Y15" s="17">
        <f t="shared" si="7"/>
        <v>58</v>
      </c>
      <c r="Z15" s="17">
        <f t="shared" si="7"/>
        <v>33</v>
      </c>
      <c r="AA15" s="17">
        <f t="shared" si="7"/>
        <v>11</v>
      </c>
      <c r="AB15" s="17">
        <f t="shared" si="7"/>
        <v>59</v>
      </c>
      <c r="AC15" s="17">
        <f t="shared" si="7"/>
        <v>421</v>
      </c>
      <c r="AD15" s="17">
        <f t="shared" si="7"/>
        <v>0</v>
      </c>
      <c r="AE15" s="31">
        <f t="shared" si="7"/>
        <v>459</v>
      </c>
      <c r="AF15" s="31">
        <f t="shared" si="7"/>
        <v>880</v>
      </c>
    </row>
    <row r="16" spans="2:32" ht="23.1" customHeight="1" x14ac:dyDescent="0.25">
      <c r="B16" s="45" t="s">
        <v>43</v>
      </c>
      <c r="C16" s="50">
        <v>22</v>
      </c>
      <c r="D16" s="50">
        <v>9</v>
      </c>
      <c r="E16" s="50">
        <v>11</v>
      </c>
      <c r="F16" s="50">
        <v>73</v>
      </c>
      <c r="G16" s="50">
        <v>4</v>
      </c>
      <c r="H16" s="50">
        <v>0</v>
      </c>
      <c r="I16" s="50">
        <v>2</v>
      </c>
      <c r="J16" s="50">
        <v>4</v>
      </c>
      <c r="K16" s="50">
        <v>0</v>
      </c>
      <c r="L16" s="50">
        <v>13</v>
      </c>
      <c r="M16" s="50">
        <v>141</v>
      </c>
      <c r="N16" s="50">
        <v>0</v>
      </c>
      <c r="O16" s="15">
        <f t="shared" si="0"/>
        <v>138</v>
      </c>
      <c r="P16" s="15">
        <f t="shared" si="1"/>
        <v>279</v>
      </c>
      <c r="R16" s="1" t="s">
        <v>12</v>
      </c>
      <c r="S16" s="17">
        <f t="shared" ref="S16:AF16" si="8">SUM(C34:C37)</f>
        <v>89</v>
      </c>
      <c r="T16" s="17">
        <f t="shared" si="8"/>
        <v>57</v>
      </c>
      <c r="U16" s="17">
        <f t="shared" si="8"/>
        <v>29</v>
      </c>
      <c r="V16" s="17">
        <f t="shared" si="8"/>
        <v>188</v>
      </c>
      <c r="W16" s="17">
        <f t="shared" si="8"/>
        <v>10</v>
      </c>
      <c r="X16" s="17">
        <f t="shared" si="8"/>
        <v>5</v>
      </c>
      <c r="Y16" s="17">
        <f t="shared" si="8"/>
        <v>27</v>
      </c>
      <c r="Z16" s="17">
        <f t="shared" si="8"/>
        <v>17</v>
      </c>
      <c r="AA16" s="17">
        <f t="shared" si="8"/>
        <v>28</v>
      </c>
      <c r="AB16" s="17">
        <f t="shared" si="8"/>
        <v>56</v>
      </c>
      <c r="AC16" s="17">
        <f t="shared" si="8"/>
        <v>374</v>
      </c>
      <c r="AD16" s="17">
        <f t="shared" si="8"/>
        <v>0</v>
      </c>
      <c r="AE16" s="31">
        <f t="shared" si="8"/>
        <v>506</v>
      </c>
      <c r="AF16" s="31">
        <f t="shared" si="8"/>
        <v>880</v>
      </c>
    </row>
    <row r="17" spans="2:32" ht="23.1" customHeight="1" x14ac:dyDescent="0.25">
      <c r="B17" s="45" t="s">
        <v>44</v>
      </c>
      <c r="C17" s="50">
        <v>26</v>
      </c>
      <c r="D17" s="50">
        <v>12</v>
      </c>
      <c r="E17" s="50">
        <v>7</v>
      </c>
      <c r="F17" s="50">
        <v>54</v>
      </c>
      <c r="G17" s="50">
        <v>2</v>
      </c>
      <c r="H17" s="50">
        <v>1</v>
      </c>
      <c r="I17" s="50">
        <v>5</v>
      </c>
      <c r="J17" s="50">
        <v>4</v>
      </c>
      <c r="K17" s="50">
        <v>0</v>
      </c>
      <c r="L17" s="50">
        <v>16</v>
      </c>
      <c r="M17" s="50">
        <v>145</v>
      </c>
      <c r="N17" s="50">
        <v>0</v>
      </c>
      <c r="O17" s="15">
        <f t="shared" si="0"/>
        <v>127</v>
      </c>
      <c r="P17" s="15">
        <f t="shared" si="1"/>
        <v>272</v>
      </c>
      <c r="R17" s="1" t="s">
        <v>13</v>
      </c>
      <c r="S17" s="17">
        <f t="shared" ref="S17:AF17" si="9">SUM(C38:C41)</f>
        <v>93</v>
      </c>
      <c r="T17" s="17">
        <f t="shared" si="9"/>
        <v>65</v>
      </c>
      <c r="U17" s="17">
        <f t="shared" si="9"/>
        <v>37</v>
      </c>
      <c r="V17" s="17">
        <f t="shared" si="9"/>
        <v>215</v>
      </c>
      <c r="W17" s="17">
        <f t="shared" si="9"/>
        <v>8</v>
      </c>
      <c r="X17" s="17">
        <f t="shared" si="9"/>
        <v>1</v>
      </c>
      <c r="Y17" s="17">
        <f t="shared" si="9"/>
        <v>32</v>
      </c>
      <c r="Z17" s="17">
        <f t="shared" si="9"/>
        <v>33</v>
      </c>
      <c r="AA17" s="17">
        <f t="shared" si="9"/>
        <v>21</v>
      </c>
      <c r="AB17" s="17">
        <f t="shared" si="9"/>
        <v>53</v>
      </c>
      <c r="AC17" s="17">
        <f t="shared" si="9"/>
        <v>337</v>
      </c>
      <c r="AD17" s="17">
        <f t="shared" si="9"/>
        <v>1</v>
      </c>
      <c r="AE17" s="31">
        <f t="shared" si="9"/>
        <v>559</v>
      </c>
      <c r="AF17" s="31">
        <f t="shared" si="9"/>
        <v>896</v>
      </c>
    </row>
    <row r="18" spans="2:32" ht="23.1" customHeight="1" x14ac:dyDescent="0.25">
      <c r="B18" s="45" t="s">
        <v>45</v>
      </c>
      <c r="C18" s="50">
        <v>25</v>
      </c>
      <c r="D18" s="50">
        <v>9</v>
      </c>
      <c r="E18" s="50">
        <v>8</v>
      </c>
      <c r="F18" s="50">
        <v>39</v>
      </c>
      <c r="G18" s="50">
        <v>4</v>
      </c>
      <c r="H18" s="50">
        <v>1</v>
      </c>
      <c r="I18" s="50">
        <v>5</v>
      </c>
      <c r="J18" s="50">
        <v>3</v>
      </c>
      <c r="K18" s="50">
        <v>4</v>
      </c>
      <c r="L18" s="50">
        <v>12</v>
      </c>
      <c r="M18" s="50">
        <v>174</v>
      </c>
      <c r="N18" s="50">
        <v>0</v>
      </c>
      <c r="O18" s="15">
        <f t="shared" si="0"/>
        <v>110</v>
      </c>
      <c r="P18" s="15">
        <f t="shared" si="1"/>
        <v>284</v>
      </c>
      <c r="R18" s="1" t="s">
        <v>14</v>
      </c>
      <c r="S18" s="17">
        <f t="shared" ref="S18:AF18" si="10">SUM(C42:C45)</f>
        <v>89</v>
      </c>
      <c r="T18" s="17">
        <f t="shared" si="10"/>
        <v>38</v>
      </c>
      <c r="U18" s="17">
        <f t="shared" si="10"/>
        <v>41</v>
      </c>
      <c r="V18" s="17">
        <f t="shared" si="10"/>
        <v>148</v>
      </c>
      <c r="W18" s="17">
        <f t="shared" si="10"/>
        <v>3</v>
      </c>
      <c r="X18" s="17">
        <f t="shared" si="10"/>
        <v>1</v>
      </c>
      <c r="Y18" s="17">
        <f t="shared" si="10"/>
        <v>26</v>
      </c>
      <c r="Z18" s="17">
        <f t="shared" si="10"/>
        <v>7</v>
      </c>
      <c r="AA18" s="17">
        <f t="shared" si="10"/>
        <v>18</v>
      </c>
      <c r="AB18" s="17">
        <f t="shared" si="10"/>
        <v>51</v>
      </c>
      <c r="AC18" s="17">
        <f t="shared" si="10"/>
        <v>417</v>
      </c>
      <c r="AD18" s="17">
        <f t="shared" si="10"/>
        <v>0</v>
      </c>
      <c r="AE18" s="31">
        <f t="shared" si="10"/>
        <v>422</v>
      </c>
      <c r="AF18" s="31">
        <f t="shared" si="10"/>
        <v>839</v>
      </c>
    </row>
    <row r="19" spans="2:32" ht="23.1" customHeight="1" x14ac:dyDescent="0.25">
      <c r="B19" s="45" t="s">
        <v>46</v>
      </c>
      <c r="C19" s="50">
        <v>24</v>
      </c>
      <c r="D19" s="50">
        <v>7</v>
      </c>
      <c r="E19" s="50">
        <v>4</v>
      </c>
      <c r="F19" s="50">
        <v>51</v>
      </c>
      <c r="G19" s="50">
        <v>0</v>
      </c>
      <c r="H19" s="50">
        <v>1</v>
      </c>
      <c r="I19" s="50">
        <v>8</v>
      </c>
      <c r="J19" s="50">
        <v>7</v>
      </c>
      <c r="K19" s="50">
        <v>0</v>
      </c>
      <c r="L19" s="50">
        <v>15</v>
      </c>
      <c r="M19" s="50">
        <v>149</v>
      </c>
      <c r="N19" s="50">
        <v>0</v>
      </c>
      <c r="O19" s="15">
        <f t="shared" si="0"/>
        <v>117</v>
      </c>
      <c r="P19" s="15">
        <f t="shared" si="1"/>
        <v>266</v>
      </c>
      <c r="R19" s="1" t="s">
        <v>15</v>
      </c>
      <c r="S19" s="17">
        <f t="shared" ref="S19:AF19" si="11">SUM(C46:C49)</f>
        <v>116</v>
      </c>
      <c r="T19" s="17">
        <f t="shared" si="11"/>
        <v>63</v>
      </c>
      <c r="U19" s="17">
        <f t="shared" si="11"/>
        <v>28</v>
      </c>
      <c r="V19" s="17">
        <f t="shared" si="11"/>
        <v>219</v>
      </c>
      <c r="W19" s="17">
        <f t="shared" si="11"/>
        <v>17</v>
      </c>
      <c r="X19" s="17">
        <f t="shared" si="11"/>
        <v>4</v>
      </c>
      <c r="Y19" s="17">
        <f t="shared" si="11"/>
        <v>31</v>
      </c>
      <c r="Z19" s="17">
        <f t="shared" si="11"/>
        <v>27</v>
      </c>
      <c r="AA19" s="17">
        <f t="shared" si="11"/>
        <v>22</v>
      </c>
      <c r="AB19" s="17">
        <f t="shared" si="11"/>
        <v>35</v>
      </c>
      <c r="AC19" s="17">
        <f t="shared" si="11"/>
        <v>421</v>
      </c>
      <c r="AD19" s="17">
        <f t="shared" si="11"/>
        <v>1</v>
      </c>
      <c r="AE19" s="31">
        <f t="shared" si="11"/>
        <v>563</v>
      </c>
      <c r="AF19" s="31">
        <f t="shared" si="11"/>
        <v>984</v>
      </c>
    </row>
    <row r="20" spans="2:32" ht="23.1" customHeight="1" x14ac:dyDescent="0.25">
      <c r="B20" s="45" t="s">
        <v>47</v>
      </c>
      <c r="C20" s="50">
        <v>16</v>
      </c>
      <c r="D20" s="50">
        <v>12</v>
      </c>
      <c r="E20" s="50">
        <v>3</v>
      </c>
      <c r="F20" s="50">
        <v>45</v>
      </c>
      <c r="G20" s="50">
        <v>2</v>
      </c>
      <c r="H20" s="50">
        <v>0</v>
      </c>
      <c r="I20" s="50">
        <v>6</v>
      </c>
      <c r="J20" s="50">
        <v>8</v>
      </c>
      <c r="K20" s="50">
        <v>4</v>
      </c>
      <c r="L20" s="50">
        <v>13</v>
      </c>
      <c r="M20" s="50">
        <v>144</v>
      </c>
      <c r="N20" s="50">
        <v>0</v>
      </c>
      <c r="O20" s="15">
        <f t="shared" si="0"/>
        <v>109</v>
      </c>
      <c r="P20" s="15">
        <f t="shared" si="1"/>
        <v>253</v>
      </c>
      <c r="R20" s="1" t="s">
        <v>16</v>
      </c>
      <c r="S20" s="17">
        <f t="shared" ref="S20:AF20" si="12">SUM(C50:C53)</f>
        <v>105</v>
      </c>
      <c r="T20" s="17">
        <f t="shared" si="12"/>
        <v>60</v>
      </c>
      <c r="U20" s="17">
        <f t="shared" si="12"/>
        <v>30</v>
      </c>
      <c r="V20" s="17">
        <f t="shared" si="12"/>
        <v>257</v>
      </c>
      <c r="W20" s="17">
        <f t="shared" si="12"/>
        <v>13</v>
      </c>
      <c r="X20" s="17">
        <f t="shared" si="12"/>
        <v>7</v>
      </c>
      <c r="Y20" s="17">
        <f t="shared" si="12"/>
        <v>16</v>
      </c>
      <c r="Z20" s="17">
        <f t="shared" si="12"/>
        <v>11</v>
      </c>
      <c r="AA20" s="17">
        <f t="shared" si="12"/>
        <v>21</v>
      </c>
      <c r="AB20" s="17">
        <f t="shared" si="12"/>
        <v>59</v>
      </c>
      <c r="AC20" s="17">
        <f t="shared" si="12"/>
        <v>523</v>
      </c>
      <c r="AD20" s="17">
        <f t="shared" si="12"/>
        <v>0</v>
      </c>
      <c r="AE20" s="31">
        <f t="shared" si="12"/>
        <v>579</v>
      </c>
      <c r="AF20" s="31">
        <f t="shared" si="12"/>
        <v>1102</v>
      </c>
    </row>
    <row r="21" spans="2:32" ht="23.1" customHeight="1" x14ac:dyDescent="0.25">
      <c r="B21" s="45" t="s">
        <v>48</v>
      </c>
      <c r="C21" s="50">
        <v>26</v>
      </c>
      <c r="D21" s="50">
        <v>8</v>
      </c>
      <c r="E21" s="50">
        <v>11</v>
      </c>
      <c r="F21" s="50">
        <v>2</v>
      </c>
      <c r="G21" s="50">
        <v>1</v>
      </c>
      <c r="H21" s="50">
        <v>7</v>
      </c>
      <c r="I21" s="50">
        <v>4</v>
      </c>
      <c r="J21" s="50">
        <v>6</v>
      </c>
      <c r="K21" s="50">
        <v>6</v>
      </c>
      <c r="L21" s="50">
        <v>8</v>
      </c>
      <c r="M21" s="50">
        <v>129</v>
      </c>
      <c r="N21" s="50">
        <v>0</v>
      </c>
      <c r="O21" s="15">
        <f t="shared" si="0"/>
        <v>79</v>
      </c>
      <c r="P21" s="15">
        <f t="shared" si="1"/>
        <v>208</v>
      </c>
      <c r="R21" s="36" t="s">
        <v>20</v>
      </c>
      <c r="S21" s="34">
        <f t="shared" ref="S21:AF21" si="13">SUM(C54:C57)</f>
        <v>104</v>
      </c>
      <c r="T21" s="17">
        <f t="shared" si="13"/>
        <v>49</v>
      </c>
      <c r="U21" s="17">
        <f t="shared" si="13"/>
        <v>28</v>
      </c>
      <c r="V21" s="17">
        <f t="shared" si="13"/>
        <v>209</v>
      </c>
      <c r="W21" s="17">
        <f t="shared" si="13"/>
        <v>6</v>
      </c>
      <c r="X21" s="17">
        <f t="shared" si="13"/>
        <v>6</v>
      </c>
      <c r="Y21" s="17">
        <f t="shared" si="13"/>
        <v>25</v>
      </c>
      <c r="Z21" s="17">
        <f t="shared" si="13"/>
        <v>26</v>
      </c>
      <c r="AA21" s="17">
        <f t="shared" si="13"/>
        <v>13</v>
      </c>
      <c r="AB21" s="17">
        <f t="shared" si="13"/>
        <v>43</v>
      </c>
      <c r="AC21" s="17">
        <f t="shared" si="13"/>
        <v>464</v>
      </c>
      <c r="AD21" s="17">
        <f t="shared" si="13"/>
        <v>0</v>
      </c>
      <c r="AE21" s="31">
        <f t="shared" si="13"/>
        <v>509</v>
      </c>
      <c r="AF21" s="31">
        <f t="shared" si="13"/>
        <v>973</v>
      </c>
    </row>
    <row r="22" spans="2:32" ht="23.1" customHeight="1" x14ac:dyDescent="0.25">
      <c r="B22" s="45" t="s">
        <v>49</v>
      </c>
      <c r="C22" s="50">
        <v>16</v>
      </c>
      <c r="D22" s="50">
        <v>7</v>
      </c>
      <c r="E22" s="50">
        <v>2</v>
      </c>
      <c r="F22" s="50">
        <v>26</v>
      </c>
      <c r="G22" s="50">
        <v>1</v>
      </c>
      <c r="H22" s="50">
        <v>0</v>
      </c>
      <c r="I22" s="50">
        <v>4</v>
      </c>
      <c r="J22" s="50">
        <v>4</v>
      </c>
      <c r="K22" s="50">
        <v>2</v>
      </c>
      <c r="L22" s="50">
        <v>17</v>
      </c>
      <c r="M22" s="50">
        <v>128</v>
      </c>
      <c r="N22" s="50">
        <v>0</v>
      </c>
      <c r="O22" s="15">
        <f t="shared" si="0"/>
        <v>79</v>
      </c>
      <c r="P22" s="15">
        <f t="shared" si="1"/>
        <v>207</v>
      </c>
      <c r="R22" s="36" t="s">
        <v>146</v>
      </c>
      <c r="S22" s="34">
        <f>SUM(C58:C61)</f>
        <v>112</v>
      </c>
      <c r="T22" s="34">
        <f t="shared" ref="T22:AF22" si="14">SUM(D58:D61)</f>
        <v>61</v>
      </c>
      <c r="U22" s="34">
        <f t="shared" si="14"/>
        <v>22</v>
      </c>
      <c r="V22" s="34">
        <f t="shared" si="14"/>
        <v>143</v>
      </c>
      <c r="W22" s="34">
        <f t="shared" si="14"/>
        <v>9</v>
      </c>
      <c r="X22" s="34">
        <f t="shared" si="14"/>
        <v>7</v>
      </c>
      <c r="Y22" s="34">
        <f t="shared" si="14"/>
        <v>52</v>
      </c>
      <c r="Z22" s="34">
        <f t="shared" si="14"/>
        <v>34</v>
      </c>
      <c r="AA22" s="34">
        <f t="shared" si="14"/>
        <v>13</v>
      </c>
      <c r="AB22" s="34">
        <f t="shared" si="14"/>
        <v>32</v>
      </c>
      <c r="AC22" s="34">
        <f t="shared" si="14"/>
        <v>357</v>
      </c>
      <c r="AD22" s="34">
        <f t="shared" si="14"/>
        <v>0</v>
      </c>
      <c r="AE22" s="31">
        <f t="shared" si="14"/>
        <v>485</v>
      </c>
      <c r="AF22" s="31">
        <f t="shared" si="14"/>
        <v>842</v>
      </c>
    </row>
    <row r="23" spans="2:32" ht="23.1" customHeight="1" x14ac:dyDescent="0.25">
      <c r="B23" s="45" t="s">
        <v>50</v>
      </c>
      <c r="C23" s="50">
        <v>21</v>
      </c>
      <c r="D23" s="50">
        <v>7</v>
      </c>
      <c r="E23" s="50">
        <v>3</v>
      </c>
      <c r="F23" s="50">
        <v>38</v>
      </c>
      <c r="G23" s="50">
        <v>1</v>
      </c>
      <c r="H23" s="50">
        <v>1</v>
      </c>
      <c r="I23" s="50">
        <v>7</v>
      </c>
      <c r="J23" s="50">
        <v>1</v>
      </c>
      <c r="K23" s="50">
        <v>1</v>
      </c>
      <c r="L23" s="50">
        <v>10</v>
      </c>
      <c r="M23" s="50">
        <v>128</v>
      </c>
      <c r="N23" s="50">
        <v>0</v>
      </c>
      <c r="O23" s="15">
        <f t="shared" si="0"/>
        <v>90</v>
      </c>
      <c r="P23" s="15">
        <f t="shared" si="1"/>
        <v>218</v>
      </c>
      <c r="R23" s="36" t="s">
        <v>147</v>
      </c>
      <c r="S23" s="34">
        <f>SUM(C62:C65)</f>
        <v>114</v>
      </c>
      <c r="T23" s="34">
        <f t="shared" ref="T23:AF23" si="15">SUM(D62:D65)</f>
        <v>76</v>
      </c>
      <c r="U23" s="34">
        <f t="shared" si="15"/>
        <v>26</v>
      </c>
      <c r="V23" s="34">
        <f t="shared" si="15"/>
        <v>122</v>
      </c>
      <c r="W23" s="34">
        <f t="shared" si="15"/>
        <v>8</v>
      </c>
      <c r="X23" s="34">
        <f t="shared" si="15"/>
        <v>6</v>
      </c>
      <c r="Y23" s="34">
        <f t="shared" si="15"/>
        <v>30</v>
      </c>
      <c r="Z23" s="34">
        <f t="shared" si="15"/>
        <v>29</v>
      </c>
      <c r="AA23" s="34">
        <f t="shared" si="15"/>
        <v>14</v>
      </c>
      <c r="AB23" s="34">
        <f t="shared" si="15"/>
        <v>22</v>
      </c>
      <c r="AC23" s="34">
        <f t="shared" si="15"/>
        <v>189</v>
      </c>
      <c r="AD23" s="34">
        <f t="shared" si="15"/>
        <v>0</v>
      </c>
      <c r="AE23" s="31">
        <f t="shared" si="15"/>
        <v>447</v>
      </c>
      <c r="AF23" s="31">
        <f t="shared" si="15"/>
        <v>636</v>
      </c>
    </row>
    <row r="24" spans="2:32" ht="23.1" customHeight="1" x14ac:dyDescent="0.25">
      <c r="B24" s="45" t="s">
        <v>51</v>
      </c>
      <c r="C24" s="50">
        <v>13</v>
      </c>
      <c r="D24" s="50">
        <v>14</v>
      </c>
      <c r="E24" s="50">
        <v>8</v>
      </c>
      <c r="F24" s="50">
        <v>33</v>
      </c>
      <c r="G24" s="50">
        <v>0</v>
      </c>
      <c r="H24" s="50">
        <v>0</v>
      </c>
      <c r="I24" s="50">
        <v>8</v>
      </c>
      <c r="J24" s="50">
        <v>0</v>
      </c>
      <c r="K24" s="50">
        <v>7</v>
      </c>
      <c r="L24" s="50">
        <v>12</v>
      </c>
      <c r="M24" s="50">
        <v>151</v>
      </c>
      <c r="N24" s="50">
        <v>0</v>
      </c>
      <c r="O24" s="15">
        <f t="shared" si="0"/>
        <v>95</v>
      </c>
      <c r="P24" s="15">
        <f t="shared" si="1"/>
        <v>246</v>
      </c>
      <c r="R24" s="36" t="s">
        <v>148</v>
      </c>
      <c r="S24" s="34">
        <f>SUM(C66:C69)</f>
        <v>121</v>
      </c>
      <c r="T24" s="34">
        <f t="shared" ref="T24:AF24" si="16">SUM(D66:D69)</f>
        <v>56</v>
      </c>
      <c r="U24" s="34">
        <f t="shared" si="16"/>
        <v>20</v>
      </c>
      <c r="V24" s="34">
        <f t="shared" si="16"/>
        <v>96</v>
      </c>
      <c r="W24" s="34">
        <f t="shared" si="16"/>
        <v>8</v>
      </c>
      <c r="X24" s="34">
        <f t="shared" si="16"/>
        <v>1</v>
      </c>
      <c r="Y24" s="34">
        <f t="shared" si="16"/>
        <v>45</v>
      </c>
      <c r="Z24" s="34">
        <f t="shared" si="16"/>
        <v>24</v>
      </c>
      <c r="AA24" s="34">
        <f t="shared" si="16"/>
        <v>9</v>
      </c>
      <c r="AB24" s="34">
        <f t="shared" si="16"/>
        <v>29</v>
      </c>
      <c r="AC24" s="34">
        <f t="shared" si="16"/>
        <v>163</v>
      </c>
      <c r="AD24" s="34">
        <f t="shared" si="16"/>
        <v>0</v>
      </c>
      <c r="AE24" s="31">
        <f t="shared" si="16"/>
        <v>409</v>
      </c>
      <c r="AF24" s="31">
        <f t="shared" si="16"/>
        <v>572</v>
      </c>
    </row>
    <row r="25" spans="2:32" ht="23.1" customHeight="1" x14ac:dyDescent="0.25">
      <c r="B25" s="45" t="s">
        <v>52</v>
      </c>
      <c r="C25" s="50">
        <v>12</v>
      </c>
      <c r="D25" s="50">
        <v>8</v>
      </c>
      <c r="E25" s="50">
        <v>9</v>
      </c>
      <c r="F25" s="50">
        <v>43</v>
      </c>
      <c r="G25" s="50">
        <v>0</v>
      </c>
      <c r="H25" s="50">
        <v>0</v>
      </c>
      <c r="I25" s="50">
        <v>8</v>
      </c>
      <c r="J25" s="50">
        <v>6</v>
      </c>
      <c r="K25" s="50">
        <v>5</v>
      </c>
      <c r="L25" s="50">
        <v>13</v>
      </c>
      <c r="M25" s="50">
        <v>111</v>
      </c>
      <c r="N25" s="50">
        <v>0</v>
      </c>
      <c r="O25" s="15">
        <f t="shared" si="0"/>
        <v>104</v>
      </c>
      <c r="P25" s="15">
        <f t="shared" si="1"/>
        <v>215</v>
      </c>
      <c r="R25" s="36" t="s">
        <v>149</v>
      </c>
      <c r="S25" s="34">
        <f>SUM(C70:C73)</f>
        <v>77</v>
      </c>
      <c r="T25" s="34">
        <f t="shared" ref="T25:AF25" si="17">SUM(D70:D73)</f>
        <v>49</v>
      </c>
      <c r="U25" s="34">
        <f t="shared" si="17"/>
        <v>51</v>
      </c>
      <c r="V25" s="34">
        <f t="shared" si="17"/>
        <v>58</v>
      </c>
      <c r="W25" s="34">
        <f t="shared" si="17"/>
        <v>4</v>
      </c>
      <c r="X25" s="34">
        <f t="shared" si="17"/>
        <v>20</v>
      </c>
      <c r="Y25" s="34">
        <f t="shared" si="17"/>
        <v>39</v>
      </c>
      <c r="Z25" s="34">
        <f t="shared" si="17"/>
        <v>18</v>
      </c>
      <c r="AA25" s="34">
        <f t="shared" si="17"/>
        <v>20</v>
      </c>
      <c r="AB25" s="34">
        <f t="shared" si="17"/>
        <v>77</v>
      </c>
      <c r="AC25" s="34">
        <f t="shared" si="17"/>
        <v>50</v>
      </c>
      <c r="AD25" s="34">
        <f t="shared" si="17"/>
        <v>0</v>
      </c>
      <c r="AE25" s="31">
        <f t="shared" si="17"/>
        <v>413</v>
      </c>
      <c r="AF25" s="31">
        <f t="shared" si="17"/>
        <v>463</v>
      </c>
    </row>
    <row r="26" spans="2:32" ht="23.1" customHeight="1" x14ac:dyDescent="0.25">
      <c r="B26" s="45" t="s">
        <v>53</v>
      </c>
      <c r="C26" s="50">
        <v>24</v>
      </c>
      <c r="D26" s="50">
        <v>13</v>
      </c>
      <c r="E26" s="50">
        <v>11</v>
      </c>
      <c r="F26" s="50">
        <v>41</v>
      </c>
      <c r="G26" s="50">
        <v>0</v>
      </c>
      <c r="H26" s="50">
        <v>1</v>
      </c>
      <c r="I26" s="50">
        <v>7</v>
      </c>
      <c r="J26" s="50">
        <v>5</v>
      </c>
      <c r="K26" s="50">
        <v>13</v>
      </c>
      <c r="L26" s="50">
        <v>7</v>
      </c>
      <c r="M26" s="50">
        <v>127</v>
      </c>
      <c r="N26" s="50">
        <v>0</v>
      </c>
      <c r="O26" s="15">
        <f t="shared" si="0"/>
        <v>122</v>
      </c>
      <c r="P26" s="15">
        <f t="shared" si="1"/>
        <v>249</v>
      </c>
      <c r="R26" s="36" t="s">
        <v>150</v>
      </c>
      <c r="S26" s="34">
        <f>SUM(C74:C77)</f>
        <v>58</v>
      </c>
      <c r="T26" s="34">
        <f t="shared" ref="T26:AF26" si="18">SUM(D74:D77)</f>
        <v>45</v>
      </c>
      <c r="U26" s="34">
        <f t="shared" si="18"/>
        <v>11</v>
      </c>
      <c r="V26" s="34">
        <f t="shared" si="18"/>
        <v>89</v>
      </c>
      <c r="W26" s="34">
        <f t="shared" si="18"/>
        <v>5</v>
      </c>
      <c r="X26" s="34">
        <f t="shared" si="18"/>
        <v>11</v>
      </c>
      <c r="Y26" s="34">
        <f t="shared" si="18"/>
        <v>38</v>
      </c>
      <c r="Z26" s="34">
        <f t="shared" si="18"/>
        <v>27</v>
      </c>
      <c r="AA26" s="34">
        <f t="shared" si="18"/>
        <v>13</v>
      </c>
      <c r="AB26" s="34">
        <f t="shared" si="18"/>
        <v>29</v>
      </c>
      <c r="AC26" s="34">
        <f t="shared" si="18"/>
        <v>61</v>
      </c>
      <c r="AD26" s="34">
        <f t="shared" si="18"/>
        <v>0</v>
      </c>
      <c r="AE26" s="31">
        <f t="shared" si="18"/>
        <v>326</v>
      </c>
      <c r="AF26" s="31">
        <f t="shared" si="18"/>
        <v>387</v>
      </c>
    </row>
    <row r="27" spans="2:32" ht="23.1" customHeight="1" x14ac:dyDescent="0.25">
      <c r="B27" s="45" t="s">
        <v>54</v>
      </c>
      <c r="C27" s="50">
        <v>15</v>
      </c>
      <c r="D27" s="50">
        <v>8</v>
      </c>
      <c r="E27" s="50">
        <v>4</v>
      </c>
      <c r="F27" s="50">
        <v>26</v>
      </c>
      <c r="G27" s="50">
        <v>2</v>
      </c>
      <c r="H27" s="50">
        <v>0</v>
      </c>
      <c r="I27" s="50">
        <v>6</v>
      </c>
      <c r="J27" s="50">
        <v>0</v>
      </c>
      <c r="K27" s="50">
        <v>4</v>
      </c>
      <c r="L27" s="50">
        <v>8</v>
      </c>
      <c r="M27" s="50">
        <v>115</v>
      </c>
      <c r="N27" s="50">
        <v>0</v>
      </c>
      <c r="O27" s="15">
        <f t="shared" si="0"/>
        <v>73</v>
      </c>
      <c r="P27" s="15">
        <f t="shared" si="1"/>
        <v>188</v>
      </c>
      <c r="R27" s="36" t="s">
        <v>151</v>
      </c>
      <c r="S27" s="34">
        <f>SUM(C78:C81)</f>
        <v>30</v>
      </c>
      <c r="T27" s="34">
        <f t="shared" ref="T27:AF27" si="19">SUM(D78:D81)</f>
        <v>9</v>
      </c>
      <c r="U27" s="34">
        <f t="shared" si="19"/>
        <v>13</v>
      </c>
      <c r="V27" s="34">
        <f t="shared" si="19"/>
        <v>28</v>
      </c>
      <c r="W27" s="34">
        <f t="shared" si="19"/>
        <v>4</v>
      </c>
      <c r="X27" s="34">
        <f t="shared" si="19"/>
        <v>0</v>
      </c>
      <c r="Y27" s="34">
        <f t="shared" si="19"/>
        <v>20</v>
      </c>
      <c r="Z27" s="34">
        <f t="shared" si="19"/>
        <v>27</v>
      </c>
      <c r="AA27" s="34">
        <f t="shared" si="19"/>
        <v>6</v>
      </c>
      <c r="AB27" s="34">
        <f t="shared" si="19"/>
        <v>18</v>
      </c>
      <c r="AC27" s="34">
        <f t="shared" si="19"/>
        <v>25</v>
      </c>
      <c r="AD27" s="34">
        <f t="shared" si="19"/>
        <v>0</v>
      </c>
      <c r="AE27" s="31">
        <f t="shared" si="19"/>
        <v>155</v>
      </c>
      <c r="AF27" s="31">
        <f t="shared" si="19"/>
        <v>180</v>
      </c>
    </row>
    <row r="28" spans="2:32" ht="23.1" customHeight="1" x14ac:dyDescent="0.25">
      <c r="B28" s="45" t="s">
        <v>55</v>
      </c>
      <c r="C28" s="50">
        <v>7</v>
      </c>
      <c r="D28" s="50">
        <v>15</v>
      </c>
      <c r="E28" s="50">
        <v>3</v>
      </c>
      <c r="F28" s="50">
        <v>34</v>
      </c>
      <c r="G28" s="50">
        <v>1</v>
      </c>
      <c r="H28" s="50">
        <v>0</v>
      </c>
      <c r="I28" s="50">
        <v>7</v>
      </c>
      <c r="J28" s="50">
        <v>6</v>
      </c>
      <c r="K28" s="50">
        <v>2</v>
      </c>
      <c r="L28" s="50">
        <v>18</v>
      </c>
      <c r="M28" s="50">
        <v>91</v>
      </c>
      <c r="N28" s="50">
        <v>0</v>
      </c>
      <c r="O28" s="15">
        <f t="shared" si="0"/>
        <v>93</v>
      </c>
      <c r="P28" s="15">
        <f t="shared" si="1"/>
        <v>184</v>
      </c>
      <c r="R28" s="36" t="s">
        <v>152</v>
      </c>
      <c r="S28" s="34">
        <f>SUM(C82:C85)</f>
        <v>21</v>
      </c>
      <c r="T28" s="34">
        <f t="shared" ref="T28:AF28" si="20">SUM(D82:D85)</f>
        <v>7</v>
      </c>
      <c r="U28" s="34">
        <f t="shared" si="20"/>
        <v>5</v>
      </c>
      <c r="V28" s="34">
        <f t="shared" si="20"/>
        <v>20</v>
      </c>
      <c r="W28" s="34">
        <f t="shared" si="20"/>
        <v>0</v>
      </c>
      <c r="X28" s="34">
        <f t="shared" si="20"/>
        <v>2</v>
      </c>
      <c r="Y28" s="34">
        <f t="shared" si="20"/>
        <v>26</v>
      </c>
      <c r="Z28" s="34">
        <f t="shared" si="20"/>
        <v>19</v>
      </c>
      <c r="AA28" s="34">
        <f t="shared" si="20"/>
        <v>3</v>
      </c>
      <c r="AB28" s="34">
        <f t="shared" si="20"/>
        <v>24</v>
      </c>
      <c r="AC28" s="34">
        <f t="shared" si="20"/>
        <v>31</v>
      </c>
      <c r="AD28" s="34">
        <f t="shared" si="20"/>
        <v>0</v>
      </c>
      <c r="AE28" s="31">
        <f t="shared" si="20"/>
        <v>127</v>
      </c>
      <c r="AF28" s="31">
        <f t="shared" si="20"/>
        <v>158</v>
      </c>
    </row>
    <row r="29" spans="2:32" ht="23.1" customHeight="1" x14ac:dyDescent="0.25">
      <c r="B29" s="45" t="s">
        <v>56</v>
      </c>
      <c r="C29" s="50">
        <v>14</v>
      </c>
      <c r="D29" s="50">
        <v>7</v>
      </c>
      <c r="E29" s="50">
        <v>4</v>
      </c>
      <c r="F29" s="50">
        <v>33</v>
      </c>
      <c r="G29" s="50">
        <v>3</v>
      </c>
      <c r="H29" s="50">
        <v>0</v>
      </c>
      <c r="I29" s="50">
        <v>2</v>
      </c>
      <c r="J29" s="50">
        <v>4</v>
      </c>
      <c r="K29" s="50">
        <v>5</v>
      </c>
      <c r="L29" s="50">
        <v>13</v>
      </c>
      <c r="M29" s="50">
        <v>145</v>
      </c>
      <c r="N29" s="50">
        <v>0</v>
      </c>
      <c r="O29" s="15">
        <f t="shared" si="0"/>
        <v>85</v>
      </c>
      <c r="P29" s="15">
        <f t="shared" si="1"/>
        <v>230</v>
      </c>
      <c r="R29" s="36" t="s">
        <v>153</v>
      </c>
      <c r="S29" s="34">
        <f>SUM(C86:C89)</f>
        <v>14</v>
      </c>
      <c r="T29" s="34">
        <f t="shared" ref="T29:AF29" si="21">SUM(D86:D89)</f>
        <v>6</v>
      </c>
      <c r="U29" s="34">
        <f t="shared" si="21"/>
        <v>5</v>
      </c>
      <c r="V29" s="34">
        <f t="shared" si="21"/>
        <v>9</v>
      </c>
      <c r="W29" s="34">
        <f t="shared" si="21"/>
        <v>1</v>
      </c>
      <c r="X29" s="34">
        <f t="shared" si="21"/>
        <v>3</v>
      </c>
      <c r="Y29" s="34">
        <f t="shared" si="21"/>
        <v>16</v>
      </c>
      <c r="Z29" s="34">
        <f t="shared" si="21"/>
        <v>13</v>
      </c>
      <c r="AA29" s="34">
        <f t="shared" si="21"/>
        <v>8</v>
      </c>
      <c r="AB29" s="34">
        <f t="shared" si="21"/>
        <v>17</v>
      </c>
      <c r="AC29" s="34">
        <f t="shared" si="21"/>
        <v>9</v>
      </c>
      <c r="AD29" s="34">
        <f t="shared" si="21"/>
        <v>0</v>
      </c>
      <c r="AE29" s="31">
        <f t="shared" si="21"/>
        <v>92</v>
      </c>
      <c r="AF29" s="31">
        <f t="shared" si="21"/>
        <v>101</v>
      </c>
    </row>
    <row r="30" spans="2:32" ht="23.1" customHeight="1" x14ac:dyDescent="0.25">
      <c r="B30" s="45" t="s">
        <v>57</v>
      </c>
      <c r="C30" s="50">
        <v>14</v>
      </c>
      <c r="D30" s="50">
        <v>9</v>
      </c>
      <c r="E30" s="50">
        <v>1</v>
      </c>
      <c r="F30" s="50">
        <v>23</v>
      </c>
      <c r="G30" s="50">
        <v>0</v>
      </c>
      <c r="H30" s="50">
        <v>0</v>
      </c>
      <c r="I30" s="50">
        <v>11</v>
      </c>
      <c r="J30" s="50">
        <v>4</v>
      </c>
      <c r="K30" s="50">
        <v>2</v>
      </c>
      <c r="L30" s="50">
        <v>9</v>
      </c>
      <c r="M30" s="50">
        <v>115</v>
      </c>
      <c r="N30" s="50">
        <v>0</v>
      </c>
      <c r="O30" s="15">
        <f t="shared" si="0"/>
        <v>73</v>
      </c>
      <c r="P30" s="15">
        <f t="shared" si="1"/>
        <v>188</v>
      </c>
      <c r="R30" s="36" t="s">
        <v>154</v>
      </c>
      <c r="S30" s="34">
        <f>SUM(C90:C93)</f>
        <v>12</v>
      </c>
      <c r="T30" s="34">
        <f t="shared" ref="T30:AF30" si="22">SUM(D90:D93)</f>
        <v>4</v>
      </c>
      <c r="U30" s="34">
        <f t="shared" si="22"/>
        <v>6</v>
      </c>
      <c r="V30" s="34">
        <f t="shared" si="22"/>
        <v>12</v>
      </c>
      <c r="W30" s="34">
        <f t="shared" si="22"/>
        <v>0</v>
      </c>
      <c r="X30" s="34">
        <f t="shared" si="22"/>
        <v>5</v>
      </c>
      <c r="Y30" s="34">
        <f t="shared" si="22"/>
        <v>8</v>
      </c>
      <c r="Z30" s="34">
        <f t="shared" si="22"/>
        <v>16</v>
      </c>
      <c r="AA30" s="34">
        <f t="shared" si="22"/>
        <v>11</v>
      </c>
      <c r="AB30" s="34">
        <f t="shared" si="22"/>
        <v>21</v>
      </c>
      <c r="AC30" s="34">
        <f t="shared" si="22"/>
        <v>10</v>
      </c>
      <c r="AD30" s="34">
        <f t="shared" si="22"/>
        <v>0</v>
      </c>
      <c r="AE30" s="31">
        <f t="shared" si="22"/>
        <v>95</v>
      </c>
      <c r="AF30" s="31">
        <f t="shared" si="22"/>
        <v>105</v>
      </c>
    </row>
    <row r="31" spans="2:32" ht="23.1" customHeight="1" x14ac:dyDescent="0.25">
      <c r="B31" s="46" t="s">
        <v>58</v>
      </c>
      <c r="C31" s="50">
        <v>30</v>
      </c>
      <c r="D31" s="50">
        <v>7</v>
      </c>
      <c r="E31" s="50">
        <v>6</v>
      </c>
      <c r="F31" s="50">
        <v>38</v>
      </c>
      <c r="G31" s="50">
        <v>1</v>
      </c>
      <c r="H31" s="50">
        <v>0</v>
      </c>
      <c r="I31" s="50">
        <v>10</v>
      </c>
      <c r="J31" s="50">
        <v>3</v>
      </c>
      <c r="K31" s="50">
        <v>1</v>
      </c>
      <c r="L31" s="50">
        <v>12</v>
      </c>
      <c r="M31" s="50">
        <v>94</v>
      </c>
      <c r="N31" s="50">
        <v>0</v>
      </c>
      <c r="O31" s="15">
        <f t="shared" si="0"/>
        <v>108</v>
      </c>
      <c r="P31" s="15">
        <f t="shared" si="1"/>
        <v>202</v>
      </c>
      <c r="R31" s="36" t="s">
        <v>155</v>
      </c>
      <c r="S31" s="34">
        <f>SUM(C94:C97)</f>
        <v>19</v>
      </c>
      <c r="T31" s="34">
        <f t="shared" ref="T31:AF31" si="23">SUM(D94:D97)</f>
        <v>2</v>
      </c>
      <c r="U31" s="34">
        <f t="shared" si="23"/>
        <v>10</v>
      </c>
      <c r="V31" s="34">
        <f t="shared" si="23"/>
        <v>38</v>
      </c>
      <c r="W31" s="34">
        <f t="shared" si="23"/>
        <v>3</v>
      </c>
      <c r="X31" s="34">
        <f t="shared" si="23"/>
        <v>4</v>
      </c>
      <c r="Y31" s="34">
        <f t="shared" si="23"/>
        <v>9</v>
      </c>
      <c r="Z31" s="34">
        <f t="shared" si="23"/>
        <v>13</v>
      </c>
      <c r="AA31" s="34">
        <f t="shared" si="23"/>
        <v>6</v>
      </c>
      <c r="AB31" s="34">
        <f t="shared" si="23"/>
        <v>44</v>
      </c>
      <c r="AC31" s="34">
        <f t="shared" si="23"/>
        <v>11</v>
      </c>
      <c r="AD31" s="34">
        <f t="shared" si="23"/>
        <v>0</v>
      </c>
      <c r="AE31" s="31">
        <f t="shared" si="23"/>
        <v>148</v>
      </c>
      <c r="AF31" s="31">
        <f t="shared" si="23"/>
        <v>159</v>
      </c>
    </row>
    <row r="32" spans="2:32" ht="23.1" customHeight="1" x14ac:dyDescent="0.25">
      <c r="B32" s="46" t="s">
        <v>59</v>
      </c>
      <c r="C32" s="50">
        <v>23</v>
      </c>
      <c r="D32" s="50">
        <v>21</v>
      </c>
      <c r="E32" s="50">
        <v>8</v>
      </c>
      <c r="F32" s="50">
        <v>34</v>
      </c>
      <c r="G32" s="50">
        <v>1</v>
      </c>
      <c r="H32" s="50">
        <v>0</v>
      </c>
      <c r="I32" s="50">
        <v>23</v>
      </c>
      <c r="J32" s="50">
        <v>13</v>
      </c>
      <c r="K32" s="50">
        <v>5</v>
      </c>
      <c r="L32" s="50">
        <v>21</v>
      </c>
      <c r="M32" s="50">
        <v>99</v>
      </c>
      <c r="N32" s="50">
        <v>0</v>
      </c>
      <c r="O32" s="15">
        <f t="shared" si="0"/>
        <v>149</v>
      </c>
      <c r="P32" s="15">
        <f t="shared" si="1"/>
        <v>248</v>
      </c>
      <c r="R32" s="33" t="s">
        <v>156</v>
      </c>
      <c r="S32" s="34">
        <f>SUM(C98:C101)</f>
        <v>71</v>
      </c>
      <c r="T32" s="34">
        <f t="shared" ref="T32:AF32" si="24">SUM(D98:D101)</f>
        <v>44</v>
      </c>
      <c r="U32" s="34">
        <f t="shared" si="24"/>
        <v>20</v>
      </c>
      <c r="V32" s="34">
        <f t="shared" si="24"/>
        <v>130</v>
      </c>
      <c r="W32" s="34">
        <f t="shared" si="24"/>
        <v>19</v>
      </c>
      <c r="X32" s="34">
        <f t="shared" si="24"/>
        <v>5</v>
      </c>
      <c r="Y32" s="34">
        <f t="shared" si="24"/>
        <v>17</v>
      </c>
      <c r="Z32" s="34">
        <f t="shared" si="24"/>
        <v>25</v>
      </c>
      <c r="AA32" s="34">
        <f t="shared" si="24"/>
        <v>7</v>
      </c>
      <c r="AB32" s="34">
        <f t="shared" si="24"/>
        <v>75</v>
      </c>
      <c r="AC32" s="34">
        <f t="shared" si="24"/>
        <v>38</v>
      </c>
      <c r="AD32" s="34">
        <f t="shared" si="24"/>
        <v>0</v>
      </c>
      <c r="AE32" s="31">
        <f t="shared" si="24"/>
        <v>413</v>
      </c>
      <c r="AF32" s="31">
        <f t="shared" si="24"/>
        <v>451</v>
      </c>
    </row>
    <row r="33" spans="2:32" ht="23.1" customHeight="1" x14ac:dyDescent="0.25">
      <c r="B33" s="45" t="s">
        <v>60</v>
      </c>
      <c r="C33" s="50">
        <v>28</v>
      </c>
      <c r="D33" s="50">
        <v>10</v>
      </c>
      <c r="E33" s="50">
        <v>4</v>
      </c>
      <c r="F33" s="50">
        <v>36</v>
      </c>
      <c r="G33" s="50">
        <v>4</v>
      </c>
      <c r="H33" s="50">
        <v>0</v>
      </c>
      <c r="I33" s="50">
        <v>14</v>
      </c>
      <c r="J33" s="50">
        <v>13</v>
      </c>
      <c r="K33" s="50">
        <v>3</v>
      </c>
      <c r="L33" s="50">
        <v>17</v>
      </c>
      <c r="M33" s="50">
        <v>113</v>
      </c>
      <c r="N33" s="50">
        <v>0</v>
      </c>
      <c r="O33" s="15">
        <f t="shared" si="0"/>
        <v>129</v>
      </c>
      <c r="P33" s="15">
        <f t="shared" si="1"/>
        <v>242</v>
      </c>
      <c r="R33" s="33" t="s">
        <v>157</v>
      </c>
      <c r="S33" s="34">
        <f>SUM(C102:C105)</f>
        <v>155</v>
      </c>
      <c r="T33" s="34">
        <f t="shared" ref="T33:AF33" si="25">SUM(D102:D105)</f>
        <v>91</v>
      </c>
      <c r="U33" s="34">
        <f t="shared" si="25"/>
        <v>34</v>
      </c>
      <c r="V33" s="34">
        <f t="shared" si="25"/>
        <v>200</v>
      </c>
      <c r="W33" s="34">
        <f t="shared" si="25"/>
        <v>22</v>
      </c>
      <c r="X33" s="34">
        <f t="shared" si="25"/>
        <v>5</v>
      </c>
      <c r="Y33" s="34">
        <f t="shared" si="25"/>
        <v>22</v>
      </c>
      <c r="Z33" s="34">
        <f t="shared" si="25"/>
        <v>12</v>
      </c>
      <c r="AA33" s="34">
        <f t="shared" si="25"/>
        <v>30</v>
      </c>
      <c r="AB33" s="34">
        <f t="shared" si="25"/>
        <v>175</v>
      </c>
      <c r="AC33" s="34">
        <f t="shared" si="25"/>
        <v>47</v>
      </c>
      <c r="AD33" s="34">
        <f t="shared" si="25"/>
        <v>0</v>
      </c>
      <c r="AE33" s="31">
        <f t="shared" si="25"/>
        <v>746</v>
      </c>
      <c r="AF33" s="31">
        <f t="shared" si="25"/>
        <v>793</v>
      </c>
    </row>
    <row r="34" spans="2:32" ht="23.1" customHeight="1" x14ac:dyDescent="0.25">
      <c r="B34" s="46" t="s">
        <v>61</v>
      </c>
      <c r="C34" s="50">
        <v>15</v>
      </c>
      <c r="D34" s="50">
        <v>14</v>
      </c>
      <c r="E34" s="50">
        <v>4</v>
      </c>
      <c r="F34" s="50">
        <v>32</v>
      </c>
      <c r="G34" s="50">
        <v>2</v>
      </c>
      <c r="H34" s="50">
        <v>1</v>
      </c>
      <c r="I34" s="50">
        <v>9</v>
      </c>
      <c r="J34" s="50">
        <v>6</v>
      </c>
      <c r="K34" s="50">
        <v>5</v>
      </c>
      <c r="L34" s="50">
        <v>12</v>
      </c>
      <c r="M34" s="50">
        <v>95</v>
      </c>
      <c r="N34" s="50">
        <v>0</v>
      </c>
      <c r="O34" s="15">
        <f t="shared" si="0"/>
        <v>100</v>
      </c>
      <c r="P34" s="15">
        <f t="shared" si="1"/>
        <v>195</v>
      </c>
      <c r="R34" s="38" t="s">
        <v>90</v>
      </c>
      <c r="S34" s="39">
        <f t="shared" ref="S34:AF34" si="26">MAX(S10:S12)</f>
        <v>91</v>
      </c>
      <c r="T34" s="39">
        <f t="shared" si="26"/>
        <v>37</v>
      </c>
      <c r="U34" s="39">
        <f t="shared" si="26"/>
        <v>26</v>
      </c>
      <c r="V34" s="39">
        <f t="shared" si="26"/>
        <v>173</v>
      </c>
      <c r="W34" s="39">
        <f t="shared" si="26"/>
        <v>12</v>
      </c>
      <c r="X34" s="39">
        <f t="shared" si="26"/>
        <v>9</v>
      </c>
      <c r="Y34" s="39">
        <f t="shared" si="26"/>
        <v>23</v>
      </c>
      <c r="Z34" s="39">
        <f t="shared" si="26"/>
        <v>24</v>
      </c>
      <c r="AA34" s="39">
        <f t="shared" si="26"/>
        <v>14</v>
      </c>
      <c r="AB34" s="39">
        <f t="shared" si="26"/>
        <v>48</v>
      </c>
      <c r="AC34" s="39">
        <f t="shared" si="26"/>
        <v>596</v>
      </c>
      <c r="AD34" s="39">
        <f t="shared" si="26"/>
        <v>0</v>
      </c>
      <c r="AE34" s="40">
        <f t="shared" si="26"/>
        <v>415</v>
      </c>
      <c r="AF34" s="40">
        <f t="shared" si="26"/>
        <v>1011</v>
      </c>
    </row>
    <row r="35" spans="2:32" ht="23.1" customHeight="1" x14ac:dyDescent="0.25">
      <c r="B35" s="46" t="s">
        <v>62</v>
      </c>
      <c r="C35" s="50">
        <v>23</v>
      </c>
      <c r="D35" s="50">
        <v>14</v>
      </c>
      <c r="E35" s="50">
        <v>9</v>
      </c>
      <c r="F35" s="50">
        <v>46</v>
      </c>
      <c r="G35" s="50">
        <v>3</v>
      </c>
      <c r="H35" s="50">
        <v>1</v>
      </c>
      <c r="I35" s="50">
        <v>13</v>
      </c>
      <c r="J35" s="50">
        <v>7</v>
      </c>
      <c r="K35" s="50">
        <v>5</v>
      </c>
      <c r="L35" s="50">
        <v>9</v>
      </c>
      <c r="M35" s="50">
        <v>91</v>
      </c>
      <c r="N35" s="50">
        <v>0</v>
      </c>
      <c r="O35" s="15">
        <f t="shared" si="0"/>
        <v>130</v>
      </c>
      <c r="P35" s="15">
        <f t="shared" si="1"/>
        <v>221</v>
      </c>
      <c r="R35" s="38" t="s">
        <v>91</v>
      </c>
      <c r="S35" s="39">
        <f t="shared" ref="S35:AF35" si="27">MAX(S13:S18)</f>
        <v>95</v>
      </c>
      <c r="T35" s="39">
        <f t="shared" si="27"/>
        <v>65</v>
      </c>
      <c r="U35" s="39">
        <f t="shared" si="27"/>
        <v>41</v>
      </c>
      <c r="V35" s="39">
        <f t="shared" si="27"/>
        <v>215</v>
      </c>
      <c r="W35" s="39">
        <f t="shared" si="27"/>
        <v>10</v>
      </c>
      <c r="X35" s="39">
        <f t="shared" si="27"/>
        <v>5</v>
      </c>
      <c r="Y35" s="39">
        <f t="shared" si="27"/>
        <v>58</v>
      </c>
      <c r="Z35" s="39">
        <f t="shared" si="27"/>
        <v>33</v>
      </c>
      <c r="AA35" s="39">
        <f t="shared" si="27"/>
        <v>28</v>
      </c>
      <c r="AB35" s="39">
        <f t="shared" si="27"/>
        <v>59</v>
      </c>
      <c r="AC35" s="39">
        <f t="shared" si="27"/>
        <v>518</v>
      </c>
      <c r="AD35" s="39">
        <f t="shared" si="27"/>
        <v>1</v>
      </c>
      <c r="AE35" s="40">
        <f t="shared" si="27"/>
        <v>559</v>
      </c>
      <c r="AF35" s="40">
        <f t="shared" si="27"/>
        <v>896</v>
      </c>
    </row>
    <row r="36" spans="2:32" ht="23.1" customHeight="1" x14ac:dyDescent="0.25">
      <c r="B36" s="46" t="s">
        <v>63</v>
      </c>
      <c r="C36" s="50">
        <v>33</v>
      </c>
      <c r="D36" s="50">
        <v>13</v>
      </c>
      <c r="E36" s="50">
        <v>8</v>
      </c>
      <c r="F36" s="50">
        <v>44</v>
      </c>
      <c r="G36" s="50">
        <v>0</v>
      </c>
      <c r="H36" s="50">
        <v>1</v>
      </c>
      <c r="I36" s="50">
        <v>4</v>
      </c>
      <c r="J36" s="50">
        <v>1</v>
      </c>
      <c r="K36" s="50">
        <v>8</v>
      </c>
      <c r="L36" s="50">
        <v>7</v>
      </c>
      <c r="M36" s="50">
        <v>82</v>
      </c>
      <c r="N36" s="50">
        <v>0</v>
      </c>
      <c r="O36" s="15">
        <f t="shared" si="0"/>
        <v>119</v>
      </c>
      <c r="P36" s="15">
        <f t="shared" si="1"/>
        <v>201</v>
      </c>
      <c r="R36" s="38" t="s">
        <v>92</v>
      </c>
      <c r="S36" s="39">
        <f t="shared" ref="S36:AF36" si="28">MAX(S19:S21)</f>
        <v>116</v>
      </c>
      <c r="T36" s="39">
        <f t="shared" si="28"/>
        <v>63</v>
      </c>
      <c r="U36" s="39">
        <f t="shared" si="28"/>
        <v>30</v>
      </c>
      <c r="V36" s="39">
        <f t="shared" si="28"/>
        <v>257</v>
      </c>
      <c r="W36" s="39">
        <f t="shared" si="28"/>
        <v>17</v>
      </c>
      <c r="X36" s="39">
        <f t="shared" si="28"/>
        <v>7</v>
      </c>
      <c r="Y36" s="39">
        <f t="shared" si="28"/>
        <v>31</v>
      </c>
      <c r="Z36" s="39">
        <f t="shared" si="28"/>
        <v>27</v>
      </c>
      <c r="AA36" s="39">
        <f t="shared" si="28"/>
        <v>22</v>
      </c>
      <c r="AB36" s="39">
        <f t="shared" si="28"/>
        <v>59</v>
      </c>
      <c r="AC36" s="39">
        <f t="shared" si="28"/>
        <v>523</v>
      </c>
      <c r="AD36" s="39">
        <f t="shared" si="28"/>
        <v>1</v>
      </c>
      <c r="AE36" s="40">
        <f t="shared" si="28"/>
        <v>579</v>
      </c>
      <c r="AF36" s="40">
        <f t="shared" si="28"/>
        <v>1102</v>
      </c>
    </row>
    <row r="37" spans="2:32" ht="23.1" customHeight="1" x14ac:dyDescent="0.25">
      <c r="B37" s="45" t="s">
        <v>64</v>
      </c>
      <c r="C37" s="50">
        <v>18</v>
      </c>
      <c r="D37" s="50">
        <v>16</v>
      </c>
      <c r="E37" s="50">
        <v>8</v>
      </c>
      <c r="F37" s="50">
        <v>66</v>
      </c>
      <c r="G37" s="50">
        <v>5</v>
      </c>
      <c r="H37" s="50">
        <v>2</v>
      </c>
      <c r="I37" s="50">
        <v>1</v>
      </c>
      <c r="J37" s="50">
        <v>3</v>
      </c>
      <c r="K37" s="50">
        <v>10</v>
      </c>
      <c r="L37" s="50">
        <v>28</v>
      </c>
      <c r="M37" s="50">
        <v>106</v>
      </c>
      <c r="N37" s="50">
        <v>0</v>
      </c>
      <c r="O37" s="15">
        <f t="shared" si="0"/>
        <v>157</v>
      </c>
      <c r="P37" s="15">
        <f t="shared" si="1"/>
        <v>263</v>
      </c>
      <c r="R37" s="37" t="s">
        <v>85</v>
      </c>
      <c r="S37" s="35">
        <f t="shared" ref="S37:AF37" si="29">SUM(S10:S12)</f>
        <v>223</v>
      </c>
      <c r="T37" s="16">
        <f t="shared" si="29"/>
        <v>101</v>
      </c>
      <c r="U37" s="16">
        <f t="shared" si="29"/>
        <v>71</v>
      </c>
      <c r="V37" s="16">
        <f t="shared" si="29"/>
        <v>363</v>
      </c>
      <c r="W37" s="16">
        <f t="shared" si="29"/>
        <v>24</v>
      </c>
      <c r="X37" s="16">
        <f t="shared" si="29"/>
        <v>13</v>
      </c>
      <c r="Y37" s="16">
        <f t="shared" si="29"/>
        <v>44</v>
      </c>
      <c r="Z37" s="16">
        <f t="shared" si="29"/>
        <v>50</v>
      </c>
      <c r="AA37" s="16">
        <f t="shared" si="29"/>
        <v>29</v>
      </c>
      <c r="AB37" s="16">
        <f t="shared" si="29"/>
        <v>142</v>
      </c>
      <c r="AC37" s="16">
        <f t="shared" si="29"/>
        <v>1494</v>
      </c>
      <c r="AD37" s="16">
        <f t="shared" si="29"/>
        <v>0</v>
      </c>
      <c r="AE37" s="32">
        <f t="shared" si="29"/>
        <v>1060</v>
      </c>
      <c r="AF37" s="32">
        <f t="shared" si="29"/>
        <v>2554</v>
      </c>
    </row>
    <row r="38" spans="2:32" ht="23.1" customHeight="1" x14ac:dyDescent="0.25">
      <c r="B38" s="46" t="s">
        <v>65</v>
      </c>
      <c r="C38" s="50">
        <v>19</v>
      </c>
      <c r="D38" s="50">
        <v>16</v>
      </c>
      <c r="E38" s="50">
        <v>7</v>
      </c>
      <c r="F38" s="50">
        <v>52</v>
      </c>
      <c r="G38" s="50">
        <v>1</v>
      </c>
      <c r="H38" s="50">
        <v>0</v>
      </c>
      <c r="I38" s="50">
        <v>2</v>
      </c>
      <c r="J38" s="50">
        <v>4</v>
      </c>
      <c r="K38" s="50">
        <v>6</v>
      </c>
      <c r="L38" s="50">
        <v>13</v>
      </c>
      <c r="M38" s="50">
        <v>87</v>
      </c>
      <c r="N38" s="50">
        <v>1</v>
      </c>
      <c r="O38" s="15">
        <f t="shared" si="0"/>
        <v>121</v>
      </c>
      <c r="P38" s="15">
        <f t="shared" si="1"/>
        <v>208</v>
      </c>
      <c r="R38" s="28" t="s">
        <v>86</v>
      </c>
      <c r="S38" s="16">
        <f t="shared" ref="S38:AF38" si="30">SUM(S13:S18)</f>
        <v>488</v>
      </c>
      <c r="T38" s="16">
        <f t="shared" si="30"/>
        <v>286</v>
      </c>
      <c r="U38" s="16">
        <f t="shared" si="30"/>
        <v>170</v>
      </c>
      <c r="V38" s="16">
        <f t="shared" si="30"/>
        <v>956</v>
      </c>
      <c r="W38" s="16">
        <f t="shared" si="30"/>
        <v>35</v>
      </c>
      <c r="X38" s="16">
        <f t="shared" si="30"/>
        <v>9</v>
      </c>
      <c r="Y38" s="16">
        <f t="shared" si="30"/>
        <v>192</v>
      </c>
      <c r="Z38" s="16">
        <f t="shared" si="30"/>
        <v>116</v>
      </c>
      <c r="AA38" s="16">
        <f t="shared" si="30"/>
        <v>117</v>
      </c>
      <c r="AB38" s="16">
        <f t="shared" si="30"/>
        <v>317</v>
      </c>
      <c r="AC38" s="16">
        <f t="shared" si="30"/>
        <v>2545</v>
      </c>
      <c r="AD38" s="16">
        <f t="shared" si="30"/>
        <v>1</v>
      </c>
      <c r="AE38" s="32">
        <f t="shared" si="30"/>
        <v>2687</v>
      </c>
      <c r="AF38" s="32">
        <f t="shared" si="30"/>
        <v>5232</v>
      </c>
    </row>
    <row r="39" spans="2:32" ht="23.1" customHeight="1" x14ac:dyDescent="0.25">
      <c r="B39" s="46" t="s">
        <v>66</v>
      </c>
      <c r="C39" s="50">
        <v>18</v>
      </c>
      <c r="D39" s="50">
        <v>12</v>
      </c>
      <c r="E39" s="50">
        <v>9</v>
      </c>
      <c r="F39" s="50">
        <v>42</v>
      </c>
      <c r="G39" s="50">
        <v>2</v>
      </c>
      <c r="H39" s="50">
        <v>0</v>
      </c>
      <c r="I39" s="50">
        <v>6</v>
      </c>
      <c r="J39" s="50">
        <v>8</v>
      </c>
      <c r="K39" s="50">
        <v>3</v>
      </c>
      <c r="L39" s="50">
        <v>9</v>
      </c>
      <c r="M39" s="50">
        <v>68</v>
      </c>
      <c r="N39" s="50">
        <v>0</v>
      </c>
      <c r="O39" s="15">
        <f t="shared" si="0"/>
        <v>109</v>
      </c>
      <c r="P39" s="15">
        <f t="shared" si="1"/>
        <v>177</v>
      </c>
      <c r="R39" s="29" t="s">
        <v>87</v>
      </c>
      <c r="S39" s="16">
        <f t="shared" ref="S39:AF39" si="31">SUM(S19:S21)</f>
        <v>325</v>
      </c>
      <c r="T39" s="16">
        <f t="shared" si="31"/>
        <v>172</v>
      </c>
      <c r="U39" s="16">
        <f t="shared" si="31"/>
        <v>86</v>
      </c>
      <c r="V39" s="16">
        <f t="shared" si="31"/>
        <v>685</v>
      </c>
      <c r="W39" s="16">
        <f t="shared" si="31"/>
        <v>36</v>
      </c>
      <c r="X39" s="16">
        <f t="shared" si="31"/>
        <v>17</v>
      </c>
      <c r="Y39" s="16">
        <f t="shared" si="31"/>
        <v>72</v>
      </c>
      <c r="Z39" s="16">
        <f t="shared" si="31"/>
        <v>64</v>
      </c>
      <c r="AA39" s="16">
        <f t="shared" si="31"/>
        <v>56</v>
      </c>
      <c r="AB39" s="16">
        <f t="shared" si="31"/>
        <v>137</v>
      </c>
      <c r="AC39" s="16">
        <f t="shared" si="31"/>
        <v>1408</v>
      </c>
      <c r="AD39" s="16">
        <f t="shared" si="31"/>
        <v>1</v>
      </c>
      <c r="AE39" s="32">
        <f t="shared" si="31"/>
        <v>1651</v>
      </c>
      <c r="AF39" s="32">
        <f t="shared" si="31"/>
        <v>3059</v>
      </c>
    </row>
    <row r="40" spans="2:32" ht="23.1" customHeight="1" x14ac:dyDescent="0.25">
      <c r="B40" s="46" t="s">
        <v>67</v>
      </c>
      <c r="C40" s="50">
        <v>20</v>
      </c>
      <c r="D40" s="50">
        <v>18</v>
      </c>
      <c r="E40" s="50">
        <v>7</v>
      </c>
      <c r="F40" s="50">
        <v>46</v>
      </c>
      <c r="G40" s="50">
        <v>0</v>
      </c>
      <c r="H40" s="50">
        <v>0</v>
      </c>
      <c r="I40" s="50">
        <v>13</v>
      </c>
      <c r="J40" s="50">
        <v>8</v>
      </c>
      <c r="K40" s="50">
        <v>7</v>
      </c>
      <c r="L40" s="50">
        <v>23</v>
      </c>
      <c r="M40" s="50">
        <v>91</v>
      </c>
      <c r="N40" s="50">
        <v>0</v>
      </c>
      <c r="O40" s="15">
        <f t="shared" si="0"/>
        <v>142</v>
      </c>
      <c r="P40" s="15">
        <f t="shared" si="1"/>
        <v>233</v>
      </c>
      <c r="R40" s="5" t="s">
        <v>17</v>
      </c>
      <c r="S40" s="16">
        <f t="shared" ref="S40:AF40" si="32">SUM(S10:S21)</f>
        <v>1036</v>
      </c>
      <c r="T40" s="16">
        <f t="shared" si="32"/>
        <v>559</v>
      </c>
      <c r="U40" s="16">
        <f t="shared" si="32"/>
        <v>327</v>
      </c>
      <c r="V40" s="16">
        <f t="shared" si="32"/>
        <v>2004</v>
      </c>
      <c r="W40" s="16">
        <f t="shared" si="32"/>
        <v>95</v>
      </c>
      <c r="X40" s="16">
        <f t="shared" si="32"/>
        <v>39</v>
      </c>
      <c r="Y40" s="16">
        <f t="shared" si="32"/>
        <v>308</v>
      </c>
      <c r="Z40" s="16">
        <f t="shared" si="32"/>
        <v>230</v>
      </c>
      <c r="AA40" s="16">
        <f t="shared" si="32"/>
        <v>202</v>
      </c>
      <c r="AB40" s="16">
        <f t="shared" si="32"/>
        <v>596</v>
      </c>
      <c r="AC40" s="16">
        <f t="shared" si="32"/>
        <v>5447</v>
      </c>
      <c r="AD40" s="16">
        <f t="shared" si="32"/>
        <v>2</v>
      </c>
      <c r="AE40" s="32">
        <f t="shared" si="32"/>
        <v>5398</v>
      </c>
      <c r="AF40" s="32">
        <f t="shared" si="32"/>
        <v>10845</v>
      </c>
    </row>
    <row r="41" spans="2:32" ht="23.1" customHeight="1" x14ac:dyDescent="0.25">
      <c r="B41" s="45" t="s">
        <v>68</v>
      </c>
      <c r="C41" s="50">
        <v>36</v>
      </c>
      <c r="D41" s="50">
        <v>19</v>
      </c>
      <c r="E41" s="50">
        <v>14</v>
      </c>
      <c r="F41" s="50">
        <v>75</v>
      </c>
      <c r="G41" s="50">
        <v>5</v>
      </c>
      <c r="H41" s="50">
        <v>1</v>
      </c>
      <c r="I41" s="50">
        <v>11</v>
      </c>
      <c r="J41" s="50">
        <v>13</v>
      </c>
      <c r="K41" s="50">
        <v>5</v>
      </c>
      <c r="L41" s="50">
        <v>8</v>
      </c>
      <c r="M41" s="50">
        <v>91</v>
      </c>
      <c r="N41" s="50">
        <v>0</v>
      </c>
      <c r="O41" s="15">
        <f t="shared" si="0"/>
        <v>187</v>
      </c>
      <c r="P41" s="15">
        <f t="shared" si="1"/>
        <v>278</v>
      </c>
      <c r="R41" s="5" t="s">
        <v>159</v>
      </c>
      <c r="S41" s="16">
        <f>SUM(S10:S33)</f>
        <v>1840</v>
      </c>
      <c r="T41" s="16">
        <f t="shared" ref="T41:AF41" si="33">SUM(T10:T33)</f>
        <v>1009</v>
      </c>
      <c r="U41" s="16">
        <f t="shared" si="33"/>
        <v>550</v>
      </c>
      <c r="V41" s="16">
        <f t="shared" si="33"/>
        <v>2949</v>
      </c>
      <c r="W41" s="16">
        <f t="shared" si="33"/>
        <v>178</v>
      </c>
      <c r="X41" s="16">
        <f t="shared" si="33"/>
        <v>108</v>
      </c>
      <c r="Y41" s="16">
        <f t="shared" si="33"/>
        <v>630</v>
      </c>
      <c r="Z41" s="16">
        <f t="shared" si="33"/>
        <v>487</v>
      </c>
      <c r="AA41" s="16">
        <f t="shared" si="33"/>
        <v>342</v>
      </c>
      <c r="AB41" s="16">
        <f t="shared" si="33"/>
        <v>1159</v>
      </c>
      <c r="AC41" s="16">
        <f t="shared" si="33"/>
        <v>6438</v>
      </c>
      <c r="AD41" s="16">
        <f t="shared" si="33"/>
        <v>2</v>
      </c>
      <c r="AE41" s="32">
        <f t="shared" si="33"/>
        <v>9254</v>
      </c>
      <c r="AF41" s="32">
        <f t="shared" si="33"/>
        <v>15692</v>
      </c>
    </row>
    <row r="42" spans="2:32" ht="23.1" customHeight="1" x14ac:dyDescent="0.25">
      <c r="B42" s="46" t="s">
        <v>69</v>
      </c>
      <c r="C42" s="50">
        <v>23</v>
      </c>
      <c r="D42" s="50">
        <v>11</v>
      </c>
      <c r="E42" s="50">
        <v>12</v>
      </c>
      <c r="F42" s="50">
        <v>35</v>
      </c>
      <c r="G42" s="50">
        <v>1</v>
      </c>
      <c r="H42" s="50">
        <v>0</v>
      </c>
      <c r="I42" s="50">
        <v>4</v>
      </c>
      <c r="J42" s="50">
        <v>3</v>
      </c>
      <c r="K42" s="50">
        <v>8</v>
      </c>
      <c r="L42" s="50">
        <v>7</v>
      </c>
      <c r="M42" s="50">
        <v>77</v>
      </c>
      <c r="N42" s="50">
        <v>0</v>
      </c>
      <c r="O42" s="15">
        <f t="shared" si="0"/>
        <v>104</v>
      </c>
      <c r="P42" s="15">
        <f t="shared" si="1"/>
        <v>181</v>
      </c>
      <c r="R42" s="5" t="s">
        <v>160</v>
      </c>
      <c r="S42" s="48">
        <f>S41/S40</f>
        <v>1.7760617760617761</v>
      </c>
      <c r="T42" s="48">
        <f t="shared" ref="T42:AF42" si="34">T41/T40</f>
        <v>1.8050089445438282</v>
      </c>
      <c r="U42" s="48">
        <f t="shared" si="34"/>
        <v>1.6819571865443426</v>
      </c>
      <c r="V42" s="48">
        <f t="shared" si="34"/>
        <v>1.471556886227545</v>
      </c>
      <c r="W42" s="48">
        <f t="shared" si="34"/>
        <v>1.8736842105263158</v>
      </c>
      <c r="X42" s="48">
        <f t="shared" si="34"/>
        <v>2.7692307692307692</v>
      </c>
      <c r="Y42" s="48">
        <f t="shared" si="34"/>
        <v>2.0454545454545454</v>
      </c>
      <c r="Z42" s="48">
        <f t="shared" si="34"/>
        <v>2.1173913043478261</v>
      </c>
      <c r="AA42" s="48">
        <f t="shared" si="34"/>
        <v>1.693069306930693</v>
      </c>
      <c r="AB42" s="48">
        <f t="shared" si="34"/>
        <v>1.9446308724832215</v>
      </c>
      <c r="AC42" s="48">
        <f t="shared" si="34"/>
        <v>1.1819350100973012</v>
      </c>
      <c r="AD42" s="48">
        <f t="shared" si="34"/>
        <v>1</v>
      </c>
      <c r="AE42" s="48">
        <f t="shared" si="34"/>
        <v>1.7143386439422008</v>
      </c>
      <c r="AF42" s="48">
        <f t="shared" si="34"/>
        <v>1.446934071000461</v>
      </c>
    </row>
    <row r="43" spans="2:32" ht="23.1" customHeight="1" x14ac:dyDescent="0.25">
      <c r="B43" s="45" t="s">
        <v>70</v>
      </c>
      <c r="C43" s="50">
        <v>16</v>
      </c>
      <c r="D43" s="50">
        <v>6</v>
      </c>
      <c r="E43" s="50">
        <v>8</v>
      </c>
      <c r="F43" s="50">
        <v>43</v>
      </c>
      <c r="G43" s="50">
        <v>0</v>
      </c>
      <c r="H43" s="50">
        <v>1</v>
      </c>
      <c r="I43" s="50">
        <v>7</v>
      </c>
      <c r="J43" s="50">
        <v>0</v>
      </c>
      <c r="K43" s="50">
        <v>1</v>
      </c>
      <c r="L43" s="50">
        <v>17</v>
      </c>
      <c r="M43" s="50">
        <v>95</v>
      </c>
      <c r="N43" s="50">
        <v>0</v>
      </c>
      <c r="O43" s="15">
        <f t="shared" si="0"/>
        <v>99</v>
      </c>
      <c r="P43" s="15">
        <f t="shared" si="1"/>
        <v>194</v>
      </c>
    </row>
    <row r="44" spans="2:32" ht="23.1" customHeight="1" x14ac:dyDescent="0.25">
      <c r="B44" s="47" t="s">
        <v>71</v>
      </c>
      <c r="C44" s="50">
        <v>16</v>
      </c>
      <c r="D44" s="50">
        <v>8</v>
      </c>
      <c r="E44" s="50">
        <v>12</v>
      </c>
      <c r="F44" s="50">
        <v>46</v>
      </c>
      <c r="G44" s="50">
        <v>1</v>
      </c>
      <c r="H44" s="50">
        <v>0</v>
      </c>
      <c r="I44" s="50">
        <v>3</v>
      </c>
      <c r="J44" s="50">
        <v>2</v>
      </c>
      <c r="K44" s="50">
        <v>4</v>
      </c>
      <c r="L44" s="50">
        <v>21</v>
      </c>
      <c r="M44" s="50">
        <v>127</v>
      </c>
      <c r="N44" s="50">
        <v>0</v>
      </c>
      <c r="O44" s="15">
        <f t="shared" si="0"/>
        <v>113</v>
      </c>
      <c r="P44" s="15">
        <f t="shared" si="1"/>
        <v>240</v>
      </c>
    </row>
    <row r="45" spans="2:32" ht="23.1" customHeight="1" x14ac:dyDescent="0.25">
      <c r="B45" s="45" t="s">
        <v>72</v>
      </c>
      <c r="C45" s="50">
        <v>34</v>
      </c>
      <c r="D45" s="50">
        <v>13</v>
      </c>
      <c r="E45" s="50">
        <v>9</v>
      </c>
      <c r="F45" s="50">
        <v>24</v>
      </c>
      <c r="G45" s="50">
        <v>1</v>
      </c>
      <c r="H45" s="50">
        <v>0</v>
      </c>
      <c r="I45" s="50">
        <v>12</v>
      </c>
      <c r="J45" s="50">
        <v>2</v>
      </c>
      <c r="K45" s="50">
        <v>5</v>
      </c>
      <c r="L45" s="50">
        <v>6</v>
      </c>
      <c r="M45" s="50">
        <v>118</v>
      </c>
      <c r="N45" s="50">
        <v>0</v>
      </c>
      <c r="O45" s="15">
        <f t="shared" si="0"/>
        <v>106</v>
      </c>
      <c r="P45" s="15">
        <f t="shared" si="1"/>
        <v>224</v>
      </c>
    </row>
    <row r="46" spans="2:32" ht="23.1" customHeight="1" x14ac:dyDescent="0.25">
      <c r="B46" s="46" t="s">
        <v>73</v>
      </c>
      <c r="C46" s="50">
        <v>27</v>
      </c>
      <c r="D46" s="50">
        <v>10</v>
      </c>
      <c r="E46" s="50">
        <v>6</v>
      </c>
      <c r="F46" s="50">
        <v>47</v>
      </c>
      <c r="G46" s="50">
        <v>3</v>
      </c>
      <c r="H46" s="50">
        <v>2</v>
      </c>
      <c r="I46" s="50">
        <v>2</v>
      </c>
      <c r="J46" s="50">
        <v>1</v>
      </c>
      <c r="K46" s="50">
        <v>2</v>
      </c>
      <c r="L46" s="50">
        <v>8</v>
      </c>
      <c r="M46" s="50">
        <v>93</v>
      </c>
      <c r="N46" s="50">
        <v>0</v>
      </c>
      <c r="O46" s="15">
        <f t="shared" si="0"/>
        <v>108</v>
      </c>
      <c r="P46" s="15">
        <f t="shared" si="1"/>
        <v>201</v>
      </c>
      <c r="R46" s="8"/>
      <c r="T46"/>
    </row>
    <row r="47" spans="2:32" ht="23.1" customHeight="1" x14ac:dyDescent="0.25">
      <c r="B47" s="46" t="s">
        <v>74</v>
      </c>
      <c r="C47" s="50">
        <v>19</v>
      </c>
      <c r="D47" s="50">
        <v>18</v>
      </c>
      <c r="E47" s="50">
        <v>10</v>
      </c>
      <c r="F47" s="50">
        <v>53</v>
      </c>
      <c r="G47" s="50">
        <v>3</v>
      </c>
      <c r="H47" s="50">
        <v>1</v>
      </c>
      <c r="I47" s="50">
        <v>8</v>
      </c>
      <c r="J47" s="50">
        <v>8</v>
      </c>
      <c r="K47" s="50">
        <v>3</v>
      </c>
      <c r="L47" s="50">
        <v>9</v>
      </c>
      <c r="M47" s="50">
        <v>106</v>
      </c>
      <c r="N47" s="50">
        <v>0</v>
      </c>
      <c r="O47" s="15">
        <f t="shared" si="0"/>
        <v>132</v>
      </c>
      <c r="P47" s="15">
        <f t="shared" si="1"/>
        <v>238</v>
      </c>
      <c r="R47" s="8"/>
      <c r="T47"/>
    </row>
    <row r="48" spans="2:32" ht="23.1" customHeight="1" x14ac:dyDescent="0.25">
      <c r="B48" s="46" t="s">
        <v>75</v>
      </c>
      <c r="C48" s="50">
        <v>31</v>
      </c>
      <c r="D48" s="50">
        <v>23</v>
      </c>
      <c r="E48" s="50">
        <v>8</v>
      </c>
      <c r="F48" s="50">
        <v>56</v>
      </c>
      <c r="G48" s="50">
        <v>4</v>
      </c>
      <c r="H48" s="50">
        <v>0</v>
      </c>
      <c r="I48" s="50">
        <v>8</v>
      </c>
      <c r="J48" s="50">
        <v>9</v>
      </c>
      <c r="K48" s="50">
        <v>8</v>
      </c>
      <c r="L48" s="50">
        <v>10</v>
      </c>
      <c r="M48" s="50">
        <v>126</v>
      </c>
      <c r="N48" s="50">
        <v>0</v>
      </c>
      <c r="O48" s="15">
        <f t="shared" si="0"/>
        <v>157</v>
      </c>
      <c r="P48" s="15">
        <f t="shared" si="1"/>
        <v>283</v>
      </c>
      <c r="R48" s="8"/>
      <c r="T48"/>
    </row>
    <row r="49" spans="2:20" ht="23.1" customHeight="1" x14ac:dyDescent="0.25">
      <c r="B49" s="45" t="s">
        <v>76</v>
      </c>
      <c r="C49" s="50">
        <v>39</v>
      </c>
      <c r="D49" s="50">
        <v>12</v>
      </c>
      <c r="E49" s="50">
        <v>4</v>
      </c>
      <c r="F49" s="50">
        <v>63</v>
      </c>
      <c r="G49" s="50">
        <v>7</v>
      </c>
      <c r="H49" s="50">
        <v>1</v>
      </c>
      <c r="I49" s="50">
        <v>13</v>
      </c>
      <c r="J49" s="50">
        <v>9</v>
      </c>
      <c r="K49" s="50">
        <v>9</v>
      </c>
      <c r="L49" s="50">
        <v>8</v>
      </c>
      <c r="M49" s="50">
        <v>96</v>
      </c>
      <c r="N49" s="50">
        <v>1</v>
      </c>
      <c r="O49" s="15">
        <f t="shared" si="0"/>
        <v>166</v>
      </c>
      <c r="P49" s="15">
        <f t="shared" si="1"/>
        <v>262</v>
      </c>
      <c r="R49" s="8"/>
      <c r="T49"/>
    </row>
    <row r="50" spans="2:20" ht="23.1" customHeight="1" x14ac:dyDescent="0.25">
      <c r="B50" s="46" t="s">
        <v>77</v>
      </c>
      <c r="C50" s="50">
        <v>42</v>
      </c>
      <c r="D50" s="50">
        <v>8</v>
      </c>
      <c r="E50" s="50">
        <v>6</v>
      </c>
      <c r="F50" s="50">
        <v>73</v>
      </c>
      <c r="G50" s="50">
        <v>1</v>
      </c>
      <c r="H50" s="50">
        <v>3</v>
      </c>
      <c r="I50" s="50">
        <v>2</v>
      </c>
      <c r="J50" s="50">
        <v>5</v>
      </c>
      <c r="K50" s="50">
        <v>4</v>
      </c>
      <c r="L50" s="50">
        <v>16</v>
      </c>
      <c r="M50" s="50">
        <v>129</v>
      </c>
      <c r="N50" s="50">
        <v>0</v>
      </c>
      <c r="O50" s="15">
        <f t="shared" si="0"/>
        <v>160</v>
      </c>
      <c r="P50" s="15">
        <f t="shared" si="1"/>
        <v>289</v>
      </c>
      <c r="R50" s="8"/>
      <c r="T50"/>
    </row>
    <row r="51" spans="2:20" ht="23.1" customHeight="1" x14ac:dyDescent="0.25">
      <c r="B51" s="46" t="s">
        <v>78</v>
      </c>
      <c r="C51" s="50">
        <v>39</v>
      </c>
      <c r="D51" s="50">
        <v>28</v>
      </c>
      <c r="E51" s="50">
        <v>17</v>
      </c>
      <c r="F51" s="50">
        <v>56</v>
      </c>
      <c r="G51" s="50">
        <v>2</v>
      </c>
      <c r="H51" s="50">
        <v>4</v>
      </c>
      <c r="I51" s="50">
        <v>7</v>
      </c>
      <c r="J51" s="50">
        <v>2</v>
      </c>
      <c r="K51" s="50">
        <v>8</v>
      </c>
      <c r="L51" s="50">
        <v>8</v>
      </c>
      <c r="M51" s="50">
        <v>147</v>
      </c>
      <c r="N51" s="50">
        <v>0</v>
      </c>
      <c r="O51" s="15">
        <f t="shared" si="0"/>
        <v>171</v>
      </c>
      <c r="P51" s="15">
        <f t="shared" si="1"/>
        <v>318</v>
      </c>
      <c r="R51" s="8"/>
      <c r="T51"/>
    </row>
    <row r="52" spans="2:20" ht="23.1" customHeight="1" x14ac:dyDescent="0.25">
      <c r="B52" s="46" t="s">
        <v>79</v>
      </c>
      <c r="C52" s="50">
        <v>16</v>
      </c>
      <c r="D52" s="50">
        <v>18</v>
      </c>
      <c r="E52" s="50">
        <v>2</v>
      </c>
      <c r="F52" s="50">
        <v>52</v>
      </c>
      <c r="G52" s="50">
        <v>6</v>
      </c>
      <c r="H52" s="50">
        <v>0</v>
      </c>
      <c r="I52" s="50">
        <v>1</v>
      </c>
      <c r="J52" s="50">
        <v>3</v>
      </c>
      <c r="K52" s="50">
        <v>7</v>
      </c>
      <c r="L52" s="50">
        <v>9</v>
      </c>
      <c r="M52" s="50">
        <v>102</v>
      </c>
      <c r="N52" s="50">
        <v>0</v>
      </c>
      <c r="O52" s="15">
        <f t="shared" si="0"/>
        <v>114</v>
      </c>
      <c r="P52" s="15">
        <f t="shared" si="1"/>
        <v>216</v>
      </c>
      <c r="R52" s="8"/>
      <c r="T52"/>
    </row>
    <row r="53" spans="2:20" ht="23.1" customHeight="1" x14ac:dyDescent="0.25">
      <c r="B53" s="45" t="s">
        <v>80</v>
      </c>
      <c r="C53" s="50">
        <v>8</v>
      </c>
      <c r="D53" s="50">
        <v>6</v>
      </c>
      <c r="E53" s="50">
        <v>5</v>
      </c>
      <c r="F53" s="50">
        <v>76</v>
      </c>
      <c r="G53" s="50">
        <v>4</v>
      </c>
      <c r="H53" s="50">
        <v>0</v>
      </c>
      <c r="I53" s="50">
        <v>6</v>
      </c>
      <c r="J53" s="50">
        <v>1</v>
      </c>
      <c r="K53" s="50">
        <v>2</v>
      </c>
      <c r="L53" s="50">
        <v>26</v>
      </c>
      <c r="M53" s="50">
        <v>145</v>
      </c>
      <c r="N53" s="50">
        <v>0</v>
      </c>
      <c r="O53" s="15">
        <f t="shared" si="0"/>
        <v>134</v>
      </c>
      <c r="P53" s="15">
        <f t="shared" si="1"/>
        <v>279</v>
      </c>
      <c r="R53" s="8"/>
      <c r="T53"/>
    </row>
    <row r="54" spans="2:20" ht="23.1" customHeight="1" x14ac:dyDescent="0.25">
      <c r="B54" s="45" t="s">
        <v>81</v>
      </c>
      <c r="C54" s="50">
        <v>22</v>
      </c>
      <c r="D54" s="50">
        <v>12</v>
      </c>
      <c r="E54" s="50">
        <v>6</v>
      </c>
      <c r="F54" s="50">
        <v>86</v>
      </c>
      <c r="G54" s="50">
        <v>0</v>
      </c>
      <c r="H54" s="50">
        <v>5</v>
      </c>
      <c r="I54" s="50">
        <v>3</v>
      </c>
      <c r="J54" s="50">
        <v>2</v>
      </c>
      <c r="K54" s="50">
        <v>7</v>
      </c>
      <c r="L54" s="50">
        <v>7</v>
      </c>
      <c r="M54" s="50">
        <v>145</v>
      </c>
      <c r="N54" s="50">
        <v>0</v>
      </c>
      <c r="O54" s="15">
        <f t="shared" si="0"/>
        <v>150</v>
      </c>
      <c r="P54" s="15">
        <f t="shared" si="1"/>
        <v>295</v>
      </c>
      <c r="R54" s="8"/>
      <c r="T54"/>
    </row>
    <row r="55" spans="2:20" ht="23.1" customHeight="1" x14ac:dyDescent="0.25">
      <c r="B55" s="45" t="s">
        <v>82</v>
      </c>
      <c r="C55" s="50">
        <v>38</v>
      </c>
      <c r="D55" s="50">
        <v>11</v>
      </c>
      <c r="E55" s="50">
        <v>8</v>
      </c>
      <c r="F55" s="50">
        <v>61</v>
      </c>
      <c r="G55" s="50">
        <v>1</v>
      </c>
      <c r="H55" s="50">
        <v>1</v>
      </c>
      <c r="I55" s="50">
        <v>3</v>
      </c>
      <c r="J55" s="50">
        <v>4</v>
      </c>
      <c r="K55" s="50">
        <v>6</v>
      </c>
      <c r="L55" s="50">
        <v>21</v>
      </c>
      <c r="M55" s="50">
        <v>124</v>
      </c>
      <c r="N55" s="50">
        <v>0</v>
      </c>
      <c r="O55" s="15">
        <f t="shared" si="0"/>
        <v>154</v>
      </c>
      <c r="P55" s="15">
        <f t="shared" si="1"/>
        <v>278</v>
      </c>
      <c r="R55" s="8"/>
      <c r="T55"/>
    </row>
    <row r="56" spans="2:20" ht="23.1" customHeight="1" x14ac:dyDescent="0.25">
      <c r="B56" s="45" t="s">
        <v>83</v>
      </c>
      <c r="C56" s="50">
        <v>28</v>
      </c>
      <c r="D56" s="50">
        <v>8</v>
      </c>
      <c r="E56" s="50">
        <v>5</v>
      </c>
      <c r="F56" s="50">
        <v>35</v>
      </c>
      <c r="G56" s="50">
        <v>3</v>
      </c>
      <c r="H56" s="50">
        <v>0</v>
      </c>
      <c r="I56" s="50">
        <v>6</v>
      </c>
      <c r="J56" s="50">
        <v>7</v>
      </c>
      <c r="K56" s="50">
        <v>0</v>
      </c>
      <c r="L56" s="50">
        <v>6</v>
      </c>
      <c r="M56" s="50">
        <v>105</v>
      </c>
      <c r="N56" s="50">
        <v>0</v>
      </c>
      <c r="O56" s="15">
        <f t="shared" si="0"/>
        <v>98</v>
      </c>
      <c r="P56" s="15">
        <f t="shared" si="1"/>
        <v>203</v>
      </c>
      <c r="R56" s="8"/>
      <c r="T56"/>
    </row>
    <row r="57" spans="2:20" ht="23.1" customHeight="1" x14ac:dyDescent="0.25">
      <c r="B57" s="45" t="s">
        <v>84</v>
      </c>
      <c r="C57" s="50">
        <v>16</v>
      </c>
      <c r="D57" s="50">
        <v>18</v>
      </c>
      <c r="E57" s="50">
        <v>9</v>
      </c>
      <c r="F57" s="50">
        <v>27</v>
      </c>
      <c r="G57" s="50">
        <v>2</v>
      </c>
      <c r="H57" s="50">
        <v>0</v>
      </c>
      <c r="I57" s="50">
        <v>13</v>
      </c>
      <c r="J57" s="50">
        <v>13</v>
      </c>
      <c r="K57" s="50">
        <v>0</v>
      </c>
      <c r="L57" s="50">
        <v>9</v>
      </c>
      <c r="M57" s="50">
        <v>90</v>
      </c>
      <c r="N57" s="50">
        <v>0</v>
      </c>
      <c r="O57" s="15">
        <f t="shared" si="0"/>
        <v>107</v>
      </c>
      <c r="P57" s="15">
        <f t="shared" si="1"/>
        <v>197</v>
      </c>
      <c r="R57" s="8"/>
      <c r="T57"/>
    </row>
    <row r="58" spans="2:20" ht="23.1" customHeight="1" x14ac:dyDescent="0.25">
      <c r="B58" s="45" t="s">
        <v>99</v>
      </c>
      <c r="C58" s="50">
        <v>21</v>
      </c>
      <c r="D58" s="50">
        <v>16</v>
      </c>
      <c r="E58" s="50">
        <v>4</v>
      </c>
      <c r="F58" s="50">
        <v>35</v>
      </c>
      <c r="G58" s="50">
        <v>4</v>
      </c>
      <c r="H58" s="50">
        <v>3</v>
      </c>
      <c r="I58" s="50">
        <v>10</v>
      </c>
      <c r="J58" s="50">
        <v>6</v>
      </c>
      <c r="K58" s="50">
        <v>4</v>
      </c>
      <c r="L58" s="50">
        <v>5</v>
      </c>
      <c r="M58" s="50">
        <v>115</v>
      </c>
      <c r="N58" s="50">
        <v>0</v>
      </c>
      <c r="O58" s="15">
        <f t="shared" si="0"/>
        <v>108</v>
      </c>
      <c r="P58" s="15">
        <f t="shared" si="1"/>
        <v>223</v>
      </c>
      <c r="R58" s="8"/>
      <c r="T58"/>
    </row>
    <row r="59" spans="2:20" ht="23.1" customHeight="1" x14ac:dyDescent="0.25">
      <c r="B59" s="45" t="s">
        <v>100</v>
      </c>
      <c r="C59" s="50">
        <v>39</v>
      </c>
      <c r="D59" s="50">
        <v>18</v>
      </c>
      <c r="E59" s="50">
        <v>8</v>
      </c>
      <c r="F59" s="50">
        <v>50</v>
      </c>
      <c r="G59" s="50">
        <v>3</v>
      </c>
      <c r="H59" s="50">
        <v>1</v>
      </c>
      <c r="I59" s="50">
        <v>16</v>
      </c>
      <c r="J59" s="50">
        <v>10</v>
      </c>
      <c r="K59" s="50">
        <v>3</v>
      </c>
      <c r="L59" s="50">
        <v>11</v>
      </c>
      <c r="M59" s="50">
        <v>90</v>
      </c>
      <c r="N59" s="50">
        <v>0</v>
      </c>
      <c r="O59" s="15">
        <f t="shared" si="0"/>
        <v>159</v>
      </c>
      <c r="P59" s="15">
        <f t="shared" si="1"/>
        <v>249</v>
      </c>
      <c r="R59" s="8"/>
      <c r="T59"/>
    </row>
    <row r="60" spans="2:20" ht="23.1" customHeight="1" x14ac:dyDescent="0.25">
      <c r="B60" s="45" t="s">
        <v>101</v>
      </c>
      <c r="C60" s="50">
        <v>29</v>
      </c>
      <c r="D60" s="50">
        <v>15</v>
      </c>
      <c r="E60" s="50">
        <v>6</v>
      </c>
      <c r="F60" s="50">
        <v>32</v>
      </c>
      <c r="G60" s="50">
        <v>2</v>
      </c>
      <c r="H60" s="50">
        <v>0</v>
      </c>
      <c r="I60" s="50">
        <v>11</v>
      </c>
      <c r="J60" s="50">
        <v>10</v>
      </c>
      <c r="K60" s="50">
        <v>2</v>
      </c>
      <c r="L60" s="50">
        <v>10</v>
      </c>
      <c r="M60" s="50">
        <v>105</v>
      </c>
      <c r="N60" s="50">
        <v>0</v>
      </c>
      <c r="O60" s="15">
        <f t="shared" si="0"/>
        <v>117</v>
      </c>
      <c r="P60" s="15">
        <f t="shared" si="1"/>
        <v>222</v>
      </c>
      <c r="R60" s="8"/>
      <c r="T60"/>
    </row>
    <row r="61" spans="2:20" ht="23.1" customHeight="1" x14ac:dyDescent="0.25">
      <c r="B61" s="45" t="s">
        <v>102</v>
      </c>
      <c r="C61" s="50">
        <v>23</v>
      </c>
      <c r="D61" s="50">
        <v>12</v>
      </c>
      <c r="E61" s="50">
        <v>4</v>
      </c>
      <c r="F61" s="50">
        <v>26</v>
      </c>
      <c r="G61" s="50">
        <v>0</v>
      </c>
      <c r="H61" s="50">
        <v>3</v>
      </c>
      <c r="I61" s="50">
        <v>15</v>
      </c>
      <c r="J61" s="50">
        <v>8</v>
      </c>
      <c r="K61" s="50">
        <v>4</v>
      </c>
      <c r="L61" s="50">
        <v>6</v>
      </c>
      <c r="M61" s="50">
        <v>47</v>
      </c>
      <c r="N61" s="50">
        <v>0</v>
      </c>
      <c r="O61" s="15">
        <f t="shared" si="0"/>
        <v>101</v>
      </c>
      <c r="P61" s="15">
        <f t="shared" si="1"/>
        <v>148</v>
      </c>
      <c r="R61" s="8"/>
      <c r="T61"/>
    </row>
    <row r="62" spans="2:20" ht="23.1" customHeight="1" x14ac:dyDescent="0.25">
      <c r="B62" s="45" t="s">
        <v>107</v>
      </c>
      <c r="C62" s="50">
        <v>31</v>
      </c>
      <c r="D62" s="50">
        <v>15</v>
      </c>
      <c r="E62" s="50">
        <v>6</v>
      </c>
      <c r="F62" s="50">
        <v>37</v>
      </c>
      <c r="G62" s="50">
        <v>2</v>
      </c>
      <c r="H62" s="50">
        <v>2</v>
      </c>
      <c r="I62" s="50">
        <v>11</v>
      </c>
      <c r="J62" s="50">
        <v>10</v>
      </c>
      <c r="K62" s="50">
        <v>3</v>
      </c>
      <c r="L62" s="50">
        <v>6</v>
      </c>
      <c r="M62" s="50">
        <v>64</v>
      </c>
      <c r="N62" s="50">
        <v>0</v>
      </c>
      <c r="O62" s="15">
        <f t="shared" si="0"/>
        <v>123</v>
      </c>
      <c r="P62" s="15">
        <f t="shared" si="1"/>
        <v>187</v>
      </c>
      <c r="R62" s="8"/>
      <c r="T62"/>
    </row>
    <row r="63" spans="2:20" ht="23.1" customHeight="1" x14ac:dyDescent="0.25">
      <c r="B63" s="45" t="s">
        <v>108</v>
      </c>
      <c r="C63" s="50">
        <v>26</v>
      </c>
      <c r="D63" s="50">
        <v>23</v>
      </c>
      <c r="E63" s="50">
        <v>7</v>
      </c>
      <c r="F63" s="50">
        <v>29</v>
      </c>
      <c r="G63" s="50">
        <v>2</v>
      </c>
      <c r="H63" s="50">
        <v>0</v>
      </c>
      <c r="I63" s="50">
        <v>8</v>
      </c>
      <c r="J63" s="50">
        <v>7</v>
      </c>
      <c r="K63" s="50">
        <v>1</v>
      </c>
      <c r="L63" s="50">
        <v>9</v>
      </c>
      <c r="M63" s="50">
        <v>52</v>
      </c>
      <c r="N63" s="50">
        <v>0</v>
      </c>
      <c r="O63" s="15">
        <f t="shared" si="0"/>
        <v>112</v>
      </c>
      <c r="P63" s="15">
        <f t="shared" si="1"/>
        <v>164</v>
      </c>
      <c r="R63" s="8"/>
      <c r="T63"/>
    </row>
    <row r="64" spans="2:20" ht="23.1" customHeight="1" x14ac:dyDescent="0.25">
      <c r="B64" s="45" t="s">
        <v>109</v>
      </c>
      <c r="C64" s="50">
        <v>31</v>
      </c>
      <c r="D64" s="50">
        <v>15</v>
      </c>
      <c r="E64" s="50">
        <v>6</v>
      </c>
      <c r="F64" s="50">
        <v>37</v>
      </c>
      <c r="G64" s="50">
        <v>2</v>
      </c>
      <c r="H64" s="50">
        <v>2</v>
      </c>
      <c r="I64" s="50">
        <v>11</v>
      </c>
      <c r="J64" s="50">
        <v>4</v>
      </c>
      <c r="K64" s="50">
        <v>3</v>
      </c>
      <c r="L64" s="50">
        <v>6</v>
      </c>
      <c r="M64" s="50">
        <v>64</v>
      </c>
      <c r="N64" s="50">
        <v>0</v>
      </c>
      <c r="O64" s="15">
        <f t="shared" si="0"/>
        <v>117</v>
      </c>
      <c r="P64" s="15">
        <f t="shared" si="1"/>
        <v>181</v>
      </c>
      <c r="R64" s="8"/>
      <c r="T64"/>
    </row>
    <row r="65" spans="2:20" ht="23.1" customHeight="1" x14ac:dyDescent="0.25">
      <c r="B65" s="45" t="s">
        <v>158</v>
      </c>
      <c r="C65" s="50">
        <v>26</v>
      </c>
      <c r="D65" s="50">
        <v>23</v>
      </c>
      <c r="E65" s="50">
        <v>7</v>
      </c>
      <c r="F65" s="50">
        <v>19</v>
      </c>
      <c r="G65" s="50">
        <v>2</v>
      </c>
      <c r="H65" s="50">
        <v>2</v>
      </c>
      <c r="I65" s="50">
        <v>0</v>
      </c>
      <c r="J65" s="50">
        <v>8</v>
      </c>
      <c r="K65" s="50">
        <v>7</v>
      </c>
      <c r="L65" s="50">
        <v>1</v>
      </c>
      <c r="M65" s="50">
        <v>9</v>
      </c>
      <c r="N65" s="50">
        <v>0</v>
      </c>
      <c r="O65" s="15">
        <f t="shared" si="0"/>
        <v>95</v>
      </c>
      <c r="P65" s="15">
        <f t="shared" si="1"/>
        <v>104</v>
      </c>
      <c r="R65" s="8"/>
      <c r="T65"/>
    </row>
    <row r="66" spans="2:20" ht="23.1" customHeight="1" x14ac:dyDescent="0.25">
      <c r="B66" s="45" t="s">
        <v>103</v>
      </c>
      <c r="C66" s="50">
        <v>24</v>
      </c>
      <c r="D66" s="50">
        <v>12</v>
      </c>
      <c r="E66" s="50">
        <v>4</v>
      </c>
      <c r="F66" s="50">
        <v>24</v>
      </c>
      <c r="G66" s="50">
        <v>4</v>
      </c>
      <c r="H66" s="50">
        <v>1</v>
      </c>
      <c r="I66" s="50">
        <v>10</v>
      </c>
      <c r="J66" s="50">
        <v>7</v>
      </c>
      <c r="K66" s="50">
        <v>3</v>
      </c>
      <c r="L66" s="50">
        <v>6</v>
      </c>
      <c r="M66" s="50">
        <v>44</v>
      </c>
      <c r="N66" s="50">
        <v>0</v>
      </c>
      <c r="O66" s="15">
        <f t="shared" si="0"/>
        <v>95</v>
      </c>
      <c r="P66" s="15">
        <f t="shared" si="1"/>
        <v>139</v>
      </c>
      <c r="R66" s="8"/>
      <c r="T66"/>
    </row>
    <row r="67" spans="2:20" ht="23.1" customHeight="1" x14ac:dyDescent="0.25">
      <c r="B67" s="45" t="s">
        <v>104</v>
      </c>
      <c r="C67" s="50">
        <v>48</v>
      </c>
      <c r="D67" s="50">
        <v>20</v>
      </c>
      <c r="E67" s="50">
        <v>6</v>
      </c>
      <c r="F67" s="50">
        <v>25</v>
      </c>
      <c r="G67" s="50">
        <v>0</v>
      </c>
      <c r="H67" s="50">
        <v>0</v>
      </c>
      <c r="I67" s="50">
        <v>14</v>
      </c>
      <c r="J67" s="50">
        <v>4</v>
      </c>
      <c r="K67" s="50">
        <v>0</v>
      </c>
      <c r="L67" s="50">
        <v>14</v>
      </c>
      <c r="M67" s="50">
        <v>51</v>
      </c>
      <c r="N67" s="50">
        <v>0</v>
      </c>
      <c r="O67" s="15">
        <f t="shared" si="0"/>
        <v>131</v>
      </c>
      <c r="P67" s="15">
        <f t="shared" si="1"/>
        <v>182</v>
      </c>
      <c r="R67" s="8"/>
      <c r="T67"/>
    </row>
    <row r="68" spans="2:20" ht="23.1" customHeight="1" x14ac:dyDescent="0.25">
      <c r="B68" s="45" t="s">
        <v>105</v>
      </c>
      <c r="C68" s="50">
        <v>32</v>
      </c>
      <c r="D68" s="50">
        <v>11</v>
      </c>
      <c r="E68" s="50">
        <v>4</v>
      </c>
      <c r="F68" s="50">
        <v>27</v>
      </c>
      <c r="G68" s="50">
        <v>1</v>
      </c>
      <c r="H68" s="50">
        <v>0</v>
      </c>
      <c r="I68" s="50">
        <v>11</v>
      </c>
      <c r="J68" s="50">
        <v>8</v>
      </c>
      <c r="K68" s="50">
        <v>4</v>
      </c>
      <c r="L68" s="50">
        <v>4</v>
      </c>
      <c r="M68" s="50">
        <v>43</v>
      </c>
      <c r="N68" s="50">
        <v>0</v>
      </c>
      <c r="O68" s="15">
        <f t="shared" si="0"/>
        <v>102</v>
      </c>
      <c r="P68" s="15">
        <f t="shared" si="1"/>
        <v>145</v>
      </c>
      <c r="R68" s="8"/>
      <c r="T68"/>
    </row>
    <row r="69" spans="2:20" ht="23.1" customHeight="1" x14ac:dyDescent="0.25">
      <c r="B69" s="45" t="s">
        <v>106</v>
      </c>
      <c r="C69" s="50">
        <v>17</v>
      </c>
      <c r="D69" s="50">
        <v>13</v>
      </c>
      <c r="E69" s="50">
        <v>6</v>
      </c>
      <c r="F69" s="50">
        <v>20</v>
      </c>
      <c r="G69" s="50">
        <v>3</v>
      </c>
      <c r="H69" s="50">
        <v>0</v>
      </c>
      <c r="I69" s="50">
        <v>10</v>
      </c>
      <c r="J69" s="50">
        <v>5</v>
      </c>
      <c r="K69" s="50">
        <v>2</v>
      </c>
      <c r="L69" s="50">
        <v>5</v>
      </c>
      <c r="M69" s="50">
        <v>25</v>
      </c>
      <c r="N69" s="50">
        <v>0</v>
      </c>
      <c r="O69" s="15">
        <f t="shared" si="0"/>
        <v>81</v>
      </c>
      <c r="P69" s="15">
        <f t="shared" si="1"/>
        <v>106</v>
      </c>
      <c r="R69" s="8"/>
      <c r="T69"/>
    </row>
    <row r="70" spans="2:20" ht="23.1" customHeight="1" x14ac:dyDescent="0.25">
      <c r="B70" s="45" t="s">
        <v>110</v>
      </c>
      <c r="C70" s="50">
        <v>18</v>
      </c>
      <c r="D70" s="50">
        <v>15</v>
      </c>
      <c r="E70" s="50">
        <v>36</v>
      </c>
      <c r="F70" s="50">
        <v>2</v>
      </c>
      <c r="G70" s="50">
        <v>0</v>
      </c>
      <c r="H70" s="50">
        <v>10</v>
      </c>
      <c r="I70" s="50">
        <v>7</v>
      </c>
      <c r="J70" s="50">
        <v>1</v>
      </c>
      <c r="K70" s="50">
        <v>7</v>
      </c>
      <c r="L70" s="50">
        <v>36</v>
      </c>
      <c r="M70" s="50">
        <v>0</v>
      </c>
      <c r="N70" s="50">
        <v>0</v>
      </c>
      <c r="O70" s="15">
        <f t="shared" si="0"/>
        <v>132</v>
      </c>
      <c r="P70" s="15">
        <f t="shared" si="1"/>
        <v>132</v>
      </c>
      <c r="R70" s="8"/>
      <c r="T70"/>
    </row>
    <row r="71" spans="2:20" ht="23.1" customHeight="1" x14ac:dyDescent="0.25">
      <c r="B71" s="45" t="s">
        <v>111</v>
      </c>
      <c r="C71" s="50">
        <v>23</v>
      </c>
      <c r="D71" s="50">
        <v>11</v>
      </c>
      <c r="E71" s="50">
        <v>4</v>
      </c>
      <c r="F71" s="50">
        <v>21</v>
      </c>
      <c r="G71" s="50">
        <v>3</v>
      </c>
      <c r="H71" s="50">
        <v>2</v>
      </c>
      <c r="I71" s="50">
        <v>14</v>
      </c>
      <c r="J71" s="50">
        <v>7</v>
      </c>
      <c r="K71" s="50">
        <v>4</v>
      </c>
      <c r="L71" s="50">
        <v>5</v>
      </c>
      <c r="M71" s="50">
        <v>24</v>
      </c>
      <c r="N71" s="50">
        <v>0</v>
      </c>
      <c r="O71" s="15">
        <f t="shared" si="0"/>
        <v>94</v>
      </c>
      <c r="P71" s="15">
        <f t="shared" si="1"/>
        <v>118</v>
      </c>
      <c r="R71" s="8"/>
      <c r="T71"/>
    </row>
    <row r="72" spans="2:20" ht="23.1" customHeight="1" x14ac:dyDescent="0.25">
      <c r="B72" s="45" t="s">
        <v>112</v>
      </c>
      <c r="C72" s="50">
        <v>15</v>
      </c>
      <c r="D72" s="50">
        <v>9</v>
      </c>
      <c r="E72" s="50">
        <v>9</v>
      </c>
      <c r="F72" s="50">
        <v>17</v>
      </c>
      <c r="G72" s="50">
        <v>0</v>
      </c>
      <c r="H72" s="50">
        <v>0</v>
      </c>
      <c r="I72" s="50">
        <v>8</v>
      </c>
      <c r="J72" s="50">
        <v>9</v>
      </c>
      <c r="K72" s="50">
        <v>2</v>
      </c>
      <c r="L72" s="50">
        <v>9</v>
      </c>
      <c r="M72" s="50">
        <v>26</v>
      </c>
      <c r="N72" s="50">
        <v>0</v>
      </c>
      <c r="O72" s="15">
        <f t="shared" si="0"/>
        <v>78</v>
      </c>
      <c r="P72" s="15">
        <f t="shared" si="1"/>
        <v>104</v>
      </c>
      <c r="R72" s="8"/>
      <c r="T72"/>
    </row>
    <row r="73" spans="2:20" ht="23.1" customHeight="1" x14ac:dyDescent="0.25">
      <c r="B73" s="45" t="s">
        <v>113</v>
      </c>
      <c r="C73" s="50">
        <v>21</v>
      </c>
      <c r="D73" s="50">
        <v>14</v>
      </c>
      <c r="E73" s="50">
        <v>2</v>
      </c>
      <c r="F73" s="50">
        <v>18</v>
      </c>
      <c r="G73" s="50">
        <v>1</v>
      </c>
      <c r="H73" s="50">
        <v>8</v>
      </c>
      <c r="I73" s="50">
        <v>10</v>
      </c>
      <c r="J73" s="50">
        <v>1</v>
      </c>
      <c r="K73" s="50">
        <v>7</v>
      </c>
      <c r="L73" s="50">
        <v>27</v>
      </c>
      <c r="M73" s="50">
        <v>0</v>
      </c>
      <c r="N73" s="50">
        <v>0</v>
      </c>
      <c r="O73" s="15">
        <f t="shared" si="0"/>
        <v>109</v>
      </c>
      <c r="P73" s="15">
        <f t="shared" si="1"/>
        <v>109</v>
      </c>
      <c r="R73" s="8"/>
      <c r="T73"/>
    </row>
    <row r="74" spans="2:20" ht="23.1" customHeight="1" x14ac:dyDescent="0.25">
      <c r="B74" s="45" t="s">
        <v>114</v>
      </c>
      <c r="C74" s="50">
        <v>20</v>
      </c>
      <c r="D74" s="50">
        <v>12</v>
      </c>
      <c r="E74" s="50">
        <v>3</v>
      </c>
      <c r="F74" s="50">
        <v>39</v>
      </c>
      <c r="G74" s="50">
        <v>2</v>
      </c>
      <c r="H74" s="50">
        <v>1</v>
      </c>
      <c r="I74" s="50">
        <v>11</v>
      </c>
      <c r="J74" s="50">
        <v>7</v>
      </c>
      <c r="K74" s="50">
        <v>3</v>
      </c>
      <c r="L74" s="50">
        <v>5</v>
      </c>
      <c r="M74" s="50">
        <v>18</v>
      </c>
      <c r="N74" s="50">
        <v>0</v>
      </c>
      <c r="O74" s="15">
        <f t="shared" ref="O74:O105" si="35">SUM(C74:L74,N74)</f>
        <v>103</v>
      </c>
      <c r="P74" s="15">
        <f t="shared" ref="P74:P105" si="36">SUM(C74:N74)</f>
        <v>121</v>
      </c>
      <c r="R74" s="8"/>
      <c r="T74"/>
    </row>
    <row r="75" spans="2:20" ht="23.1" customHeight="1" x14ac:dyDescent="0.25">
      <c r="B75" s="45" t="s">
        <v>115</v>
      </c>
      <c r="C75" s="50">
        <v>10</v>
      </c>
      <c r="D75" s="50">
        <v>13</v>
      </c>
      <c r="E75" s="50">
        <v>4</v>
      </c>
      <c r="F75" s="50">
        <v>16</v>
      </c>
      <c r="G75" s="50">
        <v>1</v>
      </c>
      <c r="H75" s="50">
        <v>10</v>
      </c>
      <c r="I75" s="50">
        <v>9</v>
      </c>
      <c r="J75" s="50">
        <v>3</v>
      </c>
      <c r="K75" s="50">
        <v>8</v>
      </c>
      <c r="L75" s="50">
        <v>8</v>
      </c>
      <c r="M75" s="50">
        <v>21</v>
      </c>
      <c r="N75" s="50">
        <v>0</v>
      </c>
      <c r="O75" s="15">
        <f t="shared" si="35"/>
        <v>82</v>
      </c>
      <c r="P75" s="15">
        <f t="shared" si="36"/>
        <v>103</v>
      </c>
      <c r="R75" s="8"/>
      <c r="T75"/>
    </row>
    <row r="76" spans="2:20" ht="23.1" customHeight="1" x14ac:dyDescent="0.25">
      <c r="B76" s="45" t="s">
        <v>116</v>
      </c>
      <c r="C76" s="50">
        <v>14</v>
      </c>
      <c r="D76" s="50">
        <v>14</v>
      </c>
      <c r="E76" s="50">
        <v>3</v>
      </c>
      <c r="F76" s="50">
        <v>20</v>
      </c>
      <c r="G76" s="50">
        <v>1</v>
      </c>
      <c r="H76" s="50">
        <v>0</v>
      </c>
      <c r="I76" s="50">
        <v>8</v>
      </c>
      <c r="J76" s="50">
        <v>13</v>
      </c>
      <c r="K76" s="50">
        <v>2</v>
      </c>
      <c r="L76" s="50">
        <v>8</v>
      </c>
      <c r="M76" s="50">
        <v>12</v>
      </c>
      <c r="N76" s="50">
        <v>0</v>
      </c>
      <c r="O76" s="15">
        <f t="shared" si="35"/>
        <v>83</v>
      </c>
      <c r="P76" s="15">
        <f t="shared" si="36"/>
        <v>95</v>
      </c>
      <c r="R76" s="8"/>
      <c r="T76"/>
    </row>
    <row r="77" spans="2:20" ht="23.1" customHeight="1" x14ac:dyDescent="0.25">
      <c r="B77" s="45" t="s">
        <v>117</v>
      </c>
      <c r="C77" s="50">
        <v>14</v>
      </c>
      <c r="D77" s="50">
        <v>6</v>
      </c>
      <c r="E77" s="50">
        <v>1</v>
      </c>
      <c r="F77" s="50">
        <v>14</v>
      </c>
      <c r="G77" s="50">
        <v>1</v>
      </c>
      <c r="H77" s="50">
        <v>0</v>
      </c>
      <c r="I77" s="50">
        <v>10</v>
      </c>
      <c r="J77" s="50">
        <v>4</v>
      </c>
      <c r="K77" s="50">
        <v>0</v>
      </c>
      <c r="L77" s="50">
        <v>8</v>
      </c>
      <c r="M77" s="50">
        <v>10</v>
      </c>
      <c r="N77" s="50">
        <v>0</v>
      </c>
      <c r="O77" s="15">
        <f t="shared" si="35"/>
        <v>58</v>
      </c>
      <c r="P77" s="15">
        <f t="shared" si="36"/>
        <v>68</v>
      </c>
      <c r="R77" s="8"/>
      <c r="T77"/>
    </row>
    <row r="78" spans="2:20" ht="23.1" customHeight="1" x14ac:dyDescent="0.25">
      <c r="B78" s="46" t="s">
        <v>118</v>
      </c>
      <c r="C78" s="50">
        <v>8</v>
      </c>
      <c r="D78" s="50">
        <v>3</v>
      </c>
      <c r="E78" s="50">
        <v>2</v>
      </c>
      <c r="F78" s="50">
        <v>7</v>
      </c>
      <c r="G78" s="50">
        <v>0</v>
      </c>
      <c r="H78" s="50">
        <v>0</v>
      </c>
      <c r="I78" s="50">
        <v>4</v>
      </c>
      <c r="J78" s="50">
        <v>5</v>
      </c>
      <c r="K78" s="50">
        <v>0</v>
      </c>
      <c r="L78" s="50">
        <v>4</v>
      </c>
      <c r="M78" s="50">
        <v>4</v>
      </c>
      <c r="N78" s="50">
        <v>0</v>
      </c>
      <c r="O78" s="15">
        <f t="shared" si="35"/>
        <v>33</v>
      </c>
      <c r="P78" s="15">
        <f t="shared" si="36"/>
        <v>37</v>
      </c>
      <c r="R78" s="8"/>
      <c r="T78"/>
    </row>
    <row r="79" spans="2:20" ht="23.1" customHeight="1" x14ac:dyDescent="0.25">
      <c r="B79" s="45" t="s">
        <v>119</v>
      </c>
      <c r="C79" s="50">
        <v>6</v>
      </c>
      <c r="D79" s="50">
        <v>3</v>
      </c>
      <c r="E79" s="50">
        <v>4</v>
      </c>
      <c r="F79" s="50">
        <v>8</v>
      </c>
      <c r="G79" s="50">
        <v>3</v>
      </c>
      <c r="H79" s="50">
        <v>0</v>
      </c>
      <c r="I79" s="50">
        <v>5</v>
      </c>
      <c r="J79" s="50">
        <v>6</v>
      </c>
      <c r="K79" s="50">
        <v>2</v>
      </c>
      <c r="L79" s="50">
        <v>5</v>
      </c>
      <c r="M79" s="50">
        <v>9</v>
      </c>
      <c r="N79" s="50">
        <v>0</v>
      </c>
      <c r="O79" s="15">
        <f t="shared" si="35"/>
        <v>42</v>
      </c>
      <c r="P79" s="15">
        <f t="shared" si="36"/>
        <v>51</v>
      </c>
      <c r="R79" s="8"/>
      <c r="T79"/>
    </row>
    <row r="80" spans="2:20" ht="23.1" customHeight="1" x14ac:dyDescent="0.25">
      <c r="B80" s="47" t="s">
        <v>120</v>
      </c>
      <c r="C80" s="50">
        <v>11</v>
      </c>
      <c r="D80" s="50">
        <v>2</v>
      </c>
      <c r="E80" s="50">
        <v>3</v>
      </c>
      <c r="F80" s="50">
        <v>7</v>
      </c>
      <c r="G80" s="50">
        <v>1</v>
      </c>
      <c r="H80" s="50">
        <v>0</v>
      </c>
      <c r="I80" s="50">
        <v>6</v>
      </c>
      <c r="J80" s="50">
        <v>14</v>
      </c>
      <c r="K80" s="50">
        <v>3</v>
      </c>
      <c r="L80" s="50">
        <v>7</v>
      </c>
      <c r="M80" s="50">
        <v>6</v>
      </c>
      <c r="N80" s="50">
        <v>0</v>
      </c>
      <c r="O80" s="15">
        <f t="shared" si="35"/>
        <v>54</v>
      </c>
      <c r="P80" s="15">
        <f t="shared" si="36"/>
        <v>60</v>
      </c>
      <c r="R80" s="8"/>
      <c r="T80"/>
    </row>
    <row r="81" spans="2:20" ht="23.1" customHeight="1" x14ac:dyDescent="0.25">
      <c r="B81" s="45" t="s">
        <v>121</v>
      </c>
      <c r="C81" s="50">
        <v>5</v>
      </c>
      <c r="D81" s="50">
        <v>1</v>
      </c>
      <c r="E81" s="50">
        <v>4</v>
      </c>
      <c r="F81" s="50">
        <v>6</v>
      </c>
      <c r="G81" s="50">
        <v>0</v>
      </c>
      <c r="H81" s="50">
        <v>0</v>
      </c>
      <c r="I81" s="50">
        <v>5</v>
      </c>
      <c r="J81" s="50">
        <v>2</v>
      </c>
      <c r="K81" s="50">
        <v>1</v>
      </c>
      <c r="L81" s="50">
        <v>2</v>
      </c>
      <c r="M81" s="50">
        <v>6</v>
      </c>
      <c r="N81" s="50">
        <v>0</v>
      </c>
      <c r="O81" s="15">
        <f t="shared" si="35"/>
        <v>26</v>
      </c>
      <c r="P81" s="15">
        <f t="shared" si="36"/>
        <v>32</v>
      </c>
      <c r="R81" s="8"/>
      <c r="T81"/>
    </row>
    <row r="82" spans="2:20" ht="23.1" customHeight="1" x14ac:dyDescent="0.25">
      <c r="B82" s="46" t="s">
        <v>122</v>
      </c>
      <c r="C82" s="50">
        <v>4</v>
      </c>
      <c r="D82" s="50">
        <v>1</v>
      </c>
      <c r="E82" s="50">
        <v>2</v>
      </c>
      <c r="F82" s="50">
        <v>6</v>
      </c>
      <c r="G82" s="50">
        <v>0</v>
      </c>
      <c r="H82" s="50">
        <v>0</v>
      </c>
      <c r="I82" s="50">
        <v>4</v>
      </c>
      <c r="J82" s="50">
        <v>8</v>
      </c>
      <c r="K82" s="50">
        <v>2</v>
      </c>
      <c r="L82" s="50">
        <v>6</v>
      </c>
      <c r="M82" s="50">
        <v>5</v>
      </c>
      <c r="N82" s="50">
        <v>0</v>
      </c>
      <c r="O82" s="15">
        <f t="shared" si="35"/>
        <v>33</v>
      </c>
      <c r="P82" s="15">
        <f t="shared" si="36"/>
        <v>38</v>
      </c>
      <c r="R82" s="8"/>
      <c r="T82"/>
    </row>
    <row r="83" spans="2:20" ht="23.1" customHeight="1" x14ac:dyDescent="0.25">
      <c r="B83" s="45" t="s">
        <v>123</v>
      </c>
      <c r="C83" s="50">
        <v>5</v>
      </c>
      <c r="D83" s="50">
        <v>2</v>
      </c>
      <c r="E83" s="50">
        <v>0</v>
      </c>
      <c r="F83" s="50">
        <v>3</v>
      </c>
      <c r="G83" s="50">
        <v>0</v>
      </c>
      <c r="H83" s="50">
        <v>0</v>
      </c>
      <c r="I83" s="50">
        <v>8</v>
      </c>
      <c r="J83" s="50">
        <v>4</v>
      </c>
      <c r="K83" s="50">
        <v>0</v>
      </c>
      <c r="L83" s="50">
        <v>4</v>
      </c>
      <c r="M83" s="50">
        <v>8</v>
      </c>
      <c r="N83" s="50">
        <v>0</v>
      </c>
      <c r="O83" s="15">
        <f t="shared" si="35"/>
        <v>26</v>
      </c>
      <c r="P83" s="15">
        <f t="shared" si="36"/>
        <v>34</v>
      </c>
      <c r="R83" s="8"/>
      <c r="T83"/>
    </row>
    <row r="84" spans="2:20" ht="23.1" customHeight="1" x14ac:dyDescent="0.25">
      <c r="B84" s="47" t="s">
        <v>124</v>
      </c>
      <c r="C84" s="50">
        <v>6</v>
      </c>
      <c r="D84" s="50">
        <v>2</v>
      </c>
      <c r="E84" s="50">
        <v>1</v>
      </c>
      <c r="F84" s="50">
        <v>7</v>
      </c>
      <c r="G84" s="50">
        <v>0</v>
      </c>
      <c r="H84" s="50">
        <v>1</v>
      </c>
      <c r="I84" s="50">
        <v>8</v>
      </c>
      <c r="J84" s="50">
        <v>4</v>
      </c>
      <c r="K84" s="50">
        <v>1</v>
      </c>
      <c r="L84" s="50">
        <v>8</v>
      </c>
      <c r="M84" s="50">
        <v>7</v>
      </c>
      <c r="N84" s="50">
        <v>0</v>
      </c>
      <c r="O84" s="15">
        <f t="shared" si="35"/>
        <v>38</v>
      </c>
      <c r="P84" s="15">
        <f t="shared" si="36"/>
        <v>45</v>
      </c>
      <c r="R84" s="8"/>
      <c r="T84"/>
    </row>
    <row r="85" spans="2:20" ht="23.1" customHeight="1" x14ac:dyDescent="0.25">
      <c r="B85" s="45" t="s">
        <v>125</v>
      </c>
      <c r="C85" s="50">
        <v>6</v>
      </c>
      <c r="D85" s="50">
        <v>2</v>
      </c>
      <c r="E85" s="50">
        <v>2</v>
      </c>
      <c r="F85" s="50">
        <v>4</v>
      </c>
      <c r="G85" s="50">
        <v>0</v>
      </c>
      <c r="H85" s="50">
        <v>1</v>
      </c>
      <c r="I85" s="50">
        <v>6</v>
      </c>
      <c r="J85" s="50">
        <v>3</v>
      </c>
      <c r="K85" s="50">
        <v>0</v>
      </c>
      <c r="L85" s="50">
        <v>6</v>
      </c>
      <c r="M85" s="50">
        <v>11</v>
      </c>
      <c r="N85" s="50">
        <v>0</v>
      </c>
      <c r="O85" s="15">
        <f t="shared" si="35"/>
        <v>30</v>
      </c>
      <c r="P85" s="15">
        <f t="shared" si="36"/>
        <v>41</v>
      </c>
      <c r="R85" s="8"/>
      <c r="T85"/>
    </row>
    <row r="86" spans="2:20" ht="23.1" customHeight="1" x14ac:dyDescent="0.25">
      <c r="B86" s="46" t="s">
        <v>126</v>
      </c>
      <c r="C86" s="50">
        <v>5</v>
      </c>
      <c r="D86" s="50">
        <v>0</v>
      </c>
      <c r="E86" s="50">
        <v>3</v>
      </c>
      <c r="F86" s="50">
        <v>2</v>
      </c>
      <c r="G86" s="50">
        <v>0</v>
      </c>
      <c r="H86" s="50">
        <v>1</v>
      </c>
      <c r="I86" s="50">
        <v>4</v>
      </c>
      <c r="J86" s="50">
        <v>5</v>
      </c>
      <c r="K86" s="50">
        <v>2</v>
      </c>
      <c r="L86" s="50">
        <v>2</v>
      </c>
      <c r="M86" s="50">
        <v>1</v>
      </c>
      <c r="N86" s="50">
        <v>0</v>
      </c>
      <c r="O86" s="15">
        <f t="shared" si="35"/>
        <v>24</v>
      </c>
      <c r="P86" s="15">
        <f t="shared" si="36"/>
        <v>25</v>
      </c>
      <c r="R86" s="8"/>
      <c r="T86"/>
    </row>
    <row r="87" spans="2:20" ht="23.1" customHeight="1" x14ac:dyDescent="0.25">
      <c r="B87" s="45" t="s">
        <v>127</v>
      </c>
      <c r="C87" s="50">
        <v>1</v>
      </c>
      <c r="D87" s="50">
        <v>2</v>
      </c>
      <c r="E87" s="50">
        <v>0</v>
      </c>
      <c r="F87" s="50">
        <v>1</v>
      </c>
      <c r="G87" s="50">
        <v>0</v>
      </c>
      <c r="H87" s="50">
        <v>0</v>
      </c>
      <c r="I87" s="50">
        <v>5</v>
      </c>
      <c r="J87" s="50">
        <v>5</v>
      </c>
      <c r="K87" s="50">
        <v>1</v>
      </c>
      <c r="L87" s="50">
        <v>4</v>
      </c>
      <c r="M87" s="50">
        <v>5</v>
      </c>
      <c r="N87" s="50">
        <v>0</v>
      </c>
      <c r="O87" s="15">
        <f t="shared" si="35"/>
        <v>19</v>
      </c>
      <c r="P87" s="15">
        <f t="shared" si="36"/>
        <v>24</v>
      </c>
      <c r="R87" s="8"/>
      <c r="T87"/>
    </row>
    <row r="88" spans="2:20" ht="23.1" customHeight="1" x14ac:dyDescent="0.25">
      <c r="B88" s="47" t="s">
        <v>128</v>
      </c>
      <c r="C88" s="50">
        <v>4</v>
      </c>
      <c r="D88" s="50">
        <v>2</v>
      </c>
      <c r="E88" s="50">
        <v>0</v>
      </c>
      <c r="F88" s="50">
        <v>2</v>
      </c>
      <c r="G88" s="50">
        <v>0</v>
      </c>
      <c r="H88" s="50">
        <v>0</v>
      </c>
      <c r="I88" s="50">
        <v>4</v>
      </c>
      <c r="J88" s="50">
        <v>2</v>
      </c>
      <c r="K88" s="50">
        <v>1</v>
      </c>
      <c r="L88" s="50">
        <v>7</v>
      </c>
      <c r="M88" s="50">
        <v>2</v>
      </c>
      <c r="N88" s="50">
        <v>0</v>
      </c>
      <c r="O88" s="15">
        <f t="shared" si="35"/>
        <v>22</v>
      </c>
      <c r="P88" s="15">
        <f t="shared" si="36"/>
        <v>24</v>
      </c>
      <c r="R88" s="8"/>
      <c r="T88"/>
    </row>
    <row r="89" spans="2:20" ht="23.1" customHeight="1" x14ac:dyDescent="0.25">
      <c r="B89" s="45" t="s">
        <v>129</v>
      </c>
      <c r="C89" s="50">
        <v>4</v>
      </c>
      <c r="D89" s="50">
        <v>2</v>
      </c>
      <c r="E89" s="50">
        <v>2</v>
      </c>
      <c r="F89" s="50">
        <v>4</v>
      </c>
      <c r="G89" s="50">
        <v>1</v>
      </c>
      <c r="H89" s="50">
        <v>2</v>
      </c>
      <c r="I89" s="50">
        <v>3</v>
      </c>
      <c r="J89" s="50">
        <v>1</v>
      </c>
      <c r="K89" s="50">
        <v>4</v>
      </c>
      <c r="L89" s="50">
        <v>4</v>
      </c>
      <c r="M89" s="50">
        <v>1</v>
      </c>
      <c r="N89" s="50">
        <v>0</v>
      </c>
      <c r="O89" s="15">
        <f t="shared" si="35"/>
        <v>27</v>
      </c>
      <c r="P89" s="15">
        <f t="shared" si="36"/>
        <v>28</v>
      </c>
      <c r="R89" s="8"/>
      <c r="T89"/>
    </row>
    <row r="90" spans="2:20" ht="23.1" customHeight="1" x14ac:dyDescent="0.25">
      <c r="B90" s="46" t="s">
        <v>130</v>
      </c>
      <c r="C90" s="50">
        <v>6</v>
      </c>
      <c r="D90" s="50">
        <v>0</v>
      </c>
      <c r="E90" s="50">
        <v>0</v>
      </c>
      <c r="F90" s="50">
        <v>5</v>
      </c>
      <c r="G90" s="50">
        <v>0</v>
      </c>
      <c r="H90" s="50">
        <v>0</v>
      </c>
      <c r="I90" s="50">
        <v>1</v>
      </c>
      <c r="J90" s="50">
        <v>4</v>
      </c>
      <c r="K90" s="50">
        <v>0</v>
      </c>
      <c r="L90" s="50">
        <v>5</v>
      </c>
      <c r="M90" s="50">
        <v>2</v>
      </c>
      <c r="N90" s="50">
        <v>0</v>
      </c>
      <c r="O90" s="15">
        <f t="shared" si="35"/>
        <v>21</v>
      </c>
      <c r="P90" s="15">
        <f t="shared" si="36"/>
        <v>23</v>
      </c>
      <c r="R90" s="8"/>
      <c r="T90"/>
    </row>
    <row r="91" spans="2:20" ht="23.1" customHeight="1" x14ac:dyDescent="0.25">
      <c r="B91" s="45" t="s">
        <v>131</v>
      </c>
      <c r="C91" s="50">
        <v>0</v>
      </c>
      <c r="D91" s="50">
        <v>1</v>
      </c>
      <c r="E91" s="50">
        <v>0</v>
      </c>
      <c r="F91" s="50">
        <v>1</v>
      </c>
      <c r="G91" s="50">
        <v>0</v>
      </c>
      <c r="H91" s="50">
        <v>2</v>
      </c>
      <c r="I91" s="50">
        <v>4</v>
      </c>
      <c r="J91" s="50">
        <v>1</v>
      </c>
      <c r="K91" s="50">
        <v>3</v>
      </c>
      <c r="L91" s="50">
        <v>3</v>
      </c>
      <c r="M91" s="50">
        <v>3</v>
      </c>
      <c r="N91" s="50">
        <v>0</v>
      </c>
      <c r="O91" s="15">
        <f t="shared" si="35"/>
        <v>15</v>
      </c>
      <c r="P91" s="15">
        <f t="shared" si="36"/>
        <v>18</v>
      </c>
      <c r="R91" s="8"/>
      <c r="T91"/>
    </row>
    <row r="92" spans="2:20" ht="23.1" customHeight="1" x14ac:dyDescent="0.25">
      <c r="B92" s="47" t="s">
        <v>132</v>
      </c>
      <c r="C92" s="50">
        <v>2</v>
      </c>
      <c r="D92" s="50">
        <v>1</v>
      </c>
      <c r="E92" s="50">
        <v>0</v>
      </c>
      <c r="F92" s="50">
        <v>6</v>
      </c>
      <c r="G92" s="50">
        <v>0</v>
      </c>
      <c r="H92" s="50">
        <v>0</v>
      </c>
      <c r="I92" s="50">
        <v>2</v>
      </c>
      <c r="J92" s="50">
        <v>10</v>
      </c>
      <c r="K92" s="50">
        <v>0</v>
      </c>
      <c r="L92" s="50">
        <v>5</v>
      </c>
      <c r="M92" s="50">
        <v>2</v>
      </c>
      <c r="N92" s="50">
        <v>0</v>
      </c>
      <c r="O92" s="15">
        <f t="shared" si="35"/>
        <v>26</v>
      </c>
      <c r="P92" s="15">
        <f t="shared" si="36"/>
        <v>28</v>
      </c>
      <c r="R92" s="8"/>
      <c r="T92"/>
    </row>
    <row r="93" spans="2:20" ht="23.1" customHeight="1" x14ac:dyDescent="0.25">
      <c r="B93" s="45" t="s">
        <v>133</v>
      </c>
      <c r="C93" s="50">
        <v>4</v>
      </c>
      <c r="D93" s="50">
        <v>2</v>
      </c>
      <c r="E93" s="50">
        <v>6</v>
      </c>
      <c r="F93" s="50">
        <v>0</v>
      </c>
      <c r="G93" s="50">
        <v>0</v>
      </c>
      <c r="H93" s="50">
        <v>3</v>
      </c>
      <c r="I93" s="50">
        <v>1</v>
      </c>
      <c r="J93" s="50">
        <v>1</v>
      </c>
      <c r="K93" s="50">
        <v>8</v>
      </c>
      <c r="L93" s="50">
        <v>8</v>
      </c>
      <c r="M93" s="50">
        <v>3</v>
      </c>
      <c r="N93" s="50">
        <v>0</v>
      </c>
      <c r="O93" s="15">
        <f t="shared" si="35"/>
        <v>33</v>
      </c>
      <c r="P93" s="15">
        <f t="shared" si="36"/>
        <v>36</v>
      </c>
      <c r="R93" s="8"/>
      <c r="T93"/>
    </row>
    <row r="94" spans="2:20" ht="23.1" customHeight="1" x14ac:dyDescent="0.25">
      <c r="B94" s="46" t="s">
        <v>134</v>
      </c>
      <c r="C94" s="50">
        <v>7</v>
      </c>
      <c r="D94" s="50">
        <v>0</v>
      </c>
      <c r="E94" s="50">
        <v>3</v>
      </c>
      <c r="F94" s="50">
        <v>11</v>
      </c>
      <c r="G94" s="50">
        <v>1</v>
      </c>
      <c r="H94" s="50">
        <v>0</v>
      </c>
      <c r="I94" s="50">
        <v>2</v>
      </c>
      <c r="J94" s="50">
        <v>6</v>
      </c>
      <c r="K94" s="50">
        <v>1</v>
      </c>
      <c r="L94" s="50">
        <v>5</v>
      </c>
      <c r="M94" s="50">
        <v>5</v>
      </c>
      <c r="N94" s="50">
        <v>0</v>
      </c>
      <c r="O94" s="15">
        <f t="shared" si="35"/>
        <v>36</v>
      </c>
      <c r="P94" s="15">
        <f t="shared" si="36"/>
        <v>41</v>
      </c>
      <c r="R94" s="8"/>
      <c r="T94"/>
    </row>
    <row r="95" spans="2:20" ht="23.1" customHeight="1" x14ac:dyDescent="0.25">
      <c r="B95" s="45" t="s">
        <v>135</v>
      </c>
      <c r="C95" s="50">
        <v>2</v>
      </c>
      <c r="D95" s="50">
        <v>0</v>
      </c>
      <c r="E95" s="50">
        <v>4</v>
      </c>
      <c r="F95" s="50">
        <v>8</v>
      </c>
      <c r="G95" s="50">
        <v>1</v>
      </c>
      <c r="H95" s="50">
        <v>2</v>
      </c>
      <c r="I95" s="50">
        <v>1</v>
      </c>
      <c r="J95" s="50">
        <v>3</v>
      </c>
      <c r="K95" s="50">
        <v>0</v>
      </c>
      <c r="L95" s="50">
        <v>13</v>
      </c>
      <c r="M95" s="50">
        <v>0</v>
      </c>
      <c r="N95" s="50">
        <v>0</v>
      </c>
      <c r="O95" s="15">
        <f t="shared" si="35"/>
        <v>34</v>
      </c>
      <c r="P95" s="15">
        <f t="shared" si="36"/>
        <v>34</v>
      </c>
      <c r="R95" s="8"/>
      <c r="T95"/>
    </row>
    <row r="96" spans="2:20" ht="23.1" customHeight="1" x14ac:dyDescent="0.25">
      <c r="B96" s="47" t="s">
        <v>136</v>
      </c>
      <c r="C96" s="50">
        <v>5</v>
      </c>
      <c r="D96" s="50">
        <v>1</v>
      </c>
      <c r="E96" s="50">
        <v>1</v>
      </c>
      <c r="F96" s="50">
        <v>6</v>
      </c>
      <c r="G96" s="50">
        <v>1</v>
      </c>
      <c r="H96" s="50">
        <v>1</v>
      </c>
      <c r="I96" s="50">
        <v>3</v>
      </c>
      <c r="J96" s="50">
        <v>2</v>
      </c>
      <c r="K96" s="50">
        <v>1</v>
      </c>
      <c r="L96" s="50">
        <v>15</v>
      </c>
      <c r="M96" s="50">
        <v>3</v>
      </c>
      <c r="N96" s="50">
        <v>0</v>
      </c>
      <c r="O96" s="15">
        <f t="shared" si="35"/>
        <v>36</v>
      </c>
      <c r="P96" s="15">
        <f t="shared" si="36"/>
        <v>39</v>
      </c>
      <c r="R96" s="8"/>
      <c r="T96"/>
    </row>
    <row r="97" spans="2:20" ht="23.1" customHeight="1" x14ac:dyDescent="0.25">
      <c r="B97" s="45" t="s">
        <v>137</v>
      </c>
      <c r="C97" s="50">
        <v>5</v>
      </c>
      <c r="D97" s="50">
        <v>1</v>
      </c>
      <c r="E97" s="50">
        <v>2</v>
      </c>
      <c r="F97" s="50">
        <v>13</v>
      </c>
      <c r="G97" s="50">
        <v>0</v>
      </c>
      <c r="H97" s="50">
        <v>1</v>
      </c>
      <c r="I97" s="50">
        <v>3</v>
      </c>
      <c r="J97" s="50">
        <v>2</v>
      </c>
      <c r="K97" s="50">
        <v>4</v>
      </c>
      <c r="L97" s="50">
        <v>11</v>
      </c>
      <c r="M97" s="50">
        <v>3</v>
      </c>
      <c r="N97" s="50">
        <v>0</v>
      </c>
      <c r="O97" s="15">
        <f t="shared" si="35"/>
        <v>42</v>
      </c>
      <c r="P97" s="15">
        <f t="shared" si="36"/>
        <v>45</v>
      </c>
      <c r="R97" s="8"/>
      <c r="T97"/>
    </row>
    <row r="98" spans="2:20" ht="23.1" customHeight="1" x14ac:dyDescent="0.25">
      <c r="B98" s="46" t="s">
        <v>138</v>
      </c>
      <c r="C98" s="50">
        <v>8</v>
      </c>
      <c r="D98" s="50">
        <v>5</v>
      </c>
      <c r="E98" s="50">
        <v>2</v>
      </c>
      <c r="F98" s="50">
        <v>18</v>
      </c>
      <c r="G98" s="50">
        <v>3</v>
      </c>
      <c r="H98" s="50">
        <v>2</v>
      </c>
      <c r="I98" s="50">
        <v>5</v>
      </c>
      <c r="J98" s="50">
        <v>7</v>
      </c>
      <c r="K98" s="50">
        <v>2</v>
      </c>
      <c r="L98" s="50">
        <v>17</v>
      </c>
      <c r="M98" s="50">
        <v>7</v>
      </c>
      <c r="N98" s="50">
        <v>0</v>
      </c>
      <c r="O98" s="15">
        <f t="shared" si="35"/>
        <v>69</v>
      </c>
      <c r="P98" s="15">
        <f t="shared" si="36"/>
        <v>76</v>
      </c>
      <c r="R98" s="8"/>
      <c r="T98"/>
    </row>
    <row r="99" spans="2:20" ht="23.1" customHeight="1" x14ac:dyDescent="0.25">
      <c r="B99" s="45" t="s">
        <v>139</v>
      </c>
      <c r="C99" s="50">
        <v>17</v>
      </c>
      <c r="D99" s="50">
        <v>6</v>
      </c>
      <c r="E99" s="50">
        <v>7</v>
      </c>
      <c r="F99" s="50">
        <v>30</v>
      </c>
      <c r="G99" s="50">
        <v>6</v>
      </c>
      <c r="H99" s="50">
        <v>0</v>
      </c>
      <c r="I99" s="50">
        <v>3</v>
      </c>
      <c r="J99" s="50">
        <v>7</v>
      </c>
      <c r="K99" s="50">
        <v>1</v>
      </c>
      <c r="L99" s="50">
        <v>13</v>
      </c>
      <c r="M99" s="50">
        <v>8</v>
      </c>
      <c r="N99" s="50">
        <v>0</v>
      </c>
      <c r="O99" s="15">
        <f t="shared" si="35"/>
        <v>90</v>
      </c>
      <c r="P99" s="15">
        <f t="shared" si="36"/>
        <v>98</v>
      </c>
      <c r="R99" s="8"/>
      <c r="T99"/>
    </row>
    <row r="100" spans="2:20" ht="23.1" customHeight="1" x14ac:dyDescent="0.25">
      <c r="B100" s="47" t="s">
        <v>140</v>
      </c>
      <c r="C100" s="50">
        <v>15</v>
      </c>
      <c r="D100" s="50">
        <v>13</v>
      </c>
      <c r="E100" s="50">
        <v>4</v>
      </c>
      <c r="F100" s="50">
        <v>36</v>
      </c>
      <c r="G100" s="50">
        <v>7</v>
      </c>
      <c r="H100" s="50">
        <v>2</v>
      </c>
      <c r="I100" s="50">
        <v>5</v>
      </c>
      <c r="J100" s="50">
        <v>6</v>
      </c>
      <c r="K100" s="50">
        <v>4</v>
      </c>
      <c r="L100" s="50">
        <v>30</v>
      </c>
      <c r="M100" s="50">
        <v>7</v>
      </c>
      <c r="N100" s="50">
        <v>0</v>
      </c>
      <c r="O100" s="15">
        <f t="shared" si="35"/>
        <v>122</v>
      </c>
      <c r="P100" s="15">
        <f t="shared" si="36"/>
        <v>129</v>
      </c>
      <c r="R100" s="8"/>
      <c r="T100"/>
    </row>
    <row r="101" spans="2:20" ht="23.1" customHeight="1" x14ac:dyDescent="0.25">
      <c r="B101" s="45" t="s">
        <v>141</v>
      </c>
      <c r="C101" s="50">
        <v>31</v>
      </c>
      <c r="D101" s="50">
        <v>20</v>
      </c>
      <c r="E101" s="50">
        <v>7</v>
      </c>
      <c r="F101" s="50">
        <v>46</v>
      </c>
      <c r="G101" s="50">
        <v>3</v>
      </c>
      <c r="H101" s="50">
        <v>1</v>
      </c>
      <c r="I101" s="50">
        <v>4</v>
      </c>
      <c r="J101" s="50">
        <v>5</v>
      </c>
      <c r="K101" s="50">
        <v>0</v>
      </c>
      <c r="L101" s="50">
        <v>15</v>
      </c>
      <c r="M101" s="50">
        <v>16</v>
      </c>
      <c r="N101" s="50">
        <v>0</v>
      </c>
      <c r="O101" s="15">
        <f t="shared" si="35"/>
        <v>132</v>
      </c>
      <c r="P101" s="15">
        <f t="shared" si="36"/>
        <v>148</v>
      </c>
      <c r="R101" s="8"/>
      <c r="T101"/>
    </row>
    <row r="102" spans="2:20" ht="23.1" customHeight="1" x14ac:dyDescent="0.25">
      <c r="B102" s="46" t="s">
        <v>142</v>
      </c>
      <c r="C102" s="50">
        <v>41</v>
      </c>
      <c r="D102" s="50">
        <v>29</v>
      </c>
      <c r="E102" s="50">
        <v>7</v>
      </c>
      <c r="F102" s="50">
        <v>45</v>
      </c>
      <c r="G102" s="50">
        <v>8</v>
      </c>
      <c r="H102" s="50">
        <v>0</v>
      </c>
      <c r="I102" s="50">
        <v>10</v>
      </c>
      <c r="J102" s="50">
        <v>3</v>
      </c>
      <c r="K102" s="50">
        <v>0</v>
      </c>
      <c r="L102" s="50">
        <v>15</v>
      </c>
      <c r="M102" s="50">
        <v>15</v>
      </c>
      <c r="N102" s="50">
        <v>0</v>
      </c>
      <c r="O102" s="15">
        <f t="shared" si="35"/>
        <v>158</v>
      </c>
      <c r="P102" s="15">
        <f t="shared" si="36"/>
        <v>173</v>
      </c>
      <c r="R102" s="8"/>
      <c r="T102"/>
    </row>
    <row r="103" spans="2:20" ht="23.1" customHeight="1" x14ac:dyDescent="0.25">
      <c r="B103" s="45" t="s">
        <v>143</v>
      </c>
      <c r="C103" s="50">
        <v>29</v>
      </c>
      <c r="D103" s="50">
        <v>20</v>
      </c>
      <c r="E103" s="50">
        <v>5</v>
      </c>
      <c r="F103" s="50">
        <v>43</v>
      </c>
      <c r="G103" s="50">
        <v>5</v>
      </c>
      <c r="H103" s="50">
        <v>1</v>
      </c>
      <c r="I103" s="50">
        <v>5</v>
      </c>
      <c r="J103" s="50">
        <v>4</v>
      </c>
      <c r="K103" s="50">
        <v>2</v>
      </c>
      <c r="L103" s="50">
        <v>20</v>
      </c>
      <c r="M103" s="50">
        <v>32</v>
      </c>
      <c r="N103" s="50">
        <v>0</v>
      </c>
      <c r="O103" s="15">
        <f t="shared" si="35"/>
        <v>134</v>
      </c>
      <c r="P103" s="15">
        <f t="shared" si="36"/>
        <v>166</v>
      </c>
      <c r="R103" s="8"/>
      <c r="T103"/>
    </row>
    <row r="104" spans="2:20" ht="23.1" customHeight="1" x14ac:dyDescent="0.25">
      <c r="B104" s="47" t="s">
        <v>144</v>
      </c>
      <c r="C104" s="50">
        <v>34</v>
      </c>
      <c r="D104" s="50">
        <v>19</v>
      </c>
      <c r="E104" s="50">
        <v>10</v>
      </c>
      <c r="F104" s="50">
        <v>56</v>
      </c>
      <c r="G104" s="50">
        <v>6</v>
      </c>
      <c r="H104" s="50">
        <v>2</v>
      </c>
      <c r="I104" s="50">
        <v>4</v>
      </c>
      <c r="J104" s="50">
        <v>2</v>
      </c>
      <c r="K104" s="50">
        <v>18</v>
      </c>
      <c r="L104" s="50">
        <v>54</v>
      </c>
      <c r="M104" s="50">
        <v>0</v>
      </c>
      <c r="N104" s="50">
        <v>0</v>
      </c>
      <c r="O104" s="15">
        <f t="shared" si="35"/>
        <v>205</v>
      </c>
      <c r="P104" s="15">
        <f t="shared" si="36"/>
        <v>205</v>
      </c>
      <c r="R104" s="8"/>
      <c r="T104"/>
    </row>
    <row r="105" spans="2:20" ht="23.1" customHeight="1" x14ac:dyDescent="0.25">
      <c r="B105" s="45" t="s">
        <v>145</v>
      </c>
      <c r="C105" s="50">
        <v>51</v>
      </c>
      <c r="D105" s="50">
        <v>23</v>
      </c>
      <c r="E105" s="50">
        <v>12</v>
      </c>
      <c r="F105" s="50">
        <v>56</v>
      </c>
      <c r="G105" s="50">
        <v>3</v>
      </c>
      <c r="H105" s="50">
        <v>2</v>
      </c>
      <c r="I105" s="50">
        <v>3</v>
      </c>
      <c r="J105" s="50">
        <v>3</v>
      </c>
      <c r="K105" s="50">
        <v>10</v>
      </c>
      <c r="L105" s="50">
        <v>86</v>
      </c>
      <c r="M105" s="50">
        <v>0</v>
      </c>
      <c r="N105" s="50">
        <v>0</v>
      </c>
      <c r="O105" s="15">
        <f t="shared" si="35"/>
        <v>249</v>
      </c>
      <c r="P105" s="15">
        <f t="shared" si="36"/>
        <v>249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1840</v>
      </c>
      <c r="D106" s="16">
        <f t="shared" ref="D106:P106" si="37">SUM(D10:D105)</f>
        <v>1009</v>
      </c>
      <c r="E106" s="16">
        <f t="shared" si="37"/>
        <v>550</v>
      </c>
      <c r="F106" s="16">
        <f t="shared" si="37"/>
        <v>2949</v>
      </c>
      <c r="G106" s="16">
        <f t="shared" si="37"/>
        <v>178</v>
      </c>
      <c r="H106" s="16">
        <f t="shared" si="37"/>
        <v>108</v>
      </c>
      <c r="I106" s="16">
        <f t="shared" si="37"/>
        <v>630</v>
      </c>
      <c r="J106" s="16">
        <f t="shared" si="37"/>
        <v>487</v>
      </c>
      <c r="K106" s="16">
        <f t="shared" si="37"/>
        <v>342</v>
      </c>
      <c r="L106" s="16">
        <f t="shared" si="37"/>
        <v>1159</v>
      </c>
      <c r="M106" s="16">
        <f t="shared" si="37"/>
        <v>6438</v>
      </c>
      <c r="N106" s="16">
        <f t="shared" si="37"/>
        <v>2</v>
      </c>
      <c r="O106" s="16">
        <f t="shared" si="37"/>
        <v>9254</v>
      </c>
      <c r="P106" s="16">
        <f t="shared" si="37"/>
        <v>15692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0.11725720112159062</v>
      </c>
      <c r="D107" s="43">
        <f t="shared" si="38"/>
        <v>6.4300280397654855E-2</v>
      </c>
      <c r="E107" s="43">
        <f t="shared" si="38"/>
        <v>3.5049706856997195E-2</v>
      </c>
      <c r="F107" s="43">
        <f t="shared" si="38"/>
        <v>0.18793015549324496</v>
      </c>
      <c r="G107" s="43">
        <f t="shared" si="38"/>
        <v>1.1343359673719092E-2</v>
      </c>
      <c r="H107" s="43">
        <f t="shared" si="38"/>
        <v>6.8824878919194494E-3</v>
      </c>
      <c r="I107" s="43">
        <f t="shared" si="38"/>
        <v>4.014784603619679E-2</v>
      </c>
      <c r="J107" s="43">
        <f t="shared" si="38"/>
        <v>3.1034922253377516E-2</v>
      </c>
      <c r="K107" s="43">
        <f t="shared" si="38"/>
        <v>2.1794544991078257E-2</v>
      </c>
      <c r="L107" s="43">
        <f t="shared" si="38"/>
        <v>7.3859291358654086E-2</v>
      </c>
      <c r="M107" s="43">
        <f t="shared" si="38"/>
        <v>0.41027275044608719</v>
      </c>
      <c r="N107" s="43">
        <f t="shared" si="38"/>
        <v>1.2745347947998981E-4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0.19883293710827751</v>
      </c>
      <c r="D108" s="44">
        <f t="shared" ref="D108:N108" si="39">D106/$O$106</f>
        <v>0.10903393127296304</v>
      </c>
      <c r="E108" s="44">
        <f t="shared" si="39"/>
        <v>5.9433758374756861E-2</v>
      </c>
      <c r="F108" s="44">
        <f t="shared" si="39"/>
        <v>0.31867300626755996</v>
      </c>
      <c r="G108" s="44">
        <f t="shared" si="39"/>
        <v>1.9234925437648584E-2</v>
      </c>
      <c r="H108" s="44">
        <f t="shared" si="39"/>
        <v>1.1670628917224984E-2</v>
      </c>
      <c r="I108" s="44">
        <f t="shared" si="39"/>
        <v>6.8078668683812404E-2</v>
      </c>
      <c r="J108" s="44">
        <f t="shared" si="39"/>
        <v>5.2625891506375623E-2</v>
      </c>
      <c r="K108" s="44">
        <f t="shared" si="39"/>
        <v>3.6956991571212447E-2</v>
      </c>
      <c r="L108" s="44">
        <f t="shared" si="39"/>
        <v>0.1252431381024422</v>
      </c>
      <c r="M108" s="44"/>
      <c r="N108" s="44">
        <f t="shared" si="39"/>
        <v>2.1612275772638859E-4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1:AF126"/>
  <sheetViews>
    <sheetView view="pageBreakPreview" zoomScale="60" workbookViewId="0">
      <selection activeCell="N5" sqref="N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2" t="s">
        <v>23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  <c r="AE1" s="62"/>
    </row>
    <row r="2" spans="2:32" ht="20.100000000000001" customHeight="1" x14ac:dyDescent="0.25">
      <c r="B2" s="63" t="s">
        <v>95</v>
      </c>
      <c r="C2" s="63"/>
      <c r="D2" s="63"/>
      <c r="E2" s="63"/>
      <c r="F2" s="63"/>
      <c r="G2" s="63"/>
      <c r="H2" s="63"/>
      <c r="I2" s="63"/>
      <c r="J2" s="63"/>
      <c r="K2" s="63"/>
      <c r="L2" s="63"/>
      <c r="M2" s="63"/>
      <c r="N2" s="63"/>
      <c r="O2" s="63"/>
      <c r="P2" s="63"/>
      <c r="Q2" s="63"/>
      <c r="R2" s="63"/>
      <c r="S2" s="63"/>
      <c r="T2" s="63"/>
      <c r="U2" s="63"/>
      <c r="V2" s="63"/>
      <c r="W2" s="63"/>
      <c r="X2" s="63"/>
      <c r="Y2" s="63"/>
      <c r="Z2" s="63"/>
      <c r="AA2" s="63"/>
      <c r="AB2" s="63"/>
      <c r="AC2" s="63"/>
      <c r="AD2" s="63"/>
      <c r="AE2" s="63"/>
    </row>
    <row r="3" spans="2:32" ht="20.100000000000001" customHeight="1" x14ac:dyDescent="0.25">
      <c r="B3" s="22" t="s">
        <v>96</v>
      </c>
      <c r="C3" s="67" t="str">
        <f>'23.09 Seeta-Mukono'!C3:G3</f>
        <v>MCC - C2 - STN074 - SONDE  ROAD</v>
      </c>
      <c r="D3" s="67"/>
      <c r="E3" s="67"/>
      <c r="F3" s="67"/>
      <c r="G3" s="67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184</v>
      </c>
      <c r="E5" s="3"/>
      <c r="F5" s="41" t="s">
        <v>1</v>
      </c>
      <c r="G5" s="68" t="str">
        <f>'25.09 Mukono-Seeta'!G5:H5</f>
        <v>STATION 74</v>
      </c>
      <c r="H5" s="69"/>
      <c r="I5" s="14"/>
      <c r="J5" s="2" t="s">
        <v>5</v>
      </c>
      <c r="K5" s="68" t="str">
        <f>'25.09 Mukono-Seeta'!K5:L5</f>
        <v>VICTOR</v>
      </c>
      <c r="L5" s="69"/>
      <c r="M5" s="10"/>
      <c r="N5" s="10"/>
      <c r="O5" s="3"/>
      <c r="P5" s="3"/>
    </row>
    <row r="6" spans="2:32" ht="23.25" customHeight="1" x14ac:dyDescent="0.25">
      <c r="C6" s="2" t="s">
        <v>4</v>
      </c>
      <c r="D6" s="68" t="str">
        <f>'23.09 Seeta-Mukono'!D6:E6</f>
        <v>Seeta</v>
      </c>
      <c r="E6" s="69"/>
      <c r="F6" s="2" t="s">
        <v>2</v>
      </c>
      <c r="G6" s="68" t="str">
        <f>'23.09 Seeta-Mukono'!G6:H6</f>
        <v>Mukono</v>
      </c>
      <c r="H6" s="69"/>
      <c r="J6" s="2" t="s">
        <v>21</v>
      </c>
      <c r="K6" s="68" t="str">
        <f>'25.09 Mukono-Seeta'!K6:L6</f>
        <v>Tracy</v>
      </c>
      <c r="L6" s="69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1" t="s">
        <v>88</v>
      </c>
      <c r="S8" s="61"/>
      <c r="T8" s="61"/>
      <c r="U8" s="61"/>
      <c r="V8" s="61"/>
      <c r="W8" s="61"/>
      <c r="X8" s="61"/>
      <c r="Y8" s="61"/>
      <c r="Z8" s="61"/>
      <c r="AA8" s="61"/>
      <c r="AB8" s="61"/>
      <c r="AC8" s="61"/>
      <c r="AD8" s="61"/>
      <c r="AE8" s="61"/>
      <c r="AF8" s="61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69</v>
      </c>
      <c r="D10" s="50">
        <v>3</v>
      </c>
      <c r="E10" s="50">
        <v>2</v>
      </c>
      <c r="F10" s="50">
        <v>55</v>
      </c>
      <c r="G10" s="50">
        <v>1</v>
      </c>
      <c r="H10" s="50">
        <v>1</v>
      </c>
      <c r="I10" s="50">
        <v>3</v>
      </c>
      <c r="J10" s="50">
        <v>0</v>
      </c>
      <c r="K10" s="50">
        <v>1</v>
      </c>
      <c r="L10" s="50">
        <v>4</v>
      </c>
      <c r="M10" s="50">
        <v>46</v>
      </c>
      <c r="N10" s="50">
        <v>0</v>
      </c>
      <c r="O10" s="15">
        <f t="shared" ref="O10:O57" si="0">SUM(C10:L10,N10)</f>
        <v>139</v>
      </c>
      <c r="P10" s="15">
        <f t="shared" ref="P10:P57" si="1">SUM(C10:N10)</f>
        <v>185</v>
      </c>
      <c r="R10" s="1" t="s">
        <v>6</v>
      </c>
      <c r="S10" s="17">
        <f t="shared" ref="S10:AF10" si="2">SUM(C10:C13)</f>
        <v>240</v>
      </c>
      <c r="T10" s="17">
        <f t="shared" si="2"/>
        <v>21</v>
      </c>
      <c r="U10" s="17">
        <f t="shared" si="2"/>
        <v>15</v>
      </c>
      <c r="V10" s="17">
        <f t="shared" si="2"/>
        <v>183</v>
      </c>
      <c r="W10" s="17">
        <f t="shared" si="2"/>
        <v>7</v>
      </c>
      <c r="X10" s="17">
        <f t="shared" si="2"/>
        <v>5</v>
      </c>
      <c r="Y10" s="17">
        <f t="shared" si="2"/>
        <v>14</v>
      </c>
      <c r="Z10" s="17">
        <f t="shared" si="2"/>
        <v>8</v>
      </c>
      <c r="AA10" s="17">
        <f t="shared" si="2"/>
        <v>9</v>
      </c>
      <c r="AB10" s="17">
        <f t="shared" si="2"/>
        <v>20</v>
      </c>
      <c r="AC10" s="17">
        <f t="shared" si="2"/>
        <v>288</v>
      </c>
      <c r="AD10" s="17">
        <f t="shared" si="2"/>
        <v>0</v>
      </c>
      <c r="AE10" s="31">
        <f t="shared" si="2"/>
        <v>522</v>
      </c>
      <c r="AF10" s="31">
        <f t="shared" si="2"/>
        <v>810</v>
      </c>
    </row>
    <row r="11" spans="2:32" s="6" customFormat="1" ht="23.1" customHeight="1" x14ac:dyDescent="0.25">
      <c r="B11" s="23" t="s">
        <v>38</v>
      </c>
      <c r="C11" s="50">
        <v>54</v>
      </c>
      <c r="D11" s="50">
        <v>5</v>
      </c>
      <c r="E11" s="50">
        <v>1</v>
      </c>
      <c r="F11" s="50">
        <v>50</v>
      </c>
      <c r="G11" s="50">
        <v>0</v>
      </c>
      <c r="H11" s="50">
        <v>0</v>
      </c>
      <c r="I11" s="50">
        <v>0</v>
      </c>
      <c r="J11" s="50">
        <v>3</v>
      </c>
      <c r="K11" s="50">
        <v>3</v>
      </c>
      <c r="L11" s="50">
        <v>8</v>
      </c>
      <c r="M11" s="50">
        <v>89</v>
      </c>
      <c r="N11" s="50">
        <v>0</v>
      </c>
      <c r="O11" s="15">
        <f t="shared" si="0"/>
        <v>124</v>
      </c>
      <c r="P11" s="15">
        <f t="shared" si="1"/>
        <v>213</v>
      </c>
      <c r="R11" s="1" t="s">
        <v>7</v>
      </c>
      <c r="S11" s="17">
        <f t="shared" ref="S11:AF11" si="3">SUM(C14:C17)</f>
        <v>269</v>
      </c>
      <c r="T11" s="17">
        <f t="shared" si="3"/>
        <v>39</v>
      </c>
      <c r="U11" s="17">
        <f t="shared" si="3"/>
        <v>51</v>
      </c>
      <c r="V11" s="17">
        <f t="shared" si="3"/>
        <v>209</v>
      </c>
      <c r="W11" s="17">
        <f t="shared" si="3"/>
        <v>7</v>
      </c>
      <c r="X11" s="17">
        <f t="shared" si="3"/>
        <v>1</v>
      </c>
      <c r="Y11" s="17">
        <f t="shared" si="3"/>
        <v>61</v>
      </c>
      <c r="Z11" s="17">
        <f t="shared" si="3"/>
        <v>11</v>
      </c>
      <c r="AA11" s="17">
        <f t="shared" si="3"/>
        <v>10</v>
      </c>
      <c r="AB11" s="17">
        <f t="shared" si="3"/>
        <v>17</v>
      </c>
      <c r="AC11" s="17">
        <f t="shared" si="3"/>
        <v>501</v>
      </c>
      <c r="AD11" s="17">
        <f t="shared" si="3"/>
        <v>0</v>
      </c>
      <c r="AE11" s="31">
        <f t="shared" si="3"/>
        <v>675</v>
      </c>
      <c r="AF11" s="31">
        <f t="shared" si="3"/>
        <v>1176</v>
      </c>
    </row>
    <row r="12" spans="2:32" ht="23.1" customHeight="1" x14ac:dyDescent="0.25">
      <c r="B12" s="23" t="s">
        <v>39</v>
      </c>
      <c r="C12" s="50">
        <v>50</v>
      </c>
      <c r="D12" s="50">
        <v>8</v>
      </c>
      <c r="E12" s="50">
        <v>7</v>
      </c>
      <c r="F12" s="50">
        <v>47</v>
      </c>
      <c r="G12" s="50">
        <v>4</v>
      </c>
      <c r="H12" s="50">
        <v>1</v>
      </c>
      <c r="I12" s="50">
        <v>2</v>
      </c>
      <c r="J12" s="50">
        <v>0</v>
      </c>
      <c r="K12" s="50">
        <v>1</v>
      </c>
      <c r="L12" s="50">
        <v>3</v>
      </c>
      <c r="M12" s="50">
        <v>65</v>
      </c>
      <c r="N12" s="50">
        <v>0</v>
      </c>
      <c r="O12" s="15">
        <f t="shared" si="0"/>
        <v>123</v>
      </c>
      <c r="P12" s="15">
        <f t="shared" si="1"/>
        <v>188</v>
      </c>
      <c r="R12" s="1" t="s">
        <v>8</v>
      </c>
      <c r="S12" s="17">
        <f t="shared" ref="S12:AF12" si="4">SUM(C18:C21)</f>
        <v>282</v>
      </c>
      <c r="T12" s="17">
        <f t="shared" si="4"/>
        <v>37</v>
      </c>
      <c r="U12" s="17">
        <f t="shared" si="4"/>
        <v>40</v>
      </c>
      <c r="V12" s="17">
        <f t="shared" si="4"/>
        <v>226</v>
      </c>
      <c r="W12" s="17">
        <f t="shared" si="4"/>
        <v>9</v>
      </c>
      <c r="X12" s="17">
        <f t="shared" si="4"/>
        <v>3</v>
      </c>
      <c r="Y12" s="17">
        <f t="shared" si="4"/>
        <v>64</v>
      </c>
      <c r="Z12" s="17">
        <f t="shared" si="4"/>
        <v>21</v>
      </c>
      <c r="AA12" s="17">
        <f t="shared" si="4"/>
        <v>11</v>
      </c>
      <c r="AB12" s="17">
        <f t="shared" si="4"/>
        <v>14</v>
      </c>
      <c r="AC12" s="17">
        <f t="shared" si="4"/>
        <v>512</v>
      </c>
      <c r="AD12" s="17">
        <f t="shared" si="4"/>
        <v>0</v>
      </c>
      <c r="AE12" s="31">
        <f t="shared" si="4"/>
        <v>707</v>
      </c>
      <c r="AF12" s="31">
        <f t="shared" si="4"/>
        <v>1219</v>
      </c>
    </row>
    <row r="13" spans="2:32" ht="23.1" customHeight="1" x14ac:dyDescent="0.25">
      <c r="B13" s="23" t="s">
        <v>40</v>
      </c>
      <c r="C13" s="50">
        <v>67</v>
      </c>
      <c r="D13" s="50">
        <v>5</v>
      </c>
      <c r="E13" s="50">
        <v>5</v>
      </c>
      <c r="F13" s="50">
        <v>31</v>
      </c>
      <c r="G13" s="50">
        <v>2</v>
      </c>
      <c r="H13" s="50">
        <v>3</v>
      </c>
      <c r="I13" s="50">
        <v>9</v>
      </c>
      <c r="J13" s="50">
        <v>5</v>
      </c>
      <c r="K13" s="50">
        <v>4</v>
      </c>
      <c r="L13" s="50">
        <v>5</v>
      </c>
      <c r="M13" s="50">
        <v>88</v>
      </c>
      <c r="N13" s="50">
        <v>0</v>
      </c>
      <c r="O13" s="15">
        <f t="shared" si="0"/>
        <v>136</v>
      </c>
      <c r="P13" s="15">
        <f t="shared" si="1"/>
        <v>224</v>
      </c>
      <c r="R13" s="1" t="s">
        <v>9</v>
      </c>
      <c r="S13" s="17">
        <f t="shared" ref="S13:AF13" si="5">SUM(C22:C25)</f>
        <v>206</v>
      </c>
      <c r="T13" s="17">
        <f t="shared" si="5"/>
        <v>39</v>
      </c>
      <c r="U13" s="17">
        <f t="shared" si="5"/>
        <v>34</v>
      </c>
      <c r="V13" s="17">
        <f t="shared" si="5"/>
        <v>185</v>
      </c>
      <c r="W13" s="17">
        <f t="shared" si="5"/>
        <v>12</v>
      </c>
      <c r="X13" s="17">
        <f t="shared" si="5"/>
        <v>1</v>
      </c>
      <c r="Y13" s="17">
        <f t="shared" si="5"/>
        <v>53</v>
      </c>
      <c r="Z13" s="17">
        <f t="shared" si="5"/>
        <v>29</v>
      </c>
      <c r="AA13" s="17">
        <f t="shared" si="5"/>
        <v>11</v>
      </c>
      <c r="AB13" s="17">
        <f t="shared" si="5"/>
        <v>38</v>
      </c>
      <c r="AC13" s="17">
        <f t="shared" si="5"/>
        <v>526</v>
      </c>
      <c r="AD13" s="17">
        <f t="shared" si="5"/>
        <v>0</v>
      </c>
      <c r="AE13" s="31">
        <f t="shared" si="5"/>
        <v>608</v>
      </c>
      <c r="AF13" s="31">
        <f t="shared" si="5"/>
        <v>1134</v>
      </c>
    </row>
    <row r="14" spans="2:32" ht="23.1" customHeight="1" x14ac:dyDescent="0.25">
      <c r="B14" s="23" t="s">
        <v>41</v>
      </c>
      <c r="C14" s="50">
        <v>61</v>
      </c>
      <c r="D14" s="50">
        <v>8</v>
      </c>
      <c r="E14" s="50">
        <v>14</v>
      </c>
      <c r="F14" s="50">
        <v>48</v>
      </c>
      <c r="G14" s="50">
        <v>1</v>
      </c>
      <c r="H14" s="50">
        <v>0</v>
      </c>
      <c r="I14" s="50">
        <v>10</v>
      </c>
      <c r="J14" s="50">
        <v>3</v>
      </c>
      <c r="K14" s="50">
        <v>2</v>
      </c>
      <c r="L14" s="50">
        <v>5</v>
      </c>
      <c r="M14" s="50">
        <v>104</v>
      </c>
      <c r="N14" s="50">
        <v>0</v>
      </c>
      <c r="O14" s="15">
        <f t="shared" si="0"/>
        <v>152</v>
      </c>
      <c r="P14" s="15">
        <f t="shared" si="1"/>
        <v>256</v>
      </c>
      <c r="R14" s="1" t="s">
        <v>10</v>
      </c>
      <c r="S14" s="17">
        <f t="shared" ref="S14:AF14" si="6">SUM(C26:C29)</f>
        <v>222</v>
      </c>
      <c r="T14" s="17">
        <f t="shared" si="6"/>
        <v>32</v>
      </c>
      <c r="U14" s="17">
        <f t="shared" si="6"/>
        <v>46</v>
      </c>
      <c r="V14" s="17">
        <f t="shared" si="6"/>
        <v>213</v>
      </c>
      <c r="W14" s="17">
        <f t="shared" si="6"/>
        <v>12</v>
      </c>
      <c r="X14" s="17">
        <f t="shared" si="6"/>
        <v>1</v>
      </c>
      <c r="Y14" s="17">
        <f t="shared" si="6"/>
        <v>80</v>
      </c>
      <c r="Z14" s="17">
        <f t="shared" si="6"/>
        <v>25</v>
      </c>
      <c r="AA14" s="17">
        <f t="shared" si="6"/>
        <v>19</v>
      </c>
      <c r="AB14" s="17">
        <f t="shared" si="6"/>
        <v>48</v>
      </c>
      <c r="AC14" s="17">
        <f t="shared" si="6"/>
        <v>587</v>
      </c>
      <c r="AD14" s="17">
        <f t="shared" si="6"/>
        <v>0</v>
      </c>
      <c r="AE14" s="31">
        <f t="shared" si="6"/>
        <v>698</v>
      </c>
      <c r="AF14" s="31">
        <f t="shared" si="6"/>
        <v>1285</v>
      </c>
    </row>
    <row r="15" spans="2:32" ht="23.1" customHeight="1" x14ac:dyDescent="0.25">
      <c r="B15" s="23" t="s">
        <v>42</v>
      </c>
      <c r="C15" s="50">
        <v>66</v>
      </c>
      <c r="D15" s="50">
        <v>10</v>
      </c>
      <c r="E15" s="50">
        <v>12</v>
      </c>
      <c r="F15" s="50">
        <v>70</v>
      </c>
      <c r="G15" s="50">
        <v>1</v>
      </c>
      <c r="H15" s="50">
        <v>1</v>
      </c>
      <c r="I15" s="50">
        <v>13</v>
      </c>
      <c r="J15" s="50">
        <v>2</v>
      </c>
      <c r="K15" s="50">
        <v>2</v>
      </c>
      <c r="L15" s="50">
        <v>5</v>
      </c>
      <c r="M15" s="50">
        <v>130</v>
      </c>
      <c r="N15" s="50">
        <v>0</v>
      </c>
      <c r="O15" s="15">
        <f t="shared" si="0"/>
        <v>182</v>
      </c>
      <c r="P15" s="15">
        <f t="shared" si="1"/>
        <v>312</v>
      </c>
      <c r="R15" s="1" t="s">
        <v>11</v>
      </c>
      <c r="S15" s="17">
        <f t="shared" ref="S15:AF15" si="7">SUM(C30:C33)</f>
        <v>207</v>
      </c>
      <c r="T15" s="17">
        <f t="shared" si="7"/>
        <v>26</v>
      </c>
      <c r="U15" s="17">
        <f t="shared" si="7"/>
        <v>24</v>
      </c>
      <c r="V15" s="17">
        <f t="shared" si="7"/>
        <v>227</v>
      </c>
      <c r="W15" s="17">
        <f t="shared" si="7"/>
        <v>8</v>
      </c>
      <c r="X15" s="17">
        <f t="shared" si="7"/>
        <v>2</v>
      </c>
      <c r="Y15" s="17">
        <f t="shared" si="7"/>
        <v>68</v>
      </c>
      <c r="Z15" s="17">
        <f t="shared" si="7"/>
        <v>18</v>
      </c>
      <c r="AA15" s="17">
        <f t="shared" si="7"/>
        <v>10</v>
      </c>
      <c r="AB15" s="17">
        <f t="shared" si="7"/>
        <v>78</v>
      </c>
      <c r="AC15" s="17">
        <f t="shared" si="7"/>
        <v>554</v>
      </c>
      <c r="AD15" s="17">
        <f t="shared" si="7"/>
        <v>1</v>
      </c>
      <c r="AE15" s="31">
        <f t="shared" si="7"/>
        <v>669</v>
      </c>
      <c r="AF15" s="31">
        <f t="shared" si="7"/>
        <v>1223</v>
      </c>
    </row>
    <row r="16" spans="2:32" ht="23.1" customHeight="1" x14ac:dyDescent="0.25">
      <c r="B16" s="23" t="s">
        <v>43</v>
      </c>
      <c r="C16" s="50">
        <v>54</v>
      </c>
      <c r="D16" s="50">
        <v>11</v>
      </c>
      <c r="E16" s="50">
        <v>10</v>
      </c>
      <c r="F16" s="50">
        <v>44</v>
      </c>
      <c r="G16" s="50">
        <v>2</v>
      </c>
      <c r="H16" s="50">
        <v>0</v>
      </c>
      <c r="I16" s="50">
        <v>14</v>
      </c>
      <c r="J16" s="50">
        <v>3</v>
      </c>
      <c r="K16" s="50">
        <v>2</v>
      </c>
      <c r="L16" s="50">
        <v>3</v>
      </c>
      <c r="M16" s="50">
        <v>127</v>
      </c>
      <c r="N16" s="50">
        <v>0</v>
      </c>
      <c r="O16" s="15">
        <f t="shared" si="0"/>
        <v>143</v>
      </c>
      <c r="P16" s="15">
        <f t="shared" si="1"/>
        <v>270</v>
      </c>
      <c r="R16" s="1" t="s">
        <v>12</v>
      </c>
      <c r="S16" s="17">
        <f t="shared" ref="S16:AF16" si="8">SUM(C34:C37)</f>
        <v>193</v>
      </c>
      <c r="T16" s="17">
        <f t="shared" si="8"/>
        <v>27</v>
      </c>
      <c r="U16" s="17">
        <f t="shared" si="8"/>
        <v>30</v>
      </c>
      <c r="V16" s="17">
        <f t="shared" si="8"/>
        <v>196</v>
      </c>
      <c r="W16" s="17">
        <f t="shared" si="8"/>
        <v>11</v>
      </c>
      <c r="X16" s="17">
        <f t="shared" si="8"/>
        <v>0</v>
      </c>
      <c r="Y16" s="17">
        <f t="shared" si="8"/>
        <v>62</v>
      </c>
      <c r="Z16" s="17">
        <f t="shared" si="8"/>
        <v>19</v>
      </c>
      <c r="AA16" s="17">
        <f t="shared" si="8"/>
        <v>17</v>
      </c>
      <c r="AB16" s="17">
        <f t="shared" si="8"/>
        <v>69</v>
      </c>
      <c r="AC16" s="17">
        <f t="shared" si="8"/>
        <v>186</v>
      </c>
      <c r="AD16" s="17">
        <f t="shared" si="8"/>
        <v>0</v>
      </c>
      <c r="AE16" s="31">
        <f t="shared" si="8"/>
        <v>624</v>
      </c>
      <c r="AF16" s="31">
        <f t="shared" si="8"/>
        <v>810</v>
      </c>
    </row>
    <row r="17" spans="2:32" ht="23.1" customHeight="1" x14ac:dyDescent="0.25">
      <c r="B17" s="23" t="s">
        <v>44</v>
      </c>
      <c r="C17" s="50">
        <v>88</v>
      </c>
      <c r="D17" s="50">
        <v>10</v>
      </c>
      <c r="E17" s="50">
        <v>15</v>
      </c>
      <c r="F17" s="50">
        <v>47</v>
      </c>
      <c r="G17" s="50">
        <v>3</v>
      </c>
      <c r="H17" s="50">
        <v>0</v>
      </c>
      <c r="I17" s="50">
        <v>24</v>
      </c>
      <c r="J17" s="50">
        <v>3</v>
      </c>
      <c r="K17" s="50">
        <v>4</v>
      </c>
      <c r="L17" s="50">
        <v>4</v>
      </c>
      <c r="M17" s="50">
        <v>140</v>
      </c>
      <c r="N17" s="50">
        <v>0</v>
      </c>
      <c r="O17" s="15">
        <f t="shared" si="0"/>
        <v>198</v>
      </c>
      <c r="P17" s="15">
        <f t="shared" si="1"/>
        <v>338</v>
      </c>
      <c r="R17" s="1" t="s">
        <v>13</v>
      </c>
      <c r="S17" s="17">
        <f t="shared" ref="S17:AF17" si="9">SUM(C38:C41)</f>
        <v>175</v>
      </c>
      <c r="T17" s="17">
        <f t="shared" si="9"/>
        <v>36</v>
      </c>
      <c r="U17" s="17">
        <f t="shared" si="9"/>
        <v>27</v>
      </c>
      <c r="V17" s="17">
        <f t="shared" si="9"/>
        <v>171</v>
      </c>
      <c r="W17" s="17">
        <f t="shared" si="9"/>
        <v>10</v>
      </c>
      <c r="X17" s="17">
        <f t="shared" si="9"/>
        <v>2</v>
      </c>
      <c r="Y17" s="17">
        <f t="shared" si="9"/>
        <v>64</v>
      </c>
      <c r="Z17" s="17">
        <f t="shared" si="9"/>
        <v>21</v>
      </c>
      <c r="AA17" s="17">
        <f t="shared" si="9"/>
        <v>11</v>
      </c>
      <c r="AB17" s="17">
        <f t="shared" si="9"/>
        <v>46</v>
      </c>
      <c r="AC17" s="17">
        <f t="shared" si="9"/>
        <v>288</v>
      </c>
      <c r="AD17" s="17">
        <f t="shared" si="9"/>
        <v>0</v>
      </c>
      <c r="AE17" s="31">
        <f t="shared" si="9"/>
        <v>563</v>
      </c>
      <c r="AF17" s="31">
        <f t="shared" si="9"/>
        <v>851</v>
      </c>
    </row>
    <row r="18" spans="2:32" ht="23.1" customHeight="1" x14ac:dyDescent="0.25">
      <c r="B18" s="23" t="s">
        <v>45</v>
      </c>
      <c r="C18" s="50">
        <v>79</v>
      </c>
      <c r="D18" s="50">
        <v>10</v>
      </c>
      <c r="E18" s="50">
        <v>10</v>
      </c>
      <c r="F18" s="50">
        <v>71</v>
      </c>
      <c r="G18" s="50">
        <v>0</v>
      </c>
      <c r="H18" s="50">
        <v>0</v>
      </c>
      <c r="I18" s="50">
        <v>20</v>
      </c>
      <c r="J18" s="50">
        <v>5</v>
      </c>
      <c r="K18" s="50">
        <v>3</v>
      </c>
      <c r="L18" s="50">
        <v>2</v>
      </c>
      <c r="M18" s="50">
        <v>162</v>
      </c>
      <c r="N18" s="50">
        <v>0</v>
      </c>
      <c r="O18" s="15">
        <f t="shared" si="0"/>
        <v>200</v>
      </c>
      <c r="P18" s="15">
        <f t="shared" si="1"/>
        <v>362</v>
      </c>
      <c r="R18" s="1" t="s">
        <v>14</v>
      </c>
      <c r="S18" s="17">
        <f t="shared" ref="S18:AF18" si="10">SUM(C42:C45)</f>
        <v>160</v>
      </c>
      <c r="T18" s="17">
        <f t="shared" si="10"/>
        <v>11</v>
      </c>
      <c r="U18" s="17">
        <f t="shared" si="10"/>
        <v>28</v>
      </c>
      <c r="V18" s="17">
        <f t="shared" si="10"/>
        <v>164</v>
      </c>
      <c r="W18" s="17">
        <f t="shared" si="10"/>
        <v>0</v>
      </c>
      <c r="X18" s="17">
        <f t="shared" si="10"/>
        <v>1</v>
      </c>
      <c r="Y18" s="17">
        <f t="shared" si="10"/>
        <v>60</v>
      </c>
      <c r="Z18" s="17">
        <f t="shared" si="10"/>
        <v>18</v>
      </c>
      <c r="AA18" s="17">
        <f t="shared" si="10"/>
        <v>17</v>
      </c>
      <c r="AB18" s="17">
        <f t="shared" si="10"/>
        <v>68</v>
      </c>
      <c r="AC18" s="17">
        <f t="shared" si="10"/>
        <v>298</v>
      </c>
      <c r="AD18" s="17">
        <f t="shared" si="10"/>
        <v>0</v>
      </c>
      <c r="AE18" s="31">
        <f t="shared" si="10"/>
        <v>527</v>
      </c>
      <c r="AF18" s="31">
        <f t="shared" si="10"/>
        <v>825</v>
      </c>
    </row>
    <row r="19" spans="2:32" ht="23.1" customHeight="1" x14ac:dyDescent="0.25">
      <c r="B19" s="23" t="s">
        <v>46</v>
      </c>
      <c r="C19" s="50">
        <v>71</v>
      </c>
      <c r="D19" s="50">
        <v>8</v>
      </c>
      <c r="E19" s="50">
        <v>12</v>
      </c>
      <c r="F19" s="50">
        <v>34</v>
      </c>
      <c r="G19" s="50">
        <v>3</v>
      </c>
      <c r="H19" s="50">
        <v>0</v>
      </c>
      <c r="I19" s="50">
        <v>15</v>
      </c>
      <c r="J19" s="50">
        <v>8</v>
      </c>
      <c r="K19" s="50">
        <v>3</v>
      </c>
      <c r="L19" s="50">
        <v>2</v>
      </c>
      <c r="M19" s="50">
        <v>119</v>
      </c>
      <c r="N19" s="50">
        <v>0</v>
      </c>
      <c r="O19" s="15">
        <f t="shared" si="0"/>
        <v>156</v>
      </c>
      <c r="P19" s="15">
        <f t="shared" si="1"/>
        <v>275</v>
      </c>
      <c r="R19" s="1" t="s">
        <v>15</v>
      </c>
      <c r="S19" s="17">
        <f t="shared" ref="S19:AF19" si="11">SUM(C46:C49)</f>
        <v>241</v>
      </c>
      <c r="T19" s="17">
        <f t="shared" si="11"/>
        <v>36</v>
      </c>
      <c r="U19" s="17">
        <f t="shared" si="11"/>
        <v>26</v>
      </c>
      <c r="V19" s="17">
        <f t="shared" si="11"/>
        <v>185</v>
      </c>
      <c r="W19" s="17">
        <f t="shared" si="11"/>
        <v>11</v>
      </c>
      <c r="X19" s="17">
        <f t="shared" si="11"/>
        <v>0</v>
      </c>
      <c r="Y19" s="17">
        <f t="shared" si="11"/>
        <v>65</v>
      </c>
      <c r="Z19" s="17">
        <f t="shared" si="11"/>
        <v>18</v>
      </c>
      <c r="AA19" s="17">
        <f t="shared" si="11"/>
        <v>13</v>
      </c>
      <c r="AB19" s="17">
        <f t="shared" si="11"/>
        <v>109</v>
      </c>
      <c r="AC19" s="17">
        <f t="shared" si="11"/>
        <v>522</v>
      </c>
      <c r="AD19" s="17">
        <f t="shared" si="11"/>
        <v>0</v>
      </c>
      <c r="AE19" s="31">
        <f t="shared" si="11"/>
        <v>704</v>
      </c>
      <c r="AF19" s="31">
        <f t="shared" si="11"/>
        <v>1226</v>
      </c>
    </row>
    <row r="20" spans="2:32" ht="23.1" customHeight="1" x14ac:dyDescent="0.25">
      <c r="B20" s="23" t="s">
        <v>47</v>
      </c>
      <c r="C20" s="50">
        <v>65</v>
      </c>
      <c r="D20" s="50">
        <v>12</v>
      </c>
      <c r="E20" s="50">
        <v>10</v>
      </c>
      <c r="F20" s="50">
        <v>57</v>
      </c>
      <c r="G20" s="50">
        <v>3</v>
      </c>
      <c r="H20" s="50">
        <v>0</v>
      </c>
      <c r="I20" s="50">
        <v>12</v>
      </c>
      <c r="J20" s="50">
        <v>3</v>
      </c>
      <c r="K20" s="50">
        <v>4</v>
      </c>
      <c r="L20" s="50">
        <v>6</v>
      </c>
      <c r="M20" s="50">
        <v>110</v>
      </c>
      <c r="N20" s="50">
        <v>0</v>
      </c>
      <c r="O20" s="15">
        <f t="shared" si="0"/>
        <v>172</v>
      </c>
      <c r="P20" s="15">
        <f t="shared" si="1"/>
        <v>282</v>
      </c>
      <c r="R20" s="1" t="s">
        <v>16</v>
      </c>
      <c r="S20" s="17">
        <f t="shared" ref="S20:AF20" si="12">SUM(C50:C53)</f>
        <v>174</v>
      </c>
      <c r="T20" s="17">
        <f t="shared" si="12"/>
        <v>25</v>
      </c>
      <c r="U20" s="17">
        <f t="shared" si="12"/>
        <v>23</v>
      </c>
      <c r="V20" s="17">
        <f t="shared" si="12"/>
        <v>214</v>
      </c>
      <c r="W20" s="17">
        <f t="shared" si="12"/>
        <v>6</v>
      </c>
      <c r="X20" s="17">
        <f t="shared" si="12"/>
        <v>4</v>
      </c>
      <c r="Y20" s="17">
        <f t="shared" si="12"/>
        <v>53</v>
      </c>
      <c r="Z20" s="17">
        <f t="shared" si="12"/>
        <v>25</v>
      </c>
      <c r="AA20" s="17">
        <f t="shared" si="12"/>
        <v>9</v>
      </c>
      <c r="AB20" s="17">
        <f t="shared" si="12"/>
        <v>96</v>
      </c>
      <c r="AC20" s="17">
        <f t="shared" si="12"/>
        <v>505</v>
      </c>
      <c r="AD20" s="17">
        <f t="shared" si="12"/>
        <v>0</v>
      </c>
      <c r="AE20" s="31">
        <f t="shared" si="12"/>
        <v>629</v>
      </c>
      <c r="AF20" s="31">
        <f t="shared" si="12"/>
        <v>1134</v>
      </c>
    </row>
    <row r="21" spans="2:32" ht="23.1" customHeight="1" x14ac:dyDescent="0.25">
      <c r="B21" s="23" t="s">
        <v>48</v>
      </c>
      <c r="C21" s="50">
        <v>67</v>
      </c>
      <c r="D21" s="50">
        <v>7</v>
      </c>
      <c r="E21" s="50">
        <v>8</v>
      </c>
      <c r="F21" s="50">
        <v>64</v>
      </c>
      <c r="G21" s="50">
        <v>3</v>
      </c>
      <c r="H21" s="50">
        <v>3</v>
      </c>
      <c r="I21" s="50">
        <v>17</v>
      </c>
      <c r="J21" s="50">
        <v>5</v>
      </c>
      <c r="K21" s="50">
        <v>1</v>
      </c>
      <c r="L21" s="50">
        <v>4</v>
      </c>
      <c r="M21" s="50">
        <v>121</v>
      </c>
      <c r="N21" s="50">
        <v>0</v>
      </c>
      <c r="O21" s="15">
        <f t="shared" si="0"/>
        <v>179</v>
      </c>
      <c r="P21" s="15">
        <f t="shared" si="1"/>
        <v>300</v>
      </c>
      <c r="R21" s="36" t="s">
        <v>20</v>
      </c>
      <c r="S21" s="34">
        <f t="shared" ref="S21:AF21" si="13">SUM(C54:C57)</f>
        <v>245</v>
      </c>
      <c r="T21" s="17">
        <f t="shared" si="13"/>
        <v>25</v>
      </c>
      <c r="U21" s="17">
        <f t="shared" si="13"/>
        <v>36</v>
      </c>
      <c r="V21" s="17">
        <f t="shared" si="13"/>
        <v>159</v>
      </c>
      <c r="W21" s="17">
        <f t="shared" si="13"/>
        <v>11</v>
      </c>
      <c r="X21" s="17">
        <f t="shared" si="13"/>
        <v>0</v>
      </c>
      <c r="Y21" s="17">
        <f t="shared" si="13"/>
        <v>40</v>
      </c>
      <c r="Z21" s="17">
        <f t="shared" si="13"/>
        <v>18</v>
      </c>
      <c r="AA21" s="17">
        <f t="shared" si="13"/>
        <v>13</v>
      </c>
      <c r="AB21" s="17">
        <f t="shared" si="13"/>
        <v>87</v>
      </c>
      <c r="AC21" s="17">
        <f t="shared" si="13"/>
        <v>914</v>
      </c>
      <c r="AD21" s="17">
        <f t="shared" si="13"/>
        <v>0</v>
      </c>
      <c r="AE21" s="31">
        <f t="shared" si="13"/>
        <v>634</v>
      </c>
      <c r="AF21" s="31">
        <f t="shared" si="13"/>
        <v>1548</v>
      </c>
    </row>
    <row r="22" spans="2:32" ht="23.1" customHeight="1" x14ac:dyDescent="0.25">
      <c r="B22" s="23" t="s">
        <v>49</v>
      </c>
      <c r="C22" s="50">
        <v>40</v>
      </c>
      <c r="D22" s="50">
        <v>8</v>
      </c>
      <c r="E22" s="50">
        <v>8</v>
      </c>
      <c r="F22" s="50">
        <v>37</v>
      </c>
      <c r="G22" s="50">
        <v>2</v>
      </c>
      <c r="H22" s="50">
        <v>1</v>
      </c>
      <c r="I22" s="50">
        <v>7</v>
      </c>
      <c r="J22" s="50">
        <v>4</v>
      </c>
      <c r="K22" s="50">
        <v>3</v>
      </c>
      <c r="L22" s="50">
        <v>5</v>
      </c>
      <c r="M22" s="50">
        <v>113</v>
      </c>
      <c r="N22" s="50">
        <v>0</v>
      </c>
      <c r="O22" s="15">
        <f t="shared" si="0"/>
        <v>115</v>
      </c>
      <c r="P22" s="15">
        <f t="shared" si="1"/>
        <v>228</v>
      </c>
      <c r="R22" s="38" t="s">
        <v>90</v>
      </c>
      <c r="S22" s="39">
        <f>MAX(S10:S12)</f>
        <v>282</v>
      </c>
      <c r="T22" s="39">
        <f t="shared" ref="T22:AF22" si="14">MAX(T10:T12)</f>
        <v>39</v>
      </c>
      <c r="U22" s="39">
        <f t="shared" si="14"/>
        <v>51</v>
      </c>
      <c r="V22" s="39">
        <f t="shared" si="14"/>
        <v>226</v>
      </c>
      <c r="W22" s="39">
        <f t="shared" si="14"/>
        <v>9</v>
      </c>
      <c r="X22" s="39">
        <f t="shared" si="14"/>
        <v>5</v>
      </c>
      <c r="Y22" s="39">
        <f t="shared" si="14"/>
        <v>64</v>
      </c>
      <c r="Z22" s="39">
        <f t="shared" si="14"/>
        <v>21</v>
      </c>
      <c r="AA22" s="39">
        <f t="shared" si="14"/>
        <v>11</v>
      </c>
      <c r="AB22" s="39">
        <f t="shared" si="14"/>
        <v>20</v>
      </c>
      <c r="AC22" s="39">
        <f t="shared" si="14"/>
        <v>512</v>
      </c>
      <c r="AD22" s="39">
        <f t="shared" si="14"/>
        <v>0</v>
      </c>
      <c r="AE22" s="40">
        <f t="shared" si="14"/>
        <v>707</v>
      </c>
      <c r="AF22" s="40">
        <f t="shared" si="14"/>
        <v>1219</v>
      </c>
    </row>
    <row r="23" spans="2:32" ht="23.1" customHeight="1" x14ac:dyDescent="0.25">
      <c r="B23" s="23" t="s">
        <v>50</v>
      </c>
      <c r="C23" s="50">
        <v>70</v>
      </c>
      <c r="D23" s="50">
        <v>7</v>
      </c>
      <c r="E23" s="50">
        <v>12</v>
      </c>
      <c r="F23" s="50">
        <v>51</v>
      </c>
      <c r="G23" s="50">
        <v>4</v>
      </c>
      <c r="H23" s="50">
        <v>0</v>
      </c>
      <c r="I23" s="50">
        <v>19</v>
      </c>
      <c r="J23" s="50">
        <v>10</v>
      </c>
      <c r="K23" s="50">
        <v>3</v>
      </c>
      <c r="L23" s="50">
        <v>14</v>
      </c>
      <c r="M23" s="50">
        <v>140</v>
      </c>
      <c r="N23" s="50">
        <v>0</v>
      </c>
      <c r="O23" s="15">
        <f t="shared" si="0"/>
        <v>190</v>
      </c>
      <c r="P23" s="15">
        <f t="shared" si="1"/>
        <v>330</v>
      </c>
      <c r="R23" s="38" t="s">
        <v>91</v>
      </c>
      <c r="S23" s="39">
        <f>MAX(S13:S18)</f>
        <v>222</v>
      </c>
      <c r="T23" s="39">
        <f t="shared" ref="T23:AF23" si="15">MAX(T13:T18)</f>
        <v>39</v>
      </c>
      <c r="U23" s="39">
        <f t="shared" si="15"/>
        <v>46</v>
      </c>
      <c r="V23" s="39">
        <f t="shared" si="15"/>
        <v>227</v>
      </c>
      <c r="W23" s="39">
        <f t="shared" si="15"/>
        <v>12</v>
      </c>
      <c r="X23" s="39">
        <f t="shared" si="15"/>
        <v>2</v>
      </c>
      <c r="Y23" s="39">
        <f t="shared" si="15"/>
        <v>80</v>
      </c>
      <c r="Z23" s="39">
        <f t="shared" si="15"/>
        <v>29</v>
      </c>
      <c r="AA23" s="39">
        <f t="shared" si="15"/>
        <v>19</v>
      </c>
      <c r="AB23" s="39">
        <f t="shared" si="15"/>
        <v>78</v>
      </c>
      <c r="AC23" s="39">
        <f t="shared" si="15"/>
        <v>587</v>
      </c>
      <c r="AD23" s="39">
        <f t="shared" si="15"/>
        <v>1</v>
      </c>
      <c r="AE23" s="40">
        <f t="shared" si="15"/>
        <v>698</v>
      </c>
      <c r="AF23" s="40">
        <f t="shared" si="15"/>
        <v>1285</v>
      </c>
    </row>
    <row r="24" spans="2:32" ht="23.1" customHeight="1" x14ac:dyDescent="0.25">
      <c r="B24" s="23" t="s">
        <v>51</v>
      </c>
      <c r="C24" s="50">
        <v>42</v>
      </c>
      <c r="D24" s="50">
        <v>12</v>
      </c>
      <c r="E24" s="50">
        <v>8</v>
      </c>
      <c r="F24" s="50">
        <v>52</v>
      </c>
      <c r="G24" s="50">
        <v>1</v>
      </c>
      <c r="H24" s="50">
        <v>0</v>
      </c>
      <c r="I24" s="50">
        <v>9</v>
      </c>
      <c r="J24" s="50">
        <v>7</v>
      </c>
      <c r="K24" s="50">
        <v>2</v>
      </c>
      <c r="L24" s="50">
        <v>15</v>
      </c>
      <c r="M24" s="50">
        <v>126</v>
      </c>
      <c r="N24" s="50">
        <v>0</v>
      </c>
      <c r="O24" s="15">
        <f t="shared" si="0"/>
        <v>148</v>
      </c>
      <c r="P24" s="15">
        <f t="shared" si="1"/>
        <v>274</v>
      </c>
      <c r="R24" s="38" t="s">
        <v>92</v>
      </c>
      <c r="S24" s="39">
        <f>MAX(S19:S21)</f>
        <v>245</v>
      </c>
      <c r="T24" s="39">
        <f t="shared" ref="T24:AF24" si="16">MAX(T19:T21)</f>
        <v>36</v>
      </c>
      <c r="U24" s="39">
        <f t="shared" si="16"/>
        <v>36</v>
      </c>
      <c r="V24" s="39">
        <f t="shared" si="16"/>
        <v>214</v>
      </c>
      <c r="W24" s="39">
        <f t="shared" si="16"/>
        <v>11</v>
      </c>
      <c r="X24" s="39">
        <f t="shared" si="16"/>
        <v>4</v>
      </c>
      <c r="Y24" s="39">
        <f t="shared" si="16"/>
        <v>65</v>
      </c>
      <c r="Z24" s="39">
        <f t="shared" si="16"/>
        <v>25</v>
      </c>
      <c r="AA24" s="39">
        <f t="shared" si="16"/>
        <v>13</v>
      </c>
      <c r="AB24" s="39">
        <f t="shared" si="16"/>
        <v>109</v>
      </c>
      <c r="AC24" s="39">
        <f t="shared" si="16"/>
        <v>914</v>
      </c>
      <c r="AD24" s="39">
        <f t="shared" si="16"/>
        <v>0</v>
      </c>
      <c r="AE24" s="40">
        <f t="shared" si="16"/>
        <v>704</v>
      </c>
      <c r="AF24" s="40">
        <f t="shared" si="16"/>
        <v>1548</v>
      </c>
    </row>
    <row r="25" spans="2:32" ht="23.1" customHeight="1" x14ac:dyDescent="0.25">
      <c r="B25" s="23" t="s">
        <v>52</v>
      </c>
      <c r="C25" s="50">
        <v>54</v>
      </c>
      <c r="D25" s="50">
        <v>12</v>
      </c>
      <c r="E25" s="50">
        <v>6</v>
      </c>
      <c r="F25" s="50">
        <v>45</v>
      </c>
      <c r="G25" s="50">
        <v>5</v>
      </c>
      <c r="H25" s="50">
        <v>0</v>
      </c>
      <c r="I25" s="50">
        <v>18</v>
      </c>
      <c r="J25" s="50">
        <v>8</v>
      </c>
      <c r="K25" s="50">
        <v>3</v>
      </c>
      <c r="L25" s="50">
        <v>4</v>
      </c>
      <c r="M25" s="50">
        <v>147</v>
      </c>
      <c r="N25" s="50">
        <v>0</v>
      </c>
      <c r="O25" s="15">
        <f t="shared" si="0"/>
        <v>155</v>
      </c>
      <c r="P25" s="15">
        <f t="shared" si="1"/>
        <v>302</v>
      </c>
      <c r="R25" s="37" t="s">
        <v>85</v>
      </c>
      <c r="S25" s="35">
        <f t="shared" ref="S25:AF25" si="17">SUM(S10:S12)</f>
        <v>791</v>
      </c>
      <c r="T25" s="16">
        <f t="shared" si="17"/>
        <v>97</v>
      </c>
      <c r="U25" s="16">
        <f t="shared" si="17"/>
        <v>106</v>
      </c>
      <c r="V25" s="16">
        <f t="shared" si="17"/>
        <v>618</v>
      </c>
      <c r="W25" s="16">
        <f t="shared" si="17"/>
        <v>23</v>
      </c>
      <c r="X25" s="16">
        <f t="shared" si="17"/>
        <v>9</v>
      </c>
      <c r="Y25" s="16">
        <f t="shared" si="17"/>
        <v>139</v>
      </c>
      <c r="Z25" s="16">
        <f t="shared" si="17"/>
        <v>40</v>
      </c>
      <c r="AA25" s="16">
        <f t="shared" si="17"/>
        <v>30</v>
      </c>
      <c r="AB25" s="16">
        <f t="shared" si="17"/>
        <v>51</v>
      </c>
      <c r="AC25" s="16">
        <f t="shared" si="17"/>
        <v>1301</v>
      </c>
      <c r="AD25" s="16">
        <f t="shared" si="17"/>
        <v>0</v>
      </c>
      <c r="AE25" s="32">
        <f t="shared" si="17"/>
        <v>1904</v>
      </c>
      <c r="AF25" s="32">
        <f t="shared" si="17"/>
        <v>3205</v>
      </c>
    </row>
    <row r="26" spans="2:32" ht="23.1" customHeight="1" x14ac:dyDescent="0.25">
      <c r="B26" s="23" t="s">
        <v>53</v>
      </c>
      <c r="C26" s="50">
        <v>62</v>
      </c>
      <c r="D26" s="50">
        <v>6</v>
      </c>
      <c r="E26" s="50">
        <v>9</v>
      </c>
      <c r="F26" s="50">
        <v>63</v>
      </c>
      <c r="G26" s="50">
        <v>1</v>
      </c>
      <c r="H26" s="50">
        <v>0</v>
      </c>
      <c r="I26" s="50">
        <v>30</v>
      </c>
      <c r="J26" s="50">
        <v>3</v>
      </c>
      <c r="K26" s="50">
        <v>5</v>
      </c>
      <c r="L26" s="50">
        <v>16</v>
      </c>
      <c r="M26" s="50">
        <v>135</v>
      </c>
      <c r="N26" s="50">
        <v>0</v>
      </c>
      <c r="O26" s="15">
        <f t="shared" si="0"/>
        <v>195</v>
      </c>
      <c r="P26" s="15">
        <f t="shared" si="1"/>
        <v>330</v>
      </c>
      <c r="R26" s="28" t="s">
        <v>86</v>
      </c>
      <c r="S26" s="16">
        <f t="shared" ref="S26:AF26" si="18">SUM(S13:S18)</f>
        <v>1163</v>
      </c>
      <c r="T26" s="16">
        <f t="shared" si="18"/>
        <v>171</v>
      </c>
      <c r="U26" s="16">
        <f t="shared" si="18"/>
        <v>189</v>
      </c>
      <c r="V26" s="16">
        <f t="shared" si="18"/>
        <v>1156</v>
      </c>
      <c r="W26" s="16">
        <f t="shared" si="18"/>
        <v>53</v>
      </c>
      <c r="X26" s="16">
        <f t="shared" si="18"/>
        <v>7</v>
      </c>
      <c r="Y26" s="16">
        <f t="shared" si="18"/>
        <v>387</v>
      </c>
      <c r="Z26" s="16">
        <f t="shared" si="18"/>
        <v>130</v>
      </c>
      <c r="AA26" s="16">
        <f t="shared" si="18"/>
        <v>85</v>
      </c>
      <c r="AB26" s="16">
        <f t="shared" si="18"/>
        <v>347</v>
      </c>
      <c r="AC26" s="16">
        <f t="shared" si="18"/>
        <v>2439</v>
      </c>
      <c r="AD26" s="16">
        <f t="shared" si="18"/>
        <v>1</v>
      </c>
      <c r="AE26" s="32">
        <f t="shared" si="18"/>
        <v>3689</v>
      </c>
      <c r="AF26" s="32">
        <f t="shared" si="18"/>
        <v>6128</v>
      </c>
    </row>
    <row r="27" spans="2:32" ht="23.1" customHeight="1" x14ac:dyDescent="0.25">
      <c r="B27" s="23" t="s">
        <v>54</v>
      </c>
      <c r="C27" s="50">
        <v>51</v>
      </c>
      <c r="D27" s="50">
        <v>9</v>
      </c>
      <c r="E27" s="50">
        <v>16</v>
      </c>
      <c r="F27" s="50">
        <v>45</v>
      </c>
      <c r="G27" s="50">
        <v>5</v>
      </c>
      <c r="H27" s="50">
        <v>0</v>
      </c>
      <c r="I27" s="50">
        <v>15</v>
      </c>
      <c r="J27" s="50">
        <v>8</v>
      </c>
      <c r="K27" s="50">
        <v>2</v>
      </c>
      <c r="L27" s="50">
        <v>7</v>
      </c>
      <c r="M27" s="50">
        <v>136</v>
      </c>
      <c r="N27" s="50">
        <v>0</v>
      </c>
      <c r="O27" s="15">
        <f t="shared" si="0"/>
        <v>158</v>
      </c>
      <c r="P27" s="15">
        <f t="shared" si="1"/>
        <v>294</v>
      </c>
      <c r="R27" s="29" t="s">
        <v>87</v>
      </c>
      <c r="S27" s="16">
        <f t="shared" ref="S27:AF27" si="19">SUM(S19:S21)</f>
        <v>660</v>
      </c>
      <c r="T27" s="16">
        <f t="shared" si="19"/>
        <v>86</v>
      </c>
      <c r="U27" s="16">
        <f t="shared" si="19"/>
        <v>85</v>
      </c>
      <c r="V27" s="16">
        <f t="shared" si="19"/>
        <v>558</v>
      </c>
      <c r="W27" s="16">
        <f t="shared" si="19"/>
        <v>28</v>
      </c>
      <c r="X27" s="16">
        <f t="shared" si="19"/>
        <v>4</v>
      </c>
      <c r="Y27" s="16">
        <f t="shared" si="19"/>
        <v>158</v>
      </c>
      <c r="Z27" s="16">
        <f t="shared" si="19"/>
        <v>61</v>
      </c>
      <c r="AA27" s="16">
        <f t="shared" si="19"/>
        <v>35</v>
      </c>
      <c r="AB27" s="16">
        <f t="shared" si="19"/>
        <v>292</v>
      </c>
      <c r="AC27" s="16">
        <f t="shared" si="19"/>
        <v>1941</v>
      </c>
      <c r="AD27" s="16">
        <f t="shared" si="19"/>
        <v>0</v>
      </c>
      <c r="AE27" s="32">
        <f t="shared" si="19"/>
        <v>1967</v>
      </c>
      <c r="AF27" s="32">
        <f t="shared" si="19"/>
        <v>3908</v>
      </c>
    </row>
    <row r="28" spans="2:32" ht="23.1" customHeight="1" x14ac:dyDescent="0.25">
      <c r="B28" s="23" t="s">
        <v>55</v>
      </c>
      <c r="C28" s="50">
        <v>58</v>
      </c>
      <c r="D28" s="50">
        <v>9</v>
      </c>
      <c r="E28" s="50">
        <v>12</v>
      </c>
      <c r="F28" s="50">
        <v>64</v>
      </c>
      <c r="G28" s="50">
        <v>2</v>
      </c>
      <c r="H28" s="50">
        <v>0</v>
      </c>
      <c r="I28" s="50">
        <v>20</v>
      </c>
      <c r="J28" s="50">
        <v>4</v>
      </c>
      <c r="K28" s="50">
        <v>4</v>
      </c>
      <c r="L28" s="50">
        <v>12</v>
      </c>
      <c r="M28" s="50">
        <v>155</v>
      </c>
      <c r="N28" s="50">
        <v>0</v>
      </c>
      <c r="O28" s="15">
        <f t="shared" si="0"/>
        <v>185</v>
      </c>
      <c r="P28" s="15">
        <f t="shared" si="1"/>
        <v>340</v>
      </c>
      <c r="R28" s="5" t="s">
        <v>17</v>
      </c>
      <c r="S28" s="16">
        <f t="shared" ref="S28:AF28" si="20">SUM(S10:S21)</f>
        <v>2614</v>
      </c>
      <c r="T28" s="16">
        <f t="shared" si="20"/>
        <v>354</v>
      </c>
      <c r="U28" s="16">
        <f t="shared" si="20"/>
        <v>380</v>
      </c>
      <c r="V28" s="16">
        <f t="shared" si="20"/>
        <v>2332</v>
      </c>
      <c r="W28" s="16">
        <f t="shared" si="20"/>
        <v>104</v>
      </c>
      <c r="X28" s="16">
        <f t="shared" si="20"/>
        <v>20</v>
      </c>
      <c r="Y28" s="16">
        <f t="shared" si="20"/>
        <v>684</v>
      </c>
      <c r="Z28" s="16">
        <f t="shared" si="20"/>
        <v>231</v>
      </c>
      <c r="AA28" s="16">
        <f t="shared" si="20"/>
        <v>150</v>
      </c>
      <c r="AB28" s="16">
        <f t="shared" si="20"/>
        <v>690</v>
      </c>
      <c r="AC28" s="16">
        <f t="shared" si="20"/>
        <v>5681</v>
      </c>
      <c r="AD28" s="16">
        <f t="shared" si="20"/>
        <v>1</v>
      </c>
      <c r="AE28" s="32">
        <f t="shared" si="20"/>
        <v>7560</v>
      </c>
      <c r="AF28" s="32">
        <f t="shared" si="20"/>
        <v>13241</v>
      </c>
    </row>
    <row r="29" spans="2:32" ht="23.1" customHeight="1" x14ac:dyDescent="0.25">
      <c r="B29" s="23" t="s">
        <v>56</v>
      </c>
      <c r="C29" s="50">
        <v>51</v>
      </c>
      <c r="D29" s="50">
        <v>8</v>
      </c>
      <c r="E29" s="50">
        <v>9</v>
      </c>
      <c r="F29" s="50">
        <v>41</v>
      </c>
      <c r="G29" s="50">
        <v>4</v>
      </c>
      <c r="H29" s="50">
        <v>1</v>
      </c>
      <c r="I29" s="50">
        <v>15</v>
      </c>
      <c r="J29" s="50">
        <v>10</v>
      </c>
      <c r="K29" s="50">
        <v>8</v>
      </c>
      <c r="L29" s="50">
        <v>13</v>
      </c>
      <c r="M29" s="50">
        <v>161</v>
      </c>
      <c r="N29" s="50">
        <v>0</v>
      </c>
      <c r="O29" s="15">
        <f t="shared" si="0"/>
        <v>160</v>
      </c>
      <c r="P29" s="15">
        <f t="shared" si="1"/>
        <v>321</v>
      </c>
      <c r="R29"/>
      <c r="S29" s="20"/>
      <c r="T29" s="19"/>
    </row>
    <row r="30" spans="2:32" ht="23.1" customHeight="1" x14ac:dyDescent="0.25">
      <c r="B30" s="23" t="s">
        <v>57</v>
      </c>
      <c r="C30" s="50">
        <v>36</v>
      </c>
      <c r="D30" s="50">
        <v>6</v>
      </c>
      <c r="E30" s="50">
        <v>6</v>
      </c>
      <c r="F30" s="50">
        <v>55</v>
      </c>
      <c r="G30" s="50">
        <v>2</v>
      </c>
      <c r="H30" s="50">
        <v>0</v>
      </c>
      <c r="I30" s="50">
        <v>17</v>
      </c>
      <c r="J30" s="50">
        <v>4</v>
      </c>
      <c r="K30" s="50">
        <v>2</v>
      </c>
      <c r="L30" s="50">
        <v>25</v>
      </c>
      <c r="M30" s="50">
        <v>170</v>
      </c>
      <c r="N30" s="50">
        <v>1</v>
      </c>
      <c r="O30" s="15">
        <f t="shared" si="0"/>
        <v>154</v>
      </c>
      <c r="P30" s="15">
        <f t="shared" si="1"/>
        <v>324</v>
      </c>
    </row>
    <row r="31" spans="2:32" ht="23.1" customHeight="1" x14ac:dyDescent="0.25">
      <c r="B31" s="24" t="s">
        <v>58</v>
      </c>
      <c r="C31" s="50">
        <v>52</v>
      </c>
      <c r="D31" s="50">
        <v>7</v>
      </c>
      <c r="E31" s="50">
        <v>3</v>
      </c>
      <c r="F31" s="50">
        <v>32</v>
      </c>
      <c r="G31" s="50">
        <v>0</v>
      </c>
      <c r="H31" s="50">
        <v>1</v>
      </c>
      <c r="I31" s="50">
        <v>13</v>
      </c>
      <c r="J31" s="50">
        <v>2</v>
      </c>
      <c r="K31" s="50">
        <v>2</v>
      </c>
      <c r="L31" s="50">
        <v>24</v>
      </c>
      <c r="M31" s="50">
        <v>134</v>
      </c>
      <c r="N31" s="50">
        <v>0</v>
      </c>
      <c r="O31" s="15">
        <f t="shared" si="0"/>
        <v>136</v>
      </c>
      <c r="P31" s="15">
        <f t="shared" si="1"/>
        <v>270</v>
      </c>
    </row>
    <row r="32" spans="2:32" ht="23.1" customHeight="1" x14ac:dyDescent="0.25">
      <c r="B32" s="24" t="s">
        <v>59</v>
      </c>
      <c r="C32" s="50">
        <v>71</v>
      </c>
      <c r="D32" s="50">
        <v>5</v>
      </c>
      <c r="E32" s="50">
        <v>8</v>
      </c>
      <c r="F32" s="50">
        <v>62</v>
      </c>
      <c r="G32" s="50">
        <v>4</v>
      </c>
      <c r="H32" s="50">
        <v>0</v>
      </c>
      <c r="I32" s="50">
        <v>24</v>
      </c>
      <c r="J32" s="50">
        <v>9</v>
      </c>
      <c r="K32" s="50">
        <v>4</v>
      </c>
      <c r="L32" s="50">
        <v>25</v>
      </c>
      <c r="M32" s="50">
        <v>150</v>
      </c>
      <c r="N32" s="50">
        <v>0</v>
      </c>
      <c r="O32" s="15">
        <f t="shared" si="0"/>
        <v>212</v>
      </c>
      <c r="P32" s="15">
        <f t="shared" si="1"/>
        <v>362</v>
      </c>
    </row>
    <row r="33" spans="2:20" ht="23.1" customHeight="1" x14ac:dyDescent="0.25">
      <c r="B33" s="23" t="s">
        <v>60</v>
      </c>
      <c r="C33" s="50">
        <v>48</v>
      </c>
      <c r="D33" s="50">
        <v>8</v>
      </c>
      <c r="E33" s="50">
        <v>7</v>
      </c>
      <c r="F33" s="50">
        <v>78</v>
      </c>
      <c r="G33" s="50">
        <v>2</v>
      </c>
      <c r="H33" s="50">
        <v>1</v>
      </c>
      <c r="I33" s="50">
        <v>14</v>
      </c>
      <c r="J33" s="50">
        <v>3</v>
      </c>
      <c r="K33" s="50">
        <v>2</v>
      </c>
      <c r="L33" s="50">
        <v>4</v>
      </c>
      <c r="M33" s="50">
        <v>100</v>
      </c>
      <c r="N33" s="50">
        <v>0</v>
      </c>
      <c r="O33" s="15">
        <f t="shared" si="0"/>
        <v>167</v>
      </c>
      <c r="P33" s="15">
        <f t="shared" si="1"/>
        <v>267</v>
      </c>
    </row>
    <row r="34" spans="2:20" ht="23.1" customHeight="1" x14ac:dyDescent="0.25">
      <c r="B34" s="24" t="s">
        <v>61</v>
      </c>
      <c r="C34" s="50">
        <v>46</v>
      </c>
      <c r="D34" s="50">
        <v>9</v>
      </c>
      <c r="E34" s="50">
        <v>7</v>
      </c>
      <c r="F34" s="50">
        <v>50</v>
      </c>
      <c r="G34" s="50">
        <v>3</v>
      </c>
      <c r="H34" s="50">
        <v>0</v>
      </c>
      <c r="I34" s="50">
        <v>10</v>
      </c>
      <c r="J34" s="50">
        <v>5</v>
      </c>
      <c r="K34" s="50">
        <v>3</v>
      </c>
      <c r="L34" s="50">
        <v>22</v>
      </c>
      <c r="M34" s="50">
        <v>15</v>
      </c>
      <c r="N34" s="50">
        <v>0</v>
      </c>
      <c r="O34" s="15">
        <f t="shared" si="0"/>
        <v>155</v>
      </c>
      <c r="P34" s="15">
        <f t="shared" si="1"/>
        <v>170</v>
      </c>
    </row>
    <row r="35" spans="2:20" ht="23.1" customHeight="1" x14ac:dyDescent="0.25">
      <c r="B35" s="24" t="s">
        <v>62</v>
      </c>
      <c r="C35" s="50">
        <v>64</v>
      </c>
      <c r="D35" s="50">
        <v>5</v>
      </c>
      <c r="E35" s="50">
        <v>9</v>
      </c>
      <c r="F35" s="50">
        <v>65</v>
      </c>
      <c r="G35" s="50">
        <v>3</v>
      </c>
      <c r="H35" s="50">
        <v>0</v>
      </c>
      <c r="I35" s="50">
        <v>24</v>
      </c>
      <c r="J35" s="50">
        <v>5</v>
      </c>
      <c r="K35" s="50">
        <v>7</v>
      </c>
      <c r="L35" s="50">
        <v>18</v>
      </c>
      <c r="M35" s="50">
        <v>39</v>
      </c>
      <c r="N35" s="50">
        <v>0</v>
      </c>
      <c r="O35" s="15">
        <f t="shared" si="0"/>
        <v>200</v>
      </c>
      <c r="P35" s="15">
        <f t="shared" si="1"/>
        <v>239</v>
      </c>
    </row>
    <row r="36" spans="2:20" ht="23.1" customHeight="1" x14ac:dyDescent="0.25">
      <c r="B36" s="24" t="s">
        <v>63</v>
      </c>
      <c r="C36" s="50">
        <v>46</v>
      </c>
      <c r="D36" s="50">
        <v>8</v>
      </c>
      <c r="E36" s="50">
        <v>7</v>
      </c>
      <c r="F36" s="50">
        <v>47</v>
      </c>
      <c r="G36" s="50">
        <v>3</v>
      </c>
      <c r="H36" s="50">
        <v>0</v>
      </c>
      <c r="I36" s="50">
        <v>16</v>
      </c>
      <c r="J36" s="50">
        <v>6</v>
      </c>
      <c r="K36" s="50">
        <v>5</v>
      </c>
      <c r="L36" s="50">
        <v>16</v>
      </c>
      <c r="M36" s="50">
        <v>55</v>
      </c>
      <c r="N36" s="50">
        <v>0</v>
      </c>
      <c r="O36" s="15">
        <f t="shared" si="0"/>
        <v>154</v>
      </c>
      <c r="P36" s="15">
        <f t="shared" si="1"/>
        <v>209</v>
      </c>
    </row>
    <row r="37" spans="2:20" ht="23.1" customHeight="1" x14ac:dyDescent="0.25">
      <c r="B37" s="23" t="s">
        <v>64</v>
      </c>
      <c r="C37" s="50">
        <v>37</v>
      </c>
      <c r="D37" s="50">
        <v>5</v>
      </c>
      <c r="E37" s="50">
        <v>7</v>
      </c>
      <c r="F37" s="50">
        <v>34</v>
      </c>
      <c r="G37" s="50">
        <v>2</v>
      </c>
      <c r="H37" s="50">
        <v>0</v>
      </c>
      <c r="I37" s="50">
        <v>12</v>
      </c>
      <c r="J37" s="50">
        <v>3</v>
      </c>
      <c r="K37" s="50">
        <v>2</v>
      </c>
      <c r="L37" s="50">
        <v>13</v>
      </c>
      <c r="M37" s="50">
        <v>77</v>
      </c>
      <c r="N37" s="50">
        <v>0</v>
      </c>
      <c r="O37" s="15">
        <f t="shared" si="0"/>
        <v>115</v>
      </c>
      <c r="P37" s="15">
        <f t="shared" si="1"/>
        <v>192</v>
      </c>
    </row>
    <row r="38" spans="2:20" ht="23.1" customHeight="1" x14ac:dyDescent="0.25">
      <c r="B38" s="24" t="s">
        <v>65</v>
      </c>
      <c r="C38" s="50">
        <v>48</v>
      </c>
      <c r="D38" s="50">
        <v>11</v>
      </c>
      <c r="E38" s="50">
        <v>3</v>
      </c>
      <c r="F38" s="50">
        <v>45</v>
      </c>
      <c r="G38" s="50">
        <v>4</v>
      </c>
      <c r="H38" s="50">
        <v>2</v>
      </c>
      <c r="I38" s="50">
        <v>15</v>
      </c>
      <c r="J38" s="50">
        <v>4</v>
      </c>
      <c r="K38" s="50">
        <v>2</v>
      </c>
      <c r="L38" s="50">
        <v>15</v>
      </c>
      <c r="M38" s="50">
        <v>99</v>
      </c>
      <c r="N38" s="50">
        <v>0</v>
      </c>
      <c r="O38" s="15">
        <f t="shared" si="0"/>
        <v>149</v>
      </c>
      <c r="P38" s="15">
        <f t="shared" si="1"/>
        <v>248</v>
      </c>
    </row>
    <row r="39" spans="2:20" ht="23.1" customHeight="1" x14ac:dyDescent="0.25">
      <c r="B39" s="24" t="s">
        <v>66</v>
      </c>
      <c r="C39" s="50">
        <v>44</v>
      </c>
      <c r="D39" s="50">
        <v>7</v>
      </c>
      <c r="E39" s="50">
        <v>10</v>
      </c>
      <c r="F39" s="50">
        <v>47</v>
      </c>
      <c r="G39" s="50">
        <v>2</v>
      </c>
      <c r="H39" s="50">
        <v>0</v>
      </c>
      <c r="I39" s="50">
        <v>17</v>
      </c>
      <c r="J39" s="50">
        <v>5</v>
      </c>
      <c r="K39" s="50">
        <v>3</v>
      </c>
      <c r="L39" s="50">
        <v>11</v>
      </c>
      <c r="M39" s="50">
        <v>68</v>
      </c>
      <c r="N39" s="50">
        <v>0</v>
      </c>
      <c r="O39" s="15">
        <f t="shared" si="0"/>
        <v>146</v>
      </c>
      <c r="P39" s="15">
        <f t="shared" si="1"/>
        <v>214</v>
      </c>
    </row>
    <row r="40" spans="2:20" ht="23.1" customHeight="1" x14ac:dyDescent="0.25">
      <c r="B40" s="24" t="s">
        <v>67</v>
      </c>
      <c r="C40" s="50">
        <v>30</v>
      </c>
      <c r="D40" s="50">
        <v>10</v>
      </c>
      <c r="E40" s="50">
        <v>4</v>
      </c>
      <c r="F40" s="50">
        <v>40</v>
      </c>
      <c r="G40" s="50">
        <v>0</v>
      </c>
      <c r="H40" s="50">
        <v>0</v>
      </c>
      <c r="I40" s="50">
        <v>17</v>
      </c>
      <c r="J40" s="50">
        <v>8</v>
      </c>
      <c r="K40" s="50">
        <v>2</v>
      </c>
      <c r="L40" s="50">
        <v>12</v>
      </c>
      <c r="M40" s="50">
        <v>65</v>
      </c>
      <c r="N40" s="50">
        <v>0</v>
      </c>
      <c r="O40" s="15">
        <f t="shared" si="0"/>
        <v>123</v>
      </c>
      <c r="P40" s="15">
        <f t="shared" si="1"/>
        <v>188</v>
      </c>
    </row>
    <row r="41" spans="2:20" ht="23.1" customHeight="1" x14ac:dyDescent="0.25">
      <c r="B41" s="23" t="s">
        <v>68</v>
      </c>
      <c r="C41" s="50">
        <v>53</v>
      </c>
      <c r="D41" s="50">
        <v>8</v>
      </c>
      <c r="E41" s="50">
        <v>10</v>
      </c>
      <c r="F41" s="50">
        <v>39</v>
      </c>
      <c r="G41" s="50">
        <v>4</v>
      </c>
      <c r="H41" s="50">
        <v>0</v>
      </c>
      <c r="I41" s="50">
        <v>15</v>
      </c>
      <c r="J41" s="50">
        <v>4</v>
      </c>
      <c r="K41" s="50">
        <v>4</v>
      </c>
      <c r="L41" s="50">
        <v>8</v>
      </c>
      <c r="M41" s="50">
        <v>56</v>
      </c>
      <c r="N41" s="50">
        <v>0</v>
      </c>
      <c r="O41" s="15">
        <f t="shared" si="0"/>
        <v>145</v>
      </c>
      <c r="P41" s="15">
        <f t="shared" si="1"/>
        <v>201</v>
      </c>
    </row>
    <row r="42" spans="2:20" ht="23.1" customHeight="1" x14ac:dyDescent="0.25">
      <c r="B42" s="24" t="s">
        <v>69</v>
      </c>
      <c r="C42" s="50">
        <v>36</v>
      </c>
      <c r="D42" s="50">
        <v>5</v>
      </c>
      <c r="E42" s="50">
        <v>10</v>
      </c>
      <c r="F42" s="50">
        <v>44</v>
      </c>
      <c r="G42" s="50">
        <v>0</v>
      </c>
      <c r="H42" s="50">
        <v>0</v>
      </c>
      <c r="I42" s="50">
        <v>18</v>
      </c>
      <c r="J42" s="50">
        <v>4</v>
      </c>
      <c r="K42" s="50">
        <v>6</v>
      </c>
      <c r="L42" s="50">
        <v>0</v>
      </c>
      <c r="M42" s="50">
        <v>73</v>
      </c>
      <c r="N42" s="50">
        <v>0</v>
      </c>
      <c r="O42" s="15">
        <f t="shared" si="0"/>
        <v>123</v>
      </c>
      <c r="P42" s="15">
        <f t="shared" si="1"/>
        <v>196</v>
      </c>
    </row>
    <row r="43" spans="2:20" ht="23.1" customHeight="1" x14ac:dyDescent="0.25">
      <c r="B43" s="23" t="s">
        <v>70</v>
      </c>
      <c r="C43" s="50">
        <v>55</v>
      </c>
      <c r="D43" s="50">
        <v>1</v>
      </c>
      <c r="E43" s="50">
        <v>4</v>
      </c>
      <c r="F43" s="50">
        <v>37</v>
      </c>
      <c r="G43" s="50">
        <v>0</v>
      </c>
      <c r="H43" s="50">
        <v>1</v>
      </c>
      <c r="I43" s="50">
        <v>11</v>
      </c>
      <c r="J43" s="50">
        <v>8</v>
      </c>
      <c r="K43" s="50">
        <v>0</v>
      </c>
      <c r="L43" s="50">
        <v>20</v>
      </c>
      <c r="M43" s="50">
        <v>90</v>
      </c>
      <c r="N43" s="50">
        <v>0</v>
      </c>
      <c r="O43" s="15">
        <f t="shared" si="0"/>
        <v>137</v>
      </c>
      <c r="P43" s="15">
        <f t="shared" si="1"/>
        <v>227</v>
      </c>
    </row>
    <row r="44" spans="2:20" ht="23.1" customHeight="1" x14ac:dyDescent="0.25">
      <c r="B44" s="25" t="s">
        <v>71</v>
      </c>
      <c r="C44" s="50">
        <v>48</v>
      </c>
      <c r="D44" s="50">
        <v>3</v>
      </c>
      <c r="E44" s="50">
        <v>7</v>
      </c>
      <c r="F44" s="50">
        <v>40</v>
      </c>
      <c r="G44" s="50">
        <v>0</v>
      </c>
      <c r="H44" s="50">
        <v>0</v>
      </c>
      <c r="I44" s="50">
        <v>22</v>
      </c>
      <c r="J44" s="50">
        <v>2</v>
      </c>
      <c r="K44" s="50">
        <v>8</v>
      </c>
      <c r="L44" s="50">
        <v>27</v>
      </c>
      <c r="M44" s="50">
        <v>73</v>
      </c>
      <c r="N44" s="50">
        <v>0</v>
      </c>
      <c r="O44" s="15">
        <f t="shared" si="0"/>
        <v>157</v>
      </c>
      <c r="P44" s="15">
        <f t="shared" si="1"/>
        <v>230</v>
      </c>
    </row>
    <row r="45" spans="2:20" ht="23.1" customHeight="1" x14ac:dyDescent="0.25">
      <c r="B45" s="23" t="s">
        <v>72</v>
      </c>
      <c r="C45" s="50">
        <v>21</v>
      </c>
      <c r="D45" s="50">
        <v>2</v>
      </c>
      <c r="E45" s="50">
        <v>7</v>
      </c>
      <c r="F45" s="50">
        <v>43</v>
      </c>
      <c r="G45" s="50">
        <v>0</v>
      </c>
      <c r="H45" s="50">
        <v>0</v>
      </c>
      <c r="I45" s="50">
        <v>9</v>
      </c>
      <c r="J45" s="50">
        <v>4</v>
      </c>
      <c r="K45" s="50">
        <v>3</v>
      </c>
      <c r="L45" s="50">
        <v>21</v>
      </c>
      <c r="M45" s="50">
        <v>62</v>
      </c>
      <c r="N45" s="50">
        <v>0</v>
      </c>
      <c r="O45" s="15">
        <f t="shared" si="0"/>
        <v>110</v>
      </c>
      <c r="P45" s="15">
        <f t="shared" si="1"/>
        <v>172</v>
      </c>
    </row>
    <row r="46" spans="2:20" ht="23.1" customHeight="1" x14ac:dyDescent="0.25">
      <c r="B46" s="24" t="s">
        <v>73</v>
      </c>
      <c r="C46" s="50">
        <v>50</v>
      </c>
      <c r="D46" s="50">
        <v>8</v>
      </c>
      <c r="E46" s="50">
        <v>5</v>
      </c>
      <c r="F46" s="50">
        <v>38</v>
      </c>
      <c r="G46" s="50">
        <v>4</v>
      </c>
      <c r="H46" s="50">
        <v>0</v>
      </c>
      <c r="I46" s="50">
        <v>15</v>
      </c>
      <c r="J46" s="50">
        <v>4</v>
      </c>
      <c r="K46" s="50">
        <v>2</v>
      </c>
      <c r="L46" s="50">
        <v>31</v>
      </c>
      <c r="M46" s="50">
        <v>75</v>
      </c>
      <c r="N46" s="50">
        <v>0</v>
      </c>
      <c r="O46" s="15">
        <f t="shared" si="0"/>
        <v>157</v>
      </c>
      <c r="P46" s="15">
        <f t="shared" si="1"/>
        <v>232</v>
      </c>
      <c r="R46" s="8"/>
      <c r="T46"/>
    </row>
    <row r="47" spans="2:20" ht="23.1" customHeight="1" x14ac:dyDescent="0.25">
      <c r="B47" s="24" t="s">
        <v>74</v>
      </c>
      <c r="C47" s="50">
        <v>56</v>
      </c>
      <c r="D47" s="50">
        <v>10</v>
      </c>
      <c r="E47" s="50">
        <v>5</v>
      </c>
      <c r="F47" s="50">
        <v>37</v>
      </c>
      <c r="G47" s="50">
        <v>0</v>
      </c>
      <c r="H47" s="50">
        <v>0</v>
      </c>
      <c r="I47" s="50">
        <v>14</v>
      </c>
      <c r="J47" s="50">
        <v>8</v>
      </c>
      <c r="K47" s="50">
        <v>6</v>
      </c>
      <c r="L47" s="50">
        <v>25</v>
      </c>
      <c r="M47" s="50">
        <v>117</v>
      </c>
      <c r="N47" s="50">
        <v>0</v>
      </c>
      <c r="O47" s="15">
        <f t="shared" si="0"/>
        <v>161</v>
      </c>
      <c r="P47" s="15">
        <f t="shared" si="1"/>
        <v>278</v>
      </c>
      <c r="R47" s="8"/>
      <c r="T47"/>
    </row>
    <row r="48" spans="2:20" ht="23.1" customHeight="1" x14ac:dyDescent="0.25">
      <c r="B48" s="24" t="s">
        <v>75</v>
      </c>
      <c r="C48" s="50">
        <v>68</v>
      </c>
      <c r="D48" s="50">
        <v>13</v>
      </c>
      <c r="E48" s="50">
        <v>5</v>
      </c>
      <c r="F48" s="50">
        <v>58</v>
      </c>
      <c r="G48" s="50">
        <v>3</v>
      </c>
      <c r="H48" s="50">
        <v>0</v>
      </c>
      <c r="I48" s="50">
        <v>21</v>
      </c>
      <c r="J48" s="50">
        <v>4</v>
      </c>
      <c r="K48" s="50">
        <v>4</v>
      </c>
      <c r="L48" s="50">
        <v>28</v>
      </c>
      <c r="M48" s="50">
        <v>160</v>
      </c>
      <c r="N48" s="50">
        <v>0</v>
      </c>
      <c r="O48" s="15">
        <f t="shared" si="0"/>
        <v>204</v>
      </c>
      <c r="P48" s="15">
        <f t="shared" si="1"/>
        <v>364</v>
      </c>
      <c r="R48" s="8"/>
      <c r="T48"/>
    </row>
    <row r="49" spans="2:20" ht="23.1" customHeight="1" x14ac:dyDescent="0.25">
      <c r="B49" s="23" t="s">
        <v>76</v>
      </c>
      <c r="C49" s="50">
        <v>67</v>
      </c>
      <c r="D49" s="50">
        <v>5</v>
      </c>
      <c r="E49" s="50">
        <v>11</v>
      </c>
      <c r="F49" s="50">
        <v>52</v>
      </c>
      <c r="G49" s="50">
        <v>4</v>
      </c>
      <c r="H49" s="50">
        <v>0</v>
      </c>
      <c r="I49" s="50">
        <v>15</v>
      </c>
      <c r="J49" s="50">
        <v>2</v>
      </c>
      <c r="K49" s="50">
        <v>1</v>
      </c>
      <c r="L49" s="50">
        <v>25</v>
      </c>
      <c r="M49" s="50">
        <v>170</v>
      </c>
      <c r="N49" s="50">
        <v>0</v>
      </c>
      <c r="O49" s="15">
        <f t="shared" si="0"/>
        <v>182</v>
      </c>
      <c r="P49" s="15">
        <f t="shared" si="1"/>
        <v>352</v>
      </c>
      <c r="R49" s="8"/>
      <c r="T49"/>
    </row>
    <row r="50" spans="2:20" ht="23.1" customHeight="1" x14ac:dyDescent="0.25">
      <c r="B50" s="24" t="s">
        <v>77</v>
      </c>
      <c r="C50" s="50">
        <v>32</v>
      </c>
      <c r="D50" s="50">
        <v>5</v>
      </c>
      <c r="E50" s="50">
        <v>5</v>
      </c>
      <c r="F50" s="50">
        <v>31</v>
      </c>
      <c r="G50" s="50">
        <v>0</v>
      </c>
      <c r="H50" s="50">
        <v>1</v>
      </c>
      <c r="I50" s="50">
        <v>13</v>
      </c>
      <c r="J50" s="50">
        <v>4</v>
      </c>
      <c r="K50" s="50">
        <v>1</v>
      </c>
      <c r="L50" s="50">
        <v>13</v>
      </c>
      <c r="M50" s="50">
        <v>113</v>
      </c>
      <c r="N50" s="50">
        <v>0</v>
      </c>
      <c r="O50" s="15">
        <f t="shared" si="0"/>
        <v>105</v>
      </c>
      <c r="P50" s="15">
        <f t="shared" si="1"/>
        <v>218</v>
      </c>
      <c r="R50" s="8"/>
      <c r="T50"/>
    </row>
    <row r="51" spans="2:20" ht="23.1" customHeight="1" x14ac:dyDescent="0.25">
      <c r="B51" s="24" t="s">
        <v>78</v>
      </c>
      <c r="C51" s="50">
        <v>63</v>
      </c>
      <c r="D51" s="50">
        <v>6</v>
      </c>
      <c r="E51" s="50">
        <v>6</v>
      </c>
      <c r="F51" s="50">
        <v>53</v>
      </c>
      <c r="G51" s="50">
        <v>0</v>
      </c>
      <c r="H51" s="50">
        <v>2</v>
      </c>
      <c r="I51" s="50">
        <v>15</v>
      </c>
      <c r="J51" s="50">
        <v>7</v>
      </c>
      <c r="K51" s="50">
        <v>1</v>
      </c>
      <c r="L51" s="50">
        <v>16</v>
      </c>
      <c r="M51" s="50">
        <v>117</v>
      </c>
      <c r="N51" s="50">
        <v>0</v>
      </c>
      <c r="O51" s="15">
        <f t="shared" si="0"/>
        <v>169</v>
      </c>
      <c r="P51" s="15">
        <f t="shared" si="1"/>
        <v>286</v>
      </c>
      <c r="R51" s="8"/>
      <c r="T51"/>
    </row>
    <row r="52" spans="2:20" ht="23.1" customHeight="1" x14ac:dyDescent="0.25">
      <c r="B52" s="24" t="s">
        <v>79</v>
      </c>
      <c r="C52" s="50">
        <v>56</v>
      </c>
      <c r="D52" s="50">
        <v>6</v>
      </c>
      <c r="E52" s="50">
        <v>6</v>
      </c>
      <c r="F52" s="50">
        <v>70</v>
      </c>
      <c r="G52" s="50">
        <v>5</v>
      </c>
      <c r="H52" s="50">
        <v>0</v>
      </c>
      <c r="I52" s="50">
        <v>18</v>
      </c>
      <c r="J52" s="50">
        <v>3</v>
      </c>
      <c r="K52" s="50">
        <v>4</v>
      </c>
      <c r="L52" s="50">
        <v>21</v>
      </c>
      <c r="M52" s="50">
        <v>165</v>
      </c>
      <c r="N52" s="50">
        <v>0</v>
      </c>
      <c r="O52" s="15">
        <f t="shared" si="0"/>
        <v>189</v>
      </c>
      <c r="P52" s="15">
        <f t="shared" si="1"/>
        <v>354</v>
      </c>
      <c r="R52" s="8"/>
      <c r="T52"/>
    </row>
    <row r="53" spans="2:20" ht="23.1" customHeight="1" x14ac:dyDescent="0.25">
      <c r="B53" s="23" t="s">
        <v>80</v>
      </c>
      <c r="C53" s="50">
        <v>23</v>
      </c>
      <c r="D53" s="50">
        <v>8</v>
      </c>
      <c r="E53" s="50">
        <v>6</v>
      </c>
      <c r="F53" s="50">
        <v>60</v>
      </c>
      <c r="G53" s="50">
        <v>1</v>
      </c>
      <c r="H53" s="50">
        <v>1</v>
      </c>
      <c r="I53" s="50">
        <v>7</v>
      </c>
      <c r="J53" s="50">
        <v>11</v>
      </c>
      <c r="K53" s="50">
        <v>3</v>
      </c>
      <c r="L53" s="50">
        <v>46</v>
      </c>
      <c r="M53" s="50">
        <v>110</v>
      </c>
      <c r="N53" s="50">
        <v>0</v>
      </c>
      <c r="O53" s="15">
        <f t="shared" si="0"/>
        <v>166</v>
      </c>
      <c r="P53" s="15">
        <f t="shared" si="1"/>
        <v>276</v>
      </c>
      <c r="R53" s="8"/>
      <c r="T53"/>
    </row>
    <row r="54" spans="2:20" ht="23.1" customHeight="1" x14ac:dyDescent="0.25">
      <c r="B54" s="23" t="s">
        <v>81</v>
      </c>
      <c r="C54" s="50">
        <v>60</v>
      </c>
      <c r="D54" s="50">
        <v>7</v>
      </c>
      <c r="E54" s="50">
        <v>13</v>
      </c>
      <c r="F54" s="50">
        <v>44</v>
      </c>
      <c r="G54" s="50">
        <v>1</v>
      </c>
      <c r="H54" s="50">
        <v>0</v>
      </c>
      <c r="I54" s="50">
        <v>13</v>
      </c>
      <c r="J54" s="50">
        <v>10</v>
      </c>
      <c r="K54" s="50">
        <v>8</v>
      </c>
      <c r="L54" s="50">
        <v>27</v>
      </c>
      <c r="M54" s="50">
        <v>144</v>
      </c>
      <c r="N54" s="50">
        <v>0</v>
      </c>
      <c r="O54" s="15">
        <f t="shared" si="0"/>
        <v>183</v>
      </c>
      <c r="P54" s="15">
        <f t="shared" si="1"/>
        <v>327</v>
      </c>
      <c r="R54" s="8"/>
      <c r="T54"/>
    </row>
    <row r="55" spans="2:20" ht="23.1" customHeight="1" x14ac:dyDescent="0.25">
      <c r="B55" s="23" t="s">
        <v>82</v>
      </c>
      <c r="C55" s="50">
        <v>39</v>
      </c>
      <c r="D55" s="50">
        <v>4</v>
      </c>
      <c r="E55" s="50">
        <v>4</v>
      </c>
      <c r="F55" s="50">
        <v>16</v>
      </c>
      <c r="G55" s="50">
        <v>3</v>
      </c>
      <c r="H55" s="50">
        <v>0</v>
      </c>
      <c r="I55" s="50">
        <v>8</v>
      </c>
      <c r="J55" s="50">
        <v>3</v>
      </c>
      <c r="K55" s="50">
        <v>1</v>
      </c>
      <c r="L55" s="50">
        <v>20</v>
      </c>
      <c r="M55" s="50">
        <v>188</v>
      </c>
      <c r="N55" s="50">
        <v>0</v>
      </c>
      <c r="O55" s="15">
        <f t="shared" si="0"/>
        <v>98</v>
      </c>
      <c r="P55" s="15">
        <f t="shared" si="1"/>
        <v>286</v>
      </c>
      <c r="R55" s="8"/>
      <c r="T55"/>
    </row>
    <row r="56" spans="2:20" ht="23.1" customHeight="1" x14ac:dyDescent="0.25">
      <c r="B56" s="23" t="s">
        <v>83</v>
      </c>
      <c r="C56" s="50">
        <v>80</v>
      </c>
      <c r="D56" s="50">
        <v>9</v>
      </c>
      <c r="E56" s="50">
        <v>13</v>
      </c>
      <c r="F56" s="50">
        <v>40</v>
      </c>
      <c r="G56" s="50">
        <v>2</v>
      </c>
      <c r="H56" s="50">
        <v>0</v>
      </c>
      <c r="I56" s="50">
        <v>14</v>
      </c>
      <c r="J56" s="50">
        <v>3</v>
      </c>
      <c r="K56" s="50">
        <v>1</v>
      </c>
      <c r="L56" s="50">
        <v>27</v>
      </c>
      <c r="M56" s="50">
        <v>288</v>
      </c>
      <c r="N56" s="50">
        <v>0</v>
      </c>
      <c r="O56" s="15">
        <f t="shared" si="0"/>
        <v>189</v>
      </c>
      <c r="P56" s="15">
        <f t="shared" si="1"/>
        <v>477</v>
      </c>
      <c r="R56" s="8"/>
      <c r="T56"/>
    </row>
    <row r="57" spans="2:20" ht="23.1" customHeight="1" x14ac:dyDescent="0.25">
      <c r="B57" s="23" t="s">
        <v>84</v>
      </c>
      <c r="C57" s="50">
        <v>66</v>
      </c>
      <c r="D57" s="50">
        <v>5</v>
      </c>
      <c r="E57" s="50">
        <v>6</v>
      </c>
      <c r="F57" s="50">
        <v>59</v>
      </c>
      <c r="G57" s="50">
        <v>5</v>
      </c>
      <c r="H57" s="50">
        <v>0</v>
      </c>
      <c r="I57" s="50">
        <v>5</v>
      </c>
      <c r="J57" s="50">
        <v>2</v>
      </c>
      <c r="K57" s="50">
        <v>3</v>
      </c>
      <c r="L57" s="50">
        <v>13</v>
      </c>
      <c r="M57" s="50">
        <v>294</v>
      </c>
      <c r="N57" s="50">
        <v>0</v>
      </c>
      <c r="O57" s="15">
        <f t="shared" si="0"/>
        <v>164</v>
      </c>
      <c r="P57" s="15">
        <f t="shared" si="1"/>
        <v>458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2614</v>
      </c>
      <c r="D58" s="16">
        <f t="shared" si="21"/>
        <v>354</v>
      </c>
      <c r="E58" s="16">
        <f t="shared" si="21"/>
        <v>380</v>
      </c>
      <c r="F58" s="16">
        <f t="shared" si="21"/>
        <v>2332</v>
      </c>
      <c r="G58" s="16">
        <f t="shared" si="21"/>
        <v>104</v>
      </c>
      <c r="H58" s="16">
        <f t="shared" si="21"/>
        <v>20</v>
      </c>
      <c r="I58" s="16">
        <f t="shared" si="21"/>
        <v>684</v>
      </c>
      <c r="J58" s="16">
        <f t="shared" si="21"/>
        <v>231</v>
      </c>
      <c r="K58" s="16">
        <f t="shared" si="21"/>
        <v>150</v>
      </c>
      <c r="L58" s="16">
        <f t="shared" si="21"/>
        <v>690</v>
      </c>
      <c r="M58" s="16">
        <f t="shared" si="21"/>
        <v>5681</v>
      </c>
      <c r="N58" s="16">
        <f t="shared" si="21"/>
        <v>1</v>
      </c>
      <c r="O58" s="16">
        <f t="shared" si="21"/>
        <v>7560</v>
      </c>
      <c r="P58" s="16">
        <f t="shared" si="21"/>
        <v>13241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0.19741711351106411</v>
      </c>
      <c r="D59" s="43">
        <f t="shared" si="22"/>
        <v>2.6735140850388944E-2</v>
      </c>
      <c r="E59" s="43">
        <f t="shared" si="22"/>
        <v>2.8698738765954232E-2</v>
      </c>
      <c r="F59" s="43">
        <f t="shared" si="22"/>
        <v>0.17611962842685597</v>
      </c>
      <c r="G59" s="43">
        <f t="shared" si="22"/>
        <v>7.8543916622611579E-3</v>
      </c>
      <c r="H59" s="43">
        <f t="shared" si="22"/>
        <v>1.5104599350502228E-3</v>
      </c>
      <c r="I59" s="43">
        <f t="shared" si="22"/>
        <v>5.1657729778717618E-2</v>
      </c>
      <c r="J59" s="43">
        <f t="shared" si="22"/>
        <v>1.7445812249830075E-2</v>
      </c>
      <c r="K59" s="43">
        <f t="shared" si="22"/>
        <v>1.1328449512876671E-2</v>
      </c>
      <c r="L59" s="43">
        <f t="shared" si="22"/>
        <v>5.2110867759232689E-2</v>
      </c>
      <c r="M59" s="43">
        <f t="shared" si="22"/>
        <v>0.42904614455101581</v>
      </c>
      <c r="N59" s="43">
        <f t="shared" si="22"/>
        <v>7.5522996752511135E-5</v>
      </c>
      <c r="R59" s="8"/>
      <c r="T59"/>
    </row>
    <row r="60" spans="2:20" ht="23.1" customHeight="1" x14ac:dyDescent="0.25">
      <c r="B60" s="42" t="s">
        <v>94</v>
      </c>
      <c r="C60" s="44">
        <f>C58/$O$58</f>
        <v>0.34576719576719578</v>
      </c>
      <c r="D60" s="44">
        <f t="shared" ref="D60:N60" si="23">D58/$O$58</f>
        <v>4.6825396825396826E-2</v>
      </c>
      <c r="E60" s="44">
        <f t="shared" si="23"/>
        <v>5.0264550264550262E-2</v>
      </c>
      <c r="F60" s="44">
        <f t="shared" si="23"/>
        <v>0.30846560846560844</v>
      </c>
      <c r="G60" s="44">
        <f t="shared" si="23"/>
        <v>1.3756613756613757E-2</v>
      </c>
      <c r="H60" s="44">
        <f t="shared" si="23"/>
        <v>2.6455026455026454E-3</v>
      </c>
      <c r="I60" s="44">
        <f t="shared" si="23"/>
        <v>9.0476190476190474E-2</v>
      </c>
      <c r="J60" s="44">
        <f t="shared" si="23"/>
        <v>3.0555555555555555E-2</v>
      </c>
      <c r="K60" s="44">
        <f t="shared" si="23"/>
        <v>1.984126984126984E-2</v>
      </c>
      <c r="L60" s="44">
        <f t="shared" si="23"/>
        <v>9.1269841269841265E-2</v>
      </c>
      <c r="M60" s="44"/>
      <c r="N60" s="44">
        <f t="shared" si="23"/>
        <v>1.3227513227513228E-4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1:AF126"/>
  <sheetViews>
    <sheetView view="pageBreakPreview" zoomScale="60" workbookViewId="0">
      <selection activeCell="P5" sqref="P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2" t="s">
        <v>23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  <c r="AE1" s="62"/>
    </row>
    <row r="2" spans="2:32" ht="20.100000000000001" customHeight="1" x14ac:dyDescent="0.25">
      <c r="B2" s="63" t="s">
        <v>95</v>
      </c>
      <c r="C2" s="63"/>
      <c r="D2" s="63"/>
      <c r="E2" s="63"/>
      <c r="F2" s="63"/>
      <c r="G2" s="63"/>
      <c r="H2" s="63"/>
      <c r="I2" s="63"/>
      <c r="J2" s="63"/>
      <c r="K2" s="63"/>
      <c r="L2" s="63"/>
      <c r="M2" s="63"/>
      <c r="N2" s="63"/>
      <c r="O2" s="63"/>
      <c r="P2" s="63"/>
      <c r="Q2" s="63"/>
      <c r="R2" s="63"/>
      <c r="S2" s="63"/>
      <c r="T2" s="63"/>
      <c r="U2" s="63"/>
      <c r="V2" s="63"/>
      <c r="W2" s="63"/>
      <c r="X2" s="63"/>
      <c r="Y2" s="63"/>
      <c r="Z2" s="63"/>
      <c r="AA2" s="63"/>
      <c r="AB2" s="63"/>
      <c r="AC2" s="63"/>
      <c r="AD2" s="63"/>
      <c r="AE2" s="63"/>
    </row>
    <row r="3" spans="2:32" ht="20.100000000000001" customHeight="1" x14ac:dyDescent="0.25">
      <c r="B3" s="22" t="s">
        <v>96</v>
      </c>
      <c r="C3" s="67" t="str">
        <f>'23.09 Seeta-Mukono'!C3:G3</f>
        <v>MCC - C2 - STN074 - SONDE  ROAD</v>
      </c>
      <c r="D3" s="67"/>
      <c r="E3" s="67"/>
      <c r="F3" s="67"/>
      <c r="G3" s="67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184</v>
      </c>
      <c r="E5" s="3"/>
      <c r="F5" s="41" t="s">
        <v>1</v>
      </c>
      <c r="G5" s="68" t="str">
        <f>'25.09 Mukono-Seeta'!G5:H5</f>
        <v>STATION 74</v>
      </c>
      <c r="H5" s="69"/>
      <c r="I5" s="14"/>
      <c r="J5" s="2" t="s">
        <v>5</v>
      </c>
      <c r="K5" s="68" t="str">
        <f>'25.09 Mukono-Seeta'!K5:L5</f>
        <v>VICTOR</v>
      </c>
      <c r="L5" s="69"/>
      <c r="M5" s="10"/>
      <c r="N5" s="10"/>
      <c r="O5" s="3"/>
      <c r="P5" s="3"/>
    </row>
    <row r="6" spans="2:32" ht="23.25" customHeight="1" x14ac:dyDescent="0.25">
      <c r="C6" s="2" t="s">
        <v>4</v>
      </c>
      <c r="D6" s="68" t="s">
        <v>177</v>
      </c>
      <c r="E6" s="69"/>
      <c r="F6" s="2" t="s">
        <v>2</v>
      </c>
      <c r="G6" s="68" t="s">
        <v>178</v>
      </c>
      <c r="H6" s="69"/>
      <c r="J6" s="2" t="s">
        <v>21</v>
      </c>
      <c r="K6" s="68" t="str">
        <f>'25.09 Mukono-Seeta'!K6:L6</f>
        <v>Tracy</v>
      </c>
      <c r="L6" s="69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1" t="s">
        <v>88</v>
      </c>
      <c r="S8" s="61"/>
      <c r="T8" s="61"/>
      <c r="U8" s="61"/>
      <c r="V8" s="61"/>
      <c r="W8" s="61"/>
      <c r="X8" s="61"/>
      <c r="Y8" s="61"/>
      <c r="Z8" s="61"/>
      <c r="AA8" s="61"/>
      <c r="AB8" s="61"/>
      <c r="AC8" s="61"/>
      <c r="AD8" s="61"/>
      <c r="AE8" s="61"/>
      <c r="AF8" s="61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25</v>
      </c>
      <c r="D10" s="50">
        <v>11</v>
      </c>
      <c r="E10" s="50">
        <v>6</v>
      </c>
      <c r="F10" s="50">
        <v>18</v>
      </c>
      <c r="G10" s="50">
        <v>7</v>
      </c>
      <c r="H10" s="50">
        <v>1</v>
      </c>
      <c r="I10" s="50">
        <v>0</v>
      </c>
      <c r="J10" s="50">
        <v>3</v>
      </c>
      <c r="K10" s="50">
        <v>3</v>
      </c>
      <c r="L10" s="50">
        <v>16</v>
      </c>
      <c r="M10" s="50">
        <v>138</v>
      </c>
      <c r="N10" s="50">
        <v>0</v>
      </c>
      <c r="O10" s="15">
        <f t="shared" ref="O10:O57" si="0">SUM(C10:L10,N10)</f>
        <v>90</v>
      </c>
      <c r="P10" s="15">
        <f t="shared" ref="P10:P57" si="1">SUM(C10:N10)</f>
        <v>228</v>
      </c>
      <c r="R10" s="1" t="s">
        <v>6</v>
      </c>
      <c r="S10" s="17">
        <f t="shared" ref="S10:AF10" si="2">SUM(C10:C13)</f>
        <v>94</v>
      </c>
      <c r="T10" s="17">
        <f t="shared" si="2"/>
        <v>43</v>
      </c>
      <c r="U10" s="17">
        <f t="shared" si="2"/>
        <v>25</v>
      </c>
      <c r="V10" s="17">
        <f t="shared" si="2"/>
        <v>185</v>
      </c>
      <c r="W10" s="17">
        <f t="shared" si="2"/>
        <v>15</v>
      </c>
      <c r="X10" s="17">
        <f t="shared" si="2"/>
        <v>2</v>
      </c>
      <c r="Y10" s="17">
        <f t="shared" si="2"/>
        <v>11</v>
      </c>
      <c r="Z10" s="17">
        <f t="shared" si="2"/>
        <v>12</v>
      </c>
      <c r="AA10" s="17">
        <f t="shared" si="2"/>
        <v>11</v>
      </c>
      <c r="AB10" s="17">
        <f t="shared" si="2"/>
        <v>60</v>
      </c>
      <c r="AC10" s="17">
        <f t="shared" si="2"/>
        <v>623</v>
      </c>
      <c r="AD10" s="17">
        <f t="shared" si="2"/>
        <v>0</v>
      </c>
      <c r="AE10" s="31">
        <f t="shared" si="2"/>
        <v>458</v>
      </c>
      <c r="AF10" s="31">
        <f t="shared" si="2"/>
        <v>1081</v>
      </c>
    </row>
    <row r="11" spans="2:32" s="6" customFormat="1" ht="23.1" customHeight="1" x14ac:dyDescent="0.25">
      <c r="B11" s="23" t="s">
        <v>38</v>
      </c>
      <c r="C11" s="50">
        <v>24</v>
      </c>
      <c r="D11" s="50">
        <v>8</v>
      </c>
      <c r="E11" s="50">
        <v>4</v>
      </c>
      <c r="F11" s="50">
        <v>57</v>
      </c>
      <c r="G11" s="50">
        <v>4</v>
      </c>
      <c r="H11" s="50">
        <v>0</v>
      </c>
      <c r="I11" s="50">
        <v>2</v>
      </c>
      <c r="J11" s="50">
        <v>6</v>
      </c>
      <c r="K11" s="50">
        <v>4</v>
      </c>
      <c r="L11" s="50">
        <v>9</v>
      </c>
      <c r="M11" s="50">
        <v>139</v>
      </c>
      <c r="N11" s="50">
        <v>0</v>
      </c>
      <c r="O11" s="15">
        <f t="shared" si="0"/>
        <v>118</v>
      </c>
      <c r="P11" s="15">
        <f t="shared" si="1"/>
        <v>257</v>
      </c>
      <c r="R11" s="1" t="s">
        <v>7</v>
      </c>
      <c r="S11" s="17">
        <f t="shared" ref="S11:AF11" si="3">SUM(C14:C17)</f>
        <v>105</v>
      </c>
      <c r="T11" s="17">
        <f t="shared" si="3"/>
        <v>38</v>
      </c>
      <c r="U11" s="17">
        <f t="shared" si="3"/>
        <v>17</v>
      </c>
      <c r="V11" s="17">
        <f t="shared" si="3"/>
        <v>195</v>
      </c>
      <c r="W11" s="17">
        <f t="shared" si="3"/>
        <v>8</v>
      </c>
      <c r="X11" s="17">
        <f t="shared" si="3"/>
        <v>1</v>
      </c>
      <c r="Y11" s="17">
        <f t="shared" si="3"/>
        <v>16</v>
      </c>
      <c r="Z11" s="17">
        <f t="shared" si="3"/>
        <v>22</v>
      </c>
      <c r="AA11" s="17">
        <f t="shared" si="3"/>
        <v>12</v>
      </c>
      <c r="AB11" s="17">
        <f t="shared" si="3"/>
        <v>73</v>
      </c>
      <c r="AC11" s="17">
        <f t="shared" si="3"/>
        <v>722</v>
      </c>
      <c r="AD11" s="17">
        <f t="shared" si="3"/>
        <v>0</v>
      </c>
      <c r="AE11" s="31">
        <f t="shared" si="3"/>
        <v>487</v>
      </c>
      <c r="AF11" s="31">
        <f t="shared" si="3"/>
        <v>1209</v>
      </c>
    </row>
    <row r="12" spans="2:32" ht="23.1" customHeight="1" x14ac:dyDescent="0.25">
      <c r="B12" s="23" t="s">
        <v>39</v>
      </c>
      <c r="C12" s="50">
        <v>25</v>
      </c>
      <c r="D12" s="50">
        <v>9</v>
      </c>
      <c r="E12" s="50">
        <v>9</v>
      </c>
      <c r="F12" s="50">
        <v>68</v>
      </c>
      <c r="G12" s="50">
        <v>3</v>
      </c>
      <c r="H12" s="50">
        <v>1</v>
      </c>
      <c r="I12" s="50">
        <v>3</v>
      </c>
      <c r="J12" s="50">
        <v>1</v>
      </c>
      <c r="K12" s="50">
        <v>3</v>
      </c>
      <c r="L12" s="50">
        <v>22</v>
      </c>
      <c r="M12" s="50">
        <v>169</v>
      </c>
      <c r="N12" s="50">
        <v>0</v>
      </c>
      <c r="O12" s="15">
        <f t="shared" si="0"/>
        <v>144</v>
      </c>
      <c r="P12" s="15">
        <f t="shared" si="1"/>
        <v>313</v>
      </c>
      <c r="R12" s="1" t="s">
        <v>8</v>
      </c>
      <c r="S12" s="17">
        <f t="shared" ref="S12:AF12" si="4">SUM(C18:C21)</f>
        <v>51</v>
      </c>
      <c r="T12" s="17">
        <f t="shared" si="4"/>
        <v>22</v>
      </c>
      <c r="U12" s="17">
        <f t="shared" si="4"/>
        <v>27</v>
      </c>
      <c r="V12" s="17">
        <f t="shared" si="4"/>
        <v>86</v>
      </c>
      <c r="W12" s="17">
        <f t="shared" si="4"/>
        <v>8</v>
      </c>
      <c r="X12" s="17">
        <f t="shared" si="4"/>
        <v>1</v>
      </c>
      <c r="Y12" s="17">
        <f t="shared" si="4"/>
        <v>15</v>
      </c>
      <c r="Z12" s="17">
        <f t="shared" si="4"/>
        <v>13</v>
      </c>
      <c r="AA12" s="17">
        <f t="shared" si="4"/>
        <v>13</v>
      </c>
      <c r="AB12" s="17">
        <f t="shared" si="4"/>
        <v>87</v>
      </c>
      <c r="AC12" s="17">
        <f t="shared" si="4"/>
        <v>528</v>
      </c>
      <c r="AD12" s="17">
        <f t="shared" si="4"/>
        <v>0</v>
      </c>
      <c r="AE12" s="31">
        <f t="shared" si="4"/>
        <v>323</v>
      </c>
      <c r="AF12" s="31">
        <f t="shared" si="4"/>
        <v>851</v>
      </c>
    </row>
    <row r="13" spans="2:32" ht="23.1" customHeight="1" x14ac:dyDescent="0.25">
      <c r="B13" s="23" t="s">
        <v>40</v>
      </c>
      <c r="C13" s="50">
        <v>20</v>
      </c>
      <c r="D13" s="50">
        <v>15</v>
      </c>
      <c r="E13" s="50">
        <v>6</v>
      </c>
      <c r="F13" s="50">
        <v>42</v>
      </c>
      <c r="G13" s="50">
        <v>1</v>
      </c>
      <c r="H13" s="50">
        <v>0</v>
      </c>
      <c r="I13" s="50">
        <v>6</v>
      </c>
      <c r="J13" s="50">
        <v>2</v>
      </c>
      <c r="K13" s="50">
        <v>1</v>
      </c>
      <c r="L13" s="50">
        <v>13</v>
      </c>
      <c r="M13" s="50">
        <v>177</v>
      </c>
      <c r="N13" s="50">
        <v>0</v>
      </c>
      <c r="O13" s="15">
        <f t="shared" si="0"/>
        <v>106</v>
      </c>
      <c r="P13" s="15">
        <f t="shared" si="1"/>
        <v>283</v>
      </c>
      <c r="R13" s="1" t="s">
        <v>9</v>
      </c>
      <c r="S13" s="17">
        <f t="shared" ref="S13:AF13" si="5">SUM(C22:C25)</f>
        <v>67</v>
      </c>
      <c r="T13" s="17">
        <f t="shared" si="5"/>
        <v>32</v>
      </c>
      <c r="U13" s="17">
        <f t="shared" si="5"/>
        <v>12</v>
      </c>
      <c r="V13" s="17">
        <f t="shared" si="5"/>
        <v>77</v>
      </c>
      <c r="W13" s="17">
        <f t="shared" si="5"/>
        <v>3</v>
      </c>
      <c r="X13" s="17">
        <f t="shared" si="5"/>
        <v>2</v>
      </c>
      <c r="Y13" s="17">
        <f t="shared" si="5"/>
        <v>28</v>
      </c>
      <c r="Z13" s="17">
        <f t="shared" si="5"/>
        <v>17</v>
      </c>
      <c r="AA13" s="17">
        <f t="shared" si="5"/>
        <v>15</v>
      </c>
      <c r="AB13" s="17">
        <f t="shared" si="5"/>
        <v>66</v>
      </c>
      <c r="AC13" s="17">
        <f t="shared" si="5"/>
        <v>474</v>
      </c>
      <c r="AD13" s="17">
        <f t="shared" si="5"/>
        <v>0</v>
      </c>
      <c r="AE13" s="31">
        <f t="shared" si="5"/>
        <v>319</v>
      </c>
      <c r="AF13" s="31">
        <f t="shared" si="5"/>
        <v>793</v>
      </c>
    </row>
    <row r="14" spans="2:32" ht="23.1" customHeight="1" x14ac:dyDescent="0.25">
      <c r="B14" s="23" t="s">
        <v>41</v>
      </c>
      <c r="C14" s="50">
        <v>18</v>
      </c>
      <c r="D14" s="50">
        <v>8</v>
      </c>
      <c r="E14" s="50">
        <v>3</v>
      </c>
      <c r="F14" s="50">
        <v>62</v>
      </c>
      <c r="G14" s="50">
        <v>1</v>
      </c>
      <c r="H14" s="50">
        <v>0</v>
      </c>
      <c r="I14" s="50">
        <v>0</v>
      </c>
      <c r="J14" s="50">
        <v>3</v>
      </c>
      <c r="K14" s="50">
        <v>2</v>
      </c>
      <c r="L14" s="50">
        <v>23</v>
      </c>
      <c r="M14" s="50">
        <v>188</v>
      </c>
      <c r="N14" s="50">
        <v>0</v>
      </c>
      <c r="O14" s="15">
        <f t="shared" si="0"/>
        <v>120</v>
      </c>
      <c r="P14" s="15">
        <f t="shared" si="1"/>
        <v>308</v>
      </c>
      <c r="R14" s="1" t="s">
        <v>10</v>
      </c>
      <c r="S14" s="17">
        <f t="shared" ref="S14:AF14" si="6">SUM(C26:C29)</f>
        <v>76</v>
      </c>
      <c r="T14" s="17">
        <f t="shared" si="6"/>
        <v>45</v>
      </c>
      <c r="U14" s="17">
        <f t="shared" si="6"/>
        <v>28</v>
      </c>
      <c r="V14" s="17">
        <f t="shared" si="6"/>
        <v>132</v>
      </c>
      <c r="W14" s="17">
        <f t="shared" si="6"/>
        <v>3</v>
      </c>
      <c r="X14" s="17">
        <f t="shared" si="6"/>
        <v>4</v>
      </c>
      <c r="Y14" s="17">
        <f t="shared" si="6"/>
        <v>23</v>
      </c>
      <c r="Z14" s="17">
        <f t="shared" si="6"/>
        <v>20</v>
      </c>
      <c r="AA14" s="17">
        <f t="shared" si="6"/>
        <v>28</v>
      </c>
      <c r="AB14" s="17">
        <f t="shared" si="6"/>
        <v>55</v>
      </c>
      <c r="AC14" s="17">
        <f t="shared" si="6"/>
        <v>469</v>
      </c>
      <c r="AD14" s="17">
        <f t="shared" si="6"/>
        <v>0</v>
      </c>
      <c r="AE14" s="31">
        <f t="shared" si="6"/>
        <v>414</v>
      </c>
      <c r="AF14" s="31">
        <f t="shared" si="6"/>
        <v>883</v>
      </c>
    </row>
    <row r="15" spans="2:32" ht="23.1" customHeight="1" x14ac:dyDescent="0.25">
      <c r="B15" s="23" t="s">
        <v>42</v>
      </c>
      <c r="C15" s="50">
        <v>28</v>
      </c>
      <c r="D15" s="50">
        <v>11</v>
      </c>
      <c r="E15" s="50">
        <v>2</v>
      </c>
      <c r="F15" s="50">
        <v>51</v>
      </c>
      <c r="G15" s="50">
        <v>2</v>
      </c>
      <c r="H15" s="50">
        <v>0</v>
      </c>
      <c r="I15" s="50">
        <v>6</v>
      </c>
      <c r="J15" s="50">
        <v>7</v>
      </c>
      <c r="K15" s="50">
        <v>8</v>
      </c>
      <c r="L15" s="50">
        <v>20</v>
      </c>
      <c r="M15" s="50">
        <v>224</v>
      </c>
      <c r="N15" s="50">
        <v>0</v>
      </c>
      <c r="O15" s="15">
        <f t="shared" si="0"/>
        <v>135</v>
      </c>
      <c r="P15" s="15">
        <f t="shared" si="1"/>
        <v>359</v>
      </c>
      <c r="R15" s="1" t="s">
        <v>11</v>
      </c>
      <c r="S15" s="17">
        <f t="shared" ref="S15:AF15" si="7">SUM(C30:C33)</f>
        <v>116</v>
      </c>
      <c r="T15" s="17">
        <f t="shared" si="7"/>
        <v>36</v>
      </c>
      <c r="U15" s="17">
        <f t="shared" si="7"/>
        <v>30</v>
      </c>
      <c r="V15" s="17">
        <f t="shared" si="7"/>
        <v>161</v>
      </c>
      <c r="W15" s="17">
        <f t="shared" si="7"/>
        <v>10</v>
      </c>
      <c r="X15" s="17">
        <f t="shared" si="7"/>
        <v>2</v>
      </c>
      <c r="Y15" s="17">
        <f t="shared" si="7"/>
        <v>22</v>
      </c>
      <c r="Z15" s="17">
        <f t="shared" si="7"/>
        <v>27</v>
      </c>
      <c r="AA15" s="17">
        <f t="shared" si="7"/>
        <v>29</v>
      </c>
      <c r="AB15" s="17">
        <f t="shared" si="7"/>
        <v>46</v>
      </c>
      <c r="AC15" s="17">
        <f t="shared" si="7"/>
        <v>452</v>
      </c>
      <c r="AD15" s="17">
        <f t="shared" si="7"/>
        <v>0</v>
      </c>
      <c r="AE15" s="31">
        <f t="shared" si="7"/>
        <v>479</v>
      </c>
      <c r="AF15" s="31">
        <f t="shared" si="7"/>
        <v>931</v>
      </c>
    </row>
    <row r="16" spans="2:32" ht="23.1" customHeight="1" x14ac:dyDescent="0.25">
      <c r="B16" s="23" t="s">
        <v>43</v>
      </c>
      <c r="C16" s="50">
        <v>28</v>
      </c>
      <c r="D16" s="50">
        <v>13</v>
      </c>
      <c r="E16" s="50">
        <v>12</v>
      </c>
      <c r="F16" s="50">
        <v>42</v>
      </c>
      <c r="G16" s="50">
        <v>2</v>
      </c>
      <c r="H16" s="50">
        <v>0</v>
      </c>
      <c r="I16" s="50">
        <v>7</v>
      </c>
      <c r="J16" s="50">
        <v>3</v>
      </c>
      <c r="K16" s="50">
        <v>1</v>
      </c>
      <c r="L16" s="50">
        <v>13</v>
      </c>
      <c r="M16" s="50">
        <v>196</v>
      </c>
      <c r="N16" s="50">
        <v>0</v>
      </c>
      <c r="O16" s="15">
        <f t="shared" si="0"/>
        <v>121</v>
      </c>
      <c r="P16" s="15">
        <f t="shared" si="1"/>
        <v>317</v>
      </c>
      <c r="R16" s="1" t="s">
        <v>12</v>
      </c>
      <c r="S16" s="17">
        <f t="shared" ref="S16:AF16" si="8">SUM(C34:C37)</f>
        <v>83</v>
      </c>
      <c r="T16" s="17">
        <f t="shared" si="8"/>
        <v>48</v>
      </c>
      <c r="U16" s="17">
        <f t="shared" si="8"/>
        <v>30</v>
      </c>
      <c r="V16" s="17">
        <f t="shared" si="8"/>
        <v>159</v>
      </c>
      <c r="W16" s="17">
        <f t="shared" si="8"/>
        <v>8</v>
      </c>
      <c r="X16" s="17">
        <f t="shared" si="8"/>
        <v>3</v>
      </c>
      <c r="Y16" s="17">
        <f t="shared" si="8"/>
        <v>39</v>
      </c>
      <c r="Z16" s="17">
        <f t="shared" si="8"/>
        <v>41</v>
      </c>
      <c r="AA16" s="17">
        <f t="shared" si="8"/>
        <v>35</v>
      </c>
      <c r="AB16" s="17">
        <f t="shared" si="8"/>
        <v>46</v>
      </c>
      <c r="AC16" s="17">
        <f t="shared" si="8"/>
        <v>46</v>
      </c>
      <c r="AD16" s="17">
        <f t="shared" si="8"/>
        <v>0</v>
      </c>
      <c r="AE16" s="31">
        <f t="shared" si="8"/>
        <v>492</v>
      </c>
      <c r="AF16" s="31">
        <f t="shared" si="8"/>
        <v>538</v>
      </c>
    </row>
    <row r="17" spans="2:32" ht="23.1" customHeight="1" x14ac:dyDescent="0.25">
      <c r="B17" s="23" t="s">
        <v>44</v>
      </c>
      <c r="C17" s="50">
        <v>31</v>
      </c>
      <c r="D17" s="50">
        <v>6</v>
      </c>
      <c r="E17" s="50">
        <v>0</v>
      </c>
      <c r="F17" s="50">
        <v>40</v>
      </c>
      <c r="G17" s="50">
        <v>3</v>
      </c>
      <c r="H17" s="50">
        <v>1</v>
      </c>
      <c r="I17" s="50">
        <v>3</v>
      </c>
      <c r="J17" s="50">
        <v>9</v>
      </c>
      <c r="K17" s="50">
        <v>1</v>
      </c>
      <c r="L17" s="50">
        <v>17</v>
      </c>
      <c r="M17" s="50">
        <v>114</v>
      </c>
      <c r="N17" s="50">
        <v>0</v>
      </c>
      <c r="O17" s="15">
        <f t="shared" si="0"/>
        <v>111</v>
      </c>
      <c r="P17" s="15">
        <f t="shared" si="1"/>
        <v>225</v>
      </c>
      <c r="R17" s="1" t="s">
        <v>13</v>
      </c>
      <c r="S17" s="17">
        <f t="shared" ref="S17:AF17" si="9">SUM(C38:C41)</f>
        <v>119</v>
      </c>
      <c r="T17" s="17">
        <f t="shared" si="9"/>
        <v>46</v>
      </c>
      <c r="U17" s="17">
        <f t="shared" si="9"/>
        <v>47</v>
      </c>
      <c r="V17" s="17">
        <f t="shared" si="9"/>
        <v>170</v>
      </c>
      <c r="W17" s="17">
        <f t="shared" si="9"/>
        <v>5</v>
      </c>
      <c r="X17" s="17">
        <f t="shared" si="9"/>
        <v>16</v>
      </c>
      <c r="Y17" s="17">
        <f t="shared" si="9"/>
        <v>32</v>
      </c>
      <c r="Z17" s="17">
        <f t="shared" si="9"/>
        <v>28</v>
      </c>
      <c r="AA17" s="17">
        <f t="shared" si="9"/>
        <v>27</v>
      </c>
      <c r="AB17" s="17">
        <f t="shared" si="9"/>
        <v>39</v>
      </c>
      <c r="AC17" s="17">
        <f t="shared" si="9"/>
        <v>361</v>
      </c>
      <c r="AD17" s="17">
        <f t="shared" si="9"/>
        <v>0</v>
      </c>
      <c r="AE17" s="31">
        <f t="shared" si="9"/>
        <v>529</v>
      </c>
      <c r="AF17" s="31">
        <f t="shared" si="9"/>
        <v>890</v>
      </c>
    </row>
    <row r="18" spans="2:32" ht="23.1" customHeight="1" x14ac:dyDescent="0.25">
      <c r="B18" s="23" t="s">
        <v>45</v>
      </c>
      <c r="C18" s="50">
        <v>21</v>
      </c>
      <c r="D18" s="50">
        <v>7</v>
      </c>
      <c r="E18" s="50">
        <v>14</v>
      </c>
      <c r="F18" s="50">
        <v>36</v>
      </c>
      <c r="G18" s="50">
        <v>1</v>
      </c>
      <c r="H18" s="50">
        <v>0</v>
      </c>
      <c r="I18" s="50">
        <v>4</v>
      </c>
      <c r="J18" s="50">
        <v>7</v>
      </c>
      <c r="K18" s="50">
        <v>4</v>
      </c>
      <c r="L18" s="50">
        <v>25</v>
      </c>
      <c r="M18" s="50">
        <v>175</v>
      </c>
      <c r="N18" s="50">
        <v>0</v>
      </c>
      <c r="O18" s="15">
        <f t="shared" si="0"/>
        <v>119</v>
      </c>
      <c r="P18" s="15">
        <f t="shared" si="1"/>
        <v>294</v>
      </c>
      <c r="R18" s="1" t="s">
        <v>14</v>
      </c>
      <c r="S18" s="17">
        <f t="shared" ref="S18:AF18" si="10">SUM(C42:C45)</f>
        <v>79</v>
      </c>
      <c r="T18" s="17">
        <f t="shared" si="10"/>
        <v>67</v>
      </c>
      <c r="U18" s="17">
        <f t="shared" si="10"/>
        <v>14</v>
      </c>
      <c r="V18" s="17">
        <f t="shared" si="10"/>
        <v>123</v>
      </c>
      <c r="W18" s="17">
        <f t="shared" si="10"/>
        <v>6</v>
      </c>
      <c r="X18" s="17">
        <f t="shared" si="10"/>
        <v>1</v>
      </c>
      <c r="Y18" s="17">
        <f t="shared" si="10"/>
        <v>18</v>
      </c>
      <c r="Z18" s="17">
        <f t="shared" si="10"/>
        <v>6</v>
      </c>
      <c r="AA18" s="17">
        <f t="shared" si="10"/>
        <v>8</v>
      </c>
      <c r="AB18" s="17">
        <f t="shared" si="10"/>
        <v>113</v>
      </c>
      <c r="AC18" s="17">
        <f t="shared" si="10"/>
        <v>398</v>
      </c>
      <c r="AD18" s="17">
        <f t="shared" si="10"/>
        <v>0</v>
      </c>
      <c r="AE18" s="31">
        <f t="shared" si="10"/>
        <v>435</v>
      </c>
      <c r="AF18" s="31">
        <f t="shared" si="10"/>
        <v>833</v>
      </c>
    </row>
    <row r="19" spans="2:32" ht="23.1" customHeight="1" x14ac:dyDescent="0.25">
      <c r="B19" s="23" t="s">
        <v>46</v>
      </c>
      <c r="C19" s="50">
        <v>7</v>
      </c>
      <c r="D19" s="50">
        <v>4</v>
      </c>
      <c r="E19" s="50">
        <v>2</v>
      </c>
      <c r="F19" s="50">
        <v>14</v>
      </c>
      <c r="G19" s="50">
        <v>3</v>
      </c>
      <c r="H19" s="50">
        <v>0</v>
      </c>
      <c r="I19" s="50">
        <v>4</v>
      </c>
      <c r="J19" s="50">
        <v>4</v>
      </c>
      <c r="K19" s="50">
        <v>2</v>
      </c>
      <c r="L19" s="50">
        <v>13</v>
      </c>
      <c r="M19" s="50">
        <v>97</v>
      </c>
      <c r="N19" s="50">
        <v>0</v>
      </c>
      <c r="O19" s="15">
        <f t="shared" si="0"/>
        <v>53</v>
      </c>
      <c r="P19" s="15">
        <f t="shared" si="1"/>
        <v>150</v>
      </c>
      <c r="R19" s="1" t="s">
        <v>15</v>
      </c>
      <c r="S19" s="17">
        <f t="shared" ref="S19:AF19" si="11">SUM(C46:C49)</f>
        <v>106</v>
      </c>
      <c r="T19" s="17">
        <f t="shared" si="11"/>
        <v>65</v>
      </c>
      <c r="U19" s="17">
        <f t="shared" si="11"/>
        <v>66</v>
      </c>
      <c r="V19" s="17">
        <f t="shared" si="11"/>
        <v>146</v>
      </c>
      <c r="W19" s="17">
        <f t="shared" si="11"/>
        <v>14</v>
      </c>
      <c r="X19" s="17">
        <f t="shared" si="11"/>
        <v>9</v>
      </c>
      <c r="Y19" s="17">
        <f t="shared" si="11"/>
        <v>7</v>
      </c>
      <c r="Z19" s="17">
        <f t="shared" si="11"/>
        <v>11</v>
      </c>
      <c r="AA19" s="17">
        <f t="shared" si="11"/>
        <v>16</v>
      </c>
      <c r="AB19" s="17">
        <f t="shared" si="11"/>
        <v>56</v>
      </c>
      <c r="AC19" s="17">
        <f t="shared" si="11"/>
        <v>410</v>
      </c>
      <c r="AD19" s="17">
        <f t="shared" si="11"/>
        <v>0</v>
      </c>
      <c r="AE19" s="31">
        <f t="shared" si="11"/>
        <v>496</v>
      </c>
      <c r="AF19" s="31">
        <f t="shared" si="11"/>
        <v>906</v>
      </c>
    </row>
    <row r="20" spans="2:32" ht="23.1" customHeight="1" x14ac:dyDescent="0.25">
      <c r="B20" s="23" t="s">
        <v>47</v>
      </c>
      <c r="C20" s="50">
        <v>9</v>
      </c>
      <c r="D20" s="50">
        <v>3</v>
      </c>
      <c r="E20" s="50">
        <v>8</v>
      </c>
      <c r="F20" s="50">
        <v>21</v>
      </c>
      <c r="G20" s="50">
        <v>2</v>
      </c>
      <c r="H20" s="50">
        <v>0</v>
      </c>
      <c r="I20" s="50">
        <v>4</v>
      </c>
      <c r="J20" s="50">
        <v>0</v>
      </c>
      <c r="K20" s="50">
        <v>1</v>
      </c>
      <c r="L20" s="50">
        <v>22</v>
      </c>
      <c r="M20" s="50">
        <v>142</v>
      </c>
      <c r="N20" s="50">
        <v>0</v>
      </c>
      <c r="O20" s="15">
        <f t="shared" si="0"/>
        <v>70</v>
      </c>
      <c r="P20" s="15">
        <f t="shared" si="1"/>
        <v>212</v>
      </c>
      <c r="R20" s="1" t="s">
        <v>16</v>
      </c>
      <c r="S20" s="17">
        <f t="shared" ref="S20:AF20" si="12">SUM(C50:C53)</f>
        <v>86</v>
      </c>
      <c r="T20" s="17">
        <f t="shared" si="12"/>
        <v>44</v>
      </c>
      <c r="U20" s="17">
        <f t="shared" si="12"/>
        <v>32</v>
      </c>
      <c r="V20" s="17">
        <f t="shared" si="12"/>
        <v>155</v>
      </c>
      <c r="W20" s="17">
        <f t="shared" si="12"/>
        <v>13</v>
      </c>
      <c r="X20" s="17">
        <f t="shared" si="12"/>
        <v>2</v>
      </c>
      <c r="Y20" s="17">
        <f t="shared" si="12"/>
        <v>13</v>
      </c>
      <c r="Z20" s="17">
        <f t="shared" si="12"/>
        <v>19</v>
      </c>
      <c r="AA20" s="17">
        <f t="shared" si="12"/>
        <v>17</v>
      </c>
      <c r="AB20" s="17">
        <f t="shared" si="12"/>
        <v>71</v>
      </c>
      <c r="AC20" s="17">
        <f t="shared" si="12"/>
        <v>554</v>
      </c>
      <c r="AD20" s="17">
        <f t="shared" si="12"/>
        <v>0</v>
      </c>
      <c r="AE20" s="31">
        <f t="shared" si="12"/>
        <v>452</v>
      </c>
      <c r="AF20" s="31">
        <f t="shared" si="12"/>
        <v>1006</v>
      </c>
    </row>
    <row r="21" spans="2:32" ht="23.1" customHeight="1" x14ac:dyDescent="0.25">
      <c r="B21" s="23" t="s">
        <v>48</v>
      </c>
      <c r="C21" s="50">
        <v>14</v>
      </c>
      <c r="D21" s="50">
        <v>8</v>
      </c>
      <c r="E21" s="50">
        <v>3</v>
      </c>
      <c r="F21" s="50">
        <v>15</v>
      </c>
      <c r="G21" s="50">
        <v>2</v>
      </c>
      <c r="H21" s="50">
        <v>1</v>
      </c>
      <c r="I21" s="50">
        <v>3</v>
      </c>
      <c r="J21" s="50">
        <v>2</v>
      </c>
      <c r="K21" s="50">
        <v>6</v>
      </c>
      <c r="L21" s="50">
        <v>27</v>
      </c>
      <c r="M21" s="50">
        <v>114</v>
      </c>
      <c r="N21" s="50">
        <v>0</v>
      </c>
      <c r="O21" s="15">
        <f t="shared" si="0"/>
        <v>81</v>
      </c>
      <c r="P21" s="15">
        <f t="shared" si="1"/>
        <v>195</v>
      </c>
      <c r="R21" s="36" t="s">
        <v>20</v>
      </c>
      <c r="S21" s="34">
        <f t="shared" ref="S21:AF21" si="13">SUM(C54:C57)</f>
        <v>66</v>
      </c>
      <c r="T21" s="17">
        <f t="shared" si="13"/>
        <v>19</v>
      </c>
      <c r="U21" s="17">
        <f t="shared" si="13"/>
        <v>14</v>
      </c>
      <c r="V21" s="17">
        <f t="shared" si="13"/>
        <v>122</v>
      </c>
      <c r="W21" s="17">
        <f t="shared" si="13"/>
        <v>7</v>
      </c>
      <c r="X21" s="17">
        <f t="shared" si="13"/>
        <v>0</v>
      </c>
      <c r="Y21" s="17">
        <f t="shared" si="13"/>
        <v>11</v>
      </c>
      <c r="Z21" s="17">
        <f t="shared" si="13"/>
        <v>17</v>
      </c>
      <c r="AA21" s="17">
        <f t="shared" si="13"/>
        <v>17</v>
      </c>
      <c r="AB21" s="17">
        <f t="shared" si="13"/>
        <v>42</v>
      </c>
      <c r="AC21" s="17">
        <f t="shared" si="13"/>
        <v>394</v>
      </c>
      <c r="AD21" s="17">
        <f t="shared" si="13"/>
        <v>0</v>
      </c>
      <c r="AE21" s="31">
        <f t="shared" si="13"/>
        <v>315</v>
      </c>
      <c r="AF21" s="31">
        <f t="shared" si="13"/>
        <v>709</v>
      </c>
    </row>
    <row r="22" spans="2:32" ht="23.1" customHeight="1" x14ac:dyDescent="0.25">
      <c r="B22" s="23" t="s">
        <v>49</v>
      </c>
      <c r="C22" s="50">
        <v>11</v>
      </c>
      <c r="D22" s="50">
        <v>4</v>
      </c>
      <c r="E22" s="50">
        <v>1</v>
      </c>
      <c r="F22" s="50">
        <v>11</v>
      </c>
      <c r="G22" s="50">
        <v>1</v>
      </c>
      <c r="H22" s="50">
        <v>0</v>
      </c>
      <c r="I22" s="50">
        <v>5</v>
      </c>
      <c r="J22" s="50">
        <v>3</v>
      </c>
      <c r="K22" s="50">
        <v>0</v>
      </c>
      <c r="L22" s="50">
        <v>15</v>
      </c>
      <c r="M22" s="50">
        <v>113</v>
      </c>
      <c r="N22" s="50">
        <v>0</v>
      </c>
      <c r="O22" s="15">
        <f t="shared" si="0"/>
        <v>51</v>
      </c>
      <c r="P22" s="15">
        <f t="shared" si="1"/>
        <v>164</v>
      </c>
      <c r="R22" s="38" t="s">
        <v>90</v>
      </c>
      <c r="S22" s="39">
        <f>MAX(S10:S12)</f>
        <v>105</v>
      </c>
      <c r="T22" s="39">
        <f t="shared" ref="T22:AF22" si="14">MAX(T10:T12)</f>
        <v>43</v>
      </c>
      <c r="U22" s="39">
        <f t="shared" si="14"/>
        <v>27</v>
      </c>
      <c r="V22" s="39">
        <f t="shared" si="14"/>
        <v>195</v>
      </c>
      <c r="W22" s="39">
        <f t="shared" si="14"/>
        <v>15</v>
      </c>
      <c r="X22" s="39">
        <f t="shared" si="14"/>
        <v>2</v>
      </c>
      <c r="Y22" s="39">
        <f t="shared" si="14"/>
        <v>16</v>
      </c>
      <c r="Z22" s="39">
        <f t="shared" si="14"/>
        <v>22</v>
      </c>
      <c r="AA22" s="39">
        <f t="shared" si="14"/>
        <v>13</v>
      </c>
      <c r="AB22" s="39">
        <f t="shared" si="14"/>
        <v>87</v>
      </c>
      <c r="AC22" s="39">
        <f t="shared" si="14"/>
        <v>722</v>
      </c>
      <c r="AD22" s="39">
        <f t="shared" si="14"/>
        <v>0</v>
      </c>
      <c r="AE22" s="40">
        <f t="shared" si="14"/>
        <v>487</v>
      </c>
      <c r="AF22" s="40">
        <f t="shared" si="14"/>
        <v>1209</v>
      </c>
    </row>
    <row r="23" spans="2:32" ht="23.1" customHeight="1" x14ac:dyDescent="0.25">
      <c r="B23" s="23" t="s">
        <v>50</v>
      </c>
      <c r="C23" s="50">
        <v>20</v>
      </c>
      <c r="D23" s="50">
        <v>13</v>
      </c>
      <c r="E23" s="50">
        <v>4</v>
      </c>
      <c r="F23" s="50">
        <v>27</v>
      </c>
      <c r="G23" s="50">
        <v>0</v>
      </c>
      <c r="H23" s="50">
        <v>0</v>
      </c>
      <c r="I23" s="50">
        <v>6</v>
      </c>
      <c r="J23" s="50">
        <v>4</v>
      </c>
      <c r="K23" s="50">
        <v>5</v>
      </c>
      <c r="L23" s="50">
        <v>23</v>
      </c>
      <c r="M23" s="50">
        <v>140</v>
      </c>
      <c r="N23" s="50">
        <v>0</v>
      </c>
      <c r="O23" s="15">
        <f t="shared" si="0"/>
        <v>102</v>
      </c>
      <c r="P23" s="15">
        <f t="shared" si="1"/>
        <v>242</v>
      </c>
      <c r="R23" s="38" t="s">
        <v>91</v>
      </c>
      <c r="S23" s="39">
        <f>MAX(S13:S18)</f>
        <v>119</v>
      </c>
      <c r="T23" s="39">
        <f t="shared" ref="T23:AF23" si="15">MAX(T13:T18)</f>
        <v>67</v>
      </c>
      <c r="U23" s="39">
        <f t="shared" si="15"/>
        <v>47</v>
      </c>
      <c r="V23" s="39">
        <f t="shared" si="15"/>
        <v>170</v>
      </c>
      <c r="W23" s="39">
        <f t="shared" si="15"/>
        <v>10</v>
      </c>
      <c r="X23" s="39">
        <f t="shared" si="15"/>
        <v>16</v>
      </c>
      <c r="Y23" s="39">
        <f t="shared" si="15"/>
        <v>39</v>
      </c>
      <c r="Z23" s="39">
        <f t="shared" si="15"/>
        <v>41</v>
      </c>
      <c r="AA23" s="39">
        <f t="shared" si="15"/>
        <v>35</v>
      </c>
      <c r="AB23" s="39">
        <f t="shared" si="15"/>
        <v>113</v>
      </c>
      <c r="AC23" s="39">
        <f t="shared" si="15"/>
        <v>474</v>
      </c>
      <c r="AD23" s="39">
        <f t="shared" si="15"/>
        <v>0</v>
      </c>
      <c r="AE23" s="40">
        <f t="shared" si="15"/>
        <v>529</v>
      </c>
      <c r="AF23" s="40">
        <f t="shared" si="15"/>
        <v>931</v>
      </c>
    </row>
    <row r="24" spans="2:32" ht="23.1" customHeight="1" x14ac:dyDescent="0.25">
      <c r="B24" s="23" t="s">
        <v>51</v>
      </c>
      <c r="C24" s="50">
        <v>19</v>
      </c>
      <c r="D24" s="50">
        <v>11</v>
      </c>
      <c r="E24" s="50">
        <v>6</v>
      </c>
      <c r="F24" s="50">
        <v>29</v>
      </c>
      <c r="G24" s="50">
        <v>0</v>
      </c>
      <c r="H24" s="50">
        <v>2</v>
      </c>
      <c r="I24" s="50">
        <v>11</v>
      </c>
      <c r="J24" s="50">
        <v>6</v>
      </c>
      <c r="K24" s="50">
        <v>7</v>
      </c>
      <c r="L24" s="50">
        <v>17</v>
      </c>
      <c r="M24" s="50">
        <v>123</v>
      </c>
      <c r="N24" s="50">
        <v>0</v>
      </c>
      <c r="O24" s="15">
        <f t="shared" si="0"/>
        <v>108</v>
      </c>
      <c r="P24" s="15">
        <f t="shared" si="1"/>
        <v>231</v>
      </c>
      <c r="R24" s="38" t="s">
        <v>92</v>
      </c>
      <c r="S24" s="39">
        <f>MAX(S19:S21)</f>
        <v>106</v>
      </c>
      <c r="T24" s="39">
        <f t="shared" ref="T24:AF24" si="16">MAX(T19:T21)</f>
        <v>65</v>
      </c>
      <c r="U24" s="39">
        <f t="shared" si="16"/>
        <v>66</v>
      </c>
      <c r="V24" s="39">
        <f t="shared" si="16"/>
        <v>155</v>
      </c>
      <c r="W24" s="39">
        <f t="shared" si="16"/>
        <v>14</v>
      </c>
      <c r="X24" s="39">
        <f t="shared" si="16"/>
        <v>9</v>
      </c>
      <c r="Y24" s="39">
        <f t="shared" si="16"/>
        <v>13</v>
      </c>
      <c r="Z24" s="39">
        <f t="shared" si="16"/>
        <v>19</v>
      </c>
      <c r="AA24" s="39">
        <f t="shared" si="16"/>
        <v>17</v>
      </c>
      <c r="AB24" s="39">
        <f t="shared" si="16"/>
        <v>71</v>
      </c>
      <c r="AC24" s="39">
        <f t="shared" si="16"/>
        <v>554</v>
      </c>
      <c r="AD24" s="39">
        <f t="shared" si="16"/>
        <v>0</v>
      </c>
      <c r="AE24" s="40">
        <f t="shared" si="16"/>
        <v>496</v>
      </c>
      <c r="AF24" s="40">
        <f t="shared" si="16"/>
        <v>1006</v>
      </c>
    </row>
    <row r="25" spans="2:32" ht="23.1" customHeight="1" x14ac:dyDescent="0.25">
      <c r="B25" s="23" t="s">
        <v>52</v>
      </c>
      <c r="C25" s="50">
        <v>17</v>
      </c>
      <c r="D25" s="50">
        <v>4</v>
      </c>
      <c r="E25" s="50">
        <v>1</v>
      </c>
      <c r="F25" s="50">
        <v>10</v>
      </c>
      <c r="G25" s="50">
        <v>2</v>
      </c>
      <c r="H25" s="50">
        <v>0</v>
      </c>
      <c r="I25" s="50">
        <v>6</v>
      </c>
      <c r="J25" s="50">
        <v>4</v>
      </c>
      <c r="K25" s="50">
        <v>3</v>
      </c>
      <c r="L25" s="50">
        <v>11</v>
      </c>
      <c r="M25" s="50">
        <v>98</v>
      </c>
      <c r="N25" s="50">
        <v>0</v>
      </c>
      <c r="O25" s="15">
        <f t="shared" si="0"/>
        <v>58</v>
      </c>
      <c r="P25" s="15">
        <f t="shared" si="1"/>
        <v>156</v>
      </c>
      <c r="R25" s="37" t="s">
        <v>85</v>
      </c>
      <c r="S25" s="35">
        <f t="shared" ref="S25:AF25" si="17">SUM(S10:S12)</f>
        <v>250</v>
      </c>
      <c r="T25" s="16">
        <f t="shared" si="17"/>
        <v>103</v>
      </c>
      <c r="U25" s="16">
        <f t="shared" si="17"/>
        <v>69</v>
      </c>
      <c r="V25" s="16">
        <f t="shared" si="17"/>
        <v>466</v>
      </c>
      <c r="W25" s="16">
        <f t="shared" si="17"/>
        <v>31</v>
      </c>
      <c r="X25" s="16">
        <f t="shared" si="17"/>
        <v>4</v>
      </c>
      <c r="Y25" s="16">
        <f t="shared" si="17"/>
        <v>42</v>
      </c>
      <c r="Z25" s="16">
        <f t="shared" si="17"/>
        <v>47</v>
      </c>
      <c r="AA25" s="16">
        <f t="shared" si="17"/>
        <v>36</v>
      </c>
      <c r="AB25" s="16">
        <f t="shared" si="17"/>
        <v>220</v>
      </c>
      <c r="AC25" s="16">
        <f t="shared" si="17"/>
        <v>1873</v>
      </c>
      <c r="AD25" s="16">
        <f t="shared" si="17"/>
        <v>0</v>
      </c>
      <c r="AE25" s="32">
        <f t="shared" si="17"/>
        <v>1268</v>
      </c>
      <c r="AF25" s="32">
        <f t="shared" si="17"/>
        <v>3141</v>
      </c>
    </row>
    <row r="26" spans="2:32" ht="23.1" customHeight="1" x14ac:dyDescent="0.25">
      <c r="B26" s="23" t="s">
        <v>53</v>
      </c>
      <c r="C26" s="50">
        <v>9</v>
      </c>
      <c r="D26" s="50">
        <v>9</v>
      </c>
      <c r="E26" s="50">
        <v>3</v>
      </c>
      <c r="F26" s="50">
        <v>17</v>
      </c>
      <c r="G26" s="50">
        <v>0</v>
      </c>
      <c r="H26" s="50">
        <v>4</v>
      </c>
      <c r="I26" s="50">
        <v>3</v>
      </c>
      <c r="J26" s="50">
        <v>1</v>
      </c>
      <c r="K26" s="50">
        <v>20</v>
      </c>
      <c r="L26" s="50">
        <v>0</v>
      </c>
      <c r="M26" s="50">
        <v>101</v>
      </c>
      <c r="N26" s="50">
        <v>0</v>
      </c>
      <c r="O26" s="15">
        <f t="shared" si="0"/>
        <v>66</v>
      </c>
      <c r="P26" s="15">
        <f t="shared" si="1"/>
        <v>167</v>
      </c>
      <c r="R26" s="28" t="s">
        <v>86</v>
      </c>
      <c r="S26" s="16">
        <f t="shared" ref="S26:AF26" si="18">SUM(S13:S18)</f>
        <v>540</v>
      </c>
      <c r="T26" s="16">
        <f t="shared" si="18"/>
        <v>274</v>
      </c>
      <c r="U26" s="16">
        <f t="shared" si="18"/>
        <v>161</v>
      </c>
      <c r="V26" s="16">
        <f t="shared" si="18"/>
        <v>822</v>
      </c>
      <c r="W26" s="16">
        <f t="shared" si="18"/>
        <v>35</v>
      </c>
      <c r="X26" s="16">
        <f t="shared" si="18"/>
        <v>28</v>
      </c>
      <c r="Y26" s="16">
        <f t="shared" si="18"/>
        <v>162</v>
      </c>
      <c r="Z26" s="16">
        <f t="shared" si="18"/>
        <v>139</v>
      </c>
      <c r="AA26" s="16">
        <f t="shared" si="18"/>
        <v>142</v>
      </c>
      <c r="AB26" s="16">
        <f t="shared" si="18"/>
        <v>365</v>
      </c>
      <c r="AC26" s="16">
        <f t="shared" si="18"/>
        <v>2200</v>
      </c>
      <c r="AD26" s="16">
        <f t="shared" si="18"/>
        <v>0</v>
      </c>
      <c r="AE26" s="32">
        <f t="shared" si="18"/>
        <v>2668</v>
      </c>
      <c r="AF26" s="32">
        <f t="shared" si="18"/>
        <v>4868</v>
      </c>
    </row>
    <row r="27" spans="2:32" ht="23.1" customHeight="1" x14ac:dyDescent="0.25">
      <c r="B27" s="23" t="s">
        <v>54</v>
      </c>
      <c r="C27" s="50">
        <v>15</v>
      </c>
      <c r="D27" s="50">
        <v>12</v>
      </c>
      <c r="E27" s="50">
        <v>4</v>
      </c>
      <c r="F27" s="50">
        <v>30</v>
      </c>
      <c r="G27" s="50">
        <v>0</v>
      </c>
      <c r="H27" s="50">
        <v>0</v>
      </c>
      <c r="I27" s="50">
        <v>5</v>
      </c>
      <c r="J27" s="50">
        <v>4</v>
      </c>
      <c r="K27" s="50">
        <v>3</v>
      </c>
      <c r="L27" s="50">
        <v>14</v>
      </c>
      <c r="M27" s="50">
        <v>121</v>
      </c>
      <c r="N27" s="50">
        <v>0</v>
      </c>
      <c r="O27" s="15">
        <f t="shared" si="0"/>
        <v>87</v>
      </c>
      <c r="P27" s="15">
        <f t="shared" si="1"/>
        <v>208</v>
      </c>
      <c r="R27" s="29" t="s">
        <v>87</v>
      </c>
      <c r="S27" s="16">
        <f t="shared" ref="S27:AF27" si="19">SUM(S19:S21)</f>
        <v>258</v>
      </c>
      <c r="T27" s="16">
        <f t="shared" si="19"/>
        <v>128</v>
      </c>
      <c r="U27" s="16">
        <f t="shared" si="19"/>
        <v>112</v>
      </c>
      <c r="V27" s="16">
        <f t="shared" si="19"/>
        <v>423</v>
      </c>
      <c r="W27" s="16">
        <f t="shared" si="19"/>
        <v>34</v>
      </c>
      <c r="X27" s="16">
        <f t="shared" si="19"/>
        <v>11</v>
      </c>
      <c r="Y27" s="16">
        <f t="shared" si="19"/>
        <v>31</v>
      </c>
      <c r="Z27" s="16">
        <f t="shared" si="19"/>
        <v>47</v>
      </c>
      <c r="AA27" s="16">
        <f t="shared" si="19"/>
        <v>50</v>
      </c>
      <c r="AB27" s="16">
        <f t="shared" si="19"/>
        <v>169</v>
      </c>
      <c r="AC27" s="16">
        <f t="shared" si="19"/>
        <v>1358</v>
      </c>
      <c r="AD27" s="16">
        <f t="shared" si="19"/>
        <v>0</v>
      </c>
      <c r="AE27" s="32">
        <f t="shared" si="19"/>
        <v>1263</v>
      </c>
      <c r="AF27" s="32">
        <f t="shared" si="19"/>
        <v>2621</v>
      </c>
    </row>
    <row r="28" spans="2:32" ht="23.1" customHeight="1" x14ac:dyDescent="0.25">
      <c r="B28" s="23" t="s">
        <v>55</v>
      </c>
      <c r="C28" s="50">
        <v>26</v>
      </c>
      <c r="D28" s="50">
        <v>15</v>
      </c>
      <c r="E28" s="50">
        <v>11</v>
      </c>
      <c r="F28" s="50">
        <v>43</v>
      </c>
      <c r="G28" s="50">
        <v>0</v>
      </c>
      <c r="H28" s="50">
        <v>0</v>
      </c>
      <c r="I28" s="50">
        <v>9</v>
      </c>
      <c r="J28" s="50">
        <v>8</v>
      </c>
      <c r="K28" s="50">
        <v>2</v>
      </c>
      <c r="L28" s="50">
        <v>18</v>
      </c>
      <c r="M28" s="50">
        <v>112</v>
      </c>
      <c r="N28" s="50">
        <v>0</v>
      </c>
      <c r="O28" s="15">
        <f t="shared" si="0"/>
        <v>132</v>
      </c>
      <c r="P28" s="15">
        <f t="shared" si="1"/>
        <v>244</v>
      </c>
      <c r="R28" s="5" t="s">
        <v>17</v>
      </c>
      <c r="S28" s="16">
        <f t="shared" ref="S28:AF28" si="20">SUM(S10:S21)</f>
        <v>1048</v>
      </c>
      <c r="T28" s="16">
        <f t="shared" si="20"/>
        <v>505</v>
      </c>
      <c r="U28" s="16">
        <f t="shared" si="20"/>
        <v>342</v>
      </c>
      <c r="V28" s="16">
        <f t="shared" si="20"/>
        <v>1711</v>
      </c>
      <c r="W28" s="16">
        <f t="shared" si="20"/>
        <v>100</v>
      </c>
      <c r="X28" s="16">
        <f t="shared" si="20"/>
        <v>43</v>
      </c>
      <c r="Y28" s="16">
        <f t="shared" si="20"/>
        <v>235</v>
      </c>
      <c r="Z28" s="16">
        <f t="shared" si="20"/>
        <v>233</v>
      </c>
      <c r="AA28" s="16">
        <f t="shared" si="20"/>
        <v>228</v>
      </c>
      <c r="AB28" s="16">
        <f t="shared" si="20"/>
        <v>754</v>
      </c>
      <c r="AC28" s="16">
        <f t="shared" si="20"/>
        <v>5431</v>
      </c>
      <c r="AD28" s="16">
        <f t="shared" si="20"/>
        <v>0</v>
      </c>
      <c r="AE28" s="32">
        <f t="shared" si="20"/>
        <v>5199</v>
      </c>
      <c r="AF28" s="32">
        <f t="shared" si="20"/>
        <v>10630</v>
      </c>
    </row>
    <row r="29" spans="2:32" ht="23.1" customHeight="1" x14ac:dyDescent="0.25">
      <c r="B29" s="23" t="s">
        <v>56</v>
      </c>
      <c r="C29" s="50">
        <v>26</v>
      </c>
      <c r="D29" s="50">
        <v>9</v>
      </c>
      <c r="E29" s="50">
        <v>10</v>
      </c>
      <c r="F29" s="50">
        <v>42</v>
      </c>
      <c r="G29" s="50">
        <v>3</v>
      </c>
      <c r="H29" s="50">
        <v>0</v>
      </c>
      <c r="I29" s="50">
        <v>6</v>
      </c>
      <c r="J29" s="50">
        <v>7</v>
      </c>
      <c r="K29" s="50">
        <v>3</v>
      </c>
      <c r="L29" s="50">
        <v>23</v>
      </c>
      <c r="M29" s="50">
        <v>135</v>
      </c>
      <c r="N29" s="50">
        <v>0</v>
      </c>
      <c r="O29" s="15">
        <f t="shared" si="0"/>
        <v>129</v>
      </c>
      <c r="P29" s="15">
        <f t="shared" si="1"/>
        <v>264</v>
      </c>
      <c r="R29"/>
      <c r="S29" s="20"/>
      <c r="T29" s="19"/>
    </row>
    <row r="30" spans="2:32" ht="23.1" customHeight="1" x14ac:dyDescent="0.25">
      <c r="B30" s="23" t="s">
        <v>57</v>
      </c>
      <c r="C30" s="50">
        <v>32</v>
      </c>
      <c r="D30" s="50">
        <v>6</v>
      </c>
      <c r="E30" s="50">
        <v>4</v>
      </c>
      <c r="F30" s="50">
        <v>31</v>
      </c>
      <c r="G30" s="50">
        <v>4</v>
      </c>
      <c r="H30" s="50">
        <v>1</v>
      </c>
      <c r="I30" s="50">
        <v>6</v>
      </c>
      <c r="J30" s="50">
        <v>11</v>
      </c>
      <c r="K30" s="50">
        <v>9</v>
      </c>
      <c r="L30" s="50">
        <v>12</v>
      </c>
      <c r="M30" s="50">
        <v>127</v>
      </c>
      <c r="N30" s="50">
        <v>0</v>
      </c>
      <c r="O30" s="15">
        <f t="shared" si="0"/>
        <v>116</v>
      </c>
      <c r="P30" s="15">
        <f t="shared" si="1"/>
        <v>243</v>
      </c>
    </row>
    <row r="31" spans="2:32" ht="23.1" customHeight="1" x14ac:dyDescent="0.25">
      <c r="B31" s="24" t="s">
        <v>58</v>
      </c>
      <c r="C31" s="50">
        <v>34</v>
      </c>
      <c r="D31" s="50">
        <v>18</v>
      </c>
      <c r="E31" s="50">
        <v>8</v>
      </c>
      <c r="F31" s="50">
        <v>40</v>
      </c>
      <c r="G31" s="50">
        <v>1</v>
      </c>
      <c r="H31" s="50">
        <v>1</v>
      </c>
      <c r="I31" s="50">
        <v>7</v>
      </c>
      <c r="J31" s="50">
        <v>5</v>
      </c>
      <c r="K31" s="50">
        <v>4</v>
      </c>
      <c r="L31" s="50">
        <v>8</v>
      </c>
      <c r="M31" s="50">
        <v>107</v>
      </c>
      <c r="N31" s="50">
        <v>0</v>
      </c>
      <c r="O31" s="15">
        <f t="shared" si="0"/>
        <v>126</v>
      </c>
      <c r="P31" s="15">
        <f t="shared" si="1"/>
        <v>233</v>
      </c>
    </row>
    <row r="32" spans="2:32" ht="23.1" customHeight="1" x14ac:dyDescent="0.25">
      <c r="B32" s="24" t="s">
        <v>59</v>
      </c>
      <c r="C32" s="50">
        <v>27</v>
      </c>
      <c r="D32" s="50">
        <v>9</v>
      </c>
      <c r="E32" s="50">
        <v>10</v>
      </c>
      <c r="F32" s="50">
        <v>39</v>
      </c>
      <c r="G32" s="50">
        <v>3</v>
      </c>
      <c r="H32" s="50">
        <v>0</v>
      </c>
      <c r="I32" s="50">
        <v>5</v>
      </c>
      <c r="J32" s="50">
        <v>5</v>
      </c>
      <c r="K32" s="50">
        <v>7</v>
      </c>
      <c r="L32" s="50">
        <v>13</v>
      </c>
      <c r="M32" s="50">
        <v>134</v>
      </c>
      <c r="N32" s="50">
        <v>0</v>
      </c>
      <c r="O32" s="15">
        <f t="shared" si="0"/>
        <v>118</v>
      </c>
      <c r="P32" s="15">
        <f t="shared" si="1"/>
        <v>252</v>
      </c>
    </row>
    <row r="33" spans="2:20" ht="23.1" customHeight="1" x14ac:dyDescent="0.25">
      <c r="B33" s="23" t="s">
        <v>60</v>
      </c>
      <c r="C33" s="50">
        <v>23</v>
      </c>
      <c r="D33" s="50">
        <v>3</v>
      </c>
      <c r="E33" s="50">
        <v>8</v>
      </c>
      <c r="F33" s="50">
        <v>51</v>
      </c>
      <c r="G33" s="50">
        <v>2</v>
      </c>
      <c r="H33" s="50">
        <v>0</v>
      </c>
      <c r="I33" s="50">
        <v>4</v>
      </c>
      <c r="J33" s="50">
        <v>6</v>
      </c>
      <c r="K33" s="50">
        <v>9</v>
      </c>
      <c r="L33" s="50">
        <v>13</v>
      </c>
      <c r="M33" s="50">
        <v>84</v>
      </c>
      <c r="N33" s="50">
        <v>0</v>
      </c>
      <c r="O33" s="15">
        <f t="shared" si="0"/>
        <v>119</v>
      </c>
      <c r="P33" s="15">
        <f t="shared" si="1"/>
        <v>203</v>
      </c>
    </row>
    <row r="34" spans="2:20" ht="23.1" customHeight="1" x14ac:dyDescent="0.25">
      <c r="B34" s="24" t="s">
        <v>61</v>
      </c>
      <c r="C34" s="50">
        <v>16</v>
      </c>
      <c r="D34" s="50">
        <v>14</v>
      </c>
      <c r="E34" s="50">
        <v>11</v>
      </c>
      <c r="F34" s="50">
        <v>51</v>
      </c>
      <c r="G34" s="50">
        <v>4</v>
      </c>
      <c r="H34" s="50">
        <v>1</v>
      </c>
      <c r="I34" s="50">
        <v>9</v>
      </c>
      <c r="J34" s="50">
        <v>22</v>
      </c>
      <c r="K34" s="50">
        <v>20</v>
      </c>
      <c r="L34" s="50">
        <v>16</v>
      </c>
      <c r="M34" s="50">
        <v>0</v>
      </c>
      <c r="N34" s="50">
        <v>0</v>
      </c>
      <c r="O34" s="15">
        <f t="shared" si="0"/>
        <v>164</v>
      </c>
      <c r="P34" s="15">
        <f t="shared" si="1"/>
        <v>164</v>
      </c>
    </row>
    <row r="35" spans="2:20" ht="23.1" customHeight="1" x14ac:dyDescent="0.25">
      <c r="B35" s="24" t="s">
        <v>62</v>
      </c>
      <c r="C35" s="50">
        <v>26</v>
      </c>
      <c r="D35" s="50">
        <v>12</v>
      </c>
      <c r="E35" s="50">
        <v>3</v>
      </c>
      <c r="F35" s="50">
        <v>29</v>
      </c>
      <c r="G35" s="50">
        <v>1</v>
      </c>
      <c r="H35" s="50">
        <v>0</v>
      </c>
      <c r="I35" s="50">
        <v>16</v>
      </c>
      <c r="J35" s="50">
        <v>6</v>
      </c>
      <c r="K35" s="50">
        <v>5</v>
      </c>
      <c r="L35" s="50">
        <v>12</v>
      </c>
      <c r="M35" s="50">
        <v>2</v>
      </c>
      <c r="N35" s="50">
        <v>0</v>
      </c>
      <c r="O35" s="15">
        <f t="shared" si="0"/>
        <v>110</v>
      </c>
      <c r="P35" s="15">
        <f t="shared" si="1"/>
        <v>112</v>
      </c>
    </row>
    <row r="36" spans="2:20" ht="23.1" customHeight="1" x14ac:dyDescent="0.25">
      <c r="B36" s="24" t="s">
        <v>63</v>
      </c>
      <c r="C36" s="50">
        <v>18</v>
      </c>
      <c r="D36" s="50">
        <v>12</v>
      </c>
      <c r="E36" s="50">
        <v>15</v>
      </c>
      <c r="F36" s="50">
        <v>53</v>
      </c>
      <c r="G36" s="50">
        <v>0</v>
      </c>
      <c r="H36" s="50">
        <v>1</v>
      </c>
      <c r="I36" s="50">
        <v>7</v>
      </c>
      <c r="J36" s="50">
        <v>11</v>
      </c>
      <c r="K36" s="50">
        <v>6</v>
      </c>
      <c r="L36" s="50">
        <v>12</v>
      </c>
      <c r="M36" s="50">
        <v>16</v>
      </c>
      <c r="N36" s="50">
        <v>0</v>
      </c>
      <c r="O36" s="15">
        <f t="shared" si="0"/>
        <v>135</v>
      </c>
      <c r="P36" s="15">
        <f t="shared" si="1"/>
        <v>151</v>
      </c>
    </row>
    <row r="37" spans="2:20" ht="23.1" customHeight="1" x14ac:dyDescent="0.25">
      <c r="B37" s="23" t="s">
        <v>64</v>
      </c>
      <c r="C37" s="50">
        <v>23</v>
      </c>
      <c r="D37" s="50">
        <v>10</v>
      </c>
      <c r="E37" s="50">
        <v>1</v>
      </c>
      <c r="F37" s="50">
        <v>26</v>
      </c>
      <c r="G37" s="50">
        <v>3</v>
      </c>
      <c r="H37" s="50">
        <v>1</v>
      </c>
      <c r="I37" s="50">
        <v>7</v>
      </c>
      <c r="J37" s="50">
        <v>2</v>
      </c>
      <c r="K37" s="50">
        <v>4</v>
      </c>
      <c r="L37" s="50">
        <v>6</v>
      </c>
      <c r="M37" s="50">
        <v>28</v>
      </c>
      <c r="N37" s="50">
        <v>0</v>
      </c>
      <c r="O37" s="15">
        <f t="shared" si="0"/>
        <v>83</v>
      </c>
      <c r="P37" s="15">
        <f t="shared" si="1"/>
        <v>111</v>
      </c>
    </row>
    <row r="38" spans="2:20" ht="23.1" customHeight="1" x14ac:dyDescent="0.25">
      <c r="B38" s="24" t="s">
        <v>65</v>
      </c>
      <c r="C38" s="50">
        <v>33</v>
      </c>
      <c r="D38" s="50">
        <v>11</v>
      </c>
      <c r="E38" s="50">
        <v>6</v>
      </c>
      <c r="F38" s="50">
        <v>56</v>
      </c>
      <c r="G38" s="50">
        <v>2</v>
      </c>
      <c r="H38" s="50">
        <v>0</v>
      </c>
      <c r="I38" s="50">
        <v>6</v>
      </c>
      <c r="J38" s="50">
        <v>2</v>
      </c>
      <c r="K38" s="50">
        <v>9</v>
      </c>
      <c r="L38" s="50">
        <v>13</v>
      </c>
      <c r="M38" s="50">
        <v>108</v>
      </c>
      <c r="N38" s="50">
        <v>0</v>
      </c>
      <c r="O38" s="15">
        <f t="shared" si="0"/>
        <v>138</v>
      </c>
      <c r="P38" s="15">
        <f t="shared" si="1"/>
        <v>246</v>
      </c>
    </row>
    <row r="39" spans="2:20" ht="23.1" customHeight="1" x14ac:dyDescent="0.25">
      <c r="B39" s="24" t="s">
        <v>66</v>
      </c>
      <c r="C39" s="50">
        <v>46</v>
      </c>
      <c r="D39" s="50">
        <v>19</v>
      </c>
      <c r="E39" s="50">
        <v>21</v>
      </c>
      <c r="F39" s="50">
        <v>52</v>
      </c>
      <c r="G39" s="50">
        <v>0</v>
      </c>
      <c r="H39" s="50">
        <v>16</v>
      </c>
      <c r="I39" s="50">
        <v>13</v>
      </c>
      <c r="J39" s="50">
        <v>6</v>
      </c>
      <c r="K39" s="50">
        <v>15</v>
      </c>
      <c r="L39" s="50">
        <v>9</v>
      </c>
      <c r="M39" s="50">
        <v>83</v>
      </c>
      <c r="N39" s="50">
        <v>0</v>
      </c>
      <c r="O39" s="15">
        <f t="shared" si="0"/>
        <v>197</v>
      </c>
      <c r="P39" s="15">
        <f t="shared" si="1"/>
        <v>280</v>
      </c>
    </row>
    <row r="40" spans="2:20" ht="23.1" customHeight="1" x14ac:dyDescent="0.25">
      <c r="B40" s="24" t="s">
        <v>67</v>
      </c>
      <c r="C40" s="50">
        <v>18</v>
      </c>
      <c r="D40" s="50">
        <v>10</v>
      </c>
      <c r="E40" s="50">
        <v>9</v>
      </c>
      <c r="F40" s="50">
        <v>34</v>
      </c>
      <c r="G40" s="50">
        <v>2</v>
      </c>
      <c r="H40" s="50">
        <v>0</v>
      </c>
      <c r="I40" s="50">
        <v>5</v>
      </c>
      <c r="J40" s="50">
        <v>7</v>
      </c>
      <c r="K40" s="50">
        <v>1</v>
      </c>
      <c r="L40" s="50">
        <v>9</v>
      </c>
      <c r="M40" s="50">
        <v>74</v>
      </c>
      <c r="N40" s="50">
        <v>0</v>
      </c>
      <c r="O40" s="15">
        <f t="shared" si="0"/>
        <v>95</v>
      </c>
      <c r="P40" s="15">
        <f t="shared" si="1"/>
        <v>169</v>
      </c>
    </row>
    <row r="41" spans="2:20" ht="23.1" customHeight="1" x14ac:dyDescent="0.25">
      <c r="B41" s="23" t="s">
        <v>68</v>
      </c>
      <c r="C41" s="50">
        <v>22</v>
      </c>
      <c r="D41" s="50">
        <v>6</v>
      </c>
      <c r="E41" s="50">
        <v>11</v>
      </c>
      <c r="F41" s="50">
        <v>28</v>
      </c>
      <c r="G41" s="50">
        <v>1</v>
      </c>
      <c r="H41" s="50">
        <v>0</v>
      </c>
      <c r="I41" s="50">
        <v>8</v>
      </c>
      <c r="J41" s="50">
        <v>13</v>
      </c>
      <c r="K41" s="50">
        <v>2</v>
      </c>
      <c r="L41" s="50">
        <v>8</v>
      </c>
      <c r="M41" s="50">
        <v>96</v>
      </c>
      <c r="N41" s="50">
        <v>0</v>
      </c>
      <c r="O41" s="15">
        <f t="shared" si="0"/>
        <v>99</v>
      </c>
      <c r="P41" s="15">
        <f t="shared" si="1"/>
        <v>195</v>
      </c>
    </row>
    <row r="42" spans="2:20" ht="23.1" customHeight="1" x14ac:dyDescent="0.25">
      <c r="B42" s="24" t="s">
        <v>69</v>
      </c>
      <c r="C42" s="50">
        <v>11</v>
      </c>
      <c r="D42" s="50">
        <v>25</v>
      </c>
      <c r="E42" s="50">
        <v>3</v>
      </c>
      <c r="F42" s="50">
        <v>43</v>
      </c>
      <c r="G42" s="50">
        <v>2</v>
      </c>
      <c r="H42" s="50">
        <v>1</v>
      </c>
      <c r="I42" s="50">
        <v>6</v>
      </c>
      <c r="J42" s="50">
        <v>0</v>
      </c>
      <c r="K42" s="50">
        <v>1</v>
      </c>
      <c r="L42" s="50">
        <v>10</v>
      </c>
      <c r="M42" s="50">
        <v>134</v>
      </c>
      <c r="N42" s="50">
        <v>0</v>
      </c>
      <c r="O42" s="15">
        <f t="shared" si="0"/>
        <v>102</v>
      </c>
      <c r="P42" s="15">
        <f t="shared" si="1"/>
        <v>236</v>
      </c>
    </row>
    <row r="43" spans="2:20" ht="23.1" customHeight="1" x14ac:dyDescent="0.25">
      <c r="B43" s="23" t="s">
        <v>70</v>
      </c>
      <c r="C43" s="50">
        <v>12</v>
      </c>
      <c r="D43" s="50">
        <v>10</v>
      </c>
      <c r="E43" s="50">
        <v>3</v>
      </c>
      <c r="F43" s="50">
        <v>14</v>
      </c>
      <c r="G43" s="50">
        <v>0</v>
      </c>
      <c r="H43" s="50">
        <v>0</v>
      </c>
      <c r="I43" s="50">
        <v>3</v>
      </c>
      <c r="J43" s="50">
        <v>3</v>
      </c>
      <c r="K43" s="50">
        <v>6</v>
      </c>
      <c r="L43" s="50">
        <v>16</v>
      </c>
      <c r="M43" s="50">
        <v>54</v>
      </c>
      <c r="N43" s="50">
        <v>0</v>
      </c>
      <c r="O43" s="15">
        <f t="shared" si="0"/>
        <v>67</v>
      </c>
      <c r="P43" s="15">
        <f t="shared" si="1"/>
        <v>121</v>
      </c>
    </row>
    <row r="44" spans="2:20" ht="23.1" customHeight="1" x14ac:dyDescent="0.25">
      <c r="B44" s="25" t="s">
        <v>71</v>
      </c>
      <c r="C44" s="50">
        <v>12</v>
      </c>
      <c r="D44" s="50">
        <v>6</v>
      </c>
      <c r="E44" s="50">
        <v>1</v>
      </c>
      <c r="F44" s="50">
        <v>8</v>
      </c>
      <c r="G44" s="50">
        <v>3</v>
      </c>
      <c r="H44" s="50">
        <v>0</v>
      </c>
      <c r="I44" s="50">
        <v>9</v>
      </c>
      <c r="J44" s="50">
        <v>3</v>
      </c>
      <c r="K44" s="50">
        <v>1</v>
      </c>
      <c r="L44" s="50">
        <v>56</v>
      </c>
      <c r="M44" s="50">
        <v>132</v>
      </c>
      <c r="N44" s="50">
        <v>0</v>
      </c>
      <c r="O44" s="15">
        <f t="shared" si="0"/>
        <v>99</v>
      </c>
      <c r="P44" s="15">
        <f t="shared" si="1"/>
        <v>231</v>
      </c>
    </row>
    <row r="45" spans="2:20" ht="23.1" customHeight="1" x14ac:dyDescent="0.25">
      <c r="B45" s="23" t="s">
        <v>72</v>
      </c>
      <c r="C45" s="50">
        <v>44</v>
      </c>
      <c r="D45" s="50">
        <v>26</v>
      </c>
      <c r="E45" s="50">
        <v>7</v>
      </c>
      <c r="F45" s="50">
        <v>58</v>
      </c>
      <c r="G45" s="50">
        <v>1</v>
      </c>
      <c r="H45" s="50">
        <v>0</v>
      </c>
      <c r="I45" s="50">
        <v>0</v>
      </c>
      <c r="J45" s="50">
        <v>0</v>
      </c>
      <c r="K45" s="50">
        <v>0</v>
      </c>
      <c r="L45" s="50">
        <v>31</v>
      </c>
      <c r="M45" s="50">
        <v>78</v>
      </c>
      <c r="N45" s="50">
        <v>0</v>
      </c>
      <c r="O45" s="15">
        <f t="shared" si="0"/>
        <v>167</v>
      </c>
      <c r="P45" s="15">
        <f t="shared" si="1"/>
        <v>245</v>
      </c>
    </row>
    <row r="46" spans="2:20" ht="23.1" customHeight="1" x14ac:dyDescent="0.25">
      <c r="B46" s="24" t="s">
        <v>73</v>
      </c>
      <c r="C46" s="50">
        <v>24</v>
      </c>
      <c r="D46" s="50">
        <v>3</v>
      </c>
      <c r="E46" s="50">
        <v>11</v>
      </c>
      <c r="F46" s="50">
        <v>46</v>
      </c>
      <c r="G46" s="50">
        <v>1</v>
      </c>
      <c r="H46" s="50">
        <v>0</v>
      </c>
      <c r="I46" s="50">
        <v>1</v>
      </c>
      <c r="J46" s="50">
        <v>2</v>
      </c>
      <c r="K46" s="50">
        <v>3</v>
      </c>
      <c r="L46" s="50">
        <v>16</v>
      </c>
      <c r="M46" s="50">
        <v>78</v>
      </c>
      <c r="N46" s="50">
        <v>0</v>
      </c>
      <c r="O46" s="15">
        <f t="shared" si="0"/>
        <v>107</v>
      </c>
      <c r="P46" s="15">
        <f t="shared" si="1"/>
        <v>185</v>
      </c>
      <c r="R46" s="8"/>
      <c r="T46"/>
    </row>
    <row r="47" spans="2:20" ht="23.1" customHeight="1" x14ac:dyDescent="0.25">
      <c r="B47" s="24" t="s">
        <v>74</v>
      </c>
      <c r="C47" s="50">
        <v>46</v>
      </c>
      <c r="D47" s="50">
        <v>24</v>
      </c>
      <c r="E47" s="50">
        <v>23</v>
      </c>
      <c r="F47" s="50">
        <v>66</v>
      </c>
      <c r="G47" s="50">
        <v>3</v>
      </c>
      <c r="H47" s="50">
        <v>1</v>
      </c>
      <c r="I47" s="50">
        <v>3</v>
      </c>
      <c r="J47" s="50">
        <v>4</v>
      </c>
      <c r="K47" s="50">
        <v>7</v>
      </c>
      <c r="L47" s="50">
        <v>13</v>
      </c>
      <c r="M47" s="50">
        <v>132</v>
      </c>
      <c r="N47" s="50">
        <v>0</v>
      </c>
      <c r="O47" s="15">
        <f t="shared" si="0"/>
        <v>190</v>
      </c>
      <c r="P47" s="15">
        <f t="shared" si="1"/>
        <v>322</v>
      </c>
      <c r="R47" s="8"/>
      <c r="T47"/>
    </row>
    <row r="48" spans="2:20" ht="23.1" customHeight="1" x14ac:dyDescent="0.25">
      <c r="B48" s="24" t="s">
        <v>75</v>
      </c>
      <c r="C48" s="50">
        <v>12</v>
      </c>
      <c r="D48" s="50">
        <v>17</v>
      </c>
      <c r="E48" s="50">
        <v>6</v>
      </c>
      <c r="F48" s="50">
        <v>23</v>
      </c>
      <c r="G48" s="50">
        <v>1</v>
      </c>
      <c r="H48" s="50">
        <v>0</v>
      </c>
      <c r="I48" s="50">
        <v>1</v>
      </c>
      <c r="J48" s="50">
        <v>1</v>
      </c>
      <c r="K48" s="50">
        <v>2</v>
      </c>
      <c r="L48" s="50">
        <v>10</v>
      </c>
      <c r="M48" s="50">
        <v>91</v>
      </c>
      <c r="N48" s="50">
        <v>0</v>
      </c>
      <c r="O48" s="15">
        <f t="shared" si="0"/>
        <v>73</v>
      </c>
      <c r="P48" s="15">
        <f t="shared" si="1"/>
        <v>164</v>
      </c>
      <c r="R48" s="8"/>
      <c r="T48"/>
    </row>
    <row r="49" spans="2:20" ht="23.1" customHeight="1" x14ac:dyDescent="0.25">
      <c r="B49" s="23" t="s">
        <v>76</v>
      </c>
      <c r="C49" s="50">
        <v>24</v>
      </c>
      <c r="D49" s="50">
        <v>21</v>
      </c>
      <c r="E49" s="50">
        <v>26</v>
      </c>
      <c r="F49" s="50">
        <v>11</v>
      </c>
      <c r="G49" s="50">
        <v>9</v>
      </c>
      <c r="H49" s="50">
        <v>8</v>
      </c>
      <c r="I49" s="50">
        <v>2</v>
      </c>
      <c r="J49" s="50">
        <v>4</v>
      </c>
      <c r="K49" s="50">
        <v>4</v>
      </c>
      <c r="L49" s="50">
        <v>17</v>
      </c>
      <c r="M49" s="50">
        <v>109</v>
      </c>
      <c r="N49" s="50">
        <v>0</v>
      </c>
      <c r="O49" s="15">
        <f t="shared" si="0"/>
        <v>126</v>
      </c>
      <c r="P49" s="15">
        <f t="shared" si="1"/>
        <v>235</v>
      </c>
      <c r="R49" s="8"/>
      <c r="T49"/>
    </row>
    <row r="50" spans="2:20" ht="23.1" customHeight="1" x14ac:dyDescent="0.25">
      <c r="B50" s="24" t="s">
        <v>77</v>
      </c>
      <c r="C50" s="50">
        <v>15</v>
      </c>
      <c r="D50" s="50">
        <v>9</v>
      </c>
      <c r="E50" s="50">
        <v>6</v>
      </c>
      <c r="F50" s="50">
        <v>14</v>
      </c>
      <c r="G50" s="50">
        <v>2</v>
      </c>
      <c r="H50" s="50">
        <v>1</v>
      </c>
      <c r="I50" s="50">
        <v>2</v>
      </c>
      <c r="J50" s="50">
        <v>4</v>
      </c>
      <c r="K50" s="50">
        <v>1</v>
      </c>
      <c r="L50" s="50">
        <v>9</v>
      </c>
      <c r="M50" s="50">
        <v>153</v>
      </c>
      <c r="N50" s="50">
        <v>0</v>
      </c>
      <c r="O50" s="15">
        <f t="shared" si="0"/>
        <v>63</v>
      </c>
      <c r="P50" s="15">
        <f t="shared" si="1"/>
        <v>216</v>
      </c>
      <c r="R50" s="8"/>
      <c r="T50"/>
    </row>
    <row r="51" spans="2:20" ht="23.1" customHeight="1" x14ac:dyDescent="0.25">
      <c r="B51" s="24" t="s">
        <v>78</v>
      </c>
      <c r="C51" s="50">
        <v>24</v>
      </c>
      <c r="D51" s="50">
        <v>16</v>
      </c>
      <c r="E51" s="50">
        <v>11</v>
      </c>
      <c r="F51" s="50">
        <v>38</v>
      </c>
      <c r="G51" s="50">
        <v>8</v>
      </c>
      <c r="H51" s="50">
        <v>0</v>
      </c>
      <c r="I51" s="50">
        <v>7</v>
      </c>
      <c r="J51" s="50">
        <v>6</v>
      </c>
      <c r="K51" s="50">
        <v>3</v>
      </c>
      <c r="L51" s="50">
        <v>9</v>
      </c>
      <c r="M51" s="50">
        <v>138</v>
      </c>
      <c r="N51" s="50">
        <v>0</v>
      </c>
      <c r="O51" s="15">
        <f t="shared" si="0"/>
        <v>122</v>
      </c>
      <c r="P51" s="15">
        <f t="shared" si="1"/>
        <v>260</v>
      </c>
      <c r="R51" s="8"/>
      <c r="T51"/>
    </row>
    <row r="52" spans="2:20" ht="23.1" customHeight="1" x14ac:dyDescent="0.25">
      <c r="B52" s="24" t="s">
        <v>79</v>
      </c>
      <c r="C52" s="50">
        <v>16</v>
      </c>
      <c r="D52" s="50">
        <v>7</v>
      </c>
      <c r="E52" s="50">
        <v>4</v>
      </c>
      <c r="F52" s="50">
        <v>54</v>
      </c>
      <c r="G52" s="50">
        <v>1</v>
      </c>
      <c r="H52" s="50">
        <v>0</v>
      </c>
      <c r="I52" s="50">
        <v>1</v>
      </c>
      <c r="J52" s="50">
        <v>2</v>
      </c>
      <c r="K52" s="50">
        <v>5</v>
      </c>
      <c r="L52" s="50">
        <v>34</v>
      </c>
      <c r="M52" s="50">
        <v>118</v>
      </c>
      <c r="N52" s="50">
        <v>0</v>
      </c>
      <c r="O52" s="15">
        <f t="shared" si="0"/>
        <v>124</v>
      </c>
      <c r="P52" s="15">
        <f t="shared" si="1"/>
        <v>242</v>
      </c>
      <c r="R52" s="8"/>
      <c r="T52"/>
    </row>
    <row r="53" spans="2:20" ht="23.1" customHeight="1" x14ac:dyDescent="0.25">
      <c r="B53" s="23" t="s">
        <v>80</v>
      </c>
      <c r="C53" s="50">
        <v>31</v>
      </c>
      <c r="D53" s="50">
        <v>12</v>
      </c>
      <c r="E53" s="50">
        <v>11</v>
      </c>
      <c r="F53" s="50">
        <v>49</v>
      </c>
      <c r="G53" s="50">
        <v>2</v>
      </c>
      <c r="H53" s="50">
        <v>1</v>
      </c>
      <c r="I53" s="50">
        <v>3</v>
      </c>
      <c r="J53" s="50">
        <v>7</v>
      </c>
      <c r="K53" s="50">
        <v>8</v>
      </c>
      <c r="L53" s="50">
        <v>19</v>
      </c>
      <c r="M53" s="50">
        <v>145</v>
      </c>
      <c r="N53" s="50">
        <v>0</v>
      </c>
      <c r="O53" s="15">
        <f t="shared" si="0"/>
        <v>143</v>
      </c>
      <c r="P53" s="15">
        <f t="shared" si="1"/>
        <v>288</v>
      </c>
      <c r="R53" s="8"/>
      <c r="T53"/>
    </row>
    <row r="54" spans="2:20" ht="23.1" customHeight="1" x14ac:dyDescent="0.25">
      <c r="B54" s="23" t="s">
        <v>81</v>
      </c>
      <c r="C54" s="50">
        <v>11</v>
      </c>
      <c r="D54" s="50">
        <v>8</v>
      </c>
      <c r="E54" s="50">
        <v>7</v>
      </c>
      <c r="F54" s="50">
        <v>36</v>
      </c>
      <c r="G54" s="50">
        <v>3</v>
      </c>
      <c r="H54" s="50">
        <v>0</v>
      </c>
      <c r="I54" s="50">
        <v>3</v>
      </c>
      <c r="J54" s="50">
        <v>6</v>
      </c>
      <c r="K54" s="50">
        <v>4</v>
      </c>
      <c r="L54" s="50">
        <v>17</v>
      </c>
      <c r="M54" s="50">
        <v>123</v>
      </c>
      <c r="N54" s="50">
        <v>0</v>
      </c>
      <c r="O54" s="15">
        <f t="shared" si="0"/>
        <v>95</v>
      </c>
      <c r="P54" s="15">
        <f t="shared" si="1"/>
        <v>218</v>
      </c>
      <c r="R54" s="8"/>
      <c r="T54"/>
    </row>
    <row r="55" spans="2:20" ht="23.1" customHeight="1" x14ac:dyDescent="0.25">
      <c r="B55" s="23" t="s">
        <v>82</v>
      </c>
      <c r="C55" s="50">
        <v>13</v>
      </c>
      <c r="D55" s="50">
        <v>11</v>
      </c>
      <c r="E55" s="50">
        <v>7</v>
      </c>
      <c r="F55" s="50">
        <v>33</v>
      </c>
      <c r="G55" s="50">
        <v>1</v>
      </c>
      <c r="H55" s="50">
        <v>0</v>
      </c>
      <c r="I55" s="50">
        <v>6</v>
      </c>
      <c r="J55" s="50">
        <v>4</v>
      </c>
      <c r="K55" s="50">
        <v>7</v>
      </c>
      <c r="L55" s="50">
        <v>13</v>
      </c>
      <c r="M55" s="50">
        <v>115</v>
      </c>
      <c r="N55" s="50">
        <v>0</v>
      </c>
      <c r="O55" s="15">
        <f t="shared" si="0"/>
        <v>95</v>
      </c>
      <c r="P55" s="15">
        <f t="shared" si="1"/>
        <v>210</v>
      </c>
      <c r="R55" s="8"/>
      <c r="T55"/>
    </row>
    <row r="56" spans="2:20" ht="23.1" customHeight="1" x14ac:dyDescent="0.25">
      <c r="B56" s="23" t="s">
        <v>83</v>
      </c>
      <c r="C56" s="50">
        <v>42</v>
      </c>
      <c r="D56" s="50">
        <v>0</v>
      </c>
      <c r="E56" s="50">
        <v>0</v>
      </c>
      <c r="F56" s="50">
        <v>53</v>
      </c>
      <c r="G56" s="50">
        <v>3</v>
      </c>
      <c r="H56" s="50">
        <v>0</v>
      </c>
      <c r="I56" s="50">
        <v>2</v>
      </c>
      <c r="J56" s="50">
        <v>7</v>
      </c>
      <c r="K56" s="50">
        <v>6</v>
      </c>
      <c r="L56" s="50">
        <v>12</v>
      </c>
      <c r="M56" s="50">
        <v>156</v>
      </c>
      <c r="N56" s="50">
        <v>0</v>
      </c>
      <c r="O56" s="15">
        <f t="shared" si="0"/>
        <v>125</v>
      </c>
      <c r="P56" s="15">
        <f t="shared" si="1"/>
        <v>281</v>
      </c>
      <c r="R56" s="8"/>
      <c r="T56"/>
    </row>
    <row r="57" spans="2:20" ht="23.1" customHeight="1" x14ac:dyDescent="0.25">
      <c r="B57" s="23" t="s">
        <v>84</v>
      </c>
      <c r="C57" s="50">
        <v>0</v>
      </c>
      <c r="D57" s="50">
        <v>0</v>
      </c>
      <c r="E57" s="50">
        <v>0</v>
      </c>
      <c r="F57" s="50">
        <v>0</v>
      </c>
      <c r="G57" s="50">
        <v>0</v>
      </c>
      <c r="H57" s="50">
        <v>0</v>
      </c>
      <c r="I57" s="50">
        <v>0</v>
      </c>
      <c r="J57" s="50">
        <v>0</v>
      </c>
      <c r="K57" s="50">
        <v>0</v>
      </c>
      <c r="L57" s="50">
        <v>0</v>
      </c>
      <c r="M57" s="50">
        <v>0</v>
      </c>
      <c r="N57" s="50">
        <v>0</v>
      </c>
      <c r="O57" s="15">
        <f t="shared" si="0"/>
        <v>0</v>
      </c>
      <c r="P57" s="15">
        <f t="shared" si="1"/>
        <v>0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1048</v>
      </c>
      <c r="D58" s="16">
        <f t="shared" si="21"/>
        <v>505</v>
      </c>
      <c r="E58" s="16">
        <f t="shared" si="21"/>
        <v>342</v>
      </c>
      <c r="F58" s="16">
        <f t="shared" si="21"/>
        <v>1711</v>
      </c>
      <c r="G58" s="16">
        <f t="shared" si="21"/>
        <v>100</v>
      </c>
      <c r="H58" s="16">
        <f t="shared" si="21"/>
        <v>43</v>
      </c>
      <c r="I58" s="16">
        <f t="shared" si="21"/>
        <v>235</v>
      </c>
      <c r="J58" s="16">
        <f t="shared" si="21"/>
        <v>233</v>
      </c>
      <c r="K58" s="16">
        <f t="shared" si="21"/>
        <v>228</v>
      </c>
      <c r="L58" s="16">
        <f t="shared" si="21"/>
        <v>754</v>
      </c>
      <c r="M58" s="16">
        <f t="shared" si="21"/>
        <v>5431</v>
      </c>
      <c r="N58" s="16">
        <f t="shared" si="21"/>
        <v>0</v>
      </c>
      <c r="O58" s="16">
        <f t="shared" si="21"/>
        <v>5199</v>
      </c>
      <c r="P58" s="16">
        <f t="shared" si="21"/>
        <v>10630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9.8588899341486361E-2</v>
      </c>
      <c r="D59" s="43">
        <f t="shared" si="22"/>
        <v>4.7507055503292567E-2</v>
      </c>
      <c r="E59" s="43">
        <f t="shared" si="22"/>
        <v>3.217309501411101E-2</v>
      </c>
      <c r="F59" s="43">
        <f t="shared" si="22"/>
        <v>0.16095954844778929</v>
      </c>
      <c r="G59" s="43">
        <f t="shared" si="22"/>
        <v>9.4073377234242701E-3</v>
      </c>
      <c r="H59" s="43">
        <f t="shared" si="22"/>
        <v>4.0451552210724363E-3</v>
      </c>
      <c r="I59" s="43">
        <f t="shared" si="22"/>
        <v>2.2107243650047036E-2</v>
      </c>
      <c r="J59" s="43">
        <f t="shared" si="22"/>
        <v>2.1919096895578551E-2</v>
      </c>
      <c r="K59" s="43">
        <f t="shared" si="22"/>
        <v>2.1448730009407339E-2</v>
      </c>
      <c r="L59" s="43">
        <f t="shared" si="22"/>
        <v>7.0931326434618996E-2</v>
      </c>
      <c r="M59" s="43">
        <f t="shared" si="22"/>
        <v>0.51091251175917218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0.20157722638969033</v>
      </c>
      <c r="D60" s="44">
        <f t="shared" ref="D60:N60" si="23">D58/$O$58</f>
        <v>9.713406424312368E-2</v>
      </c>
      <c r="E60" s="44">
        <f t="shared" si="23"/>
        <v>6.5781881130986722E-2</v>
      </c>
      <c r="F60" s="44">
        <f t="shared" si="23"/>
        <v>0.32910175033660322</v>
      </c>
      <c r="G60" s="44">
        <f t="shared" si="23"/>
        <v>1.9234468166955183E-2</v>
      </c>
      <c r="H60" s="44">
        <f t="shared" si="23"/>
        <v>8.2708213117907298E-3</v>
      </c>
      <c r="I60" s="44">
        <f t="shared" si="23"/>
        <v>4.520100019234468E-2</v>
      </c>
      <c r="J60" s="44">
        <f t="shared" si="23"/>
        <v>4.4816310829005578E-2</v>
      </c>
      <c r="K60" s="44">
        <f t="shared" si="23"/>
        <v>4.3854587420657822E-2</v>
      </c>
      <c r="L60" s="44">
        <f t="shared" si="23"/>
        <v>0.14502788997884208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2" tint="-0.249977111117893"/>
  </sheetPr>
  <dimension ref="B1:AF174"/>
  <sheetViews>
    <sheetView view="pageBreakPreview" topLeftCell="A46" zoomScale="60" workbookViewId="0">
      <selection activeCell="M105" sqref="M10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2" t="s">
        <v>23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  <c r="AE1" s="62"/>
    </row>
    <row r="2" spans="2:32" ht="20.100000000000001" customHeight="1" x14ac:dyDescent="0.25">
      <c r="B2" s="63" t="s">
        <v>95</v>
      </c>
      <c r="C2" s="63"/>
      <c r="D2" s="63"/>
      <c r="E2" s="63"/>
      <c r="F2" s="63"/>
      <c r="G2" s="63"/>
      <c r="H2" s="63"/>
      <c r="I2" s="63"/>
      <c r="J2" s="63"/>
      <c r="K2" s="63"/>
      <c r="L2" s="63"/>
      <c r="M2" s="63"/>
      <c r="N2" s="63"/>
      <c r="O2" s="63"/>
      <c r="P2" s="63"/>
      <c r="Q2" s="63"/>
      <c r="R2" s="63"/>
      <c r="S2" s="63"/>
      <c r="T2" s="63"/>
      <c r="U2" s="63"/>
      <c r="V2" s="63"/>
      <c r="W2" s="63"/>
      <c r="X2" s="63"/>
      <c r="Y2" s="63"/>
      <c r="Z2" s="63"/>
      <c r="AA2" s="63"/>
      <c r="AB2" s="63"/>
      <c r="AC2" s="63"/>
      <c r="AD2" s="63"/>
      <c r="AE2" s="63"/>
    </row>
    <row r="3" spans="2:32" ht="20.100000000000001" customHeight="1" x14ac:dyDescent="0.25">
      <c r="B3" s="22" t="s">
        <v>96</v>
      </c>
      <c r="C3" s="67" t="str">
        <f>'23.09 Seeta-Mukono'!C3:G3</f>
        <v>MCC - C2 - STN074 - SONDE  ROAD</v>
      </c>
      <c r="D3" s="67"/>
      <c r="E3" s="67"/>
      <c r="F3" s="67"/>
      <c r="G3" s="67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180</v>
      </c>
      <c r="E5" s="3"/>
      <c r="F5" s="41" t="s">
        <v>1</v>
      </c>
      <c r="G5" s="68" t="str">
        <f>'26.09 Mukono-Seeta-24h'!G5:H5</f>
        <v>STATION 74</v>
      </c>
      <c r="H5" s="69"/>
      <c r="I5" s="14"/>
      <c r="J5" s="2" t="s">
        <v>5</v>
      </c>
      <c r="K5" s="68" t="s">
        <v>181</v>
      </c>
      <c r="L5" s="69"/>
      <c r="M5" s="10"/>
      <c r="N5" s="10"/>
      <c r="O5" s="3"/>
      <c r="P5" s="3"/>
    </row>
    <row r="6" spans="2:32" ht="23.25" customHeight="1" x14ac:dyDescent="0.25">
      <c r="C6" s="2" t="s">
        <v>4</v>
      </c>
      <c r="D6" s="68" t="str">
        <f>'23.09 Seeta-Mukono'!D6:E6</f>
        <v>Seeta</v>
      </c>
      <c r="E6" s="69"/>
      <c r="F6" s="2" t="s">
        <v>2</v>
      </c>
      <c r="G6" s="68" t="str">
        <f>'23.09 Seeta-Mukono'!G6:H6</f>
        <v>Mukono</v>
      </c>
      <c r="H6" s="69"/>
      <c r="J6" s="2" t="s">
        <v>21</v>
      </c>
      <c r="K6" s="68" t="str">
        <f>'26.09 Mukono-Seeta-24h'!K6:L6</f>
        <v>Tracy</v>
      </c>
      <c r="L6" s="69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1" t="s">
        <v>88</v>
      </c>
      <c r="S8" s="61"/>
      <c r="T8" s="61"/>
      <c r="U8" s="61"/>
      <c r="V8" s="61"/>
      <c r="W8" s="61"/>
      <c r="X8" s="61"/>
      <c r="Y8" s="61"/>
      <c r="Z8" s="61"/>
      <c r="AA8" s="61"/>
      <c r="AB8" s="61"/>
      <c r="AC8" s="61"/>
      <c r="AD8" s="61"/>
      <c r="AE8" s="61"/>
      <c r="AF8" s="61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24</v>
      </c>
      <c r="D10" s="50">
        <v>8</v>
      </c>
      <c r="E10" s="50">
        <v>7</v>
      </c>
      <c r="F10" s="50">
        <v>15</v>
      </c>
      <c r="G10" s="50">
        <v>1</v>
      </c>
      <c r="H10" s="50">
        <v>1</v>
      </c>
      <c r="I10" s="50">
        <v>2</v>
      </c>
      <c r="J10" s="50">
        <v>1</v>
      </c>
      <c r="K10" s="50">
        <v>0</v>
      </c>
      <c r="L10" s="50">
        <v>3</v>
      </c>
      <c r="M10" s="50">
        <v>33</v>
      </c>
      <c r="N10" s="50">
        <v>0</v>
      </c>
      <c r="O10" s="15">
        <f t="shared" ref="O10:O73" si="0">SUM(C10:L10,N10)</f>
        <v>62</v>
      </c>
      <c r="P10" s="15">
        <f t="shared" ref="P10:P73" si="1">SUM(C10:N10)</f>
        <v>95</v>
      </c>
      <c r="R10" s="1" t="s">
        <v>6</v>
      </c>
      <c r="S10" s="17">
        <f t="shared" ref="S10:AF10" si="2">SUM(C10:C13)</f>
        <v>212</v>
      </c>
      <c r="T10" s="17">
        <f t="shared" si="2"/>
        <v>39</v>
      </c>
      <c r="U10" s="17">
        <f t="shared" si="2"/>
        <v>38</v>
      </c>
      <c r="V10" s="17">
        <f t="shared" si="2"/>
        <v>156</v>
      </c>
      <c r="W10" s="17">
        <f t="shared" si="2"/>
        <v>10</v>
      </c>
      <c r="X10" s="17">
        <f t="shared" si="2"/>
        <v>3</v>
      </c>
      <c r="Y10" s="17">
        <f t="shared" si="2"/>
        <v>29</v>
      </c>
      <c r="Z10" s="17">
        <f t="shared" si="2"/>
        <v>8</v>
      </c>
      <c r="AA10" s="17">
        <f t="shared" si="2"/>
        <v>8</v>
      </c>
      <c r="AB10" s="17">
        <f t="shared" si="2"/>
        <v>20</v>
      </c>
      <c r="AC10" s="17">
        <f t="shared" si="2"/>
        <v>224</v>
      </c>
      <c r="AD10" s="17">
        <f t="shared" si="2"/>
        <v>0</v>
      </c>
      <c r="AE10" s="31">
        <f t="shared" si="2"/>
        <v>523</v>
      </c>
      <c r="AF10" s="31">
        <f t="shared" si="2"/>
        <v>747</v>
      </c>
    </row>
    <row r="11" spans="2:32" s="6" customFormat="1" ht="23.1" customHeight="1" x14ac:dyDescent="0.25">
      <c r="B11" s="45" t="s">
        <v>38</v>
      </c>
      <c r="C11" s="50">
        <v>37</v>
      </c>
      <c r="D11" s="50">
        <v>6</v>
      </c>
      <c r="E11" s="50">
        <v>4</v>
      </c>
      <c r="F11" s="50">
        <v>26</v>
      </c>
      <c r="G11" s="50">
        <v>2</v>
      </c>
      <c r="H11" s="50">
        <v>1</v>
      </c>
      <c r="I11" s="50">
        <v>6</v>
      </c>
      <c r="J11" s="50">
        <v>1</v>
      </c>
      <c r="K11" s="50">
        <v>2</v>
      </c>
      <c r="L11" s="50">
        <v>5</v>
      </c>
      <c r="M11" s="50">
        <v>38</v>
      </c>
      <c r="N11" s="50">
        <v>0</v>
      </c>
      <c r="O11" s="15">
        <f t="shared" si="0"/>
        <v>90</v>
      </c>
      <c r="P11" s="15">
        <f t="shared" si="1"/>
        <v>128</v>
      </c>
      <c r="R11" s="1" t="s">
        <v>7</v>
      </c>
      <c r="S11" s="17">
        <f t="shared" ref="S11:AF11" si="3">SUM(C14:C17)</f>
        <v>308</v>
      </c>
      <c r="T11" s="17">
        <f t="shared" si="3"/>
        <v>36</v>
      </c>
      <c r="U11" s="17">
        <f t="shared" si="3"/>
        <v>48</v>
      </c>
      <c r="V11" s="17">
        <f t="shared" si="3"/>
        <v>194</v>
      </c>
      <c r="W11" s="17">
        <f t="shared" si="3"/>
        <v>10</v>
      </c>
      <c r="X11" s="17">
        <f t="shared" si="3"/>
        <v>2</v>
      </c>
      <c r="Y11" s="17">
        <f t="shared" si="3"/>
        <v>55</v>
      </c>
      <c r="Z11" s="17">
        <f t="shared" si="3"/>
        <v>18</v>
      </c>
      <c r="AA11" s="17">
        <f t="shared" si="3"/>
        <v>10</v>
      </c>
      <c r="AB11" s="17">
        <f t="shared" si="3"/>
        <v>16</v>
      </c>
      <c r="AC11" s="17">
        <f t="shared" si="3"/>
        <v>424</v>
      </c>
      <c r="AD11" s="17">
        <f t="shared" si="3"/>
        <v>0</v>
      </c>
      <c r="AE11" s="31">
        <f t="shared" si="3"/>
        <v>697</v>
      </c>
      <c r="AF11" s="31">
        <f t="shared" si="3"/>
        <v>1121</v>
      </c>
    </row>
    <row r="12" spans="2:32" ht="23.1" customHeight="1" x14ac:dyDescent="0.25">
      <c r="B12" s="45" t="s">
        <v>39</v>
      </c>
      <c r="C12" s="50">
        <v>82</v>
      </c>
      <c r="D12" s="50">
        <v>11</v>
      </c>
      <c r="E12" s="50">
        <v>10</v>
      </c>
      <c r="F12" s="50">
        <v>65</v>
      </c>
      <c r="G12" s="50">
        <v>4</v>
      </c>
      <c r="H12" s="50">
        <v>1</v>
      </c>
      <c r="I12" s="50">
        <v>16</v>
      </c>
      <c r="J12" s="50">
        <v>4</v>
      </c>
      <c r="K12" s="50">
        <v>3</v>
      </c>
      <c r="L12" s="50">
        <v>9</v>
      </c>
      <c r="M12" s="50">
        <v>81</v>
      </c>
      <c r="N12" s="50">
        <v>0</v>
      </c>
      <c r="O12" s="15">
        <f t="shared" si="0"/>
        <v>205</v>
      </c>
      <c r="P12" s="15">
        <f t="shared" si="1"/>
        <v>286</v>
      </c>
      <c r="R12" s="1" t="s">
        <v>8</v>
      </c>
      <c r="S12" s="17">
        <f t="shared" ref="S12:AF12" si="4">SUM(C18:C21)</f>
        <v>287</v>
      </c>
      <c r="T12" s="17">
        <f t="shared" si="4"/>
        <v>40</v>
      </c>
      <c r="U12" s="17">
        <f t="shared" si="4"/>
        <v>78</v>
      </c>
      <c r="V12" s="17">
        <f t="shared" si="4"/>
        <v>181</v>
      </c>
      <c r="W12" s="17">
        <f t="shared" si="4"/>
        <v>12</v>
      </c>
      <c r="X12" s="17">
        <f t="shared" si="4"/>
        <v>9</v>
      </c>
      <c r="Y12" s="17">
        <f t="shared" si="4"/>
        <v>54</v>
      </c>
      <c r="Z12" s="17">
        <f t="shared" si="4"/>
        <v>9</v>
      </c>
      <c r="AA12" s="17">
        <f t="shared" si="4"/>
        <v>16</v>
      </c>
      <c r="AB12" s="17">
        <f t="shared" si="4"/>
        <v>22</v>
      </c>
      <c r="AC12" s="17">
        <f t="shared" si="4"/>
        <v>557</v>
      </c>
      <c r="AD12" s="17">
        <f t="shared" si="4"/>
        <v>0</v>
      </c>
      <c r="AE12" s="31">
        <f t="shared" si="4"/>
        <v>708</v>
      </c>
      <c r="AF12" s="31">
        <f t="shared" si="4"/>
        <v>1265</v>
      </c>
    </row>
    <row r="13" spans="2:32" ht="23.1" customHeight="1" x14ac:dyDescent="0.25">
      <c r="B13" s="45" t="s">
        <v>40</v>
      </c>
      <c r="C13" s="50">
        <v>69</v>
      </c>
      <c r="D13" s="50">
        <v>14</v>
      </c>
      <c r="E13" s="50">
        <v>17</v>
      </c>
      <c r="F13" s="50">
        <v>50</v>
      </c>
      <c r="G13" s="50">
        <v>3</v>
      </c>
      <c r="H13" s="50">
        <v>0</v>
      </c>
      <c r="I13" s="50">
        <v>5</v>
      </c>
      <c r="J13" s="50">
        <v>2</v>
      </c>
      <c r="K13" s="50">
        <v>3</v>
      </c>
      <c r="L13" s="50">
        <v>3</v>
      </c>
      <c r="M13" s="50">
        <v>72</v>
      </c>
      <c r="N13" s="50">
        <v>0</v>
      </c>
      <c r="O13" s="15">
        <f t="shared" si="0"/>
        <v>166</v>
      </c>
      <c r="P13" s="15">
        <f t="shared" si="1"/>
        <v>238</v>
      </c>
      <c r="R13" s="1" t="s">
        <v>9</v>
      </c>
      <c r="S13" s="17">
        <f t="shared" ref="S13:AF13" si="5">SUM(C22:C25)</f>
        <v>295</v>
      </c>
      <c r="T13" s="17">
        <f t="shared" si="5"/>
        <v>53</v>
      </c>
      <c r="U13" s="17">
        <f t="shared" si="5"/>
        <v>73</v>
      </c>
      <c r="V13" s="17">
        <f t="shared" si="5"/>
        <v>164</v>
      </c>
      <c r="W13" s="17">
        <f t="shared" si="5"/>
        <v>15</v>
      </c>
      <c r="X13" s="17">
        <f t="shared" si="5"/>
        <v>23</v>
      </c>
      <c r="Y13" s="17">
        <f t="shared" si="5"/>
        <v>50</v>
      </c>
      <c r="Z13" s="17">
        <f t="shared" si="5"/>
        <v>16</v>
      </c>
      <c r="AA13" s="17">
        <f t="shared" si="5"/>
        <v>12</v>
      </c>
      <c r="AB13" s="17">
        <f t="shared" si="5"/>
        <v>43</v>
      </c>
      <c r="AC13" s="17">
        <f t="shared" si="5"/>
        <v>532</v>
      </c>
      <c r="AD13" s="17">
        <f t="shared" si="5"/>
        <v>0</v>
      </c>
      <c r="AE13" s="31">
        <f t="shared" si="5"/>
        <v>744</v>
      </c>
      <c r="AF13" s="31">
        <f t="shared" si="5"/>
        <v>1276</v>
      </c>
    </row>
    <row r="14" spans="2:32" ht="23.1" customHeight="1" x14ac:dyDescent="0.25">
      <c r="B14" s="45" t="s">
        <v>41</v>
      </c>
      <c r="C14" s="50">
        <v>64</v>
      </c>
      <c r="D14" s="50">
        <v>11</v>
      </c>
      <c r="E14" s="50">
        <v>17</v>
      </c>
      <c r="F14" s="50">
        <v>64</v>
      </c>
      <c r="G14" s="50">
        <v>1</v>
      </c>
      <c r="H14" s="50">
        <v>1</v>
      </c>
      <c r="I14" s="50">
        <v>14</v>
      </c>
      <c r="J14" s="50">
        <v>5</v>
      </c>
      <c r="K14" s="50">
        <v>2</v>
      </c>
      <c r="L14" s="50">
        <v>5</v>
      </c>
      <c r="M14" s="50">
        <v>87</v>
      </c>
      <c r="N14" s="50">
        <v>0</v>
      </c>
      <c r="O14" s="15">
        <f t="shared" si="0"/>
        <v>184</v>
      </c>
      <c r="P14" s="15">
        <f t="shared" si="1"/>
        <v>271</v>
      </c>
      <c r="R14" s="1" t="s">
        <v>10</v>
      </c>
      <c r="S14" s="17">
        <f t="shared" ref="S14:AF14" si="6">SUM(C26:C29)</f>
        <v>331</v>
      </c>
      <c r="T14" s="17">
        <f t="shared" si="6"/>
        <v>57</v>
      </c>
      <c r="U14" s="17">
        <f t="shared" si="6"/>
        <v>35</v>
      </c>
      <c r="V14" s="17">
        <f t="shared" si="6"/>
        <v>205</v>
      </c>
      <c r="W14" s="17">
        <f t="shared" si="6"/>
        <v>16</v>
      </c>
      <c r="X14" s="17">
        <f t="shared" si="6"/>
        <v>0</v>
      </c>
      <c r="Y14" s="17">
        <f t="shared" si="6"/>
        <v>64</v>
      </c>
      <c r="Z14" s="17">
        <f t="shared" si="6"/>
        <v>16</v>
      </c>
      <c r="AA14" s="17">
        <f t="shared" si="6"/>
        <v>21</v>
      </c>
      <c r="AB14" s="17">
        <f t="shared" si="6"/>
        <v>26</v>
      </c>
      <c r="AC14" s="17">
        <f t="shared" si="6"/>
        <v>548</v>
      </c>
      <c r="AD14" s="17">
        <f t="shared" si="6"/>
        <v>0</v>
      </c>
      <c r="AE14" s="31">
        <f t="shared" si="6"/>
        <v>771</v>
      </c>
      <c r="AF14" s="31">
        <f t="shared" si="6"/>
        <v>1319</v>
      </c>
    </row>
    <row r="15" spans="2:32" ht="23.1" customHeight="1" x14ac:dyDescent="0.25">
      <c r="B15" s="45" t="s">
        <v>42</v>
      </c>
      <c r="C15" s="50">
        <v>83</v>
      </c>
      <c r="D15" s="50">
        <v>12</v>
      </c>
      <c r="E15" s="50">
        <v>10</v>
      </c>
      <c r="F15" s="50">
        <v>49</v>
      </c>
      <c r="G15" s="50">
        <v>3</v>
      </c>
      <c r="H15" s="50">
        <v>1</v>
      </c>
      <c r="I15" s="50">
        <v>14</v>
      </c>
      <c r="J15" s="50">
        <v>5</v>
      </c>
      <c r="K15" s="50">
        <v>0</v>
      </c>
      <c r="L15" s="50">
        <v>7</v>
      </c>
      <c r="M15" s="50">
        <v>97</v>
      </c>
      <c r="N15" s="50">
        <v>0</v>
      </c>
      <c r="O15" s="15">
        <f t="shared" si="0"/>
        <v>184</v>
      </c>
      <c r="P15" s="15">
        <f t="shared" si="1"/>
        <v>281</v>
      </c>
      <c r="R15" s="1" t="s">
        <v>11</v>
      </c>
      <c r="S15" s="17">
        <f t="shared" ref="S15:AF15" si="7">SUM(C30:C33)</f>
        <v>328</v>
      </c>
      <c r="T15" s="17">
        <f t="shared" si="7"/>
        <v>37</v>
      </c>
      <c r="U15" s="17">
        <f t="shared" si="7"/>
        <v>41</v>
      </c>
      <c r="V15" s="17">
        <f t="shared" si="7"/>
        <v>178</v>
      </c>
      <c r="W15" s="17">
        <f t="shared" si="7"/>
        <v>11</v>
      </c>
      <c r="X15" s="17">
        <f t="shared" si="7"/>
        <v>23</v>
      </c>
      <c r="Y15" s="17">
        <f t="shared" si="7"/>
        <v>49</v>
      </c>
      <c r="Z15" s="17">
        <f t="shared" si="7"/>
        <v>15</v>
      </c>
      <c r="AA15" s="17">
        <f t="shared" si="7"/>
        <v>34</v>
      </c>
      <c r="AB15" s="17">
        <f t="shared" si="7"/>
        <v>21</v>
      </c>
      <c r="AC15" s="17">
        <f t="shared" si="7"/>
        <v>662</v>
      </c>
      <c r="AD15" s="17">
        <f t="shared" si="7"/>
        <v>0</v>
      </c>
      <c r="AE15" s="31">
        <f t="shared" si="7"/>
        <v>737</v>
      </c>
      <c r="AF15" s="31">
        <f t="shared" si="7"/>
        <v>1399</v>
      </c>
    </row>
    <row r="16" spans="2:32" ht="23.1" customHeight="1" x14ac:dyDescent="0.25">
      <c r="B16" s="45" t="s">
        <v>43</v>
      </c>
      <c r="C16" s="50">
        <v>96</v>
      </c>
      <c r="D16" s="50">
        <v>6</v>
      </c>
      <c r="E16" s="50">
        <v>10</v>
      </c>
      <c r="F16" s="50">
        <v>31</v>
      </c>
      <c r="G16" s="50">
        <v>3</v>
      </c>
      <c r="H16" s="50">
        <v>0</v>
      </c>
      <c r="I16" s="50">
        <v>13</v>
      </c>
      <c r="J16" s="50">
        <v>6</v>
      </c>
      <c r="K16" s="50">
        <v>3</v>
      </c>
      <c r="L16" s="50">
        <v>3</v>
      </c>
      <c r="M16" s="50">
        <v>130</v>
      </c>
      <c r="N16" s="50">
        <v>0</v>
      </c>
      <c r="O16" s="15">
        <f t="shared" si="0"/>
        <v>171</v>
      </c>
      <c r="P16" s="15">
        <f t="shared" si="1"/>
        <v>301</v>
      </c>
      <c r="R16" s="1" t="s">
        <v>12</v>
      </c>
      <c r="S16" s="17">
        <f t="shared" ref="S16:AF16" si="8">SUM(C34:C37)</f>
        <v>187</v>
      </c>
      <c r="T16" s="17">
        <f t="shared" si="8"/>
        <v>23</v>
      </c>
      <c r="U16" s="17">
        <f t="shared" si="8"/>
        <v>15</v>
      </c>
      <c r="V16" s="17">
        <f t="shared" si="8"/>
        <v>202</v>
      </c>
      <c r="W16" s="17">
        <f t="shared" si="8"/>
        <v>6</v>
      </c>
      <c r="X16" s="17">
        <f t="shared" si="8"/>
        <v>3</v>
      </c>
      <c r="Y16" s="17">
        <f t="shared" si="8"/>
        <v>48</v>
      </c>
      <c r="Z16" s="17">
        <f t="shared" si="8"/>
        <v>12</v>
      </c>
      <c r="AA16" s="17">
        <f t="shared" si="8"/>
        <v>9</v>
      </c>
      <c r="AB16" s="17">
        <f t="shared" si="8"/>
        <v>51</v>
      </c>
      <c r="AC16" s="17">
        <f t="shared" si="8"/>
        <v>455</v>
      </c>
      <c r="AD16" s="17">
        <f t="shared" si="8"/>
        <v>0</v>
      </c>
      <c r="AE16" s="31">
        <f t="shared" si="8"/>
        <v>556</v>
      </c>
      <c r="AF16" s="31">
        <f t="shared" si="8"/>
        <v>1011</v>
      </c>
    </row>
    <row r="17" spans="2:32" ht="23.1" customHeight="1" x14ac:dyDescent="0.25">
      <c r="B17" s="45" t="s">
        <v>44</v>
      </c>
      <c r="C17" s="50">
        <v>65</v>
      </c>
      <c r="D17" s="50">
        <v>7</v>
      </c>
      <c r="E17" s="50">
        <v>11</v>
      </c>
      <c r="F17" s="50">
        <v>50</v>
      </c>
      <c r="G17" s="50">
        <v>3</v>
      </c>
      <c r="H17" s="50">
        <v>0</v>
      </c>
      <c r="I17" s="50">
        <v>14</v>
      </c>
      <c r="J17" s="50">
        <v>2</v>
      </c>
      <c r="K17" s="50">
        <v>5</v>
      </c>
      <c r="L17" s="50">
        <v>1</v>
      </c>
      <c r="M17" s="50">
        <v>110</v>
      </c>
      <c r="N17" s="50">
        <v>0</v>
      </c>
      <c r="O17" s="15">
        <f t="shared" si="0"/>
        <v>158</v>
      </c>
      <c r="P17" s="15">
        <f t="shared" si="1"/>
        <v>268</v>
      </c>
      <c r="R17" s="1" t="s">
        <v>13</v>
      </c>
      <c r="S17" s="17">
        <f t="shared" ref="S17:AF17" si="9">SUM(C38:C41)</f>
        <v>198</v>
      </c>
      <c r="T17" s="17">
        <f t="shared" si="9"/>
        <v>20</v>
      </c>
      <c r="U17" s="17">
        <f t="shared" si="9"/>
        <v>21</v>
      </c>
      <c r="V17" s="17">
        <f t="shared" si="9"/>
        <v>158</v>
      </c>
      <c r="W17" s="17">
        <f t="shared" si="9"/>
        <v>9</v>
      </c>
      <c r="X17" s="17">
        <f t="shared" si="9"/>
        <v>1</v>
      </c>
      <c r="Y17" s="17">
        <f t="shared" si="9"/>
        <v>58</v>
      </c>
      <c r="Z17" s="17">
        <f t="shared" si="9"/>
        <v>15</v>
      </c>
      <c r="AA17" s="17">
        <f t="shared" si="9"/>
        <v>20</v>
      </c>
      <c r="AB17" s="17">
        <f t="shared" si="9"/>
        <v>101</v>
      </c>
      <c r="AC17" s="17">
        <f t="shared" si="9"/>
        <v>475</v>
      </c>
      <c r="AD17" s="17">
        <f t="shared" si="9"/>
        <v>0</v>
      </c>
      <c r="AE17" s="31">
        <f t="shared" si="9"/>
        <v>601</v>
      </c>
      <c r="AF17" s="31">
        <f t="shared" si="9"/>
        <v>1076</v>
      </c>
    </row>
    <row r="18" spans="2:32" ht="23.1" customHeight="1" x14ac:dyDescent="0.25">
      <c r="B18" s="45" t="s">
        <v>45</v>
      </c>
      <c r="C18" s="50">
        <v>80</v>
      </c>
      <c r="D18" s="50">
        <v>13</v>
      </c>
      <c r="E18" s="50">
        <v>13</v>
      </c>
      <c r="F18" s="50">
        <v>64</v>
      </c>
      <c r="G18" s="50">
        <v>7</v>
      </c>
      <c r="H18" s="50">
        <v>1</v>
      </c>
      <c r="I18" s="50">
        <v>17</v>
      </c>
      <c r="J18" s="50">
        <v>2</v>
      </c>
      <c r="K18" s="50">
        <v>4</v>
      </c>
      <c r="L18" s="50">
        <v>5</v>
      </c>
      <c r="M18" s="50">
        <v>133</v>
      </c>
      <c r="N18" s="50">
        <v>0</v>
      </c>
      <c r="O18" s="15">
        <f t="shared" si="0"/>
        <v>206</v>
      </c>
      <c r="P18" s="15">
        <f t="shared" si="1"/>
        <v>339</v>
      </c>
      <c r="R18" s="1" t="s">
        <v>14</v>
      </c>
      <c r="S18" s="17">
        <f t="shared" ref="S18:AF18" si="10">SUM(C42:C45)</f>
        <v>211</v>
      </c>
      <c r="T18" s="17">
        <f t="shared" si="10"/>
        <v>18</v>
      </c>
      <c r="U18" s="17">
        <f t="shared" si="10"/>
        <v>26</v>
      </c>
      <c r="V18" s="17">
        <f t="shared" si="10"/>
        <v>206</v>
      </c>
      <c r="W18" s="17">
        <f t="shared" si="10"/>
        <v>11</v>
      </c>
      <c r="X18" s="17">
        <f t="shared" si="10"/>
        <v>2</v>
      </c>
      <c r="Y18" s="17">
        <f t="shared" si="10"/>
        <v>60</v>
      </c>
      <c r="Z18" s="17">
        <f t="shared" si="10"/>
        <v>14</v>
      </c>
      <c r="AA18" s="17">
        <f t="shared" si="10"/>
        <v>14</v>
      </c>
      <c r="AB18" s="17">
        <f t="shared" si="10"/>
        <v>83</v>
      </c>
      <c r="AC18" s="17">
        <f t="shared" si="10"/>
        <v>512</v>
      </c>
      <c r="AD18" s="17">
        <f t="shared" si="10"/>
        <v>0</v>
      </c>
      <c r="AE18" s="31">
        <f t="shared" si="10"/>
        <v>645</v>
      </c>
      <c r="AF18" s="31">
        <f t="shared" si="10"/>
        <v>1157</v>
      </c>
    </row>
    <row r="19" spans="2:32" ht="23.1" customHeight="1" x14ac:dyDescent="0.25">
      <c r="B19" s="45" t="s">
        <v>46</v>
      </c>
      <c r="C19" s="50">
        <v>53</v>
      </c>
      <c r="D19" s="50">
        <v>6</v>
      </c>
      <c r="E19" s="50">
        <v>46</v>
      </c>
      <c r="F19" s="50">
        <v>5</v>
      </c>
      <c r="G19" s="50">
        <v>0</v>
      </c>
      <c r="H19" s="50">
        <v>7</v>
      </c>
      <c r="I19" s="50">
        <v>2</v>
      </c>
      <c r="J19" s="50">
        <v>0</v>
      </c>
      <c r="K19" s="50">
        <v>5</v>
      </c>
      <c r="L19" s="50">
        <v>0</v>
      </c>
      <c r="M19" s="50">
        <v>125</v>
      </c>
      <c r="N19" s="50">
        <v>0</v>
      </c>
      <c r="O19" s="15">
        <f t="shared" si="0"/>
        <v>124</v>
      </c>
      <c r="P19" s="15">
        <f t="shared" si="1"/>
        <v>249</v>
      </c>
      <c r="R19" s="1" t="s">
        <v>15</v>
      </c>
      <c r="S19" s="17">
        <f t="shared" ref="S19:AF19" si="11">SUM(C46:C49)</f>
        <v>208</v>
      </c>
      <c r="T19" s="17">
        <f t="shared" si="11"/>
        <v>33</v>
      </c>
      <c r="U19" s="17">
        <f t="shared" si="11"/>
        <v>26</v>
      </c>
      <c r="V19" s="17">
        <f t="shared" si="11"/>
        <v>155</v>
      </c>
      <c r="W19" s="17">
        <f t="shared" si="11"/>
        <v>7</v>
      </c>
      <c r="X19" s="17">
        <f t="shared" si="11"/>
        <v>0</v>
      </c>
      <c r="Y19" s="17">
        <f t="shared" si="11"/>
        <v>50</v>
      </c>
      <c r="Z19" s="17">
        <f t="shared" si="11"/>
        <v>24</v>
      </c>
      <c r="AA19" s="17">
        <f t="shared" si="11"/>
        <v>12</v>
      </c>
      <c r="AB19" s="17">
        <f t="shared" si="11"/>
        <v>126</v>
      </c>
      <c r="AC19" s="17">
        <f t="shared" si="11"/>
        <v>351</v>
      </c>
      <c r="AD19" s="17">
        <f t="shared" si="11"/>
        <v>0</v>
      </c>
      <c r="AE19" s="31">
        <f t="shared" si="11"/>
        <v>641</v>
      </c>
      <c r="AF19" s="31">
        <f t="shared" si="11"/>
        <v>992</v>
      </c>
    </row>
    <row r="20" spans="2:32" ht="23.1" customHeight="1" x14ac:dyDescent="0.25">
      <c r="B20" s="45" t="s">
        <v>47</v>
      </c>
      <c r="C20" s="50">
        <v>73</v>
      </c>
      <c r="D20" s="50">
        <v>10</v>
      </c>
      <c r="E20" s="50">
        <v>9</v>
      </c>
      <c r="F20" s="50">
        <v>59</v>
      </c>
      <c r="G20" s="50">
        <v>1</v>
      </c>
      <c r="H20" s="50">
        <v>0</v>
      </c>
      <c r="I20" s="50">
        <v>22</v>
      </c>
      <c r="J20" s="50">
        <v>5</v>
      </c>
      <c r="K20" s="50">
        <v>2</v>
      </c>
      <c r="L20" s="50">
        <v>8</v>
      </c>
      <c r="M20" s="50">
        <v>133</v>
      </c>
      <c r="N20" s="50">
        <v>0</v>
      </c>
      <c r="O20" s="15">
        <f t="shared" si="0"/>
        <v>189</v>
      </c>
      <c r="P20" s="15">
        <f t="shared" si="1"/>
        <v>322</v>
      </c>
      <c r="R20" s="1" t="s">
        <v>16</v>
      </c>
      <c r="S20" s="17">
        <f t="shared" ref="S20:AF20" si="12">SUM(C50:C53)</f>
        <v>205</v>
      </c>
      <c r="T20" s="17">
        <f t="shared" si="12"/>
        <v>27</v>
      </c>
      <c r="U20" s="17">
        <f t="shared" si="12"/>
        <v>23</v>
      </c>
      <c r="V20" s="17">
        <f t="shared" si="12"/>
        <v>189</v>
      </c>
      <c r="W20" s="17">
        <f t="shared" si="12"/>
        <v>10</v>
      </c>
      <c r="X20" s="17">
        <f t="shared" si="12"/>
        <v>3</v>
      </c>
      <c r="Y20" s="17">
        <f t="shared" si="12"/>
        <v>65</v>
      </c>
      <c r="Z20" s="17">
        <f t="shared" si="12"/>
        <v>21</v>
      </c>
      <c r="AA20" s="17">
        <f t="shared" si="12"/>
        <v>23</v>
      </c>
      <c r="AB20" s="17">
        <f t="shared" si="12"/>
        <v>86</v>
      </c>
      <c r="AC20" s="17">
        <f t="shared" si="12"/>
        <v>347</v>
      </c>
      <c r="AD20" s="17">
        <f t="shared" si="12"/>
        <v>1</v>
      </c>
      <c r="AE20" s="31">
        <f t="shared" si="12"/>
        <v>653</v>
      </c>
      <c r="AF20" s="31">
        <f t="shared" si="12"/>
        <v>1000</v>
      </c>
    </row>
    <row r="21" spans="2:32" ht="23.1" customHeight="1" x14ac:dyDescent="0.25">
      <c r="B21" s="45" t="s">
        <v>48</v>
      </c>
      <c r="C21" s="50">
        <v>81</v>
      </c>
      <c r="D21" s="50">
        <v>11</v>
      </c>
      <c r="E21" s="50">
        <v>10</v>
      </c>
      <c r="F21" s="50">
        <v>53</v>
      </c>
      <c r="G21" s="50">
        <v>4</v>
      </c>
      <c r="H21" s="50">
        <v>1</v>
      </c>
      <c r="I21" s="50">
        <v>13</v>
      </c>
      <c r="J21" s="50">
        <v>2</v>
      </c>
      <c r="K21" s="50">
        <v>5</v>
      </c>
      <c r="L21" s="50">
        <v>9</v>
      </c>
      <c r="M21" s="50">
        <v>166</v>
      </c>
      <c r="N21" s="50">
        <v>0</v>
      </c>
      <c r="O21" s="15">
        <f t="shared" si="0"/>
        <v>189</v>
      </c>
      <c r="P21" s="15">
        <f t="shared" si="1"/>
        <v>355</v>
      </c>
      <c r="R21" s="36" t="s">
        <v>20</v>
      </c>
      <c r="S21" s="34">
        <f t="shared" ref="S21:AF21" si="13">SUM(C54:C57)</f>
        <v>186</v>
      </c>
      <c r="T21" s="17">
        <f t="shared" si="13"/>
        <v>26</v>
      </c>
      <c r="U21" s="17">
        <f t="shared" si="13"/>
        <v>15</v>
      </c>
      <c r="V21" s="17">
        <f t="shared" si="13"/>
        <v>225</v>
      </c>
      <c r="W21" s="17">
        <f t="shared" si="13"/>
        <v>17</v>
      </c>
      <c r="X21" s="17">
        <f t="shared" si="13"/>
        <v>5</v>
      </c>
      <c r="Y21" s="17">
        <f t="shared" si="13"/>
        <v>33</v>
      </c>
      <c r="Z21" s="17">
        <f t="shared" si="13"/>
        <v>12</v>
      </c>
      <c r="AA21" s="17">
        <f t="shared" si="13"/>
        <v>7</v>
      </c>
      <c r="AB21" s="17">
        <f t="shared" si="13"/>
        <v>74</v>
      </c>
      <c r="AC21" s="17">
        <f t="shared" si="13"/>
        <v>552</v>
      </c>
      <c r="AD21" s="17">
        <f t="shared" si="13"/>
        <v>1</v>
      </c>
      <c r="AE21" s="31">
        <f t="shared" si="13"/>
        <v>601</v>
      </c>
      <c r="AF21" s="31">
        <f t="shared" si="13"/>
        <v>1153</v>
      </c>
    </row>
    <row r="22" spans="2:32" ht="23.1" customHeight="1" x14ac:dyDescent="0.25">
      <c r="B22" s="45" t="s">
        <v>49</v>
      </c>
      <c r="C22" s="50">
        <v>99</v>
      </c>
      <c r="D22" s="50">
        <v>12</v>
      </c>
      <c r="E22" s="50">
        <v>49</v>
      </c>
      <c r="F22" s="50">
        <v>3</v>
      </c>
      <c r="G22" s="50">
        <v>0</v>
      </c>
      <c r="H22" s="50">
        <v>22</v>
      </c>
      <c r="I22" s="50">
        <v>3</v>
      </c>
      <c r="J22" s="50">
        <v>1</v>
      </c>
      <c r="K22" s="50">
        <v>3</v>
      </c>
      <c r="L22" s="50">
        <v>16</v>
      </c>
      <c r="M22" s="50">
        <v>178</v>
      </c>
      <c r="N22" s="50">
        <v>0</v>
      </c>
      <c r="O22" s="15">
        <f t="shared" si="0"/>
        <v>208</v>
      </c>
      <c r="P22" s="15">
        <f t="shared" si="1"/>
        <v>386</v>
      </c>
      <c r="R22" s="36" t="s">
        <v>146</v>
      </c>
      <c r="S22" s="34">
        <f>SUM(C58:C61)</f>
        <v>162</v>
      </c>
      <c r="T22" s="34">
        <f t="shared" ref="T22:AF22" si="14">SUM(D58:D61)</f>
        <v>35</v>
      </c>
      <c r="U22" s="34">
        <f t="shared" si="14"/>
        <v>16</v>
      </c>
      <c r="V22" s="34">
        <f t="shared" si="14"/>
        <v>171</v>
      </c>
      <c r="W22" s="34">
        <f t="shared" si="14"/>
        <v>8</v>
      </c>
      <c r="X22" s="34">
        <f t="shared" si="14"/>
        <v>3</v>
      </c>
      <c r="Y22" s="34">
        <f t="shared" si="14"/>
        <v>42</v>
      </c>
      <c r="Z22" s="34">
        <f t="shared" si="14"/>
        <v>28</v>
      </c>
      <c r="AA22" s="34">
        <f t="shared" si="14"/>
        <v>11</v>
      </c>
      <c r="AB22" s="34">
        <f t="shared" si="14"/>
        <v>42</v>
      </c>
      <c r="AC22" s="34">
        <f t="shared" si="14"/>
        <v>721</v>
      </c>
      <c r="AD22" s="34">
        <f t="shared" si="14"/>
        <v>0</v>
      </c>
      <c r="AE22" s="31">
        <f t="shared" si="14"/>
        <v>518</v>
      </c>
      <c r="AF22" s="31">
        <f t="shared" si="14"/>
        <v>1239</v>
      </c>
    </row>
    <row r="23" spans="2:32" ht="23.1" customHeight="1" x14ac:dyDescent="0.25">
      <c r="B23" s="45" t="s">
        <v>50</v>
      </c>
      <c r="C23" s="50">
        <v>49</v>
      </c>
      <c r="D23" s="50">
        <v>11</v>
      </c>
      <c r="E23" s="50">
        <v>7</v>
      </c>
      <c r="F23" s="50">
        <v>44</v>
      </c>
      <c r="G23" s="50">
        <v>4</v>
      </c>
      <c r="H23" s="50">
        <v>1</v>
      </c>
      <c r="I23" s="50">
        <v>15</v>
      </c>
      <c r="J23" s="50">
        <v>4</v>
      </c>
      <c r="K23" s="50">
        <v>3</v>
      </c>
      <c r="L23" s="50">
        <v>8</v>
      </c>
      <c r="M23" s="50">
        <v>123</v>
      </c>
      <c r="N23" s="50">
        <v>0</v>
      </c>
      <c r="O23" s="15">
        <f t="shared" si="0"/>
        <v>146</v>
      </c>
      <c r="P23" s="15">
        <f t="shared" si="1"/>
        <v>269</v>
      </c>
      <c r="R23" s="36" t="s">
        <v>147</v>
      </c>
      <c r="S23" s="34">
        <f>SUM(C62:C65)</f>
        <v>167</v>
      </c>
      <c r="T23" s="34">
        <f t="shared" ref="T23:AF23" si="15">SUM(D62:D65)</f>
        <v>36</v>
      </c>
      <c r="U23" s="34">
        <f t="shared" si="15"/>
        <v>21</v>
      </c>
      <c r="V23" s="34">
        <f t="shared" si="15"/>
        <v>165</v>
      </c>
      <c r="W23" s="34">
        <f t="shared" si="15"/>
        <v>14</v>
      </c>
      <c r="X23" s="34">
        <f t="shared" si="15"/>
        <v>3</v>
      </c>
      <c r="Y23" s="34">
        <f t="shared" si="15"/>
        <v>38</v>
      </c>
      <c r="Z23" s="34">
        <f t="shared" si="15"/>
        <v>17</v>
      </c>
      <c r="AA23" s="34">
        <f t="shared" si="15"/>
        <v>4</v>
      </c>
      <c r="AB23" s="34">
        <f t="shared" si="15"/>
        <v>33</v>
      </c>
      <c r="AC23" s="34">
        <f t="shared" si="15"/>
        <v>650</v>
      </c>
      <c r="AD23" s="34">
        <f t="shared" si="15"/>
        <v>0</v>
      </c>
      <c r="AE23" s="31">
        <f t="shared" si="15"/>
        <v>498</v>
      </c>
      <c r="AF23" s="31">
        <f t="shared" si="15"/>
        <v>1148</v>
      </c>
    </row>
    <row r="24" spans="2:32" ht="23.1" customHeight="1" x14ac:dyDescent="0.25">
      <c r="B24" s="45" t="s">
        <v>51</v>
      </c>
      <c r="C24" s="50">
        <v>97</v>
      </c>
      <c r="D24" s="50">
        <v>16</v>
      </c>
      <c r="E24" s="50">
        <v>9</v>
      </c>
      <c r="F24" s="50">
        <v>58</v>
      </c>
      <c r="G24" s="50">
        <v>6</v>
      </c>
      <c r="H24" s="50">
        <v>0</v>
      </c>
      <c r="I24" s="50">
        <v>16</v>
      </c>
      <c r="J24" s="50">
        <v>6</v>
      </c>
      <c r="K24" s="50">
        <v>1</v>
      </c>
      <c r="L24" s="50">
        <v>12</v>
      </c>
      <c r="M24" s="50">
        <v>141</v>
      </c>
      <c r="N24" s="50">
        <v>0</v>
      </c>
      <c r="O24" s="15">
        <f t="shared" si="0"/>
        <v>221</v>
      </c>
      <c r="P24" s="15">
        <f t="shared" si="1"/>
        <v>362</v>
      </c>
      <c r="R24" s="36" t="s">
        <v>148</v>
      </c>
      <c r="S24" s="34">
        <f>SUM(C66:C69)</f>
        <v>201</v>
      </c>
      <c r="T24" s="34">
        <f t="shared" ref="T24:AF24" si="16">SUM(D66:D69)</f>
        <v>44</v>
      </c>
      <c r="U24" s="34">
        <f t="shared" si="16"/>
        <v>24</v>
      </c>
      <c r="V24" s="34">
        <f t="shared" si="16"/>
        <v>162</v>
      </c>
      <c r="W24" s="34">
        <f t="shared" si="16"/>
        <v>17</v>
      </c>
      <c r="X24" s="34">
        <f t="shared" si="16"/>
        <v>4</v>
      </c>
      <c r="Y24" s="34">
        <f t="shared" si="16"/>
        <v>34</v>
      </c>
      <c r="Z24" s="34">
        <f t="shared" si="16"/>
        <v>23</v>
      </c>
      <c r="AA24" s="34">
        <f t="shared" si="16"/>
        <v>13</v>
      </c>
      <c r="AB24" s="34">
        <f t="shared" si="16"/>
        <v>25</v>
      </c>
      <c r="AC24" s="34">
        <f t="shared" si="16"/>
        <v>464</v>
      </c>
      <c r="AD24" s="34">
        <f t="shared" si="16"/>
        <v>0</v>
      </c>
      <c r="AE24" s="31">
        <f t="shared" si="16"/>
        <v>547</v>
      </c>
      <c r="AF24" s="31">
        <f t="shared" si="16"/>
        <v>1011</v>
      </c>
    </row>
    <row r="25" spans="2:32" ht="23.1" customHeight="1" x14ac:dyDescent="0.25">
      <c r="B25" s="45" t="s">
        <v>52</v>
      </c>
      <c r="C25" s="50">
        <v>50</v>
      </c>
      <c r="D25" s="50">
        <v>14</v>
      </c>
      <c r="E25" s="50">
        <v>8</v>
      </c>
      <c r="F25" s="50">
        <v>59</v>
      </c>
      <c r="G25" s="50">
        <v>5</v>
      </c>
      <c r="H25" s="50">
        <v>0</v>
      </c>
      <c r="I25" s="50">
        <v>16</v>
      </c>
      <c r="J25" s="50">
        <v>5</v>
      </c>
      <c r="K25" s="50">
        <v>5</v>
      </c>
      <c r="L25" s="50">
        <v>7</v>
      </c>
      <c r="M25" s="50">
        <v>90</v>
      </c>
      <c r="N25" s="50">
        <v>0</v>
      </c>
      <c r="O25" s="15">
        <f t="shared" si="0"/>
        <v>169</v>
      </c>
      <c r="P25" s="15">
        <f t="shared" si="1"/>
        <v>259</v>
      </c>
      <c r="R25" s="36" t="s">
        <v>149</v>
      </c>
      <c r="S25" s="34">
        <f>SUM(C70:C73)</f>
        <v>195</v>
      </c>
      <c r="T25" s="34">
        <f t="shared" ref="T25:AF25" si="17">SUM(D70:D73)</f>
        <v>39</v>
      </c>
      <c r="U25" s="34">
        <f t="shared" si="17"/>
        <v>20</v>
      </c>
      <c r="V25" s="34">
        <f t="shared" si="17"/>
        <v>177</v>
      </c>
      <c r="W25" s="34">
        <f t="shared" si="17"/>
        <v>24</v>
      </c>
      <c r="X25" s="34">
        <f t="shared" si="17"/>
        <v>3</v>
      </c>
      <c r="Y25" s="34">
        <f t="shared" si="17"/>
        <v>17</v>
      </c>
      <c r="Z25" s="34">
        <f t="shared" si="17"/>
        <v>21</v>
      </c>
      <c r="AA25" s="34">
        <f t="shared" si="17"/>
        <v>9</v>
      </c>
      <c r="AB25" s="34">
        <f t="shared" si="17"/>
        <v>20</v>
      </c>
      <c r="AC25" s="34">
        <f t="shared" si="17"/>
        <v>331</v>
      </c>
      <c r="AD25" s="34">
        <f t="shared" si="17"/>
        <v>0</v>
      </c>
      <c r="AE25" s="31">
        <f t="shared" si="17"/>
        <v>525</v>
      </c>
      <c r="AF25" s="31">
        <f t="shared" si="17"/>
        <v>856</v>
      </c>
    </row>
    <row r="26" spans="2:32" ht="23.1" customHeight="1" x14ac:dyDescent="0.25">
      <c r="B26" s="45" t="s">
        <v>53</v>
      </c>
      <c r="C26" s="50">
        <v>80</v>
      </c>
      <c r="D26" s="50">
        <v>9</v>
      </c>
      <c r="E26" s="50">
        <v>8</v>
      </c>
      <c r="F26" s="50">
        <v>57</v>
      </c>
      <c r="G26" s="50">
        <v>4</v>
      </c>
      <c r="H26" s="50">
        <v>0</v>
      </c>
      <c r="I26" s="50">
        <v>15</v>
      </c>
      <c r="J26" s="50">
        <v>2</v>
      </c>
      <c r="K26" s="50">
        <v>3</v>
      </c>
      <c r="L26" s="50">
        <v>4</v>
      </c>
      <c r="M26" s="50">
        <v>118</v>
      </c>
      <c r="N26" s="50">
        <v>0</v>
      </c>
      <c r="O26" s="15">
        <f t="shared" si="0"/>
        <v>182</v>
      </c>
      <c r="P26" s="15">
        <f t="shared" si="1"/>
        <v>300</v>
      </c>
      <c r="R26" s="36" t="s">
        <v>150</v>
      </c>
      <c r="S26" s="34">
        <f>SUM(C74:C77)</f>
        <v>190</v>
      </c>
      <c r="T26" s="34">
        <f t="shared" ref="T26:AF26" si="18">SUM(D74:D77)</f>
        <v>146</v>
      </c>
      <c r="U26" s="34">
        <f t="shared" si="18"/>
        <v>34</v>
      </c>
      <c r="V26" s="34">
        <f t="shared" si="18"/>
        <v>82</v>
      </c>
      <c r="W26" s="34">
        <f t="shared" si="18"/>
        <v>12</v>
      </c>
      <c r="X26" s="34">
        <f t="shared" si="18"/>
        <v>10</v>
      </c>
      <c r="Y26" s="34">
        <f t="shared" si="18"/>
        <v>26</v>
      </c>
      <c r="Z26" s="34">
        <f t="shared" si="18"/>
        <v>15</v>
      </c>
      <c r="AA26" s="34">
        <f t="shared" si="18"/>
        <v>6</v>
      </c>
      <c r="AB26" s="34">
        <f t="shared" si="18"/>
        <v>16</v>
      </c>
      <c r="AC26" s="34">
        <f t="shared" si="18"/>
        <v>210</v>
      </c>
      <c r="AD26" s="34">
        <f t="shared" si="18"/>
        <v>0</v>
      </c>
      <c r="AE26" s="31">
        <f t="shared" si="18"/>
        <v>537</v>
      </c>
      <c r="AF26" s="31">
        <f t="shared" si="18"/>
        <v>747</v>
      </c>
    </row>
    <row r="27" spans="2:32" ht="23.1" customHeight="1" x14ac:dyDescent="0.25">
      <c r="B27" s="45" t="s">
        <v>54</v>
      </c>
      <c r="C27" s="50">
        <v>81</v>
      </c>
      <c r="D27" s="50">
        <v>22</v>
      </c>
      <c r="E27" s="50">
        <v>8</v>
      </c>
      <c r="F27" s="50">
        <v>52</v>
      </c>
      <c r="G27" s="50">
        <v>4</v>
      </c>
      <c r="H27" s="50">
        <v>0</v>
      </c>
      <c r="I27" s="50">
        <v>18</v>
      </c>
      <c r="J27" s="50">
        <v>7</v>
      </c>
      <c r="K27" s="50">
        <v>2</v>
      </c>
      <c r="L27" s="50">
        <v>10</v>
      </c>
      <c r="M27" s="50">
        <v>109</v>
      </c>
      <c r="N27" s="50">
        <v>0</v>
      </c>
      <c r="O27" s="15">
        <f t="shared" si="0"/>
        <v>204</v>
      </c>
      <c r="P27" s="15">
        <f t="shared" si="1"/>
        <v>313</v>
      </c>
      <c r="R27" s="36" t="s">
        <v>151</v>
      </c>
      <c r="S27" s="34">
        <f>SUM(C78:C81)</f>
        <v>145</v>
      </c>
      <c r="T27" s="34">
        <f t="shared" ref="T27:AF27" si="19">SUM(D78:D81)</f>
        <v>21</v>
      </c>
      <c r="U27" s="34">
        <f t="shared" si="19"/>
        <v>7</v>
      </c>
      <c r="V27" s="34">
        <f t="shared" si="19"/>
        <v>48</v>
      </c>
      <c r="W27" s="34">
        <f t="shared" si="19"/>
        <v>11</v>
      </c>
      <c r="X27" s="34">
        <f t="shared" si="19"/>
        <v>2</v>
      </c>
      <c r="Y27" s="34">
        <f t="shared" si="19"/>
        <v>17</v>
      </c>
      <c r="Z27" s="34">
        <f t="shared" si="19"/>
        <v>20</v>
      </c>
      <c r="AA27" s="34">
        <f t="shared" si="19"/>
        <v>6</v>
      </c>
      <c r="AB27" s="34">
        <f t="shared" si="19"/>
        <v>16</v>
      </c>
      <c r="AC27" s="34">
        <f t="shared" si="19"/>
        <v>128</v>
      </c>
      <c r="AD27" s="34">
        <f t="shared" si="19"/>
        <v>0</v>
      </c>
      <c r="AE27" s="31">
        <f t="shared" si="19"/>
        <v>293</v>
      </c>
      <c r="AF27" s="31">
        <f t="shared" si="19"/>
        <v>421</v>
      </c>
    </row>
    <row r="28" spans="2:32" ht="23.1" customHeight="1" x14ac:dyDescent="0.25">
      <c r="B28" s="45" t="s">
        <v>55</v>
      </c>
      <c r="C28" s="50">
        <v>92</v>
      </c>
      <c r="D28" s="50">
        <v>9</v>
      </c>
      <c r="E28" s="50">
        <v>13</v>
      </c>
      <c r="F28" s="50">
        <v>58</v>
      </c>
      <c r="G28" s="50">
        <v>4</v>
      </c>
      <c r="H28" s="50">
        <v>0</v>
      </c>
      <c r="I28" s="50">
        <v>17</v>
      </c>
      <c r="J28" s="50">
        <v>1</v>
      </c>
      <c r="K28" s="50">
        <v>4</v>
      </c>
      <c r="L28" s="50">
        <v>12</v>
      </c>
      <c r="M28" s="50">
        <v>190</v>
      </c>
      <c r="N28" s="50">
        <v>0</v>
      </c>
      <c r="O28" s="15">
        <f t="shared" si="0"/>
        <v>210</v>
      </c>
      <c r="P28" s="15">
        <f t="shared" si="1"/>
        <v>400</v>
      </c>
      <c r="R28" s="36" t="s">
        <v>152</v>
      </c>
      <c r="S28" s="34">
        <f>SUM(C82:C85)</f>
        <v>55</v>
      </c>
      <c r="T28" s="34">
        <f t="shared" ref="T28:AF28" si="20">SUM(D82:D85)</f>
        <v>13</v>
      </c>
      <c r="U28" s="34">
        <f t="shared" si="20"/>
        <v>12</v>
      </c>
      <c r="V28" s="34">
        <f t="shared" si="20"/>
        <v>24</v>
      </c>
      <c r="W28" s="34">
        <f t="shared" si="20"/>
        <v>2</v>
      </c>
      <c r="X28" s="34">
        <f t="shared" si="20"/>
        <v>2</v>
      </c>
      <c r="Y28" s="34">
        <f t="shared" si="20"/>
        <v>16</v>
      </c>
      <c r="Z28" s="34">
        <f t="shared" si="20"/>
        <v>21</v>
      </c>
      <c r="AA28" s="34">
        <f t="shared" si="20"/>
        <v>4</v>
      </c>
      <c r="AB28" s="34">
        <f t="shared" si="20"/>
        <v>26</v>
      </c>
      <c r="AC28" s="34">
        <f t="shared" si="20"/>
        <v>76</v>
      </c>
      <c r="AD28" s="34">
        <f t="shared" si="20"/>
        <v>1</v>
      </c>
      <c r="AE28" s="31">
        <f t="shared" si="20"/>
        <v>176</v>
      </c>
      <c r="AF28" s="31">
        <f t="shared" si="20"/>
        <v>252</v>
      </c>
    </row>
    <row r="29" spans="2:32" ht="23.1" customHeight="1" x14ac:dyDescent="0.25">
      <c r="B29" s="45" t="s">
        <v>56</v>
      </c>
      <c r="C29" s="50">
        <v>78</v>
      </c>
      <c r="D29" s="50">
        <v>17</v>
      </c>
      <c r="E29" s="50">
        <v>6</v>
      </c>
      <c r="F29" s="50">
        <v>38</v>
      </c>
      <c r="G29" s="50">
        <v>4</v>
      </c>
      <c r="H29" s="50">
        <v>0</v>
      </c>
      <c r="I29" s="50">
        <v>14</v>
      </c>
      <c r="J29" s="50">
        <v>6</v>
      </c>
      <c r="K29" s="50">
        <v>12</v>
      </c>
      <c r="L29" s="50">
        <v>0</v>
      </c>
      <c r="M29" s="50">
        <v>131</v>
      </c>
      <c r="N29" s="50">
        <v>0</v>
      </c>
      <c r="O29" s="15">
        <f t="shared" si="0"/>
        <v>175</v>
      </c>
      <c r="P29" s="15">
        <f t="shared" si="1"/>
        <v>306</v>
      </c>
      <c r="R29" s="36" t="s">
        <v>153</v>
      </c>
      <c r="S29" s="34">
        <f>SUM(C86:C89)</f>
        <v>31</v>
      </c>
      <c r="T29" s="34">
        <f t="shared" ref="T29:AF29" si="21">SUM(D86:D89)</f>
        <v>9</v>
      </c>
      <c r="U29" s="34">
        <f t="shared" si="21"/>
        <v>1</v>
      </c>
      <c r="V29" s="34">
        <f t="shared" si="21"/>
        <v>12</v>
      </c>
      <c r="W29" s="34">
        <f t="shared" si="21"/>
        <v>2</v>
      </c>
      <c r="X29" s="34">
        <f t="shared" si="21"/>
        <v>3</v>
      </c>
      <c r="Y29" s="34">
        <f t="shared" si="21"/>
        <v>13</v>
      </c>
      <c r="Z29" s="34">
        <f t="shared" si="21"/>
        <v>19</v>
      </c>
      <c r="AA29" s="34">
        <f t="shared" si="21"/>
        <v>7</v>
      </c>
      <c r="AB29" s="34">
        <f t="shared" si="21"/>
        <v>11</v>
      </c>
      <c r="AC29" s="34">
        <f t="shared" si="21"/>
        <v>47</v>
      </c>
      <c r="AD29" s="34">
        <f t="shared" si="21"/>
        <v>0</v>
      </c>
      <c r="AE29" s="31">
        <f t="shared" si="21"/>
        <v>108</v>
      </c>
      <c r="AF29" s="31">
        <f t="shared" si="21"/>
        <v>155</v>
      </c>
    </row>
    <row r="30" spans="2:32" ht="23.1" customHeight="1" x14ac:dyDescent="0.25">
      <c r="B30" s="45" t="s">
        <v>57</v>
      </c>
      <c r="C30" s="50">
        <v>111</v>
      </c>
      <c r="D30" s="50">
        <v>9</v>
      </c>
      <c r="E30" s="50">
        <v>7</v>
      </c>
      <c r="F30" s="50">
        <v>1</v>
      </c>
      <c r="G30" s="50">
        <v>2</v>
      </c>
      <c r="H30" s="50">
        <v>21</v>
      </c>
      <c r="I30" s="50">
        <v>2</v>
      </c>
      <c r="J30" s="50">
        <v>5</v>
      </c>
      <c r="K30" s="50">
        <v>17</v>
      </c>
      <c r="L30" s="50">
        <v>0</v>
      </c>
      <c r="M30" s="50">
        <v>218</v>
      </c>
      <c r="N30" s="50">
        <v>0</v>
      </c>
      <c r="O30" s="15">
        <f t="shared" si="0"/>
        <v>175</v>
      </c>
      <c r="P30" s="15">
        <f t="shared" si="1"/>
        <v>393</v>
      </c>
      <c r="R30" s="36" t="s">
        <v>154</v>
      </c>
      <c r="S30" s="34">
        <f>SUM(C90:C93)</f>
        <v>16</v>
      </c>
      <c r="T30" s="34">
        <f t="shared" ref="T30:AF30" si="22">SUM(D90:D93)</f>
        <v>9</v>
      </c>
      <c r="U30" s="34">
        <f t="shared" si="22"/>
        <v>4</v>
      </c>
      <c r="V30" s="34">
        <f t="shared" si="22"/>
        <v>11</v>
      </c>
      <c r="W30" s="34">
        <f t="shared" si="22"/>
        <v>2</v>
      </c>
      <c r="X30" s="34">
        <f t="shared" si="22"/>
        <v>1</v>
      </c>
      <c r="Y30" s="34">
        <f t="shared" si="22"/>
        <v>4</v>
      </c>
      <c r="Z30" s="34">
        <f t="shared" si="22"/>
        <v>25</v>
      </c>
      <c r="AA30" s="34">
        <f t="shared" si="22"/>
        <v>5</v>
      </c>
      <c r="AB30" s="34">
        <f t="shared" si="22"/>
        <v>8</v>
      </c>
      <c r="AC30" s="34">
        <f t="shared" si="22"/>
        <v>37</v>
      </c>
      <c r="AD30" s="34">
        <f t="shared" si="22"/>
        <v>0</v>
      </c>
      <c r="AE30" s="31">
        <f t="shared" si="22"/>
        <v>85</v>
      </c>
      <c r="AF30" s="31">
        <f t="shared" si="22"/>
        <v>122</v>
      </c>
    </row>
    <row r="31" spans="2:32" ht="23.1" customHeight="1" x14ac:dyDescent="0.25">
      <c r="B31" s="46" t="s">
        <v>58</v>
      </c>
      <c r="C31" s="50">
        <v>68</v>
      </c>
      <c r="D31" s="50">
        <v>13</v>
      </c>
      <c r="E31" s="50">
        <v>7</v>
      </c>
      <c r="F31" s="50">
        <v>52</v>
      </c>
      <c r="G31" s="50">
        <v>4</v>
      </c>
      <c r="H31" s="50">
        <v>1</v>
      </c>
      <c r="I31" s="50">
        <v>19</v>
      </c>
      <c r="J31" s="50">
        <v>4</v>
      </c>
      <c r="K31" s="50">
        <v>1</v>
      </c>
      <c r="L31" s="50">
        <v>11</v>
      </c>
      <c r="M31" s="50">
        <v>210</v>
      </c>
      <c r="N31" s="50">
        <v>0</v>
      </c>
      <c r="O31" s="15">
        <f t="shared" si="0"/>
        <v>180</v>
      </c>
      <c r="P31" s="15">
        <f t="shared" si="1"/>
        <v>390</v>
      </c>
      <c r="R31" s="36" t="s">
        <v>155</v>
      </c>
      <c r="S31" s="34">
        <f>SUM(C94:C97)</f>
        <v>33</v>
      </c>
      <c r="T31" s="34">
        <f t="shared" ref="T31:AF31" si="23">SUM(D94:D97)</f>
        <v>8</v>
      </c>
      <c r="U31" s="34">
        <f t="shared" si="23"/>
        <v>0</v>
      </c>
      <c r="V31" s="34">
        <f t="shared" si="23"/>
        <v>24</v>
      </c>
      <c r="W31" s="34">
        <f t="shared" si="23"/>
        <v>1</v>
      </c>
      <c r="X31" s="34">
        <f t="shared" si="23"/>
        <v>1</v>
      </c>
      <c r="Y31" s="34">
        <f t="shared" si="23"/>
        <v>8</v>
      </c>
      <c r="Z31" s="34">
        <f t="shared" si="23"/>
        <v>29</v>
      </c>
      <c r="AA31" s="34">
        <f t="shared" si="23"/>
        <v>1</v>
      </c>
      <c r="AB31" s="34">
        <f t="shared" si="23"/>
        <v>15</v>
      </c>
      <c r="AC31" s="34">
        <f t="shared" si="23"/>
        <v>41</v>
      </c>
      <c r="AD31" s="34">
        <f t="shared" si="23"/>
        <v>0</v>
      </c>
      <c r="AE31" s="31">
        <f t="shared" si="23"/>
        <v>120</v>
      </c>
      <c r="AF31" s="31">
        <f t="shared" si="23"/>
        <v>161</v>
      </c>
    </row>
    <row r="32" spans="2:32" ht="23.1" customHeight="1" x14ac:dyDescent="0.25">
      <c r="B32" s="46" t="s">
        <v>59</v>
      </c>
      <c r="C32" s="50">
        <v>70</v>
      </c>
      <c r="D32" s="50">
        <v>7</v>
      </c>
      <c r="E32" s="50">
        <v>15</v>
      </c>
      <c r="F32" s="50">
        <v>75</v>
      </c>
      <c r="G32" s="50">
        <v>3</v>
      </c>
      <c r="H32" s="50">
        <v>0</v>
      </c>
      <c r="I32" s="50">
        <v>14</v>
      </c>
      <c r="J32" s="50">
        <v>4</v>
      </c>
      <c r="K32" s="50">
        <v>15</v>
      </c>
      <c r="L32" s="50">
        <v>0</v>
      </c>
      <c r="M32" s="50">
        <v>110</v>
      </c>
      <c r="N32" s="50">
        <v>0</v>
      </c>
      <c r="O32" s="15">
        <f t="shared" si="0"/>
        <v>203</v>
      </c>
      <c r="P32" s="15">
        <f t="shared" si="1"/>
        <v>313</v>
      </c>
      <c r="R32" s="33" t="s">
        <v>156</v>
      </c>
      <c r="S32" s="34">
        <f>SUM(C98:C101)</f>
        <v>49</v>
      </c>
      <c r="T32" s="34">
        <f t="shared" ref="T32:AF32" si="24">SUM(D98:D101)</f>
        <v>13</v>
      </c>
      <c r="U32" s="34">
        <f t="shared" si="24"/>
        <v>8</v>
      </c>
      <c r="V32" s="34">
        <f t="shared" si="24"/>
        <v>45</v>
      </c>
      <c r="W32" s="34">
        <f t="shared" si="24"/>
        <v>5</v>
      </c>
      <c r="X32" s="34">
        <f t="shared" si="24"/>
        <v>2</v>
      </c>
      <c r="Y32" s="34">
        <f t="shared" si="24"/>
        <v>12</v>
      </c>
      <c r="Z32" s="34">
        <f t="shared" si="24"/>
        <v>17</v>
      </c>
      <c r="AA32" s="34">
        <f t="shared" si="24"/>
        <v>5</v>
      </c>
      <c r="AB32" s="34">
        <f t="shared" si="24"/>
        <v>13</v>
      </c>
      <c r="AC32" s="34">
        <f t="shared" si="24"/>
        <v>36</v>
      </c>
      <c r="AD32" s="34">
        <f t="shared" si="24"/>
        <v>0</v>
      </c>
      <c r="AE32" s="31">
        <f t="shared" si="24"/>
        <v>169</v>
      </c>
      <c r="AF32" s="31">
        <f t="shared" si="24"/>
        <v>205</v>
      </c>
    </row>
    <row r="33" spans="2:32" ht="23.1" customHeight="1" x14ac:dyDescent="0.25">
      <c r="B33" s="45" t="s">
        <v>60</v>
      </c>
      <c r="C33" s="50">
        <v>79</v>
      </c>
      <c r="D33" s="50">
        <v>8</v>
      </c>
      <c r="E33" s="50">
        <v>12</v>
      </c>
      <c r="F33" s="50">
        <v>50</v>
      </c>
      <c r="G33" s="50">
        <v>2</v>
      </c>
      <c r="H33" s="50">
        <v>1</v>
      </c>
      <c r="I33" s="50">
        <v>14</v>
      </c>
      <c r="J33" s="50">
        <v>2</v>
      </c>
      <c r="K33" s="50">
        <v>1</v>
      </c>
      <c r="L33" s="50">
        <v>10</v>
      </c>
      <c r="M33" s="50">
        <v>124</v>
      </c>
      <c r="N33" s="50">
        <v>0</v>
      </c>
      <c r="O33" s="15">
        <f t="shared" si="0"/>
        <v>179</v>
      </c>
      <c r="P33" s="15">
        <f t="shared" si="1"/>
        <v>303</v>
      </c>
      <c r="R33" s="33" t="s">
        <v>157</v>
      </c>
      <c r="S33" s="34">
        <f>SUM(C102:C105)</f>
        <v>65</v>
      </c>
      <c r="T33" s="34">
        <f t="shared" ref="T33:AF33" si="25">SUM(D102:D105)</f>
        <v>17</v>
      </c>
      <c r="U33" s="34">
        <f t="shared" si="25"/>
        <v>20</v>
      </c>
      <c r="V33" s="34">
        <f t="shared" si="25"/>
        <v>124</v>
      </c>
      <c r="W33" s="34">
        <f t="shared" si="25"/>
        <v>2</v>
      </c>
      <c r="X33" s="34">
        <f t="shared" si="25"/>
        <v>1</v>
      </c>
      <c r="Y33" s="34">
        <f t="shared" si="25"/>
        <v>27</v>
      </c>
      <c r="Z33" s="34">
        <f t="shared" si="25"/>
        <v>13</v>
      </c>
      <c r="AA33" s="34">
        <f t="shared" si="25"/>
        <v>3</v>
      </c>
      <c r="AB33" s="34">
        <f t="shared" si="25"/>
        <v>23</v>
      </c>
      <c r="AC33" s="34">
        <f t="shared" si="25"/>
        <v>93</v>
      </c>
      <c r="AD33" s="34">
        <f t="shared" si="25"/>
        <v>0</v>
      </c>
      <c r="AE33" s="31">
        <f t="shared" si="25"/>
        <v>295</v>
      </c>
      <c r="AF33" s="31">
        <f t="shared" si="25"/>
        <v>388</v>
      </c>
    </row>
    <row r="34" spans="2:32" ht="23.1" customHeight="1" x14ac:dyDescent="0.25">
      <c r="B34" s="46" t="s">
        <v>61</v>
      </c>
      <c r="C34" s="50">
        <v>59</v>
      </c>
      <c r="D34" s="50">
        <v>5</v>
      </c>
      <c r="E34" s="50">
        <v>2</v>
      </c>
      <c r="F34" s="50">
        <v>62</v>
      </c>
      <c r="G34" s="50">
        <v>2</v>
      </c>
      <c r="H34" s="50">
        <v>1</v>
      </c>
      <c r="I34" s="50">
        <v>17</v>
      </c>
      <c r="J34" s="50">
        <v>3</v>
      </c>
      <c r="K34" s="50">
        <v>1</v>
      </c>
      <c r="L34" s="50">
        <v>8</v>
      </c>
      <c r="M34" s="50">
        <v>170</v>
      </c>
      <c r="N34" s="50">
        <v>0</v>
      </c>
      <c r="O34" s="15">
        <f t="shared" si="0"/>
        <v>160</v>
      </c>
      <c r="P34" s="15">
        <f t="shared" si="1"/>
        <v>330</v>
      </c>
      <c r="R34" s="38" t="s">
        <v>90</v>
      </c>
      <c r="S34" s="39">
        <f t="shared" ref="S34:AF34" si="26">MAX(S10:S12)</f>
        <v>308</v>
      </c>
      <c r="T34" s="39">
        <f t="shared" si="26"/>
        <v>40</v>
      </c>
      <c r="U34" s="39">
        <f t="shared" si="26"/>
        <v>78</v>
      </c>
      <c r="V34" s="39">
        <f t="shared" si="26"/>
        <v>194</v>
      </c>
      <c r="W34" s="39">
        <f t="shared" si="26"/>
        <v>12</v>
      </c>
      <c r="X34" s="39">
        <f t="shared" si="26"/>
        <v>9</v>
      </c>
      <c r="Y34" s="39">
        <f t="shared" si="26"/>
        <v>55</v>
      </c>
      <c r="Z34" s="39">
        <f t="shared" si="26"/>
        <v>18</v>
      </c>
      <c r="AA34" s="39">
        <f t="shared" si="26"/>
        <v>16</v>
      </c>
      <c r="AB34" s="39">
        <f t="shared" si="26"/>
        <v>22</v>
      </c>
      <c r="AC34" s="39">
        <f t="shared" si="26"/>
        <v>557</v>
      </c>
      <c r="AD34" s="39">
        <f t="shared" si="26"/>
        <v>0</v>
      </c>
      <c r="AE34" s="40">
        <f t="shared" si="26"/>
        <v>708</v>
      </c>
      <c r="AF34" s="40">
        <f t="shared" si="26"/>
        <v>1265</v>
      </c>
    </row>
    <row r="35" spans="2:32" ht="23.1" customHeight="1" x14ac:dyDescent="0.25">
      <c r="B35" s="46" t="s">
        <v>62</v>
      </c>
      <c r="C35" s="50">
        <v>58</v>
      </c>
      <c r="D35" s="50">
        <v>7</v>
      </c>
      <c r="E35" s="50">
        <v>4</v>
      </c>
      <c r="F35" s="50">
        <v>40</v>
      </c>
      <c r="G35" s="50">
        <v>1</v>
      </c>
      <c r="H35" s="50">
        <v>0</v>
      </c>
      <c r="I35" s="50">
        <v>15</v>
      </c>
      <c r="J35" s="50">
        <v>5</v>
      </c>
      <c r="K35" s="50">
        <v>2</v>
      </c>
      <c r="L35" s="50">
        <v>8</v>
      </c>
      <c r="M35" s="50">
        <v>105</v>
      </c>
      <c r="N35" s="50">
        <v>0</v>
      </c>
      <c r="O35" s="15">
        <f t="shared" si="0"/>
        <v>140</v>
      </c>
      <c r="P35" s="15">
        <f t="shared" si="1"/>
        <v>245</v>
      </c>
      <c r="R35" s="38" t="s">
        <v>91</v>
      </c>
      <c r="S35" s="39">
        <f t="shared" ref="S35:AF35" si="27">MAX(S13:S18)</f>
        <v>331</v>
      </c>
      <c r="T35" s="39">
        <f t="shared" si="27"/>
        <v>57</v>
      </c>
      <c r="U35" s="39">
        <f t="shared" si="27"/>
        <v>73</v>
      </c>
      <c r="V35" s="39">
        <f t="shared" si="27"/>
        <v>206</v>
      </c>
      <c r="W35" s="39">
        <f t="shared" si="27"/>
        <v>16</v>
      </c>
      <c r="X35" s="39">
        <f t="shared" si="27"/>
        <v>23</v>
      </c>
      <c r="Y35" s="39">
        <f t="shared" si="27"/>
        <v>64</v>
      </c>
      <c r="Z35" s="39">
        <f t="shared" si="27"/>
        <v>16</v>
      </c>
      <c r="AA35" s="39">
        <f t="shared" si="27"/>
        <v>34</v>
      </c>
      <c r="AB35" s="39">
        <f t="shared" si="27"/>
        <v>101</v>
      </c>
      <c r="AC35" s="39">
        <f t="shared" si="27"/>
        <v>662</v>
      </c>
      <c r="AD35" s="39">
        <f t="shared" si="27"/>
        <v>0</v>
      </c>
      <c r="AE35" s="40">
        <f t="shared" si="27"/>
        <v>771</v>
      </c>
      <c r="AF35" s="40">
        <f t="shared" si="27"/>
        <v>1399</v>
      </c>
    </row>
    <row r="36" spans="2:32" ht="23.1" customHeight="1" x14ac:dyDescent="0.25">
      <c r="B36" s="46" t="s">
        <v>63</v>
      </c>
      <c r="C36" s="50">
        <v>37</v>
      </c>
      <c r="D36" s="50">
        <v>7</v>
      </c>
      <c r="E36" s="50">
        <v>4</v>
      </c>
      <c r="F36" s="50">
        <v>32</v>
      </c>
      <c r="G36" s="50">
        <v>2</v>
      </c>
      <c r="H36" s="50">
        <v>1</v>
      </c>
      <c r="I36" s="50">
        <v>6</v>
      </c>
      <c r="J36" s="50">
        <v>3</v>
      </c>
      <c r="K36" s="50">
        <v>1</v>
      </c>
      <c r="L36" s="50">
        <v>15</v>
      </c>
      <c r="M36" s="50">
        <v>95</v>
      </c>
      <c r="N36" s="50">
        <v>0</v>
      </c>
      <c r="O36" s="15">
        <f t="shared" si="0"/>
        <v>108</v>
      </c>
      <c r="P36" s="15">
        <f t="shared" si="1"/>
        <v>203</v>
      </c>
      <c r="R36" s="38" t="s">
        <v>92</v>
      </c>
      <c r="S36" s="39">
        <f t="shared" ref="S36:AF36" si="28">MAX(S19:S21)</f>
        <v>208</v>
      </c>
      <c r="T36" s="39">
        <f t="shared" si="28"/>
        <v>33</v>
      </c>
      <c r="U36" s="39">
        <f t="shared" si="28"/>
        <v>26</v>
      </c>
      <c r="V36" s="39">
        <f t="shared" si="28"/>
        <v>225</v>
      </c>
      <c r="W36" s="39">
        <f t="shared" si="28"/>
        <v>17</v>
      </c>
      <c r="X36" s="39">
        <f t="shared" si="28"/>
        <v>5</v>
      </c>
      <c r="Y36" s="39">
        <f t="shared" si="28"/>
        <v>65</v>
      </c>
      <c r="Z36" s="39">
        <f t="shared" si="28"/>
        <v>24</v>
      </c>
      <c r="AA36" s="39">
        <f t="shared" si="28"/>
        <v>23</v>
      </c>
      <c r="AB36" s="39">
        <f t="shared" si="28"/>
        <v>126</v>
      </c>
      <c r="AC36" s="39">
        <f t="shared" si="28"/>
        <v>552</v>
      </c>
      <c r="AD36" s="39">
        <f t="shared" si="28"/>
        <v>1</v>
      </c>
      <c r="AE36" s="40">
        <f t="shared" si="28"/>
        <v>653</v>
      </c>
      <c r="AF36" s="40">
        <f t="shared" si="28"/>
        <v>1153</v>
      </c>
    </row>
    <row r="37" spans="2:32" ht="23.1" customHeight="1" x14ac:dyDescent="0.25">
      <c r="B37" s="45" t="s">
        <v>64</v>
      </c>
      <c r="C37" s="50">
        <v>33</v>
      </c>
      <c r="D37" s="50">
        <v>4</v>
      </c>
      <c r="E37" s="50">
        <v>5</v>
      </c>
      <c r="F37" s="50">
        <v>68</v>
      </c>
      <c r="G37" s="50">
        <v>1</v>
      </c>
      <c r="H37" s="50">
        <v>1</v>
      </c>
      <c r="I37" s="50">
        <v>10</v>
      </c>
      <c r="J37" s="50">
        <v>1</v>
      </c>
      <c r="K37" s="50">
        <v>5</v>
      </c>
      <c r="L37" s="50">
        <v>20</v>
      </c>
      <c r="M37" s="50">
        <v>85</v>
      </c>
      <c r="N37" s="50">
        <v>0</v>
      </c>
      <c r="O37" s="15">
        <f t="shared" si="0"/>
        <v>148</v>
      </c>
      <c r="P37" s="15">
        <f t="shared" si="1"/>
        <v>233</v>
      </c>
      <c r="R37" s="37" t="s">
        <v>85</v>
      </c>
      <c r="S37" s="35">
        <f t="shared" ref="S37:AF37" si="29">SUM(S10:S12)</f>
        <v>807</v>
      </c>
      <c r="T37" s="16">
        <f t="shared" si="29"/>
        <v>115</v>
      </c>
      <c r="U37" s="16">
        <f t="shared" si="29"/>
        <v>164</v>
      </c>
      <c r="V37" s="16">
        <f t="shared" si="29"/>
        <v>531</v>
      </c>
      <c r="W37" s="16">
        <f t="shared" si="29"/>
        <v>32</v>
      </c>
      <c r="X37" s="16">
        <f t="shared" si="29"/>
        <v>14</v>
      </c>
      <c r="Y37" s="16">
        <f t="shared" si="29"/>
        <v>138</v>
      </c>
      <c r="Z37" s="16">
        <f t="shared" si="29"/>
        <v>35</v>
      </c>
      <c r="AA37" s="16">
        <f t="shared" si="29"/>
        <v>34</v>
      </c>
      <c r="AB37" s="16">
        <f t="shared" si="29"/>
        <v>58</v>
      </c>
      <c r="AC37" s="16">
        <f t="shared" si="29"/>
        <v>1205</v>
      </c>
      <c r="AD37" s="16">
        <f t="shared" si="29"/>
        <v>0</v>
      </c>
      <c r="AE37" s="32">
        <f t="shared" si="29"/>
        <v>1928</v>
      </c>
      <c r="AF37" s="32">
        <f t="shared" si="29"/>
        <v>3133</v>
      </c>
    </row>
    <row r="38" spans="2:32" ht="23.1" customHeight="1" x14ac:dyDescent="0.25">
      <c r="B38" s="46" t="s">
        <v>65</v>
      </c>
      <c r="C38" s="50">
        <v>48</v>
      </c>
      <c r="D38" s="50">
        <v>8</v>
      </c>
      <c r="E38" s="50">
        <v>8</v>
      </c>
      <c r="F38" s="50">
        <v>40</v>
      </c>
      <c r="G38" s="50">
        <v>4</v>
      </c>
      <c r="H38" s="50">
        <v>1</v>
      </c>
      <c r="I38" s="50">
        <v>13</v>
      </c>
      <c r="J38" s="50">
        <v>5</v>
      </c>
      <c r="K38" s="50">
        <v>4</v>
      </c>
      <c r="L38" s="50">
        <v>29</v>
      </c>
      <c r="M38" s="50">
        <v>120</v>
      </c>
      <c r="N38" s="50">
        <v>0</v>
      </c>
      <c r="O38" s="15">
        <f t="shared" si="0"/>
        <v>160</v>
      </c>
      <c r="P38" s="15">
        <f t="shared" si="1"/>
        <v>280</v>
      </c>
      <c r="R38" s="28" t="s">
        <v>86</v>
      </c>
      <c r="S38" s="16">
        <f t="shared" ref="S38:AF38" si="30">SUM(S13:S18)</f>
        <v>1550</v>
      </c>
      <c r="T38" s="16">
        <f t="shared" si="30"/>
        <v>208</v>
      </c>
      <c r="U38" s="16">
        <f t="shared" si="30"/>
        <v>211</v>
      </c>
      <c r="V38" s="16">
        <f t="shared" si="30"/>
        <v>1113</v>
      </c>
      <c r="W38" s="16">
        <f t="shared" si="30"/>
        <v>68</v>
      </c>
      <c r="X38" s="16">
        <f t="shared" si="30"/>
        <v>52</v>
      </c>
      <c r="Y38" s="16">
        <f t="shared" si="30"/>
        <v>329</v>
      </c>
      <c r="Z38" s="16">
        <f t="shared" si="30"/>
        <v>88</v>
      </c>
      <c r="AA38" s="16">
        <f t="shared" si="30"/>
        <v>110</v>
      </c>
      <c r="AB38" s="16">
        <f t="shared" si="30"/>
        <v>325</v>
      </c>
      <c r="AC38" s="16">
        <f t="shared" si="30"/>
        <v>3184</v>
      </c>
      <c r="AD38" s="16">
        <f t="shared" si="30"/>
        <v>0</v>
      </c>
      <c r="AE38" s="32">
        <f t="shared" si="30"/>
        <v>4054</v>
      </c>
      <c r="AF38" s="32">
        <f t="shared" si="30"/>
        <v>7238</v>
      </c>
    </row>
    <row r="39" spans="2:32" ht="23.1" customHeight="1" x14ac:dyDescent="0.25">
      <c r="B39" s="46" t="s">
        <v>66</v>
      </c>
      <c r="C39" s="50">
        <v>41</v>
      </c>
      <c r="D39" s="50">
        <v>3</v>
      </c>
      <c r="E39" s="50">
        <v>2</v>
      </c>
      <c r="F39" s="50">
        <v>36</v>
      </c>
      <c r="G39" s="50">
        <v>1</v>
      </c>
      <c r="H39" s="50">
        <v>0</v>
      </c>
      <c r="I39" s="50">
        <v>9</v>
      </c>
      <c r="J39" s="50">
        <v>1</v>
      </c>
      <c r="K39" s="50">
        <v>7</v>
      </c>
      <c r="L39" s="50">
        <v>17</v>
      </c>
      <c r="M39" s="50">
        <v>85</v>
      </c>
      <c r="N39" s="50">
        <v>0</v>
      </c>
      <c r="O39" s="15">
        <f t="shared" si="0"/>
        <v>117</v>
      </c>
      <c r="P39" s="15">
        <f t="shared" si="1"/>
        <v>202</v>
      </c>
      <c r="R39" s="29" t="s">
        <v>87</v>
      </c>
      <c r="S39" s="16">
        <f t="shared" ref="S39:AF39" si="31">SUM(S19:S21)</f>
        <v>599</v>
      </c>
      <c r="T39" s="16">
        <f t="shared" si="31"/>
        <v>86</v>
      </c>
      <c r="U39" s="16">
        <f t="shared" si="31"/>
        <v>64</v>
      </c>
      <c r="V39" s="16">
        <f t="shared" si="31"/>
        <v>569</v>
      </c>
      <c r="W39" s="16">
        <f t="shared" si="31"/>
        <v>34</v>
      </c>
      <c r="X39" s="16">
        <f t="shared" si="31"/>
        <v>8</v>
      </c>
      <c r="Y39" s="16">
        <f t="shared" si="31"/>
        <v>148</v>
      </c>
      <c r="Z39" s="16">
        <f t="shared" si="31"/>
        <v>57</v>
      </c>
      <c r="AA39" s="16">
        <f t="shared" si="31"/>
        <v>42</v>
      </c>
      <c r="AB39" s="16">
        <f t="shared" si="31"/>
        <v>286</v>
      </c>
      <c r="AC39" s="16">
        <f t="shared" si="31"/>
        <v>1250</v>
      </c>
      <c r="AD39" s="16">
        <f t="shared" si="31"/>
        <v>2</v>
      </c>
      <c r="AE39" s="32">
        <f t="shared" si="31"/>
        <v>1895</v>
      </c>
      <c r="AF39" s="32">
        <f t="shared" si="31"/>
        <v>3145</v>
      </c>
    </row>
    <row r="40" spans="2:32" ht="23.1" customHeight="1" x14ac:dyDescent="0.25">
      <c r="B40" s="46" t="s">
        <v>67</v>
      </c>
      <c r="C40" s="50">
        <v>55</v>
      </c>
      <c r="D40" s="50">
        <v>6</v>
      </c>
      <c r="E40" s="50">
        <v>2</v>
      </c>
      <c r="F40" s="50">
        <v>38</v>
      </c>
      <c r="G40" s="50">
        <v>0</v>
      </c>
      <c r="H40" s="50">
        <v>0</v>
      </c>
      <c r="I40" s="50">
        <v>13</v>
      </c>
      <c r="J40" s="50">
        <v>5</v>
      </c>
      <c r="K40" s="50">
        <v>7</v>
      </c>
      <c r="L40" s="50">
        <v>28</v>
      </c>
      <c r="M40" s="50">
        <v>125</v>
      </c>
      <c r="N40" s="50">
        <v>0</v>
      </c>
      <c r="O40" s="15">
        <f t="shared" si="0"/>
        <v>154</v>
      </c>
      <c r="P40" s="15">
        <f t="shared" si="1"/>
        <v>279</v>
      </c>
      <c r="R40" s="5" t="s">
        <v>17</v>
      </c>
      <c r="S40" s="16">
        <f t="shared" ref="S40:AF40" si="32">SUM(S10:S21)</f>
        <v>2956</v>
      </c>
      <c r="T40" s="16">
        <f t="shared" si="32"/>
        <v>409</v>
      </c>
      <c r="U40" s="16">
        <f t="shared" si="32"/>
        <v>439</v>
      </c>
      <c r="V40" s="16">
        <f t="shared" si="32"/>
        <v>2213</v>
      </c>
      <c r="W40" s="16">
        <f t="shared" si="32"/>
        <v>134</v>
      </c>
      <c r="X40" s="16">
        <f t="shared" si="32"/>
        <v>74</v>
      </c>
      <c r="Y40" s="16">
        <f t="shared" si="32"/>
        <v>615</v>
      </c>
      <c r="Z40" s="16">
        <f t="shared" si="32"/>
        <v>180</v>
      </c>
      <c r="AA40" s="16">
        <f t="shared" si="32"/>
        <v>186</v>
      </c>
      <c r="AB40" s="16">
        <f t="shared" si="32"/>
        <v>669</v>
      </c>
      <c r="AC40" s="16">
        <f t="shared" si="32"/>
        <v>5639</v>
      </c>
      <c r="AD40" s="16">
        <f t="shared" si="32"/>
        <v>2</v>
      </c>
      <c r="AE40" s="32">
        <f t="shared" si="32"/>
        <v>7877</v>
      </c>
      <c r="AF40" s="32">
        <f t="shared" si="32"/>
        <v>13516</v>
      </c>
    </row>
    <row r="41" spans="2:32" ht="23.1" customHeight="1" x14ac:dyDescent="0.25">
      <c r="B41" s="45" t="s">
        <v>68</v>
      </c>
      <c r="C41" s="50">
        <v>54</v>
      </c>
      <c r="D41" s="50">
        <v>3</v>
      </c>
      <c r="E41" s="50">
        <v>9</v>
      </c>
      <c r="F41" s="50">
        <v>44</v>
      </c>
      <c r="G41" s="50">
        <v>4</v>
      </c>
      <c r="H41" s="50">
        <v>0</v>
      </c>
      <c r="I41" s="50">
        <v>23</v>
      </c>
      <c r="J41" s="50">
        <v>4</v>
      </c>
      <c r="K41" s="50">
        <v>2</v>
      </c>
      <c r="L41" s="50">
        <v>27</v>
      </c>
      <c r="M41" s="50">
        <v>145</v>
      </c>
      <c r="N41" s="50">
        <v>0</v>
      </c>
      <c r="O41" s="15">
        <f t="shared" si="0"/>
        <v>170</v>
      </c>
      <c r="P41" s="15">
        <f t="shared" si="1"/>
        <v>315</v>
      </c>
      <c r="R41" s="5" t="s">
        <v>159</v>
      </c>
      <c r="S41" s="16">
        <f>SUM(S10:S33)</f>
        <v>4265</v>
      </c>
      <c r="T41" s="16">
        <f t="shared" ref="T41:AF41" si="33">SUM(T10:T33)</f>
        <v>799</v>
      </c>
      <c r="U41" s="16">
        <f t="shared" si="33"/>
        <v>606</v>
      </c>
      <c r="V41" s="16">
        <f t="shared" si="33"/>
        <v>3258</v>
      </c>
      <c r="W41" s="16">
        <f t="shared" si="33"/>
        <v>234</v>
      </c>
      <c r="X41" s="16">
        <f t="shared" si="33"/>
        <v>109</v>
      </c>
      <c r="Y41" s="16">
        <f t="shared" si="33"/>
        <v>869</v>
      </c>
      <c r="Z41" s="16">
        <f t="shared" si="33"/>
        <v>428</v>
      </c>
      <c r="AA41" s="16">
        <f t="shared" si="33"/>
        <v>260</v>
      </c>
      <c r="AB41" s="16">
        <f t="shared" si="33"/>
        <v>917</v>
      </c>
      <c r="AC41" s="16">
        <f t="shared" si="33"/>
        <v>8473</v>
      </c>
      <c r="AD41" s="16">
        <f t="shared" si="33"/>
        <v>3</v>
      </c>
      <c r="AE41" s="32">
        <f t="shared" si="33"/>
        <v>11748</v>
      </c>
      <c r="AF41" s="32">
        <f t="shared" si="33"/>
        <v>20221</v>
      </c>
    </row>
    <row r="42" spans="2:32" ht="23.1" customHeight="1" x14ac:dyDescent="0.25">
      <c r="B42" s="46" t="s">
        <v>69</v>
      </c>
      <c r="C42" s="50">
        <v>45</v>
      </c>
      <c r="D42" s="50">
        <v>6</v>
      </c>
      <c r="E42" s="50">
        <v>7</v>
      </c>
      <c r="F42" s="50">
        <v>45</v>
      </c>
      <c r="G42" s="50">
        <v>3</v>
      </c>
      <c r="H42" s="50">
        <v>1</v>
      </c>
      <c r="I42" s="50">
        <v>13</v>
      </c>
      <c r="J42" s="50">
        <v>3</v>
      </c>
      <c r="K42" s="50">
        <v>4</v>
      </c>
      <c r="L42" s="50">
        <v>30</v>
      </c>
      <c r="M42" s="50">
        <v>114</v>
      </c>
      <c r="N42" s="50">
        <v>0</v>
      </c>
      <c r="O42" s="15">
        <f t="shared" si="0"/>
        <v>157</v>
      </c>
      <c r="P42" s="15">
        <f t="shared" si="1"/>
        <v>271</v>
      </c>
      <c r="R42" s="5" t="s">
        <v>160</v>
      </c>
      <c r="S42" s="48">
        <f>S41/S40</f>
        <v>1.4428281461434371</v>
      </c>
      <c r="T42" s="48">
        <f t="shared" ref="T42:AF42" si="34">T41/T40</f>
        <v>1.9535452322738387</v>
      </c>
      <c r="U42" s="48">
        <f t="shared" si="34"/>
        <v>1.3804100227790432</v>
      </c>
      <c r="V42" s="48">
        <f t="shared" si="34"/>
        <v>1.4722096701310439</v>
      </c>
      <c r="W42" s="48">
        <f t="shared" si="34"/>
        <v>1.7462686567164178</v>
      </c>
      <c r="X42" s="48">
        <f t="shared" si="34"/>
        <v>1.472972972972973</v>
      </c>
      <c r="Y42" s="48">
        <f t="shared" si="34"/>
        <v>1.4130081300813009</v>
      </c>
      <c r="Z42" s="48">
        <f t="shared" si="34"/>
        <v>2.3777777777777778</v>
      </c>
      <c r="AA42" s="48">
        <f t="shared" si="34"/>
        <v>1.3978494623655915</v>
      </c>
      <c r="AB42" s="48">
        <f t="shared" si="34"/>
        <v>1.3707025411061287</v>
      </c>
      <c r="AC42" s="48">
        <f t="shared" si="34"/>
        <v>1.5025713779038836</v>
      </c>
      <c r="AD42" s="48">
        <f t="shared" si="34"/>
        <v>1.5</v>
      </c>
      <c r="AE42" s="48">
        <f t="shared" si="34"/>
        <v>1.491430747746604</v>
      </c>
      <c r="AF42" s="48">
        <f t="shared" si="34"/>
        <v>1.4960787215152411</v>
      </c>
    </row>
    <row r="43" spans="2:32" ht="23.1" customHeight="1" x14ac:dyDescent="0.25">
      <c r="B43" s="45" t="s">
        <v>70</v>
      </c>
      <c r="C43" s="50">
        <v>55</v>
      </c>
      <c r="D43" s="50">
        <v>2</v>
      </c>
      <c r="E43" s="50">
        <v>2</v>
      </c>
      <c r="F43" s="50">
        <v>56</v>
      </c>
      <c r="G43" s="50">
        <v>3</v>
      </c>
      <c r="H43" s="50">
        <v>0</v>
      </c>
      <c r="I43" s="50">
        <v>13</v>
      </c>
      <c r="J43" s="50">
        <v>7</v>
      </c>
      <c r="K43" s="50">
        <v>3</v>
      </c>
      <c r="L43" s="50">
        <v>26</v>
      </c>
      <c r="M43" s="50">
        <v>138</v>
      </c>
      <c r="N43" s="50">
        <v>0</v>
      </c>
      <c r="O43" s="15">
        <f t="shared" si="0"/>
        <v>167</v>
      </c>
      <c r="P43" s="15">
        <f t="shared" si="1"/>
        <v>305</v>
      </c>
    </row>
    <row r="44" spans="2:32" ht="23.1" customHeight="1" x14ac:dyDescent="0.25">
      <c r="B44" s="47" t="s">
        <v>71</v>
      </c>
      <c r="C44" s="50">
        <v>46</v>
      </c>
      <c r="D44" s="50">
        <v>6</v>
      </c>
      <c r="E44" s="50">
        <v>10</v>
      </c>
      <c r="F44" s="50">
        <v>50</v>
      </c>
      <c r="G44" s="50">
        <v>2</v>
      </c>
      <c r="H44" s="50">
        <v>0</v>
      </c>
      <c r="I44" s="50">
        <v>21</v>
      </c>
      <c r="J44" s="50">
        <v>1</v>
      </c>
      <c r="K44" s="50">
        <v>6</v>
      </c>
      <c r="L44" s="50">
        <v>14</v>
      </c>
      <c r="M44" s="50">
        <v>131</v>
      </c>
      <c r="N44" s="50">
        <v>0</v>
      </c>
      <c r="O44" s="15">
        <f t="shared" si="0"/>
        <v>156</v>
      </c>
      <c r="P44" s="15">
        <f t="shared" si="1"/>
        <v>287</v>
      </c>
    </row>
    <row r="45" spans="2:32" ht="23.1" customHeight="1" x14ac:dyDescent="0.25">
      <c r="B45" s="45" t="s">
        <v>72</v>
      </c>
      <c r="C45" s="50">
        <v>65</v>
      </c>
      <c r="D45" s="50">
        <v>4</v>
      </c>
      <c r="E45" s="50">
        <v>7</v>
      </c>
      <c r="F45" s="50">
        <v>55</v>
      </c>
      <c r="G45" s="50">
        <v>3</v>
      </c>
      <c r="H45" s="50">
        <v>1</v>
      </c>
      <c r="I45" s="50">
        <v>13</v>
      </c>
      <c r="J45" s="50">
        <v>3</v>
      </c>
      <c r="K45" s="50">
        <v>1</v>
      </c>
      <c r="L45" s="50">
        <v>13</v>
      </c>
      <c r="M45" s="50">
        <v>129</v>
      </c>
      <c r="N45" s="50">
        <v>0</v>
      </c>
      <c r="O45" s="15">
        <f t="shared" si="0"/>
        <v>165</v>
      </c>
      <c r="P45" s="15">
        <f t="shared" si="1"/>
        <v>294</v>
      </c>
    </row>
    <row r="46" spans="2:32" ht="23.1" customHeight="1" x14ac:dyDescent="0.25">
      <c r="B46" s="46" t="s">
        <v>73</v>
      </c>
      <c r="C46" s="50">
        <v>48</v>
      </c>
      <c r="D46" s="50">
        <v>9</v>
      </c>
      <c r="E46" s="50">
        <v>10</v>
      </c>
      <c r="F46" s="50">
        <v>40</v>
      </c>
      <c r="G46" s="50">
        <v>2</v>
      </c>
      <c r="H46" s="50">
        <v>0</v>
      </c>
      <c r="I46" s="50">
        <v>15</v>
      </c>
      <c r="J46" s="50">
        <v>4</v>
      </c>
      <c r="K46" s="50">
        <v>2</v>
      </c>
      <c r="L46" s="50">
        <v>25</v>
      </c>
      <c r="M46" s="50">
        <v>108</v>
      </c>
      <c r="N46" s="50">
        <v>0</v>
      </c>
      <c r="O46" s="15">
        <f t="shared" si="0"/>
        <v>155</v>
      </c>
      <c r="P46" s="15">
        <f t="shared" si="1"/>
        <v>263</v>
      </c>
      <c r="R46" s="8"/>
      <c r="T46"/>
    </row>
    <row r="47" spans="2:32" ht="23.1" customHeight="1" x14ac:dyDescent="0.25">
      <c r="B47" s="46" t="s">
        <v>74</v>
      </c>
      <c r="C47" s="50">
        <v>39</v>
      </c>
      <c r="D47" s="50">
        <v>9</v>
      </c>
      <c r="E47" s="50">
        <v>3</v>
      </c>
      <c r="F47" s="50">
        <v>27</v>
      </c>
      <c r="G47" s="50">
        <v>0</v>
      </c>
      <c r="H47" s="50">
        <v>0</v>
      </c>
      <c r="I47" s="50">
        <v>12</v>
      </c>
      <c r="J47" s="50">
        <v>3</v>
      </c>
      <c r="K47" s="50">
        <v>2</v>
      </c>
      <c r="L47" s="50">
        <v>39</v>
      </c>
      <c r="M47" s="50">
        <v>79</v>
      </c>
      <c r="N47" s="50">
        <v>0</v>
      </c>
      <c r="O47" s="15">
        <f t="shared" si="0"/>
        <v>134</v>
      </c>
      <c r="P47" s="15">
        <f t="shared" si="1"/>
        <v>213</v>
      </c>
      <c r="R47" s="8"/>
      <c r="T47"/>
    </row>
    <row r="48" spans="2:32" ht="23.1" customHeight="1" x14ac:dyDescent="0.25">
      <c r="B48" s="46" t="s">
        <v>75</v>
      </c>
      <c r="C48" s="50">
        <v>52</v>
      </c>
      <c r="D48" s="50">
        <v>9</v>
      </c>
      <c r="E48" s="50">
        <v>5</v>
      </c>
      <c r="F48" s="50">
        <v>42</v>
      </c>
      <c r="G48" s="50">
        <v>3</v>
      </c>
      <c r="H48" s="50">
        <v>0</v>
      </c>
      <c r="I48" s="50">
        <v>13</v>
      </c>
      <c r="J48" s="50">
        <v>9</v>
      </c>
      <c r="K48" s="50">
        <v>4</v>
      </c>
      <c r="L48" s="50">
        <v>39</v>
      </c>
      <c r="M48" s="50">
        <v>99</v>
      </c>
      <c r="N48" s="50">
        <v>0</v>
      </c>
      <c r="O48" s="15">
        <f t="shared" si="0"/>
        <v>176</v>
      </c>
      <c r="P48" s="15">
        <f t="shared" si="1"/>
        <v>275</v>
      </c>
      <c r="R48" s="8"/>
      <c r="T48"/>
    </row>
    <row r="49" spans="2:20" ht="23.1" customHeight="1" x14ac:dyDescent="0.25">
      <c r="B49" s="45" t="s">
        <v>76</v>
      </c>
      <c r="C49" s="50">
        <v>69</v>
      </c>
      <c r="D49" s="50">
        <v>6</v>
      </c>
      <c r="E49" s="50">
        <v>8</v>
      </c>
      <c r="F49" s="50">
        <v>46</v>
      </c>
      <c r="G49" s="50">
        <v>2</v>
      </c>
      <c r="H49" s="50">
        <v>0</v>
      </c>
      <c r="I49" s="50">
        <v>10</v>
      </c>
      <c r="J49" s="50">
        <v>8</v>
      </c>
      <c r="K49" s="50">
        <v>4</v>
      </c>
      <c r="L49" s="50">
        <v>23</v>
      </c>
      <c r="M49" s="50">
        <v>65</v>
      </c>
      <c r="N49" s="50">
        <v>0</v>
      </c>
      <c r="O49" s="15">
        <f t="shared" si="0"/>
        <v>176</v>
      </c>
      <c r="P49" s="15">
        <f t="shared" si="1"/>
        <v>241</v>
      </c>
      <c r="R49" s="8"/>
      <c r="T49"/>
    </row>
    <row r="50" spans="2:20" ht="23.1" customHeight="1" x14ac:dyDescent="0.25">
      <c r="B50" s="46" t="s">
        <v>77</v>
      </c>
      <c r="C50" s="50">
        <v>31</v>
      </c>
      <c r="D50" s="50">
        <v>2</v>
      </c>
      <c r="E50" s="50">
        <v>3</v>
      </c>
      <c r="F50" s="50">
        <v>55</v>
      </c>
      <c r="G50" s="50">
        <v>4</v>
      </c>
      <c r="H50" s="50">
        <v>2</v>
      </c>
      <c r="I50" s="50">
        <v>10</v>
      </c>
      <c r="J50" s="50">
        <v>3</v>
      </c>
      <c r="K50" s="50">
        <v>6</v>
      </c>
      <c r="L50" s="50">
        <v>11</v>
      </c>
      <c r="M50" s="50">
        <v>75</v>
      </c>
      <c r="N50" s="50">
        <v>1</v>
      </c>
      <c r="O50" s="15">
        <f t="shared" si="0"/>
        <v>128</v>
      </c>
      <c r="P50" s="15">
        <f t="shared" si="1"/>
        <v>203</v>
      </c>
      <c r="R50" s="8"/>
      <c r="T50"/>
    </row>
    <row r="51" spans="2:20" ht="23.1" customHeight="1" x14ac:dyDescent="0.25">
      <c r="B51" s="46" t="s">
        <v>78</v>
      </c>
      <c r="C51" s="50">
        <v>79</v>
      </c>
      <c r="D51" s="50">
        <v>10</v>
      </c>
      <c r="E51" s="50">
        <v>6</v>
      </c>
      <c r="F51" s="50">
        <v>50</v>
      </c>
      <c r="G51" s="50">
        <v>2</v>
      </c>
      <c r="H51" s="50">
        <v>1</v>
      </c>
      <c r="I51" s="50">
        <v>23</v>
      </c>
      <c r="J51" s="50">
        <v>7</v>
      </c>
      <c r="K51" s="50">
        <v>5</v>
      </c>
      <c r="L51" s="50">
        <v>19</v>
      </c>
      <c r="M51" s="50">
        <v>63</v>
      </c>
      <c r="N51" s="50">
        <v>0</v>
      </c>
      <c r="O51" s="15">
        <f t="shared" si="0"/>
        <v>202</v>
      </c>
      <c r="P51" s="15">
        <f t="shared" si="1"/>
        <v>265</v>
      </c>
      <c r="R51" s="8"/>
      <c r="T51"/>
    </row>
    <row r="52" spans="2:20" ht="23.1" customHeight="1" x14ac:dyDescent="0.25">
      <c r="B52" s="46" t="s">
        <v>79</v>
      </c>
      <c r="C52" s="50">
        <v>56</v>
      </c>
      <c r="D52" s="50">
        <v>5</v>
      </c>
      <c r="E52" s="50">
        <v>8</v>
      </c>
      <c r="F52" s="50">
        <v>42</v>
      </c>
      <c r="G52" s="50">
        <v>3</v>
      </c>
      <c r="H52" s="50">
        <v>0</v>
      </c>
      <c r="I52" s="50">
        <v>15</v>
      </c>
      <c r="J52" s="50">
        <v>4</v>
      </c>
      <c r="K52" s="50">
        <v>2</v>
      </c>
      <c r="L52" s="50">
        <v>27</v>
      </c>
      <c r="M52" s="50">
        <v>107</v>
      </c>
      <c r="N52" s="50">
        <v>0</v>
      </c>
      <c r="O52" s="15">
        <f t="shared" si="0"/>
        <v>162</v>
      </c>
      <c r="P52" s="15">
        <f t="shared" si="1"/>
        <v>269</v>
      </c>
      <c r="R52" s="8"/>
      <c r="T52"/>
    </row>
    <row r="53" spans="2:20" ht="23.1" customHeight="1" x14ac:dyDescent="0.25">
      <c r="B53" s="45" t="s">
        <v>80</v>
      </c>
      <c r="C53" s="50">
        <v>39</v>
      </c>
      <c r="D53" s="50">
        <v>10</v>
      </c>
      <c r="E53" s="50">
        <v>6</v>
      </c>
      <c r="F53" s="50">
        <v>42</v>
      </c>
      <c r="G53" s="50">
        <v>1</v>
      </c>
      <c r="H53" s="50">
        <v>0</v>
      </c>
      <c r="I53" s="50">
        <v>17</v>
      </c>
      <c r="J53" s="50">
        <v>7</v>
      </c>
      <c r="K53" s="50">
        <v>10</v>
      </c>
      <c r="L53" s="50">
        <v>29</v>
      </c>
      <c r="M53" s="50">
        <v>102</v>
      </c>
      <c r="N53" s="50">
        <v>0</v>
      </c>
      <c r="O53" s="15">
        <f t="shared" si="0"/>
        <v>161</v>
      </c>
      <c r="P53" s="15">
        <f t="shared" si="1"/>
        <v>263</v>
      </c>
      <c r="R53" s="8"/>
      <c r="T53"/>
    </row>
    <row r="54" spans="2:20" ht="23.1" customHeight="1" x14ac:dyDescent="0.25">
      <c r="B54" s="45" t="s">
        <v>81</v>
      </c>
      <c r="C54" s="50">
        <v>52</v>
      </c>
      <c r="D54" s="50">
        <v>7</v>
      </c>
      <c r="E54" s="50">
        <v>7</v>
      </c>
      <c r="F54" s="50">
        <v>66</v>
      </c>
      <c r="G54" s="50">
        <v>2</v>
      </c>
      <c r="H54" s="50">
        <v>1</v>
      </c>
      <c r="I54" s="50">
        <v>10</v>
      </c>
      <c r="J54" s="50">
        <v>5</v>
      </c>
      <c r="K54" s="50">
        <v>2</v>
      </c>
      <c r="L54" s="50">
        <v>15</v>
      </c>
      <c r="M54" s="50">
        <v>100</v>
      </c>
      <c r="N54" s="50">
        <v>1</v>
      </c>
      <c r="O54" s="15">
        <f t="shared" si="0"/>
        <v>168</v>
      </c>
      <c r="P54" s="15">
        <f t="shared" si="1"/>
        <v>268</v>
      </c>
      <c r="R54" s="8"/>
      <c r="T54"/>
    </row>
    <row r="55" spans="2:20" ht="23.1" customHeight="1" x14ac:dyDescent="0.25">
      <c r="B55" s="45" t="s">
        <v>82</v>
      </c>
      <c r="C55" s="50">
        <v>39</v>
      </c>
      <c r="D55" s="50">
        <v>8</v>
      </c>
      <c r="E55" s="50">
        <v>3</v>
      </c>
      <c r="F55" s="50">
        <v>54</v>
      </c>
      <c r="G55" s="50">
        <v>4</v>
      </c>
      <c r="H55" s="50">
        <v>0</v>
      </c>
      <c r="I55" s="50">
        <v>7</v>
      </c>
      <c r="J55" s="50">
        <v>2</v>
      </c>
      <c r="K55" s="50">
        <v>1</v>
      </c>
      <c r="L55" s="50">
        <v>24</v>
      </c>
      <c r="M55" s="50">
        <v>139</v>
      </c>
      <c r="N55" s="50">
        <v>0</v>
      </c>
      <c r="O55" s="15">
        <f t="shared" si="0"/>
        <v>142</v>
      </c>
      <c r="P55" s="15">
        <f t="shared" si="1"/>
        <v>281</v>
      </c>
      <c r="R55" s="8"/>
      <c r="T55"/>
    </row>
    <row r="56" spans="2:20" ht="23.1" customHeight="1" x14ac:dyDescent="0.25">
      <c r="B56" s="45" t="s">
        <v>83</v>
      </c>
      <c r="C56" s="50">
        <v>48</v>
      </c>
      <c r="D56" s="50">
        <v>7</v>
      </c>
      <c r="E56" s="50">
        <v>1</v>
      </c>
      <c r="F56" s="50">
        <v>60</v>
      </c>
      <c r="G56" s="50">
        <v>7</v>
      </c>
      <c r="H56" s="50">
        <v>3</v>
      </c>
      <c r="I56" s="50">
        <v>12</v>
      </c>
      <c r="J56" s="50">
        <v>1</v>
      </c>
      <c r="K56" s="50">
        <v>3</v>
      </c>
      <c r="L56" s="50">
        <v>22</v>
      </c>
      <c r="M56" s="50">
        <v>155</v>
      </c>
      <c r="N56" s="50">
        <v>0</v>
      </c>
      <c r="O56" s="15">
        <f t="shared" si="0"/>
        <v>164</v>
      </c>
      <c r="P56" s="15">
        <f t="shared" si="1"/>
        <v>319</v>
      </c>
      <c r="R56" s="8"/>
      <c r="T56"/>
    </row>
    <row r="57" spans="2:20" ht="23.1" customHeight="1" x14ac:dyDescent="0.25">
      <c r="B57" s="45" t="s">
        <v>84</v>
      </c>
      <c r="C57" s="50">
        <v>47</v>
      </c>
      <c r="D57" s="50">
        <v>4</v>
      </c>
      <c r="E57" s="50">
        <v>4</v>
      </c>
      <c r="F57" s="50">
        <v>45</v>
      </c>
      <c r="G57" s="50">
        <v>4</v>
      </c>
      <c r="H57" s="50">
        <v>1</v>
      </c>
      <c r="I57" s="50">
        <v>4</v>
      </c>
      <c r="J57" s="50">
        <v>4</v>
      </c>
      <c r="K57" s="50">
        <v>1</v>
      </c>
      <c r="L57" s="50">
        <v>13</v>
      </c>
      <c r="M57" s="50">
        <v>158</v>
      </c>
      <c r="N57" s="50">
        <v>0</v>
      </c>
      <c r="O57" s="15">
        <f t="shared" si="0"/>
        <v>127</v>
      </c>
      <c r="P57" s="15">
        <f t="shared" si="1"/>
        <v>285</v>
      </c>
      <c r="R57" s="8"/>
      <c r="T57"/>
    </row>
    <row r="58" spans="2:20" ht="23.1" customHeight="1" x14ac:dyDescent="0.25">
      <c r="B58" s="45" t="s">
        <v>99</v>
      </c>
      <c r="C58" s="50">
        <v>52</v>
      </c>
      <c r="D58" s="50">
        <v>11</v>
      </c>
      <c r="E58" s="50">
        <v>3</v>
      </c>
      <c r="F58" s="50">
        <v>42</v>
      </c>
      <c r="G58" s="50">
        <v>3</v>
      </c>
      <c r="H58" s="50">
        <v>2</v>
      </c>
      <c r="I58" s="50">
        <v>7</v>
      </c>
      <c r="J58" s="50">
        <v>10</v>
      </c>
      <c r="K58" s="50">
        <v>5</v>
      </c>
      <c r="L58" s="50">
        <v>10</v>
      </c>
      <c r="M58" s="50">
        <v>155</v>
      </c>
      <c r="N58" s="50">
        <v>0</v>
      </c>
      <c r="O58" s="15">
        <f t="shared" si="0"/>
        <v>145</v>
      </c>
      <c r="P58" s="15">
        <f t="shared" si="1"/>
        <v>300</v>
      </c>
      <c r="R58" s="8"/>
      <c r="T58"/>
    </row>
    <row r="59" spans="2:20" ht="23.1" customHeight="1" x14ac:dyDescent="0.25">
      <c r="B59" s="45" t="s">
        <v>100</v>
      </c>
      <c r="C59" s="50">
        <v>37</v>
      </c>
      <c r="D59" s="50">
        <v>7</v>
      </c>
      <c r="E59" s="50">
        <v>5</v>
      </c>
      <c r="F59" s="50">
        <v>44</v>
      </c>
      <c r="G59" s="50">
        <v>0</v>
      </c>
      <c r="H59" s="50">
        <v>1</v>
      </c>
      <c r="I59" s="50">
        <v>9</v>
      </c>
      <c r="J59" s="50">
        <v>4</v>
      </c>
      <c r="K59" s="50">
        <v>2</v>
      </c>
      <c r="L59" s="50">
        <v>9</v>
      </c>
      <c r="M59" s="50">
        <v>152</v>
      </c>
      <c r="N59" s="50">
        <v>0</v>
      </c>
      <c r="O59" s="15">
        <f t="shared" si="0"/>
        <v>118</v>
      </c>
      <c r="P59" s="15">
        <f t="shared" si="1"/>
        <v>270</v>
      </c>
      <c r="R59" s="8"/>
      <c r="T59"/>
    </row>
    <row r="60" spans="2:20" ht="23.1" customHeight="1" x14ac:dyDescent="0.25">
      <c r="B60" s="45" t="s">
        <v>101</v>
      </c>
      <c r="C60" s="50">
        <v>36</v>
      </c>
      <c r="D60" s="50">
        <v>10</v>
      </c>
      <c r="E60" s="50">
        <v>2</v>
      </c>
      <c r="F60" s="50">
        <v>41</v>
      </c>
      <c r="G60" s="50">
        <v>2</v>
      </c>
      <c r="H60" s="50">
        <v>0</v>
      </c>
      <c r="I60" s="50">
        <v>10</v>
      </c>
      <c r="J60" s="50">
        <v>6</v>
      </c>
      <c r="K60" s="50">
        <v>2</v>
      </c>
      <c r="L60" s="50">
        <v>11</v>
      </c>
      <c r="M60" s="50">
        <v>214</v>
      </c>
      <c r="N60" s="50">
        <v>0</v>
      </c>
      <c r="O60" s="15">
        <f t="shared" si="0"/>
        <v>120</v>
      </c>
      <c r="P60" s="15">
        <f t="shared" si="1"/>
        <v>334</v>
      </c>
      <c r="R60" s="8"/>
      <c r="T60"/>
    </row>
    <row r="61" spans="2:20" ht="23.1" customHeight="1" x14ac:dyDescent="0.25">
      <c r="B61" s="45" t="s">
        <v>102</v>
      </c>
      <c r="C61" s="50">
        <v>37</v>
      </c>
      <c r="D61" s="50">
        <v>7</v>
      </c>
      <c r="E61" s="50">
        <v>6</v>
      </c>
      <c r="F61" s="50">
        <v>44</v>
      </c>
      <c r="G61" s="50">
        <v>3</v>
      </c>
      <c r="H61" s="50">
        <v>0</v>
      </c>
      <c r="I61" s="50">
        <v>16</v>
      </c>
      <c r="J61" s="50">
        <v>8</v>
      </c>
      <c r="K61" s="50">
        <v>2</v>
      </c>
      <c r="L61" s="50">
        <v>12</v>
      </c>
      <c r="M61" s="50">
        <v>200</v>
      </c>
      <c r="N61" s="50">
        <v>0</v>
      </c>
      <c r="O61" s="15">
        <f t="shared" si="0"/>
        <v>135</v>
      </c>
      <c r="P61" s="15">
        <f t="shared" si="1"/>
        <v>335</v>
      </c>
      <c r="R61" s="8"/>
      <c r="T61"/>
    </row>
    <row r="62" spans="2:20" ht="23.1" customHeight="1" x14ac:dyDescent="0.25">
      <c r="B62" s="45" t="s">
        <v>107</v>
      </c>
      <c r="C62" s="50">
        <v>39</v>
      </c>
      <c r="D62" s="50">
        <v>10</v>
      </c>
      <c r="E62" s="50">
        <v>6</v>
      </c>
      <c r="F62" s="50">
        <v>55</v>
      </c>
      <c r="G62" s="50">
        <v>8</v>
      </c>
      <c r="H62" s="50">
        <v>0</v>
      </c>
      <c r="I62" s="50">
        <v>10</v>
      </c>
      <c r="J62" s="50">
        <v>3</v>
      </c>
      <c r="K62" s="50">
        <v>0</v>
      </c>
      <c r="L62" s="50">
        <v>6</v>
      </c>
      <c r="M62" s="50">
        <v>160</v>
      </c>
      <c r="N62" s="50">
        <v>0</v>
      </c>
      <c r="O62" s="15">
        <f t="shared" si="0"/>
        <v>137</v>
      </c>
      <c r="P62" s="15">
        <f t="shared" si="1"/>
        <v>297</v>
      </c>
      <c r="R62" s="8"/>
      <c r="T62"/>
    </row>
    <row r="63" spans="2:20" ht="23.1" customHeight="1" x14ac:dyDescent="0.25">
      <c r="B63" s="45" t="s">
        <v>108</v>
      </c>
      <c r="C63" s="50">
        <v>34</v>
      </c>
      <c r="D63" s="50">
        <v>9</v>
      </c>
      <c r="E63" s="50">
        <v>6</v>
      </c>
      <c r="F63" s="50">
        <v>33</v>
      </c>
      <c r="G63" s="50">
        <v>3</v>
      </c>
      <c r="H63" s="50">
        <v>1</v>
      </c>
      <c r="I63" s="50">
        <v>10</v>
      </c>
      <c r="J63" s="50">
        <v>3</v>
      </c>
      <c r="K63" s="50">
        <v>1</v>
      </c>
      <c r="L63" s="50">
        <v>13</v>
      </c>
      <c r="M63" s="50">
        <v>180</v>
      </c>
      <c r="N63" s="50">
        <v>0</v>
      </c>
      <c r="O63" s="15">
        <f t="shared" si="0"/>
        <v>113</v>
      </c>
      <c r="P63" s="15">
        <f t="shared" si="1"/>
        <v>293</v>
      </c>
      <c r="R63" s="8"/>
      <c r="T63"/>
    </row>
    <row r="64" spans="2:20" ht="23.1" customHeight="1" x14ac:dyDescent="0.25">
      <c r="B64" s="45" t="s">
        <v>109</v>
      </c>
      <c r="C64" s="50">
        <v>51</v>
      </c>
      <c r="D64" s="50">
        <v>11</v>
      </c>
      <c r="E64" s="50">
        <v>6</v>
      </c>
      <c r="F64" s="50">
        <v>49</v>
      </c>
      <c r="G64" s="50">
        <v>2</v>
      </c>
      <c r="H64" s="50">
        <v>1</v>
      </c>
      <c r="I64" s="50">
        <v>8</v>
      </c>
      <c r="J64" s="50">
        <v>5</v>
      </c>
      <c r="K64" s="50">
        <v>1</v>
      </c>
      <c r="L64" s="50">
        <v>13</v>
      </c>
      <c r="M64" s="50">
        <v>170</v>
      </c>
      <c r="N64" s="50">
        <v>0</v>
      </c>
      <c r="O64" s="15">
        <f t="shared" si="0"/>
        <v>147</v>
      </c>
      <c r="P64" s="15">
        <f t="shared" si="1"/>
        <v>317</v>
      </c>
      <c r="R64" s="8"/>
      <c r="T64"/>
    </row>
    <row r="65" spans="2:20" ht="23.1" customHeight="1" x14ac:dyDescent="0.25">
      <c r="B65" s="45" t="s">
        <v>158</v>
      </c>
      <c r="C65" s="50">
        <v>43</v>
      </c>
      <c r="D65" s="50">
        <v>6</v>
      </c>
      <c r="E65" s="50">
        <v>3</v>
      </c>
      <c r="F65" s="50">
        <v>28</v>
      </c>
      <c r="G65" s="50">
        <v>1</v>
      </c>
      <c r="H65" s="50">
        <v>1</v>
      </c>
      <c r="I65" s="50">
        <v>10</v>
      </c>
      <c r="J65" s="50">
        <v>6</v>
      </c>
      <c r="K65" s="50">
        <v>2</v>
      </c>
      <c r="L65" s="50">
        <v>1</v>
      </c>
      <c r="M65" s="50">
        <v>140</v>
      </c>
      <c r="N65" s="50">
        <v>0</v>
      </c>
      <c r="O65" s="15">
        <f t="shared" si="0"/>
        <v>101</v>
      </c>
      <c r="P65" s="15">
        <f t="shared" si="1"/>
        <v>241</v>
      </c>
      <c r="R65" s="8"/>
      <c r="T65"/>
    </row>
    <row r="66" spans="2:20" ht="23.1" customHeight="1" x14ac:dyDescent="0.25">
      <c r="B66" s="45" t="s">
        <v>103</v>
      </c>
      <c r="C66" s="50">
        <v>61</v>
      </c>
      <c r="D66" s="50">
        <v>13</v>
      </c>
      <c r="E66" s="50">
        <v>10</v>
      </c>
      <c r="F66" s="50">
        <v>35</v>
      </c>
      <c r="G66" s="50">
        <v>4</v>
      </c>
      <c r="H66" s="50">
        <v>1</v>
      </c>
      <c r="I66" s="50">
        <v>12</v>
      </c>
      <c r="J66" s="50">
        <v>7</v>
      </c>
      <c r="K66" s="50">
        <v>3</v>
      </c>
      <c r="L66" s="50">
        <v>8</v>
      </c>
      <c r="M66" s="50">
        <v>123</v>
      </c>
      <c r="N66" s="50">
        <v>0</v>
      </c>
      <c r="O66" s="15">
        <f t="shared" si="0"/>
        <v>154</v>
      </c>
      <c r="P66" s="15">
        <f t="shared" si="1"/>
        <v>277</v>
      </c>
      <c r="R66" s="8"/>
      <c r="T66"/>
    </row>
    <row r="67" spans="2:20" ht="23.1" customHeight="1" x14ac:dyDescent="0.25">
      <c r="B67" s="45" t="s">
        <v>104</v>
      </c>
      <c r="C67" s="50">
        <v>51</v>
      </c>
      <c r="D67" s="50">
        <v>10</v>
      </c>
      <c r="E67" s="50">
        <v>0</v>
      </c>
      <c r="F67" s="50">
        <v>44</v>
      </c>
      <c r="G67" s="50">
        <v>2</v>
      </c>
      <c r="H67" s="50">
        <v>2</v>
      </c>
      <c r="I67" s="50">
        <v>9</v>
      </c>
      <c r="J67" s="50">
        <v>11</v>
      </c>
      <c r="K67" s="50">
        <v>2</v>
      </c>
      <c r="L67" s="50">
        <v>7</v>
      </c>
      <c r="M67" s="50">
        <v>113</v>
      </c>
      <c r="N67" s="50">
        <v>0</v>
      </c>
      <c r="O67" s="15">
        <f t="shared" si="0"/>
        <v>138</v>
      </c>
      <c r="P67" s="15">
        <f t="shared" si="1"/>
        <v>251</v>
      </c>
      <c r="R67" s="8"/>
      <c r="T67"/>
    </row>
    <row r="68" spans="2:20" ht="23.1" customHeight="1" x14ac:dyDescent="0.25">
      <c r="B68" s="45" t="s">
        <v>105</v>
      </c>
      <c r="C68" s="50">
        <v>31</v>
      </c>
      <c r="D68" s="50">
        <v>8</v>
      </c>
      <c r="E68" s="50">
        <v>5</v>
      </c>
      <c r="F68" s="50">
        <v>33</v>
      </c>
      <c r="G68" s="50">
        <v>5</v>
      </c>
      <c r="H68" s="50">
        <v>0</v>
      </c>
      <c r="I68" s="50">
        <v>6</v>
      </c>
      <c r="J68" s="50">
        <v>0</v>
      </c>
      <c r="K68" s="50">
        <v>4</v>
      </c>
      <c r="L68" s="50">
        <v>0</v>
      </c>
      <c r="M68" s="50">
        <v>95</v>
      </c>
      <c r="N68" s="50">
        <v>0</v>
      </c>
      <c r="O68" s="15">
        <f t="shared" si="0"/>
        <v>92</v>
      </c>
      <c r="P68" s="15">
        <f t="shared" si="1"/>
        <v>187</v>
      </c>
      <c r="R68" s="8"/>
      <c r="T68"/>
    </row>
    <row r="69" spans="2:20" ht="23.1" customHeight="1" x14ac:dyDescent="0.25">
      <c r="B69" s="45" t="s">
        <v>106</v>
      </c>
      <c r="C69" s="50">
        <v>58</v>
      </c>
      <c r="D69" s="50">
        <v>13</v>
      </c>
      <c r="E69" s="50">
        <v>9</v>
      </c>
      <c r="F69" s="50">
        <v>50</v>
      </c>
      <c r="G69" s="50">
        <v>6</v>
      </c>
      <c r="H69" s="50">
        <v>1</v>
      </c>
      <c r="I69" s="50">
        <v>7</v>
      </c>
      <c r="J69" s="50">
        <v>5</v>
      </c>
      <c r="K69" s="50">
        <v>4</v>
      </c>
      <c r="L69" s="50">
        <v>10</v>
      </c>
      <c r="M69" s="50">
        <v>133</v>
      </c>
      <c r="N69" s="50">
        <v>0</v>
      </c>
      <c r="O69" s="15">
        <f t="shared" si="0"/>
        <v>163</v>
      </c>
      <c r="P69" s="15">
        <f t="shared" si="1"/>
        <v>296</v>
      </c>
      <c r="R69" s="8"/>
      <c r="T69"/>
    </row>
    <row r="70" spans="2:20" ht="23.1" customHeight="1" x14ac:dyDescent="0.25">
      <c r="B70" s="45" t="s">
        <v>110</v>
      </c>
      <c r="C70" s="50">
        <v>38</v>
      </c>
      <c r="D70" s="50">
        <v>6</v>
      </c>
      <c r="E70" s="50">
        <v>4</v>
      </c>
      <c r="F70" s="50">
        <v>38</v>
      </c>
      <c r="G70" s="50">
        <v>8</v>
      </c>
      <c r="H70" s="50">
        <v>0</v>
      </c>
      <c r="I70" s="50">
        <v>0</v>
      </c>
      <c r="J70" s="50">
        <v>5</v>
      </c>
      <c r="K70" s="50">
        <v>6</v>
      </c>
      <c r="L70" s="50">
        <v>2</v>
      </c>
      <c r="M70" s="50">
        <v>98</v>
      </c>
      <c r="N70" s="50">
        <v>0</v>
      </c>
      <c r="O70" s="15">
        <f t="shared" si="0"/>
        <v>107</v>
      </c>
      <c r="P70" s="15">
        <f t="shared" si="1"/>
        <v>205</v>
      </c>
      <c r="R70" s="8"/>
      <c r="T70"/>
    </row>
    <row r="71" spans="2:20" ht="23.1" customHeight="1" x14ac:dyDescent="0.25">
      <c r="B71" s="45" t="s">
        <v>111</v>
      </c>
      <c r="C71" s="50">
        <v>51</v>
      </c>
      <c r="D71" s="50">
        <v>10</v>
      </c>
      <c r="E71" s="50">
        <v>5</v>
      </c>
      <c r="F71" s="50">
        <v>53</v>
      </c>
      <c r="G71" s="50">
        <v>2</v>
      </c>
      <c r="H71" s="50">
        <v>2</v>
      </c>
      <c r="I71" s="50">
        <v>6</v>
      </c>
      <c r="J71" s="50">
        <v>5</v>
      </c>
      <c r="K71" s="50">
        <v>1</v>
      </c>
      <c r="L71" s="50">
        <v>7</v>
      </c>
      <c r="M71" s="50">
        <v>84</v>
      </c>
      <c r="N71" s="50">
        <v>0</v>
      </c>
      <c r="O71" s="15">
        <f t="shared" si="0"/>
        <v>142</v>
      </c>
      <c r="P71" s="15">
        <f t="shared" si="1"/>
        <v>226</v>
      </c>
      <c r="R71" s="8"/>
      <c r="T71"/>
    </row>
    <row r="72" spans="2:20" ht="23.1" customHeight="1" x14ac:dyDescent="0.25">
      <c r="B72" s="45" t="s">
        <v>112</v>
      </c>
      <c r="C72" s="50">
        <v>48</v>
      </c>
      <c r="D72" s="50">
        <v>4</v>
      </c>
      <c r="E72" s="50">
        <v>5</v>
      </c>
      <c r="F72" s="50">
        <v>36</v>
      </c>
      <c r="G72" s="50">
        <v>9</v>
      </c>
      <c r="H72" s="50">
        <v>1</v>
      </c>
      <c r="I72" s="50">
        <v>4</v>
      </c>
      <c r="J72" s="50">
        <v>5</v>
      </c>
      <c r="K72" s="50">
        <v>0</v>
      </c>
      <c r="L72" s="50">
        <v>8</v>
      </c>
      <c r="M72" s="50">
        <v>87</v>
      </c>
      <c r="N72" s="50">
        <v>0</v>
      </c>
      <c r="O72" s="15">
        <f t="shared" si="0"/>
        <v>120</v>
      </c>
      <c r="P72" s="15">
        <f t="shared" si="1"/>
        <v>207</v>
      </c>
      <c r="R72" s="8"/>
      <c r="T72"/>
    </row>
    <row r="73" spans="2:20" ht="23.1" customHeight="1" x14ac:dyDescent="0.25">
      <c r="B73" s="45" t="s">
        <v>113</v>
      </c>
      <c r="C73" s="50">
        <v>58</v>
      </c>
      <c r="D73" s="50">
        <v>19</v>
      </c>
      <c r="E73" s="50">
        <v>6</v>
      </c>
      <c r="F73" s="50">
        <v>50</v>
      </c>
      <c r="G73" s="50">
        <v>5</v>
      </c>
      <c r="H73" s="50">
        <v>0</v>
      </c>
      <c r="I73" s="50">
        <v>7</v>
      </c>
      <c r="J73" s="50">
        <v>6</v>
      </c>
      <c r="K73" s="50">
        <v>2</v>
      </c>
      <c r="L73" s="50">
        <v>3</v>
      </c>
      <c r="M73" s="50">
        <v>62</v>
      </c>
      <c r="N73" s="50">
        <v>0</v>
      </c>
      <c r="O73" s="15">
        <f t="shared" si="0"/>
        <v>156</v>
      </c>
      <c r="P73" s="15">
        <f t="shared" si="1"/>
        <v>218</v>
      </c>
      <c r="R73" s="8"/>
      <c r="T73"/>
    </row>
    <row r="74" spans="2:20" ht="23.1" customHeight="1" x14ac:dyDescent="0.25">
      <c r="B74" s="45" t="s">
        <v>114</v>
      </c>
      <c r="C74" s="50">
        <v>61</v>
      </c>
      <c r="D74" s="50">
        <v>123</v>
      </c>
      <c r="E74" s="50">
        <v>8</v>
      </c>
      <c r="F74" s="50">
        <v>25</v>
      </c>
      <c r="G74" s="50">
        <v>4</v>
      </c>
      <c r="H74" s="50">
        <v>2</v>
      </c>
      <c r="I74" s="50">
        <v>8</v>
      </c>
      <c r="J74" s="50">
        <v>4</v>
      </c>
      <c r="K74" s="50">
        <v>2</v>
      </c>
      <c r="L74" s="50">
        <v>5</v>
      </c>
      <c r="M74" s="50">
        <v>65</v>
      </c>
      <c r="N74" s="50">
        <v>0</v>
      </c>
      <c r="O74" s="15">
        <f t="shared" ref="O74:O105" si="35">SUM(C74:L74,N74)</f>
        <v>242</v>
      </c>
      <c r="P74" s="15">
        <f t="shared" ref="P74:P105" si="36">SUM(C74:N74)</f>
        <v>307</v>
      </c>
      <c r="R74" s="8"/>
      <c r="T74"/>
    </row>
    <row r="75" spans="2:20" ht="23.1" customHeight="1" x14ac:dyDescent="0.25">
      <c r="B75" s="45" t="s">
        <v>115</v>
      </c>
      <c r="C75" s="50">
        <v>54</v>
      </c>
      <c r="D75" s="50">
        <v>10</v>
      </c>
      <c r="E75" s="50">
        <v>5</v>
      </c>
      <c r="F75" s="50">
        <v>30</v>
      </c>
      <c r="G75" s="50">
        <v>4</v>
      </c>
      <c r="H75" s="50">
        <v>2</v>
      </c>
      <c r="I75" s="50">
        <v>7</v>
      </c>
      <c r="J75" s="50">
        <v>5</v>
      </c>
      <c r="K75" s="50">
        <v>0</v>
      </c>
      <c r="L75" s="50">
        <v>6</v>
      </c>
      <c r="M75" s="50">
        <v>47</v>
      </c>
      <c r="N75" s="50">
        <v>0</v>
      </c>
      <c r="O75" s="15">
        <f t="shared" si="35"/>
        <v>123</v>
      </c>
      <c r="P75" s="15">
        <f t="shared" si="36"/>
        <v>170</v>
      </c>
      <c r="R75" s="8"/>
      <c r="T75"/>
    </row>
    <row r="76" spans="2:20" ht="23.1" customHeight="1" x14ac:dyDescent="0.25">
      <c r="B76" s="45" t="s">
        <v>116</v>
      </c>
      <c r="C76" s="50">
        <v>30</v>
      </c>
      <c r="D76" s="50">
        <v>8</v>
      </c>
      <c r="E76" s="50">
        <v>4</v>
      </c>
      <c r="F76" s="50">
        <v>26</v>
      </c>
      <c r="G76" s="50">
        <v>4</v>
      </c>
      <c r="H76" s="50">
        <v>1</v>
      </c>
      <c r="I76" s="50">
        <v>8</v>
      </c>
      <c r="J76" s="50">
        <v>5</v>
      </c>
      <c r="K76" s="50">
        <v>0</v>
      </c>
      <c r="L76" s="50">
        <v>5</v>
      </c>
      <c r="M76" s="50">
        <v>56</v>
      </c>
      <c r="N76" s="50">
        <v>0</v>
      </c>
      <c r="O76" s="15">
        <f t="shared" si="35"/>
        <v>91</v>
      </c>
      <c r="P76" s="15">
        <f t="shared" si="36"/>
        <v>147</v>
      </c>
      <c r="R76" s="8"/>
      <c r="T76"/>
    </row>
    <row r="77" spans="2:20" ht="23.1" customHeight="1" x14ac:dyDescent="0.25">
      <c r="B77" s="45" t="s">
        <v>117</v>
      </c>
      <c r="C77" s="50">
        <v>45</v>
      </c>
      <c r="D77" s="50">
        <v>5</v>
      </c>
      <c r="E77" s="50">
        <v>17</v>
      </c>
      <c r="F77" s="50">
        <v>1</v>
      </c>
      <c r="G77" s="50">
        <v>0</v>
      </c>
      <c r="H77" s="50">
        <v>5</v>
      </c>
      <c r="I77" s="50">
        <v>3</v>
      </c>
      <c r="J77" s="50">
        <v>1</v>
      </c>
      <c r="K77" s="50">
        <v>4</v>
      </c>
      <c r="L77" s="50">
        <v>0</v>
      </c>
      <c r="M77" s="50">
        <v>42</v>
      </c>
      <c r="N77" s="50">
        <v>0</v>
      </c>
      <c r="O77" s="15">
        <f t="shared" si="35"/>
        <v>81</v>
      </c>
      <c r="P77" s="15">
        <f t="shared" si="36"/>
        <v>123</v>
      </c>
      <c r="R77" s="8"/>
      <c r="T77"/>
    </row>
    <row r="78" spans="2:20" ht="23.1" customHeight="1" x14ac:dyDescent="0.25">
      <c r="B78" s="46" t="s">
        <v>118</v>
      </c>
      <c r="C78" s="50">
        <v>51</v>
      </c>
      <c r="D78" s="50">
        <v>6</v>
      </c>
      <c r="E78" s="50">
        <v>3</v>
      </c>
      <c r="F78" s="50">
        <v>15</v>
      </c>
      <c r="G78" s="50">
        <v>3</v>
      </c>
      <c r="H78" s="50">
        <v>0</v>
      </c>
      <c r="I78" s="50">
        <v>7</v>
      </c>
      <c r="J78" s="50">
        <v>2</v>
      </c>
      <c r="K78" s="50">
        <v>0</v>
      </c>
      <c r="L78" s="50">
        <v>3</v>
      </c>
      <c r="M78" s="50">
        <v>43</v>
      </c>
      <c r="N78" s="50">
        <v>0</v>
      </c>
      <c r="O78" s="15">
        <f t="shared" si="35"/>
        <v>90</v>
      </c>
      <c r="P78" s="15">
        <f t="shared" si="36"/>
        <v>133</v>
      </c>
      <c r="R78" s="8"/>
      <c r="T78"/>
    </row>
    <row r="79" spans="2:20" ht="23.1" customHeight="1" x14ac:dyDescent="0.25">
      <c r="B79" s="45" t="s">
        <v>119</v>
      </c>
      <c r="C79" s="50">
        <v>41</v>
      </c>
      <c r="D79" s="50">
        <v>5</v>
      </c>
      <c r="E79" s="50">
        <v>1</v>
      </c>
      <c r="F79" s="50">
        <v>12</v>
      </c>
      <c r="G79" s="50">
        <v>2</v>
      </c>
      <c r="H79" s="50">
        <v>2</v>
      </c>
      <c r="I79" s="50">
        <v>5</v>
      </c>
      <c r="J79" s="50">
        <v>8</v>
      </c>
      <c r="K79" s="50">
        <v>2</v>
      </c>
      <c r="L79" s="50">
        <v>5</v>
      </c>
      <c r="M79" s="50">
        <v>27</v>
      </c>
      <c r="N79" s="50">
        <v>0</v>
      </c>
      <c r="O79" s="15">
        <f t="shared" si="35"/>
        <v>83</v>
      </c>
      <c r="P79" s="15">
        <f t="shared" si="36"/>
        <v>110</v>
      </c>
      <c r="R79" s="8"/>
      <c r="T79"/>
    </row>
    <row r="80" spans="2:20" ht="23.1" customHeight="1" x14ac:dyDescent="0.25">
      <c r="B80" s="47" t="s">
        <v>120</v>
      </c>
      <c r="C80" s="50">
        <v>30</v>
      </c>
      <c r="D80" s="50">
        <v>4</v>
      </c>
      <c r="E80" s="50">
        <v>1</v>
      </c>
      <c r="F80" s="50">
        <v>9</v>
      </c>
      <c r="G80" s="50">
        <v>4</v>
      </c>
      <c r="H80" s="50">
        <v>0</v>
      </c>
      <c r="I80" s="50">
        <v>0</v>
      </c>
      <c r="J80" s="50">
        <v>0</v>
      </c>
      <c r="K80" s="50">
        <v>2</v>
      </c>
      <c r="L80" s="50">
        <v>1</v>
      </c>
      <c r="M80" s="50">
        <v>32</v>
      </c>
      <c r="N80" s="50">
        <v>0</v>
      </c>
      <c r="O80" s="15">
        <f t="shared" si="35"/>
        <v>51</v>
      </c>
      <c r="P80" s="15">
        <f t="shared" si="36"/>
        <v>83</v>
      </c>
      <c r="R80" s="8"/>
      <c r="T80"/>
    </row>
    <row r="81" spans="2:20" ht="23.1" customHeight="1" x14ac:dyDescent="0.25">
      <c r="B81" s="45" t="s">
        <v>121</v>
      </c>
      <c r="C81" s="50">
        <v>23</v>
      </c>
      <c r="D81" s="50">
        <v>6</v>
      </c>
      <c r="E81" s="50">
        <v>2</v>
      </c>
      <c r="F81" s="50">
        <v>12</v>
      </c>
      <c r="G81" s="50">
        <v>2</v>
      </c>
      <c r="H81" s="50">
        <v>0</v>
      </c>
      <c r="I81" s="50">
        <v>5</v>
      </c>
      <c r="J81" s="50">
        <v>10</v>
      </c>
      <c r="K81" s="50">
        <v>2</v>
      </c>
      <c r="L81" s="50">
        <v>7</v>
      </c>
      <c r="M81" s="50">
        <v>26</v>
      </c>
      <c r="N81" s="50">
        <v>0</v>
      </c>
      <c r="O81" s="15">
        <f t="shared" si="35"/>
        <v>69</v>
      </c>
      <c r="P81" s="15">
        <f t="shared" si="36"/>
        <v>95</v>
      </c>
      <c r="R81" s="8"/>
      <c r="T81"/>
    </row>
    <row r="82" spans="2:20" ht="23.1" customHeight="1" x14ac:dyDescent="0.25">
      <c r="B82" s="46" t="s">
        <v>122</v>
      </c>
      <c r="C82" s="50">
        <v>18</v>
      </c>
      <c r="D82" s="50">
        <v>5</v>
      </c>
      <c r="E82" s="50">
        <v>6</v>
      </c>
      <c r="F82" s="50">
        <v>7</v>
      </c>
      <c r="G82" s="50">
        <v>1</v>
      </c>
      <c r="H82" s="50">
        <v>0</v>
      </c>
      <c r="I82" s="50">
        <v>6</v>
      </c>
      <c r="J82" s="50">
        <v>6</v>
      </c>
      <c r="K82" s="50">
        <v>1</v>
      </c>
      <c r="L82" s="50">
        <v>11</v>
      </c>
      <c r="M82" s="50">
        <v>24</v>
      </c>
      <c r="N82" s="50">
        <v>0</v>
      </c>
      <c r="O82" s="15">
        <f t="shared" si="35"/>
        <v>61</v>
      </c>
      <c r="P82" s="15">
        <f t="shared" si="36"/>
        <v>85</v>
      </c>
      <c r="R82" s="8"/>
      <c r="T82"/>
    </row>
    <row r="83" spans="2:20" ht="23.1" customHeight="1" x14ac:dyDescent="0.25">
      <c r="B83" s="45" t="s">
        <v>123</v>
      </c>
      <c r="C83" s="50">
        <v>11</v>
      </c>
      <c r="D83" s="50">
        <v>3</v>
      </c>
      <c r="E83" s="50">
        <v>3</v>
      </c>
      <c r="F83" s="50">
        <v>7</v>
      </c>
      <c r="G83" s="50">
        <v>0</v>
      </c>
      <c r="H83" s="50">
        <v>0</v>
      </c>
      <c r="I83" s="50">
        <v>5</v>
      </c>
      <c r="J83" s="50">
        <v>7</v>
      </c>
      <c r="K83" s="50">
        <v>1</v>
      </c>
      <c r="L83" s="50">
        <v>6</v>
      </c>
      <c r="M83" s="50">
        <v>24</v>
      </c>
      <c r="N83" s="50">
        <v>0</v>
      </c>
      <c r="O83" s="15">
        <f t="shared" si="35"/>
        <v>43</v>
      </c>
      <c r="P83" s="15">
        <f t="shared" si="36"/>
        <v>67</v>
      </c>
      <c r="R83" s="8"/>
      <c r="T83"/>
    </row>
    <row r="84" spans="2:20" ht="23.1" customHeight="1" x14ac:dyDescent="0.25">
      <c r="B84" s="47" t="s">
        <v>124</v>
      </c>
      <c r="C84" s="50">
        <v>9</v>
      </c>
      <c r="D84" s="50">
        <v>1</v>
      </c>
      <c r="E84" s="50">
        <v>2</v>
      </c>
      <c r="F84" s="50">
        <v>5</v>
      </c>
      <c r="G84" s="50">
        <v>1</v>
      </c>
      <c r="H84" s="50">
        <v>1</v>
      </c>
      <c r="I84" s="50">
        <v>1</v>
      </c>
      <c r="J84" s="50">
        <v>3</v>
      </c>
      <c r="K84" s="50">
        <v>0</v>
      </c>
      <c r="L84" s="50">
        <v>4</v>
      </c>
      <c r="M84" s="50">
        <v>14</v>
      </c>
      <c r="N84" s="50">
        <v>1</v>
      </c>
      <c r="O84" s="15">
        <f t="shared" si="35"/>
        <v>28</v>
      </c>
      <c r="P84" s="15">
        <f t="shared" si="36"/>
        <v>42</v>
      </c>
      <c r="R84" s="8"/>
      <c r="T84"/>
    </row>
    <row r="85" spans="2:20" ht="23.1" customHeight="1" x14ac:dyDescent="0.25">
      <c r="B85" s="45" t="s">
        <v>125</v>
      </c>
      <c r="C85" s="50">
        <v>17</v>
      </c>
      <c r="D85" s="50">
        <v>4</v>
      </c>
      <c r="E85" s="50">
        <v>1</v>
      </c>
      <c r="F85" s="50">
        <v>5</v>
      </c>
      <c r="G85" s="50">
        <v>0</v>
      </c>
      <c r="H85" s="50">
        <v>1</v>
      </c>
      <c r="I85" s="50">
        <v>4</v>
      </c>
      <c r="J85" s="50">
        <v>5</v>
      </c>
      <c r="K85" s="50">
        <v>2</v>
      </c>
      <c r="L85" s="50">
        <v>5</v>
      </c>
      <c r="M85" s="50">
        <v>14</v>
      </c>
      <c r="N85" s="50">
        <v>0</v>
      </c>
      <c r="O85" s="15">
        <f t="shared" si="35"/>
        <v>44</v>
      </c>
      <c r="P85" s="15">
        <f t="shared" si="36"/>
        <v>58</v>
      </c>
      <c r="R85" s="8"/>
      <c r="T85"/>
    </row>
    <row r="86" spans="2:20" ht="23.1" customHeight="1" x14ac:dyDescent="0.25">
      <c r="B86" s="46" t="s">
        <v>126</v>
      </c>
      <c r="C86" s="50">
        <v>7</v>
      </c>
      <c r="D86" s="50">
        <v>0</v>
      </c>
      <c r="E86" s="50">
        <v>0</v>
      </c>
      <c r="F86" s="50">
        <v>5</v>
      </c>
      <c r="G86" s="50">
        <v>1</v>
      </c>
      <c r="H86" s="50">
        <v>1</v>
      </c>
      <c r="I86" s="50">
        <v>6</v>
      </c>
      <c r="J86" s="50">
        <v>7</v>
      </c>
      <c r="K86" s="50">
        <v>2</v>
      </c>
      <c r="L86" s="50">
        <v>3</v>
      </c>
      <c r="M86" s="50">
        <v>11</v>
      </c>
      <c r="N86" s="50">
        <v>0</v>
      </c>
      <c r="O86" s="15">
        <f t="shared" si="35"/>
        <v>32</v>
      </c>
      <c r="P86" s="15">
        <f t="shared" si="36"/>
        <v>43</v>
      </c>
      <c r="R86" s="8"/>
      <c r="T86"/>
    </row>
    <row r="87" spans="2:20" ht="23.1" customHeight="1" x14ac:dyDescent="0.25">
      <c r="B87" s="45" t="s">
        <v>127</v>
      </c>
      <c r="C87" s="50">
        <v>5</v>
      </c>
      <c r="D87" s="50">
        <v>3</v>
      </c>
      <c r="E87" s="50">
        <v>0</v>
      </c>
      <c r="F87" s="50">
        <v>2</v>
      </c>
      <c r="G87" s="50">
        <v>1</v>
      </c>
      <c r="H87" s="50">
        <v>0</v>
      </c>
      <c r="I87" s="50">
        <v>2</v>
      </c>
      <c r="J87" s="50">
        <v>4</v>
      </c>
      <c r="K87" s="50">
        <v>0</v>
      </c>
      <c r="L87" s="50">
        <v>2</v>
      </c>
      <c r="M87" s="50">
        <v>14</v>
      </c>
      <c r="N87" s="50">
        <v>0</v>
      </c>
      <c r="O87" s="15">
        <f t="shared" si="35"/>
        <v>19</v>
      </c>
      <c r="P87" s="15">
        <f t="shared" si="36"/>
        <v>33</v>
      </c>
      <c r="R87" s="8"/>
      <c r="T87"/>
    </row>
    <row r="88" spans="2:20" ht="23.1" customHeight="1" x14ac:dyDescent="0.25">
      <c r="B88" s="47" t="s">
        <v>128</v>
      </c>
      <c r="C88" s="50">
        <v>9</v>
      </c>
      <c r="D88" s="50">
        <v>2</v>
      </c>
      <c r="E88" s="50">
        <v>0</v>
      </c>
      <c r="F88" s="50">
        <v>2</v>
      </c>
      <c r="G88" s="50">
        <v>0</v>
      </c>
      <c r="H88" s="50">
        <v>1</v>
      </c>
      <c r="I88" s="50">
        <v>1</v>
      </c>
      <c r="J88" s="50">
        <v>4</v>
      </c>
      <c r="K88" s="50">
        <v>2</v>
      </c>
      <c r="L88" s="50">
        <v>6</v>
      </c>
      <c r="M88" s="50">
        <v>9</v>
      </c>
      <c r="N88" s="50">
        <v>0</v>
      </c>
      <c r="O88" s="15">
        <f t="shared" si="35"/>
        <v>27</v>
      </c>
      <c r="P88" s="15">
        <f t="shared" si="36"/>
        <v>36</v>
      </c>
      <c r="R88" s="8"/>
      <c r="T88"/>
    </row>
    <row r="89" spans="2:20" ht="23.1" customHeight="1" x14ac:dyDescent="0.25">
      <c r="B89" s="45" t="s">
        <v>129</v>
      </c>
      <c r="C89" s="50">
        <v>10</v>
      </c>
      <c r="D89" s="50">
        <v>4</v>
      </c>
      <c r="E89" s="50">
        <v>1</v>
      </c>
      <c r="F89" s="50">
        <v>3</v>
      </c>
      <c r="G89" s="50">
        <v>0</v>
      </c>
      <c r="H89" s="50">
        <v>1</v>
      </c>
      <c r="I89" s="50">
        <v>4</v>
      </c>
      <c r="J89" s="50">
        <v>4</v>
      </c>
      <c r="K89" s="50">
        <v>3</v>
      </c>
      <c r="L89" s="50">
        <v>0</v>
      </c>
      <c r="M89" s="50">
        <v>13</v>
      </c>
      <c r="N89" s="50">
        <v>0</v>
      </c>
      <c r="O89" s="15">
        <f t="shared" si="35"/>
        <v>30</v>
      </c>
      <c r="P89" s="15">
        <f t="shared" si="36"/>
        <v>43</v>
      </c>
      <c r="R89" s="8"/>
      <c r="T89"/>
    </row>
    <row r="90" spans="2:20" ht="23.1" customHeight="1" x14ac:dyDescent="0.25">
      <c r="B90" s="46" t="s">
        <v>130</v>
      </c>
      <c r="C90" s="50">
        <v>4</v>
      </c>
      <c r="D90" s="50">
        <v>3</v>
      </c>
      <c r="E90" s="50">
        <v>0</v>
      </c>
      <c r="F90" s="50">
        <v>2</v>
      </c>
      <c r="G90" s="50">
        <v>1</v>
      </c>
      <c r="H90" s="50">
        <v>1</v>
      </c>
      <c r="I90" s="50">
        <v>1</v>
      </c>
      <c r="J90" s="50">
        <v>4</v>
      </c>
      <c r="K90" s="50">
        <v>1</v>
      </c>
      <c r="L90" s="50">
        <v>2</v>
      </c>
      <c r="M90" s="50">
        <v>9</v>
      </c>
      <c r="N90" s="50">
        <v>0</v>
      </c>
      <c r="O90" s="15">
        <f t="shared" si="35"/>
        <v>19</v>
      </c>
      <c r="P90" s="15">
        <f t="shared" si="36"/>
        <v>28</v>
      </c>
      <c r="R90" s="8"/>
      <c r="T90"/>
    </row>
    <row r="91" spans="2:20" ht="23.1" customHeight="1" x14ac:dyDescent="0.25">
      <c r="B91" s="45" t="s">
        <v>131</v>
      </c>
      <c r="C91" s="50">
        <v>5</v>
      </c>
      <c r="D91" s="50">
        <v>2</v>
      </c>
      <c r="E91" s="50">
        <v>0</v>
      </c>
      <c r="F91" s="50">
        <v>6</v>
      </c>
      <c r="G91" s="50">
        <v>1</v>
      </c>
      <c r="H91" s="50">
        <v>0</v>
      </c>
      <c r="I91" s="50">
        <v>2</v>
      </c>
      <c r="J91" s="50">
        <v>7</v>
      </c>
      <c r="K91" s="50">
        <v>0</v>
      </c>
      <c r="L91" s="50">
        <v>2</v>
      </c>
      <c r="M91" s="50">
        <v>7</v>
      </c>
      <c r="N91" s="50">
        <v>0</v>
      </c>
      <c r="O91" s="15">
        <f t="shared" si="35"/>
        <v>25</v>
      </c>
      <c r="P91" s="15">
        <f t="shared" si="36"/>
        <v>32</v>
      </c>
      <c r="R91" s="8"/>
      <c r="T91"/>
    </row>
    <row r="92" spans="2:20" ht="23.1" customHeight="1" x14ac:dyDescent="0.25">
      <c r="B92" s="47" t="s">
        <v>132</v>
      </c>
      <c r="C92" s="50">
        <v>3</v>
      </c>
      <c r="D92" s="50">
        <v>1</v>
      </c>
      <c r="E92" s="50">
        <v>2</v>
      </c>
      <c r="F92" s="50">
        <v>0</v>
      </c>
      <c r="G92" s="50">
        <v>0</v>
      </c>
      <c r="H92" s="50">
        <v>0</v>
      </c>
      <c r="I92" s="50">
        <v>1</v>
      </c>
      <c r="J92" s="50">
        <v>9</v>
      </c>
      <c r="K92" s="50">
        <v>0</v>
      </c>
      <c r="L92" s="50">
        <v>4</v>
      </c>
      <c r="M92" s="50">
        <v>6</v>
      </c>
      <c r="N92" s="50">
        <v>0</v>
      </c>
      <c r="O92" s="15">
        <f t="shared" si="35"/>
        <v>20</v>
      </c>
      <c r="P92" s="15">
        <f t="shared" si="36"/>
        <v>26</v>
      </c>
      <c r="R92" s="8"/>
      <c r="T92"/>
    </row>
    <row r="93" spans="2:20" ht="23.1" customHeight="1" x14ac:dyDescent="0.25">
      <c r="B93" s="45" t="s">
        <v>133</v>
      </c>
      <c r="C93" s="50">
        <v>4</v>
      </c>
      <c r="D93" s="50">
        <v>3</v>
      </c>
      <c r="E93" s="50">
        <v>2</v>
      </c>
      <c r="F93" s="50">
        <v>3</v>
      </c>
      <c r="G93" s="50">
        <v>0</v>
      </c>
      <c r="H93" s="50">
        <v>0</v>
      </c>
      <c r="I93" s="50">
        <v>0</v>
      </c>
      <c r="J93" s="50">
        <v>5</v>
      </c>
      <c r="K93" s="50">
        <v>4</v>
      </c>
      <c r="L93" s="50">
        <v>0</v>
      </c>
      <c r="M93" s="50">
        <v>15</v>
      </c>
      <c r="N93" s="50">
        <v>0</v>
      </c>
      <c r="O93" s="15">
        <f t="shared" si="35"/>
        <v>21</v>
      </c>
      <c r="P93" s="15">
        <f t="shared" si="36"/>
        <v>36</v>
      </c>
      <c r="R93" s="8"/>
      <c r="T93"/>
    </row>
    <row r="94" spans="2:20" ht="23.1" customHeight="1" x14ac:dyDescent="0.25">
      <c r="B94" s="46" t="s">
        <v>134</v>
      </c>
      <c r="C94" s="50">
        <v>8</v>
      </c>
      <c r="D94" s="50">
        <v>2</v>
      </c>
      <c r="E94" s="50">
        <v>0</v>
      </c>
      <c r="F94" s="50">
        <v>4</v>
      </c>
      <c r="G94" s="50">
        <v>0</v>
      </c>
      <c r="H94" s="50">
        <v>0</v>
      </c>
      <c r="I94" s="50">
        <v>2</v>
      </c>
      <c r="J94" s="50">
        <v>7</v>
      </c>
      <c r="K94" s="50">
        <v>0</v>
      </c>
      <c r="L94" s="50">
        <v>2</v>
      </c>
      <c r="M94" s="50">
        <v>10</v>
      </c>
      <c r="N94" s="50">
        <v>0</v>
      </c>
      <c r="O94" s="15">
        <f t="shared" si="35"/>
        <v>25</v>
      </c>
      <c r="P94" s="15">
        <f t="shared" si="36"/>
        <v>35</v>
      </c>
      <c r="R94" s="8"/>
      <c r="T94"/>
    </row>
    <row r="95" spans="2:20" ht="23.1" customHeight="1" x14ac:dyDescent="0.25">
      <c r="B95" s="45" t="s">
        <v>135</v>
      </c>
      <c r="C95" s="50">
        <v>9</v>
      </c>
      <c r="D95" s="50">
        <v>2</v>
      </c>
      <c r="E95" s="50">
        <v>0</v>
      </c>
      <c r="F95" s="50">
        <v>4</v>
      </c>
      <c r="G95" s="50">
        <v>0</v>
      </c>
      <c r="H95" s="50">
        <v>1</v>
      </c>
      <c r="I95" s="50">
        <v>0</v>
      </c>
      <c r="J95" s="50">
        <v>6</v>
      </c>
      <c r="K95" s="50">
        <v>1</v>
      </c>
      <c r="L95" s="50">
        <v>1</v>
      </c>
      <c r="M95" s="50">
        <v>14</v>
      </c>
      <c r="N95" s="50">
        <v>0</v>
      </c>
      <c r="O95" s="15">
        <f t="shared" si="35"/>
        <v>24</v>
      </c>
      <c r="P95" s="15">
        <f t="shared" si="36"/>
        <v>38</v>
      </c>
      <c r="R95" s="8"/>
      <c r="T95"/>
    </row>
    <row r="96" spans="2:20" ht="23.1" customHeight="1" x14ac:dyDescent="0.25">
      <c r="B96" s="47" t="s">
        <v>136</v>
      </c>
      <c r="C96" s="50">
        <v>12</v>
      </c>
      <c r="D96" s="50">
        <v>0</v>
      </c>
      <c r="E96" s="50">
        <v>0</v>
      </c>
      <c r="F96" s="50">
        <v>9</v>
      </c>
      <c r="G96" s="50">
        <v>0</v>
      </c>
      <c r="H96" s="50">
        <v>0</v>
      </c>
      <c r="I96" s="50">
        <v>2</v>
      </c>
      <c r="J96" s="50">
        <v>7</v>
      </c>
      <c r="K96" s="50">
        <v>0</v>
      </c>
      <c r="L96" s="50">
        <v>3</v>
      </c>
      <c r="M96" s="50">
        <v>9</v>
      </c>
      <c r="N96" s="50">
        <v>0</v>
      </c>
      <c r="O96" s="15">
        <f t="shared" si="35"/>
        <v>33</v>
      </c>
      <c r="P96" s="15">
        <f t="shared" si="36"/>
        <v>42</v>
      </c>
      <c r="R96" s="8"/>
      <c r="T96"/>
    </row>
    <row r="97" spans="2:20" ht="23.1" customHeight="1" x14ac:dyDescent="0.25">
      <c r="B97" s="45" t="s">
        <v>137</v>
      </c>
      <c r="C97" s="50">
        <v>4</v>
      </c>
      <c r="D97" s="50">
        <v>4</v>
      </c>
      <c r="E97" s="50">
        <v>0</v>
      </c>
      <c r="F97" s="50">
        <v>7</v>
      </c>
      <c r="G97" s="50">
        <v>1</v>
      </c>
      <c r="H97" s="50">
        <v>0</v>
      </c>
      <c r="I97" s="50">
        <v>4</v>
      </c>
      <c r="J97" s="50">
        <v>9</v>
      </c>
      <c r="K97" s="50">
        <v>0</v>
      </c>
      <c r="L97" s="50">
        <v>9</v>
      </c>
      <c r="M97" s="50">
        <v>8</v>
      </c>
      <c r="N97" s="50">
        <v>0</v>
      </c>
      <c r="O97" s="15">
        <f t="shared" si="35"/>
        <v>38</v>
      </c>
      <c r="P97" s="15">
        <f t="shared" si="36"/>
        <v>46</v>
      </c>
      <c r="R97" s="8"/>
      <c r="T97"/>
    </row>
    <row r="98" spans="2:20" ht="23.1" customHeight="1" x14ac:dyDescent="0.25">
      <c r="B98" s="46" t="s">
        <v>138</v>
      </c>
      <c r="C98" s="50">
        <v>10</v>
      </c>
      <c r="D98" s="50">
        <v>4</v>
      </c>
      <c r="E98" s="50">
        <v>0</v>
      </c>
      <c r="F98" s="50">
        <v>6</v>
      </c>
      <c r="G98" s="50">
        <v>1</v>
      </c>
      <c r="H98" s="50">
        <v>0</v>
      </c>
      <c r="I98" s="50">
        <v>3</v>
      </c>
      <c r="J98" s="50">
        <v>5</v>
      </c>
      <c r="K98" s="50">
        <v>2</v>
      </c>
      <c r="L98" s="50">
        <v>4</v>
      </c>
      <c r="M98" s="50">
        <v>10</v>
      </c>
      <c r="N98" s="50">
        <v>0</v>
      </c>
      <c r="O98" s="15">
        <f t="shared" si="35"/>
        <v>35</v>
      </c>
      <c r="P98" s="15">
        <f t="shared" si="36"/>
        <v>45</v>
      </c>
      <c r="R98" s="8"/>
      <c r="T98"/>
    </row>
    <row r="99" spans="2:20" ht="23.1" customHeight="1" x14ac:dyDescent="0.25">
      <c r="B99" s="45" t="s">
        <v>139</v>
      </c>
      <c r="C99" s="50">
        <v>8</v>
      </c>
      <c r="D99" s="50">
        <v>3</v>
      </c>
      <c r="E99" s="50">
        <v>1</v>
      </c>
      <c r="F99" s="50">
        <v>14</v>
      </c>
      <c r="G99" s="50">
        <v>1</v>
      </c>
      <c r="H99" s="50">
        <v>2</v>
      </c>
      <c r="I99" s="50">
        <v>3</v>
      </c>
      <c r="J99" s="50">
        <v>4</v>
      </c>
      <c r="K99" s="50">
        <v>0</v>
      </c>
      <c r="L99" s="50">
        <v>4</v>
      </c>
      <c r="M99" s="50">
        <v>9</v>
      </c>
      <c r="N99" s="50">
        <v>0</v>
      </c>
      <c r="O99" s="15">
        <f t="shared" si="35"/>
        <v>40</v>
      </c>
      <c r="P99" s="15">
        <f t="shared" si="36"/>
        <v>49</v>
      </c>
      <c r="R99" s="8"/>
      <c r="T99"/>
    </row>
    <row r="100" spans="2:20" ht="23.1" customHeight="1" x14ac:dyDescent="0.25">
      <c r="B100" s="47" t="s">
        <v>140</v>
      </c>
      <c r="C100" s="50">
        <v>13</v>
      </c>
      <c r="D100" s="50">
        <v>1</v>
      </c>
      <c r="E100" s="50">
        <v>1</v>
      </c>
      <c r="F100" s="50">
        <v>5</v>
      </c>
      <c r="G100" s="50">
        <v>2</v>
      </c>
      <c r="H100" s="50">
        <v>0</v>
      </c>
      <c r="I100" s="50">
        <v>3</v>
      </c>
      <c r="J100" s="50">
        <v>5</v>
      </c>
      <c r="K100" s="50">
        <v>1</v>
      </c>
      <c r="L100" s="50">
        <v>3</v>
      </c>
      <c r="M100" s="50">
        <v>9</v>
      </c>
      <c r="N100" s="50">
        <v>0</v>
      </c>
      <c r="O100" s="15">
        <f t="shared" si="35"/>
        <v>34</v>
      </c>
      <c r="P100" s="15">
        <f t="shared" si="36"/>
        <v>43</v>
      </c>
      <c r="R100" s="8"/>
      <c r="T100"/>
    </row>
    <row r="101" spans="2:20" ht="23.1" customHeight="1" x14ac:dyDescent="0.25">
      <c r="B101" s="45" t="s">
        <v>141</v>
      </c>
      <c r="C101" s="50">
        <v>18</v>
      </c>
      <c r="D101" s="50">
        <v>5</v>
      </c>
      <c r="E101" s="50">
        <v>6</v>
      </c>
      <c r="F101" s="50">
        <v>20</v>
      </c>
      <c r="G101" s="50">
        <v>1</v>
      </c>
      <c r="H101" s="50">
        <v>0</v>
      </c>
      <c r="I101" s="50">
        <v>3</v>
      </c>
      <c r="J101" s="50">
        <v>3</v>
      </c>
      <c r="K101" s="50">
        <v>2</v>
      </c>
      <c r="L101" s="50">
        <v>2</v>
      </c>
      <c r="M101" s="50">
        <v>8</v>
      </c>
      <c r="N101" s="50">
        <v>0</v>
      </c>
      <c r="O101" s="15">
        <f t="shared" si="35"/>
        <v>60</v>
      </c>
      <c r="P101" s="15">
        <f t="shared" si="36"/>
        <v>68</v>
      </c>
      <c r="R101" s="8"/>
      <c r="T101"/>
    </row>
    <row r="102" spans="2:20" ht="23.1" customHeight="1" x14ac:dyDescent="0.25">
      <c r="B102" s="46" t="s">
        <v>142</v>
      </c>
      <c r="C102" s="50">
        <v>14</v>
      </c>
      <c r="D102" s="50">
        <v>7</v>
      </c>
      <c r="E102" s="50">
        <v>4</v>
      </c>
      <c r="F102" s="50">
        <v>17</v>
      </c>
      <c r="G102" s="50">
        <v>0</v>
      </c>
      <c r="H102" s="50">
        <v>1</v>
      </c>
      <c r="I102" s="50">
        <v>7</v>
      </c>
      <c r="J102" s="50">
        <v>2</v>
      </c>
      <c r="K102" s="50">
        <v>0</v>
      </c>
      <c r="L102" s="50">
        <v>1</v>
      </c>
      <c r="M102" s="50">
        <v>20</v>
      </c>
      <c r="N102" s="50">
        <v>0</v>
      </c>
      <c r="O102" s="15">
        <f t="shared" si="35"/>
        <v>53</v>
      </c>
      <c r="P102" s="15">
        <f t="shared" si="36"/>
        <v>73</v>
      </c>
      <c r="R102" s="8"/>
      <c r="T102"/>
    </row>
    <row r="103" spans="2:20" ht="23.1" customHeight="1" x14ac:dyDescent="0.25">
      <c r="B103" s="45" t="s">
        <v>143</v>
      </c>
      <c r="C103" s="50">
        <v>15</v>
      </c>
      <c r="D103" s="50">
        <v>4</v>
      </c>
      <c r="E103" s="50">
        <v>4</v>
      </c>
      <c r="F103" s="50">
        <v>25</v>
      </c>
      <c r="G103" s="50">
        <v>0</v>
      </c>
      <c r="H103" s="50">
        <v>0</v>
      </c>
      <c r="I103" s="50">
        <v>2</v>
      </c>
      <c r="J103" s="50">
        <v>5</v>
      </c>
      <c r="K103" s="50">
        <v>0</v>
      </c>
      <c r="L103" s="50">
        <v>9</v>
      </c>
      <c r="M103" s="50">
        <v>20</v>
      </c>
      <c r="N103" s="50">
        <v>0</v>
      </c>
      <c r="O103" s="15">
        <f t="shared" si="35"/>
        <v>64</v>
      </c>
      <c r="P103" s="15">
        <f t="shared" si="36"/>
        <v>84</v>
      </c>
      <c r="R103" s="8"/>
      <c r="T103"/>
    </row>
    <row r="104" spans="2:20" ht="23.1" customHeight="1" x14ac:dyDescent="0.25">
      <c r="B104" s="47" t="s">
        <v>144</v>
      </c>
      <c r="C104" s="50">
        <v>17</v>
      </c>
      <c r="D104" s="50">
        <v>0</v>
      </c>
      <c r="E104" s="50">
        <v>3</v>
      </c>
      <c r="F104" s="50">
        <v>35</v>
      </c>
      <c r="G104" s="50">
        <v>1</v>
      </c>
      <c r="H104" s="50">
        <v>0</v>
      </c>
      <c r="I104" s="50">
        <v>11</v>
      </c>
      <c r="J104" s="50">
        <v>4</v>
      </c>
      <c r="K104" s="50">
        <v>1</v>
      </c>
      <c r="L104" s="50">
        <v>7</v>
      </c>
      <c r="M104" s="50">
        <v>34</v>
      </c>
      <c r="N104" s="50">
        <v>0</v>
      </c>
      <c r="O104" s="15">
        <f t="shared" si="35"/>
        <v>79</v>
      </c>
      <c r="P104" s="15">
        <f t="shared" si="36"/>
        <v>113</v>
      </c>
      <c r="R104" s="8"/>
      <c r="T104"/>
    </row>
    <row r="105" spans="2:20" ht="23.1" customHeight="1" x14ac:dyDescent="0.25">
      <c r="B105" s="45" t="s">
        <v>145</v>
      </c>
      <c r="C105" s="50">
        <v>19</v>
      </c>
      <c r="D105" s="50">
        <v>6</v>
      </c>
      <c r="E105" s="50">
        <v>9</v>
      </c>
      <c r="F105" s="50">
        <v>47</v>
      </c>
      <c r="G105" s="50">
        <v>1</v>
      </c>
      <c r="H105" s="50">
        <v>0</v>
      </c>
      <c r="I105" s="50">
        <v>7</v>
      </c>
      <c r="J105" s="50">
        <v>2</v>
      </c>
      <c r="K105" s="50">
        <v>2</v>
      </c>
      <c r="L105" s="50">
        <v>6</v>
      </c>
      <c r="M105" s="50">
        <v>19</v>
      </c>
      <c r="N105" s="50">
        <v>0</v>
      </c>
      <c r="O105" s="15">
        <f t="shared" si="35"/>
        <v>99</v>
      </c>
      <c r="P105" s="15">
        <f t="shared" si="36"/>
        <v>118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4265</v>
      </c>
      <c r="D106" s="16">
        <f t="shared" ref="D106:P106" si="37">SUM(D10:D105)</f>
        <v>799</v>
      </c>
      <c r="E106" s="16">
        <f t="shared" si="37"/>
        <v>606</v>
      </c>
      <c r="F106" s="16">
        <f t="shared" si="37"/>
        <v>3258</v>
      </c>
      <c r="G106" s="16">
        <f t="shared" si="37"/>
        <v>234</v>
      </c>
      <c r="H106" s="16">
        <f t="shared" si="37"/>
        <v>109</v>
      </c>
      <c r="I106" s="16">
        <f t="shared" si="37"/>
        <v>869</v>
      </c>
      <c r="J106" s="16">
        <f t="shared" si="37"/>
        <v>428</v>
      </c>
      <c r="K106" s="16">
        <f t="shared" si="37"/>
        <v>260</v>
      </c>
      <c r="L106" s="16">
        <f t="shared" si="37"/>
        <v>917</v>
      </c>
      <c r="M106" s="16">
        <f t="shared" si="37"/>
        <v>8473</v>
      </c>
      <c r="N106" s="16">
        <f t="shared" si="37"/>
        <v>3</v>
      </c>
      <c r="O106" s="16">
        <f t="shared" si="37"/>
        <v>11748</v>
      </c>
      <c r="P106" s="16">
        <f t="shared" si="37"/>
        <v>20221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0.21091934127886849</v>
      </c>
      <c r="D107" s="43">
        <f t="shared" si="38"/>
        <v>3.9513377182137384E-2</v>
      </c>
      <c r="E107" s="43">
        <f t="shared" si="38"/>
        <v>2.9968844270807576E-2</v>
      </c>
      <c r="F107" s="43">
        <f t="shared" si="38"/>
        <v>0.16111962810939123</v>
      </c>
      <c r="G107" s="43">
        <f t="shared" si="38"/>
        <v>1.1572127985757382E-2</v>
      </c>
      <c r="H107" s="43">
        <f t="shared" si="38"/>
        <v>5.3904356856733096E-3</v>
      </c>
      <c r="I107" s="43">
        <f t="shared" si="38"/>
        <v>4.2975124870184463E-2</v>
      </c>
      <c r="J107" s="43">
        <f t="shared" si="38"/>
        <v>2.1166114435487861E-2</v>
      </c>
      <c r="K107" s="43">
        <f t="shared" si="38"/>
        <v>1.2857919984174867E-2</v>
      </c>
      <c r="L107" s="43">
        <f t="shared" si="38"/>
        <v>4.5348894713416743E-2</v>
      </c>
      <c r="M107" s="43">
        <f t="shared" si="38"/>
        <v>0.41901983086889866</v>
      </c>
      <c r="N107" s="43">
        <f t="shared" si="38"/>
        <v>1.4836061520201772E-4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0.36304051753489958</v>
      </c>
      <c r="D108" s="44">
        <f t="shared" ref="D108:N108" si="39">D106/$O$106</f>
        <v>6.8011576438542734E-2</v>
      </c>
      <c r="E108" s="44">
        <f t="shared" si="39"/>
        <v>5.1583248212461692E-2</v>
      </c>
      <c r="F108" s="44">
        <f t="shared" si="39"/>
        <v>0.27732379979570992</v>
      </c>
      <c r="G108" s="44">
        <f t="shared" si="39"/>
        <v>1.9918283963227784E-2</v>
      </c>
      <c r="H108" s="44">
        <f t="shared" si="39"/>
        <v>9.2781750085120865E-3</v>
      </c>
      <c r="I108" s="44">
        <f t="shared" si="39"/>
        <v>7.3970037453183521E-2</v>
      </c>
      <c r="J108" s="44">
        <f t="shared" si="39"/>
        <v>3.6431733060946547E-2</v>
      </c>
      <c r="K108" s="44">
        <f t="shared" si="39"/>
        <v>2.2131426625808647E-2</v>
      </c>
      <c r="L108" s="44">
        <f t="shared" si="39"/>
        <v>7.8055839291794354E-2</v>
      </c>
      <c r="M108" s="44"/>
      <c r="N108" s="44">
        <f t="shared" si="39"/>
        <v>2.5536261491317672E-4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2" tint="-0.249977111117893"/>
  </sheetPr>
  <dimension ref="B1:AF174"/>
  <sheetViews>
    <sheetView view="pageBreakPreview" topLeftCell="A49" zoomScale="60" workbookViewId="0">
      <selection activeCell="C63" sqref="C63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2" t="s">
        <v>23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  <c r="AE1" s="62"/>
    </row>
    <row r="2" spans="2:32" ht="20.100000000000001" customHeight="1" x14ac:dyDescent="0.25">
      <c r="B2" s="63" t="s">
        <v>95</v>
      </c>
      <c r="C2" s="63"/>
      <c r="D2" s="63"/>
      <c r="E2" s="63"/>
      <c r="F2" s="63"/>
      <c r="G2" s="63"/>
      <c r="H2" s="63"/>
      <c r="I2" s="63"/>
      <c r="J2" s="63"/>
      <c r="K2" s="63"/>
      <c r="L2" s="63"/>
      <c r="M2" s="63"/>
      <c r="N2" s="63"/>
      <c r="O2" s="63"/>
      <c r="P2" s="63"/>
      <c r="Q2" s="63"/>
      <c r="R2" s="63"/>
      <c r="S2" s="63"/>
      <c r="T2" s="63"/>
      <c r="U2" s="63"/>
      <c r="V2" s="63"/>
      <c r="W2" s="63"/>
      <c r="X2" s="63"/>
      <c r="Y2" s="63"/>
      <c r="Z2" s="63"/>
      <c r="AA2" s="63"/>
      <c r="AB2" s="63"/>
      <c r="AC2" s="63"/>
      <c r="AD2" s="63"/>
      <c r="AE2" s="63"/>
    </row>
    <row r="3" spans="2:32" ht="20.100000000000001" customHeight="1" x14ac:dyDescent="0.25">
      <c r="B3" s="22" t="s">
        <v>96</v>
      </c>
      <c r="C3" s="67" t="str">
        <f>'23.09 Seeta-Mukono'!C3:G3</f>
        <v>MCC - C2 - STN074 - SONDE  ROAD</v>
      </c>
      <c r="D3" s="67"/>
      <c r="E3" s="67"/>
      <c r="F3" s="67"/>
      <c r="G3" s="67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'28.09 Seeta-Mukono-24h'!D5</f>
        <v>28.09.19</v>
      </c>
      <c r="E5" s="3"/>
      <c r="F5" s="41" t="s">
        <v>1</v>
      </c>
      <c r="G5" s="68" t="str">
        <f>'28.09 Seeta-Mukono-24h'!G5:H5</f>
        <v>STATION 74</v>
      </c>
      <c r="H5" s="69"/>
      <c r="I5" s="14"/>
      <c r="J5" s="2" t="s">
        <v>5</v>
      </c>
      <c r="K5" s="68" t="s">
        <v>176</v>
      </c>
      <c r="L5" s="69"/>
      <c r="M5" s="10"/>
      <c r="N5" s="10"/>
      <c r="O5" s="3"/>
      <c r="P5" s="3"/>
    </row>
    <row r="6" spans="2:32" ht="23.25" customHeight="1" x14ac:dyDescent="0.25">
      <c r="C6" s="2" t="s">
        <v>4</v>
      </c>
      <c r="D6" s="68" t="str">
        <f>'23.09 Mukono-Seeta'!D6:E6</f>
        <v>Makindye</v>
      </c>
      <c r="E6" s="69"/>
      <c r="F6" s="2" t="s">
        <v>2</v>
      </c>
      <c r="G6" s="68" t="str">
        <f>'23.09 Mukono-Seeta'!G6:H6</f>
        <v>Kibuye</v>
      </c>
      <c r="H6" s="69"/>
      <c r="J6" s="2" t="s">
        <v>21</v>
      </c>
      <c r="K6" s="68" t="str">
        <f>'28.09 Seeta-Mukono-24h'!K6:L6</f>
        <v>Tracy</v>
      </c>
      <c r="L6" s="69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1" t="s">
        <v>88</v>
      </c>
      <c r="S8" s="61"/>
      <c r="T8" s="61"/>
      <c r="U8" s="61"/>
      <c r="V8" s="61"/>
      <c r="W8" s="61"/>
      <c r="X8" s="61"/>
      <c r="Y8" s="61"/>
      <c r="Z8" s="61"/>
      <c r="AA8" s="61"/>
      <c r="AB8" s="61"/>
      <c r="AC8" s="61"/>
      <c r="AD8" s="61"/>
      <c r="AE8" s="61"/>
      <c r="AF8" s="61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11</v>
      </c>
      <c r="D10" s="50">
        <v>7</v>
      </c>
      <c r="E10" s="50">
        <v>1</v>
      </c>
      <c r="F10" s="50">
        <v>18</v>
      </c>
      <c r="G10" s="50">
        <v>3</v>
      </c>
      <c r="H10" s="50">
        <v>0</v>
      </c>
      <c r="I10" s="50">
        <v>2</v>
      </c>
      <c r="J10" s="50">
        <v>3</v>
      </c>
      <c r="K10" s="50">
        <v>2</v>
      </c>
      <c r="L10" s="50">
        <v>6</v>
      </c>
      <c r="M10" s="50">
        <v>59</v>
      </c>
      <c r="N10" s="50">
        <v>0</v>
      </c>
      <c r="O10" s="15">
        <f t="shared" ref="O10:O73" si="0">SUM(C10:L10,N10)</f>
        <v>53</v>
      </c>
      <c r="P10" s="15">
        <f t="shared" ref="P10:P73" si="1">SUM(C10:N10)</f>
        <v>112</v>
      </c>
      <c r="R10" s="1" t="s">
        <v>6</v>
      </c>
      <c r="S10" s="17">
        <f t="shared" ref="S10:AF10" si="2">SUM(C10:C13)</f>
        <v>60</v>
      </c>
      <c r="T10" s="17">
        <f t="shared" si="2"/>
        <v>23</v>
      </c>
      <c r="U10" s="17">
        <f t="shared" si="2"/>
        <v>14</v>
      </c>
      <c r="V10" s="17">
        <f t="shared" si="2"/>
        <v>122</v>
      </c>
      <c r="W10" s="17">
        <f t="shared" si="2"/>
        <v>14</v>
      </c>
      <c r="X10" s="17">
        <f t="shared" si="2"/>
        <v>2</v>
      </c>
      <c r="Y10" s="17">
        <f t="shared" si="2"/>
        <v>12</v>
      </c>
      <c r="Z10" s="17">
        <f t="shared" si="2"/>
        <v>10</v>
      </c>
      <c r="AA10" s="17">
        <f t="shared" si="2"/>
        <v>10</v>
      </c>
      <c r="AB10" s="17">
        <f t="shared" si="2"/>
        <v>73</v>
      </c>
      <c r="AC10" s="17">
        <f t="shared" si="2"/>
        <v>302</v>
      </c>
      <c r="AD10" s="17">
        <f t="shared" si="2"/>
        <v>0</v>
      </c>
      <c r="AE10" s="31">
        <f t="shared" si="2"/>
        <v>340</v>
      </c>
      <c r="AF10" s="31">
        <f t="shared" si="2"/>
        <v>642</v>
      </c>
    </row>
    <row r="11" spans="2:32" s="6" customFormat="1" ht="23.1" customHeight="1" x14ac:dyDescent="0.25">
      <c r="B11" s="45" t="s">
        <v>38</v>
      </c>
      <c r="C11" s="50">
        <v>21</v>
      </c>
      <c r="D11" s="50">
        <v>5</v>
      </c>
      <c r="E11" s="50">
        <v>9</v>
      </c>
      <c r="F11" s="50">
        <v>42</v>
      </c>
      <c r="G11" s="50">
        <v>3</v>
      </c>
      <c r="H11" s="50">
        <v>1</v>
      </c>
      <c r="I11" s="50">
        <v>3</v>
      </c>
      <c r="J11" s="50">
        <v>2</v>
      </c>
      <c r="K11" s="50">
        <v>4</v>
      </c>
      <c r="L11" s="50">
        <v>42</v>
      </c>
      <c r="M11" s="50">
        <v>78</v>
      </c>
      <c r="N11" s="50">
        <v>0</v>
      </c>
      <c r="O11" s="15">
        <f t="shared" si="0"/>
        <v>132</v>
      </c>
      <c r="P11" s="15">
        <f t="shared" si="1"/>
        <v>210</v>
      </c>
      <c r="R11" s="1" t="s">
        <v>7</v>
      </c>
      <c r="S11" s="17">
        <f t="shared" ref="S11:AF11" si="3">SUM(C14:C17)</f>
        <v>115</v>
      </c>
      <c r="T11" s="17">
        <f t="shared" si="3"/>
        <v>35</v>
      </c>
      <c r="U11" s="17">
        <f t="shared" si="3"/>
        <v>25</v>
      </c>
      <c r="V11" s="17">
        <f t="shared" si="3"/>
        <v>184</v>
      </c>
      <c r="W11" s="17">
        <f t="shared" si="3"/>
        <v>17</v>
      </c>
      <c r="X11" s="17">
        <f t="shared" si="3"/>
        <v>4</v>
      </c>
      <c r="Y11" s="17">
        <f t="shared" si="3"/>
        <v>20</v>
      </c>
      <c r="Z11" s="17">
        <f t="shared" si="3"/>
        <v>12</v>
      </c>
      <c r="AA11" s="17">
        <f t="shared" si="3"/>
        <v>26</v>
      </c>
      <c r="AB11" s="17">
        <f t="shared" si="3"/>
        <v>57</v>
      </c>
      <c r="AC11" s="17">
        <f t="shared" si="3"/>
        <v>603</v>
      </c>
      <c r="AD11" s="17">
        <f t="shared" si="3"/>
        <v>0</v>
      </c>
      <c r="AE11" s="31">
        <f t="shared" si="3"/>
        <v>495</v>
      </c>
      <c r="AF11" s="31">
        <f t="shared" si="3"/>
        <v>1098</v>
      </c>
    </row>
    <row r="12" spans="2:32" ht="23.1" customHeight="1" x14ac:dyDescent="0.25">
      <c r="B12" s="45" t="s">
        <v>39</v>
      </c>
      <c r="C12" s="50">
        <v>9</v>
      </c>
      <c r="D12" s="50">
        <v>5</v>
      </c>
      <c r="E12" s="50">
        <v>2</v>
      </c>
      <c r="F12" s="50">
        <v>22</v>
      </c>
      <c r="G12" s="50">
        <v>5</v>
      </c>
      <c r="H12" s="50">
        <v>1</v>
      </c>
      <c r="I12" s="50">
        <v>2</v>
      </c>
      <c r="J12" s="50">
        <v>2</v>
      </c>
      <c r="K12" s="50">
        <v>0</v>
      </c>
      <c r="L12" s="50">
        <v>13</v>
      </c>
      <c r="M12" s="50">
        <v>81</v>
      </c>
      <c r="N12" s="50">
        <v>0</v>
      </c>
      <c r="O12" s="15">
        <f t="shared" si="0"/>
        <v>61</v>
      </c>
      <c r="P12" s="15">
        <f t="shared" si="1"/>
        <v>142</v>
      </c>
      <c r="R12" s="1" t="s">
        <v>8</v>
      </c>
      <c r="S12" s="17">
        <f t="shared" ref="S12:AF12" si="4">SUM(C18:C21)</f>
        <v>104</v>
      </c>
      <c r="T12" s="17">
        <f t="shared" si="4"/>
        <v>38</v>
      </c>
      <c r="U12" s="17">
        <f t="shared" si="4"/>
        <v>25</v>
      </c>
      <c r="V12" s="17">
        <f t="shared" si="4"/>
        <v>165</v>
      </c>
      <c r="W12" s="17">
        <f t="shared" si="4"/>
        <v>10</v>
      </c>
      <c r="X12" s="17">
        <f t="shared" si="4"/>
        <v>2</v>
      </c>
      <c r="Y12" s="17">
        <f t="shared" si="4"/>
        <v>22</v>
      </c>
      <c r="Z12" s="17">
        <f t="shared" si="4"/>
        <v>23</v>
      </c>
      <c r="AA12" s="17">
        <f t="shared" si="4"/>
        <v>9</v>
      </c>
      <c r="AB12" s="17">
        <f t="shared" si="4"/>
        <v>77</v>
      </c>
      <c r="AC12" s="17">
        <f t="shared" si="4"/>
        <v>589</v>
      </c>
      <c r="AD12" s="17">
        <f t="shared" si="4"/>
        <v>0</v>
      </c>
      <c r="AE12" s="31">
        <f t="shared" si="4"/>
        <v>475</v>
      </c>
      <c r="AF12" s="31">
        <f t="shared" si="4"/>
        <v>1064</v>
      </c>
    </row>
    <row r="13" spans="2:32" ht="23.1" customHeight="1" x14ac:dyDescent="0.25">
      <c r="B13" s="45" t="s">
        <v>40</v>
      </c>
      <c r="C13" s="50">
        <v>19</v>
      </c>
      <c r="D13" s="50">
        <v>6</v>
      </c>
      <c r="E13" s="50">
        <v>2</v>
      </c>
      <c r="F13" s="50">
        <v>40</v>
      </c>
      <c r="G13" s="50">
        <v>3</v>
      </c>
      <c r="H13" s="50">
        <v>0</v>
      </c>
      <c r="I13" s="50">
        <v>5</v>
      </c>
      <c r="J13" s="50">
        <v>3</v>
      </c>
      <c r="K13" s="50">
        <v>4</v>
      </c>
      <c r="L13" s="50">
        <v>12</v>
      </c>
      <c r="M13" s="50">
        <v>84</v>
      </c>
      <c r="N13" s="50">
        <v>0</v>
      </c>
      <c r="O13" s="15">
        <f t="shared" si="0"/>
        <v>94</v>
      </c>
      <c r="P13" s="15">
        <f t="shared" si="1"/>
        <v>178</v>
      </c>
      <c r="R13" s="1" t="s">
        <v>9</v>
      </c>
      <c r="S13" s="17">
        <f t="shared" ref="S13:AF13" si="5">SUM(C22:C25)</f>
        <v>73</v>
      </c>
      <c r="T13" s="17">
        <f t="shared" si="5"/>
        <v>34</v>
      </c>
      <c r="U13" s="17">
        <f t="shared" si="5"/>
        <v>21</v>
      </c>
      <c r="V13" s="17">
        <f t="shared" si="5"/>
        <v>160</v>
      </c>
      <c r="W13" s="17">
        <f t="shared" si="5"/>
        <v>9</v>
      </c>
      <c r="X13" s="17">
        <f t="shared" si="5"/>
        <v>3</v>
      </c>
      <c r="Y13" s="17">
        <f t="shared" si="5"/>
        <v>17</v>
      </c>
      <c r="Z13" s="17">
        <f t="shared" si="5"/>
        <v>10</v>
      </c>
      <c r="AA13" s="17">
        <f t="shared" si="5"/>
        <v>13</v>
      </c>
      <c r="AB13" s="17">
        <f t="shared" si="5"/>
        <v>54</v>
      </c>
      <c r="AC13" s="17">
        <f t="shared" si="5"/>
        <v>567</v>
      </c>
      <c r="AD13" s="17">
        <f t="shared" si="5"/>
        <v>0</v>
      </c>
      <c r="AE13" s="31">
        <f t="shared" si="5"/>
        <v>394</v>
      </c>
      <c r="AF13" s="31">
        <f t="shared" si="5"/>
        <v>961</v>
      </c>
    </row>
    <row r="14" spans="2:32" ht="23.1" customHeight="1" x14ac:dyDescent="0.25">
      <c r="B14" s="45" t="s">
        <v>41</v>
      </c>
      <c r="C14" s="50">
        <v>35</v>
      </c>
      <c r="D14" s="50">
        <v>10</v>
      </c>
      <c r="E14" s="50">
        <v>6</v>
      </c>
      <c r="F14" s="50">
        <v>56</v>
      </c>
      <c r="G14" s="50">
        <v>3</v>
      </c>
      <c r="H14" s="50">
        <v>0</v>
      </c>
      <c r="I14" s="50">
        <v>4</v>
      </c>
      <c r="J14" s="50">
        <v>3</v>
      </c>
      <c r="K14" s="50">
        <v>4</v>
      </c>
      <c r="L14" s="50">
        <v>13</v>
      </c>
      <c r="M14" s="50">
        <v>115</v>
      </c>
      <c r="N14" s="50">
        <v>0</v>
      </c>
      <c r="O14" s="15">
        <f t="shared" si="0"/>
        <v>134</v>
      </c>
      <c r="P14" s="15">
        <f t="shared" si="1"/>
        <v>249</v>
      </c>
      <c r="R14" s="1" t="s">
        <v>10</v>
      </c>
      <c r="S14" s="17">
        <f t="shared" ref="S14:AF14" si="6">SUM(C26:C29)</f>
        <v>61</v>
      </c>
      <c r="T14" s="17">
        <f t="shared" si="6"/>
        <v>20</v>
      </c>
      <c r="U14" s="17">
        <f t="shared" si="6"/>
        <v>26</v>
      </c>
      <c r="V14" s="17">
        <f t="shared" si="6"/>
        <v>251</v>
      </c>
      <c r="W14" s="17">
        <f t="shared" si="6"/>
        <v>7</v>
      </c>
      <c r="X14" s="17">
        <f t="shared" si="6"/>
        <v>1</v>
      </c>
      <c r="Y14" s="17">
        <f t="shared" si="6"/>
        <v>17</v>
      </c>
      <c r="Z14" s="17">
        <f t="shared" si="6"/>
        <v>14</v>
      </c>
      <c r="AA14" s="17">
        <f t="shared" si="6"/>
        <v>11</v>
      </c>
      <c r="AB14" s="17">
        <f t="shared" si="6"/>
        <v>56</v>
      </c>
      <c r="AC14" s="17">
        <f t="shared" si="6"/>
        <v>708</v>
      </c>
      <c r="AD14" s="17">
        <f t="shared" si="6"/>
        <v>0</v>
      </c>
      <c r="AE14" s="31">
        <f t="shared" si="6"/>
        <v>464</v>
      </c>
      <c r="AF14" s="31">
        <f t="shared" si="6"/>
        <v>1172</v>
      </c>
    </row>
    <row r="15" spans="2:32" ht="23.1" customHeight="1" x14ac:dyDescent="0.25">
      <c r="B15" s="45" t="s">
        <v>42</v>
      </c>
      <c r="C15" s="50">
        <v>30</v>
      </c>
      <c r="D15" s="50">
        <v>12</v>
      </c>
      <c r="E15" s="50">
        <v>3</v>
      </c>
      <c r="F15" s="50">
        <v>49</v>
      </c>
      <c r="G15" s="50">
        <v>3</v>
      </c>
      <c r="H15" s="50">
        <v>1</v>
      </c>
      <c r="I15" s="50">
        <v>1</v>
      </c>
      <c r="J15" s="50">
        <v>3</v>
      </c>
      <c r="K15" s="50">
        <v>2</v>
      </c>
      <c r="L15" s="50">
        <v>7</v>
      </c>
      <c r="M15" s="50">
        <v>161</v>
      </c>
      <c r="N15" s="50">
        <v>0</v>
      </c>
      <c r="O15" s="15">
        <f t="shared" si="0"/>
        <v>111</v>
      </c>
      <c r="P15" s="15">
        <f t="shared" si="1"/>
        <v>272</v>
      </c>
      <c r="R15" s="1" t="s">
        <v>11</v>
      </c>
      <c r="S15" s="17">
        <f t="shared" ref="S15:AF15" si="7">SUM(C30:C33)</f>
        <v>52</v>
      </c>
      <c r="T15" s="17">
        <f t="shared" si="7"/>
        <v>34</v>
      </c>
      <c r="U15" s="17">
        <f t="shared" si="7"/>
        <v>18</v>
      </c>
      <c r="V15" s="17">
        <f t="shared" si="7"/>
        <v>156</v>
      </c>
      <c r="W15" s="17">
        <f t="shared" si="7"/>
        <v>12</v>
      </c>
      <c r="X15" s="17">
        <f t="shared" si="7"/>
        <v>2</v>
      </c>
      <c r="Y15" s="17">
        <f t="shared" si="7"/>
        <v>19</v>
      </c>
      <c r="Z15" s="17">
        <f t="shared" si="7"/>
        <v>18</v>
      </c>
      <c r="AA15" s="17">
        <f t="shared" si="7"/>
        <v>9</v>
      </c>
      <c r="AB15" s="17">
        <f t="shared" si="7"/>
        <v>98</v>
      </c>
      <c r="AC15" s="17">
        <f t="shared" si="7"/>
        <v>500</v>
      </c>
      <c r="AD15" s="17">
        <f t="shared" si="7"/>
        <v>0</v>
      </c>
      <c r="AE15" s="31">
        <f t="shared" si="7"/>
        <v>418</v>
      </c>
      <c r="AF15" s="31">
        <f t="shared" si="7"/>
        <v>918</v>
      </c>
    </row>
    <row r="16" spans="2:32" ht="23.1" customHeight="1" x14ac:dyDescent="0.25">
      <c r="B16" s="45" t="s">
        <v>43</v>
      </c>
      <c r="C16" s="50">
        <v>29</v>
      </c>
      <c r="D16" s="50">
        <v>11</v>
      </c>
      <c r="E16" s="50">
        <v>8</v>
      </c>
      <c r="F16" s="50">
        <v>47</v>
      </c>
      <c r="G16" s="50">
        <v>7</v>
      </c>
      <c r="H16" s="50">
        <v>1</v>
      </c>
      <c r="I16" s="50">
        <v>11</v>
      </c>
      <c r="J16" s="50">
        <v>3</v>
      </c>
      <c r="K16" s="50">
        <v>5</v>
      </c>
      <c r="L16" s="50">
        <v>22</v>
      </c>
      <c r="M16" s="50">
        <v>171</v>
      </c>
      <c r="N16" s="50">
        <v>0</v>
      </c>
      <c r="O16" s="15">
        <f t="shared" si="0"/>
        <v>144</v>
      </c>
      <c r="P16" s="15">
        <f t="shared" si="1"/>
        <v>315</v>
      </c>
      <c r="R16" s="1" t="s">
        <v>12</v>
      </c>
      <c r="S16" s="17">
        <f t="shared" ref="S16:AF16" si="8">SUM(C34:C37)</f>
        <v>134</v>
      </c>
      <c r="T16" s="17">
        <f t="shared" si="8"/>
        <v>64</v>
      </c>
      <c r="U16" s="17">
        <f t="shared" si="8"/>
        <v>21</v>
      </c>
      <c r="V16" s="17">
        <f t="shared" si="8"/>
        <v>205</v>
      </c>
      <c r="W16" s="17">
        <f t="shared" si="8"/>
        <v>5</v>
      </c>
      <c r="X16" s="17">
        <f t="shared" si="8"/>
        <v>1</v>
      </c>
      <c r="Y16" s="17">
        <f t="shared" si="8"/>
        <v>16</v>
      </c>
      <c r="Z16" s="17">
        <f t="shared" si="8"/>
        <v>16</v>
      </c>
      <c r="AA16" s="17">
        <f t="shared" si="8"/>
        <v>12</v>
      </c>
      <c r="AB16" s="17">
        <f t="shared" si="8"/>
        <v>37</v>
      </c>
      <c r="AC16" s="17">
        <f t="shared" si="8"/>
        <v>451</v>
      </c>
      <c r="AD16" s="17">
        <f t="shared" si="8"/>
        <v>0</v>
      </c>
      <c r="AE16" s="31">
        <f t="shared" si="8"/>
        <v>511</v>
      </c>
      <c r="AF16" s="31">
        <f t="shared" si="8"/>
        <v>962</v>
      </c>
    </row>
    <row r="17" spans="2:32" ht="23.1" customHeight="1" x14ac:dyDescent="0.25">
      <c r="B17" s="45" t="s">
        <v>44</v>
      </c>
      <c r="C17" s="50">
        <v>21</v>
      </c>
      <c r="D17" s="50">
        <v>2</v>
      </c>
      <c r="E17" s="50">
        <v>8</v>
      </c>
      <c r="F17" s="50">
        <v>32</v>
      </c>
      <c r="G17" s="50">
        <v>4</v>
      </c>
      <c r="H17" s="50">
        <v>2</v>
      </c>
      <c r="I17" s="50">
        <v>4</v>
      </c>
      <c r="J17" s="50">
        <v>3</v>
      </c>
      <c r="K17" s="50">
        <v>15</v>
      </c>
      <c r="L17" s="50">
        <v>15</v>
      </c>
      <c r="M17" s="50">
        <v>156</v>
      </c>
      <c r="N17" s="50">
        <v>0</v>
      </c>
      <c r="O17" s="15">
        <f t="shared" si="0"/>
        <v>106</v>
      </c>
      <c r="P17" s="15">
        <f t="shared" si="1"/>
        <v>262</v>
      </c>
      <c r="R17" s="1" t="s">
        <v>13</v>
      </c>
      <c r="S17" s="17">
        <f t="shared" ref="S17:AF17" si="9">SUM(C38:C41)</f>
        <v>98</v>
      </c>
      <c r="T17" s="17">
        <f t="shared" si="9"/>
        <v>65</v>
      </c>
      <c r="U17" s="17">
        <f t="shared" si="9"/>
        <v>39</v>
      </c>
      <c r="V17" s="17">
        <f t="shared" si="9"/>
        <v>146</v>
      </c>
      <c r="W17" s="17">
        <f t="shared" si="9"/>
        <v>3</v>
      </c>
      <c r="X17" s="17">
        <f t="shared" si="9"/>
        <v>2</v>
      </c>
      <c r="Y17" s="17">
        <f t="shared" si="9"/>
        <v>25</v>
      </c>
      <c r="Z17" s="17">
        <f t="shared" si="9"/>
        <v>24</v>
      </c>
      <c r="AA17" s="17">
        <f t="shared" si="9"/>
        <v>14</v>
      </c>
      <c r="AB17" s="17">
        <f t="shared" si="9"/>
        <v>64</v>
      </c>
      <c r="AC17" s="17">
        <f t="shared" si="9"/>
        <v>426</v>
      </c>
      <c r="AD17" s="17">
        <f t="shared" si="9"/>
        <v>0</v>
      </c>
      <c r="AE17" s="31">
        <f t="shared" si="9"/>
        <v>480</v>
      </c>
      <c r="AF17" s="31">
        <f t="shared" si="9"/>
        <v>906</v>
      </c>
    </row>
    <row r="18" spans="2:32" ht="23.1" customHeight="1" x14ac:dyDescent="0.25">
      <c r="B18" s="45" t="s">
        <v>45</v>
      </c>
      <c r="C18" s="50">
        <v>26</v>
      </c>
      <c r="D18" s="50">
        <v>8</v>
      </c>
      <c r="E18" s="50">
        <v>6</v>
      </c>
      <c r="F18" s="50">
        <v>33</v>
      </c>
      <c r="G18" s="50">
        <v>5</v>
      </c>
      <c r="H18" s="50">
        <v>0</v>
      </c>
      <c r="I18" s="50">
        <v>5</v>
      </c>
      <c r="J18" s="50">
        <v>6</v>
      </c>
      <c r="K18" s="50">
        <v>4</v>
      </c>
      <c r="L18" s="50">
        <v>19</v>
      </c>
      <c r="M18" s="50">
        <v>130</v>
      </c>
      <c r="N18" s="50">
        <v>0</v>
      </c>
      <c r="O18" s="15">
        <f t="shared" si="0"/>
        <v>112</v>
      </c>
      <c r="P18" s="15">
        <f t="shared" si="1"/>
        <v>242</v>
      </c>
      <c r="R18" s="1" t="s">
        <v>14</v>
      </c>
      <c r="S18" s="17">
        <f t="shared" ref="S18:AF18" si="10">SUM(C42:C45)</f>
        <v>55</v>
      </c>
      <c r="T18" s="17">
        <f t="shared" si="10"/>
        <v>62</v>
      </c>
      <c r="U18" s="17">
        <f t="shared" si="10"/>
        <v>37</v>
      </c>
      <c r="V18" s="17">
        <f t="shared" si="10"/>
        <v>151</v>
      </c>
      <c r="W18" s="17">
        <f t="shared" si="10"/>
        <v>2</v>
      </c>
      <c r="X18" s="17">
        <f t="shared" si="10"/>
        <v>1</v>
      </c>
      <c r="Y18" s="17">
        <f t="shared" si="10"/>
        <v>12</v>
      </c>
      <c r="Z18" s="17">
        <f t="shared" si="10"/>
        <v>6</v>
      </c>
      <c r="AA18" s="17">
        <f t="shared" si="10"/>
        <v>8</v>
      </c>
      <c r="AB18" s="17">
        <f t="shared" si="10"/>
        <v>55</v>
      </c>
      <c r="AC18" s="17">
        <f t="shared" si="10"/>
        <v>392</v>
      </c>
      <c r="AD18" s="17">
        <f t="shared" si="10"/>
        <v>0</v>
      </c>
      <c r="AE18" s="31">
        <f t="shared" si="10"/>
        <v>389</v>
      </c>
      <c r="AF18" s="31">
        <f t="shared" si="10"/>
        <v>781</v>
      </c>
    </row>
    <row r="19" spans="2:32" ht="23.1" customHeight="1" x14ac:dyDescent="0.25">
      <c r="B19" s="45" t="s">
        <v>46</v>
      </c>
      <c r="C19" s="50">
        <v>24</v>
      </c>
      <c r="D19" s="50">
        <v>8</v>
      </c>
      <c r="E19" s="50">
        <v>4</v>
      </c>
      <c r="F19" s="50">
        <v>56</v>
      </c>
      <c r="G19" s="50">
        <v>3</v>
      </c>
      <c r="H19" s="50">
        <v>1</v>
      </c>
      <c r="I19" s="50">
        <v>3</v>
      </c>
      <c r="J19" s="50">
        <v>5</v>
      </c>
      <c r="K19" s="50">
        <v>3</v>
      </c>
      <c r="L19" s="50">
        <v>22</v>
      </c>
      <c r="M19" s="50">
        <v>203</v>
      </c>
      <c r="N19" s="50">
        <v>0</v>
      </c>
      <c r="O19" s="15">
        <f t="shared" si="0"/>
        <v>129</v>
      </c>
      <c r="P19" s="15">
        <f t="shared" si="1"/>
        <v>332</v>
      </c>
      <c r="R19" s="1" t="s">
        <v>15</v>
      </c>
      <c r="S19" s="17">
        <f t="shared" ref="S19:AF19" si="11">SUM(C46:C49)</f>
        <v>108</v>
      </c>
      <c r="T19" s="17">
        <f t="shared" si="11"/>
        <v>72</v>
      </c>
      <c r="U19" s="17">
        <f t="shared" si="11"/>
        <v>45</v>
      </c>
      <c r="V19" s="17">
        <f t="shared" si="11"/>
        <v>168</v>
      </c>
      <c r="W19" s="17">
        <f t="shared" si="11"/>
        <v>8</v>
      </c>
      <c r="X19" s="17">
        <f t="shared" si="11"/>
        <v>3</v>
      </c>
      <c r="Y19" s="17">
        <f t="shared" si="11"/>
        <v>14</v>
      </c>
      <c r="Z19" s="17">
        <f t="shared" si="11"/>
        <v>10</v>
      </c>
      <c r="AA19" s="17">
        <f t="shared" si="11"/>
        <v>20</v>
      </c>
      <c r="AB19" s="17">
        <f t="shared" si="11"/>
        <v>39</v>
      </c>
      <c r="AC19" s="17">
        <f t="shared" si="11"/>
        <v>443</v>
      </c>
      <c r="AD19" s="17">
        <f t="shared" si="11"/>
        <v>0</v>
      </c>
      <c r="AE19" s="31">
        <f t="shared" si="11"/>
        <v>487</v>
      </c>
      <c r="AF19" s="31">
        <f t="shared" si="11"/>
        <v>930</v>
      </c>
    </row>
    <row r="20" spans="2:32" ht="23.1" customHeight="1" x14ac:dyDescent="0.25">
      <c r="B20" s="45" t="s">
        <v>47</v>
      </c>
      <c r="C20" s="50">
        <v>35</v>
      </c>
      <c r="D20" s="50">
        <v>12</v>
      </c>
      <c r="E20" s="50">
        <v>9</v>
      </c>
      <c r="F20" s="50">
        <v>43</v>
      </c>
      <c r="G20" s="50">
        <v>0</v>
      </c>
      <c r="H20" s="50">
        <v>0</v>
      </c>
      <c r="I20" s="50">
        <v>7</v>
      </c>
      <c r="J20" s="50">
        <v>8</v>
      </c>
      <c r="K20" s="50">
        <v>0</v>
      </c>
      <c r="L20" s="50">
        <v>14</v>
      </c>
      <c r="M20" s="50">
        <v>163</v>
      </c>
      <c r="N20" s="50">
        <v>0</v>
      </c>
      <c r="O20" s="15">
        <f t="shared" si="0"/>
        <v>128</v>
      </c>
      <c r="P20" s="15">
        <f t="shared" si="1"/>
        <v>291</v>
      </c>
      <c r="R20" s="1" t="s">
        <v>16</v>
      </c>
      <c r="S20" s="17">
        <f t="shared" ref="S20:AF20" si="12">SUM(C50:C53)</f>
        <v>87</v>
      </c>
      <c r="T20" s="17">
        <f t="shared" si="12"/>
        <v>62</v>
      </c>
      <c r="U20" s="17">
        <f t="shared" si="12"/>
        <v>21</v>
      </c>
      <c r="V20" s="17">
        <f t="shared" si="12"/>
        <v>176</v>
      </c>
      <c r="W20" s="17">
        <f t="shared" si="12"/>
        <v>7</v>
      </c>
      <c r="X20" s="17">
        <f t="shared" si="12"/>
        <v>0</v>
      </c>
      <c r="Y20" s="17">
        <f t="shared" si="12"/>
        <v>24</v>
      </c>
      <c r="Z20" s="17">
        <f t="shared" si="12"/>
        <v>20</v>
      </c>
      <c r="AA20" s="17">
        <f t="shared" si="12"/>
        <v>20</v>
      </c>
      <c r="AB20" s="17">
        <f t="shared" si="12"/>
        <v>45</v>
      </c>
      <c r="AC20" s="17">
        <f t="shared" si="12"/>
        <v>428</v>
      </c>
      <c r="AD20" s="17">
        <f t="shared" si="12"/>
        <v>0</v>
      </c>
      <c r="AE20" s="31">
        <f t="shared" si="12"/>
        <v>462</v>
      </c>
      <c r="AF20" s="31">
        <f t="shared" si="12"/>
        <v>890</v>
      </c>
    </row>
    <row r="21" spans="2:32" ht="23.1" customHeight="1" x14ac:dyDescent="0.25">
      <c r="B21" s="45" t="s">
        <v>48</v>
      </c>
      <c r="C21" s="50">
        <v>19</v>
      </c>
      <c r="D21" s="50">
        <v>10</v>
      </c>
      <c r="E21" s="50">
        <v>6</v>
      </c>
      <c r="F21" s="50">
        <v>33</v>
      </c>
      <c r="G21" s="50">
        <v>2</v>
      </c>
      <c r="H21" s="50">
        <v>1</v>
      </c>
      <c r="I21" s="50">
        <v>7</v>
      </c>
      <c r="J21" s="50">
        <v>4</v>
      </c>
      <c r="K21" s="50">
        <v>2</v>
      </c>
      <c r="L21" s="50">
        <v>22</v>
      </c>
      <c r="M21" s="50">
        <v>93</v>
      </c>
      <c r="N21" s="50">
        <v>0</v>
      </c>
      <c r="O21" s="15">
        <f t="shared" si="0"/>
        <v>106</v>
      </c>
      <c r="P21" s="15">
        <f t="shared" si="1"/>
        <v>199</v>
      </c>
      <c r="R21" s="36" t="s">
        <v>20</v>
      </c>
      <c r="S21" s="34">
        <f t="shared" ref="S21:AF21" si="13">SUM(C54:C57)</f>
        <v>89</v>
      </c>
      <c r="T21" s="17">
        <f t="shared" si="13"/>
        <v>53</v>
      </c>
      <c r="U21" s="17">
        <f t="shared" si="13"/>
        <v>23</v>
      </c>
      <c r="V21" s="17">
        <f t="shared" si="13"/>
        <v>260</v>
      </c>
      <c r="W21" s="17">
        <f t="shared" si="13"/>
        <v>13</v>
      </c>
      <c r="X21" s="17">
        <f t="shared" si="13"/>
        <v>2</v>
      </c>
      <c r="Y21" s="17">
        <f t="shared" si="13"/>
        <v>15</v>
      </c>
      <c r="Z21" s="17">
        <f t="shared" si="13"/>
        <v>22</v>
      </c>
      <c r="AA21" s="17">
        <f t="shared" si="13"/>
        <v>17</v>
      </c>
      <c r="AB21" s="17">
        <f t="shared" si="13"/>
        <v>48</v>
      </c>
      <c r="AC21" s="17">
        <f t="shared" si="13"/>
        <v>497</v>
      </c>
      <c r="AD21" s="17">
        <f t="shared" si="13"/>
        <v>0</v>
      </c>
      <c r="AE21" s="31">
        <f t="shared" si="13"/>
        <v>542</v>
      </c>
      <c r="AF21" s="31">
        <f t="shared" si="13"/>
        <v>1039</v>
      </c>
    </row>
    <row r="22" spans="2:32" ht="23.1" customHeight="1" x14ac:dyDescent="0.25">
      <c r="B22" s="45" t="s">
        <v>49</v>
      </c>
      <c r="C22" s="50">
        <v>11</v>
      </c>
      <c r="D22" s="50">
        <v>8</v>
      </c>
      <c r="E22" s="50">
        <v>4</v>
      </c>
      <c r="F22" s="50">
        <v>28</v>
      </c>
      <c r="G22" s="50">
        <v>0</v>
      </c>
      <c r="H22" s="50">
        <v>1</v>
      </c>
      <c r="I22" s="50">
        <v>1</v>
      </c>
      <c r="J22" s="50">
        <v>0</v>
      </c>
      <c r="K22" s="50">
        <v>2</v>
      </c>
      <c r="L22" s="50">
        <v>10</v>
      </c>
      <c r="M22" s="50">
        <v>117</v>
      </c>
      <c r="N22" s="50">
        <v>0</v>
      </c>
      <c r="O22" s="15">
        <f t="shared" si="0"/>
        <v>65</v>
      </c>
      <c r="P22" s="15">
        <f t="shared" si="1"/>
        <v>182</v>
      </c>
      <c r="R22" s="36" t="s">
        <v>146</v>
      </c>
      <c r="S22" s="34">
        <f>SUM(C58:C61)</f>
        <v>118</v>
      </c>
      <c r="T22" s="34">
        <f t="shared" ref="T22:AF22" si="14">SUM(D58:D61)</f>
        <v>73</v>
      </c>
      <c r="U22" s="34">
        <f t="shared" si="14"/>
        <v>23</v>
      </c>
      <c r="V22" s="34">
        <f t="shared" si="14"/>
        <v>105</v>
      </c>
      <c r="W22" s="34">
        <f t="shared" si="14"/>
        <v>4</v>
      </c>
      <c r="X22" s="34">
        <f t="shared" si="14"/>
        <v>2</v>
      </c>
      <c r="Y22" s="34">
        <f t="shared" si="14"/>
        <v>24</v>
      </c>
      <c r="Z22" s="34">
        <f t="shared" si="14"/>
        <v>13</v>
      </c>
      <c r="AA22" s="34">
        <f t="shared" si="14"/>
        <v>6</v>
      </c>
      <c r="AB22" s="34">
        <f t="shared" si="14"/>
        <v>30</v>
      </c>
      <c r="AC22" s="34">
        <f t="shared" si="14"/>
        <v>325</v>
      </c>
      <c r="AD22" s="34">
        <f t="shared" si="14"/>
        <v>0</v>
      </c>
      <c r="AE22" s="31">
        <f t="shared" si="14"/>
        <v>398</v>
      </c>
      <c r="AF22" s="31">
        <f t="shared" si="14"/>
        <v>723</v>
      </c>
    </row>
    <row r="23" spans="2:32" ht="23.1" customHeight="1" x14ac:dyDescent="0.25">
      <c r="B23" s="45" t="s">
        <v>50</v>
      </c>
      <c r="C23" s="50">
        <v>15</v>
      </c>
      <c r="D23" s="50">
        <v>7</v>
      </c>
      <c r="E23" s="50">
        <v>6</v>
      </c>
      <c r="F23" s="50">
        <v>38</v>
      </c>
      <c r="G23" s="50">
        <v>9</v>
      </c>
      <c r="H23" s="50">
        <v>2</v>
      </c>
      <c r="I23" s="50">
        <v>8</v>
      </c>
      <c r="J23" s="50">
        <v>5</v>
      </c>
      <c r="K23" s="50">
        <v>4</v>
      </c>
      <c r="L23" s="50">
        <v>17</v>
      </c>
      <c r="M23" s="50">
        <v>111</v>
      </c>
      <c r="N23" s="50">
        <v>0</v>
      </c>
      <c r="O23" s="15">
        <f t="shared" si="0"/>
        <v>111</v>
      </c>
      <c r="P23" s="15">
        <f t="shared" si="1"/>
        <v>222</v>
      </c>
      <c r="R23" s="36" t="s">
        <v>147</v>
      </c>
      <c r="S23" s="34">
        <f>SUM(C62:C65)</f>
        <v>139</v>
      </c>
      <c r="T23" s="34">
        <f t="shared" ref="T23:AF23" si="15">SUM(D62:D65)</f>
        <v>86</v>
      </c>
      <c r="U23" s="34">
        <f t="shared" si="15"/>
        <v>26</v>
      </c>
      <c r="V23" s="34">
        <f t="shared" si="15"/>
        <v>140</v>
      </c>
      <c r="W23" s="34">
        <f t="shared" si="15"/>
        <v>9</v>
      </c>
      <c r="X23" s="34">
        <f t="shared" si="15"/>
        <v>9</v>
      </c>
      <c r="Y23" s="34">
        <f t="shared" si="15"/>
        <v>26</v>
      </c>
      <c r="Z23" s="34">
        <f t="shared" si="15"/>
        <v>20</v>
      </c>
      <c r="AA23" s="34">
        <f t="shared" si="15"/>
        <v>10</v>
      </c>
      <c r="AB23" s="34">
        <f t="shared" si="15"/>
        <v>10</v>
      </c>
      <c r="AC23" s="34">
        <f t="shared" si="15"/>
        <v>406</v>
      </c>
      <c r="AD23" s="34">
        <f t="shared" si="15"/>
        <v>0</v>
      </c>
      <c r="AE23" s="31">
        <f t="shared" si="15"/>
        <v>475</v>
      </c>
      <c r="AF23" s="31">
        <f t="shared" si="15"/>
        <v>881</v>
      </c>
    </row>
    <row r="24" spans="2:32" ht="23.1" customHeight="1" x14ac:dyDescent="0.25">
      <c r="B24" s="45" t="s">
        <v>51</v>
      </c>
      <c r="C24" s="50">
        <v>16</v>
      </c>
      <c r="D24" s="50">
        <v>5</v>
      </c>
      <c r="E24" s="50">
        <v>6</v>
      </c>
      <c r="F24" s="50">
        <v>39</v>
      </c>
      <c r="G24" s="50">
        <v>0</v>
      </c>
      <c r="H24" s="50">
        <v>0</v>
      </c>
      <c r="I24" s="50">
        <v>2</v>
      </c>
      <c r="J24" s="50">
        <v>1</v>
      </c>
      <c r="K24" s="50">
        <v>1</v>
      </c>
      <c r="L24" s="50">
        <v>12</v>
      </c>
      <c r="M24" s="50">
        <v>137</v>
      </c>
      <c r="N24" s="50">
        <v>0</v>
      </c>
      <c r="O24" s="15">
        <f t="shared" si="0"/>
        <v>82</v>
      </c>
      <c r="P24" s="15">
        <f t="shared" si="1"/>
        <v>219</v>
      </c>
      <c r="R24" s="36" t="s">
        <v>148</v>
      </c>
      <c r="S24" s="34">
        <f>SUM(C66:C69)</f>
        <v>149</v>
      </c>
      <c r="T24" s="34">
        <f t="shared" ref="T24:AF24" si="16">SUM(D66:D69)</f>
        <v>114</v>
      </c>
      <c r="U24" s="34">
        <f t="shared" si="16"/>
        <v>29</v>
      </c>
      <c r="V24" s="34">
        <f t="shared" si="16"/>
        <v>143</v>
      </c>
      <c r="W24" s="34">
        <f t="shared" si="16"/>
        <v>7</v>
      </c>
      <c r="X24" s="34">
        <f t="shared" si="16"/>
        <v>2</v>
      </c>
      <c r="Y24" s="34">
        <f t="shared" si="16"/>
        <v>36</v>
      </c>
      <c r="Z24" s="34">
        <f t="shared" si="16"/>
        <v>26</v>
      </c>
      <c r="AA24" s="34">
        <f t="shared" si="16"/>
        <v>4</v>
      </c>
      <c r="AB24" s="34">
        <f t="shared" si="16"/>
        <v>19</v>
      </c>
      <c r="AC24" s="34">
        <f t="shared" si="16"/>
        <v>208</v>
      </c>
      <c r="AD24" s="34">
        <f t="shared" si="16"/>
        <v>0</v>
      </c>
      <c r="AE24" s="31">
        <f t="shared" si="16"/>
        <v>529</v>
      </c>
      <c r="AF24" s="31">
        <f t="shared" si="16"/>
        <v>737</v>
      </c>
    </row>
    <row r="25" spans="2:32" ht="23.1" customHeight="1" x14ac:dyDescent="0.25">
      <c r="B25" s="45" t="s">
        <v>52</v>
      </c>
      <c r="C25" s="50">
        <v>31</v>
      </c>
      <c r="D25" s="50">
        <v>14</v>
      </c>
      <c r="E25" s="50">
        <v>5</v>
      </c>
      <c r="F25" s="50">
        <v>55</v>
      </c>
      <c r="G25" s="50">
        <v>0</v>
      </c>
      <c r="H25" s="50">
        <v>0</v>
      </c>
      <c r="I25" s="50">
        <v>6</v>
      </c>
      <c r="J25" s="50">
        <v>4</v>
      </c>
      <c r="K25" s="50">
        <v>6</v>
      </c>
      <c r="L25" s="50">
        <v>15</v>
      </c>
      <c r="M25" s="50">
        <v>202</v>
      </c>
      <c r="N25" s="50">
        <v>0</v>
      </c>
      <c r="O25" s="15">
        <f t="shared" si="0"/>
        <v>136</v>
      </c>
      <c r="P25" s="15">
        <f t="shared" si="1"/>
        <v>338</v>
      </c>
      <c r="R25" s="36" t="s">
        <v>149</v>
      </c>
      <c r="S25" s="34">
        <f>SUM(C70:C73)</f>
        <v>151</v>
      </c>
      <c r="T25" s="34">
        <f t="shared" ref="T25:AF25" si="17">SUM(D70:D73)</f>
        <v>97</v>
      </c>
      <c r="U25" s="34">
        <f t="shared" si="17"/>
        <v>32</v>
      </c>
      <c r="V25" s="34">
        <f t="shared" si="17"/>
        <v>150</v>
      </c>
      <c r="W25" s="34">
        <f t="shared" si="17"/>
        <v>11</v>
      </c>
      <c r="X25" s="34">
        <f t="shared" si="17"/>
        <v>2</v>
      </c>
      <c r="Y25" s="34">
        <f t="shared" si="17"/>
        <v>29</v>
      </c>
      <c r="Z25" s="34">
        <f t="shared" si="17"/>
        <v>27</v>
      </c>
      <c r="AA25" s="34">
        <f t="shared" si="17"/>
        <v>4</v>
      </c>
      <c r="AB25" s="34">
        <f t="shared" si="17"/>
        <v>26</v>
      </c>
      <c r="AC25" s="34">
        <f t="shared" si="17"/>
        <v>129</v>
      </c>
      <c r="AD25" s="34">
        <f t="shared" si="17"/>
        <v>0</v>
      </c>
      <c r="AE25" s="31">
        <f t="shared" si="17"/>
        <v>529</v>
      </c>
      <c r="AF25" s="31">
        <f t="shared" si="17"/>
        <v>658</v>
      </c>
    </row>
    <row r="26" spans="2:32" ht="23.1" customHeight="1" x14ac:dyDescent="0.25">
      <c r="B26" s="45" t="s">
        <v>53</v>
      </c>
      <c r="C26" s="50">
        <v>14</v>
      </c>
      <c r="D26" s="50">
        <v>3</v>
      </c>
      <c r="E26" s="50">
        <v>4</v>
      </c>
      <c r="F26" s="50">
        <v>64</v>
      </c>
      <c r="G26" s="50">
        <v>2</v>
      </c>
      <c r="H26" s="50">
        <v>0</v>
      </c>
      <c r="I26" s="50">
        <v>2</v>
      </c>
      <c r="J26" s="50">
        <v>1</v>
      </c>
      <c r="K26" s="50">
        <v>1</v>
      </c>
      <c r="L26" s="50">
        <v>12</v>
      </c>
      <c r="M26" s="50">
        <v>184</v>
      </c>
      <c r="N26" s="50">
        <v>0</v>
      </c>
      <c r="O26" s="15">
        <f t="shared" si="0"/>
        <v>103</v>
      </c>
      <c r="P26" s="15">
        <f t="shared" si="1"/>
        <v>287</v>
      </c>
      <c r="R26" s="36" t="s">
        <v>150</v>
      </c>
      <c r="S26" s="34">
        <f>SUM(C74:C77)</f>
        <v>110</v>
      </c>
      <c r="T26" s="34">
        <f t="shared" ref="T26:AF26" si="18">SUM(D74:D77)</f>
        <v>63</v>
      </c>
      <c r="U26" s="34">
        <f t="shared" si="18"/>
        <v>20</v>
      </c>
      <c r="V26" s="34">
        <f t="shared" si="18"/>
        <v>95</v>
      </c>
      <c r="W26" s="34">
        <f t="shared" si="18"/>
        <v>13</v>
      </c>
      <c r="X26" s="34">
        <f t="shared" si="18"/>
        <v>2</v>
      </c>
      <c r="Y26" s="34">
        <f t="shared" si="18"/>
        <v>30</v>
      </c>
      <c r="Z26" s="34">
        <f t="shared" si="18"/>
        <v>19</v>
      </c>
      <c r="AA26" s="34">
        <f t="shared" si="18"/>
        <v>4</v>
      </c>
      <c r="AB26" s="34">
        <f t="shared" si="18"/>
        <v>23</v>
      </c>
      <c r="AC26" s="34">
        <f t="shared" si="18"/>
        <v>82</v>
      </c>
      <c r="AD26" s="34">
        <f t="shared" si="18"/>
        <v>0</v>
      </c>
      <c r="AE26" s="31">
        <f t="shared" si="18"/>
        <v>379</v>
      </c>
      <c r="AF26" s="31">
        <f t="shared" si="18"/>
        <v>461</v>
      </c>
    </row>
    <row r="27" spans="2:32" ht="23.1" customHeight="1" x14ac:dyDescent="0.25">
      <c r="B27" s="45" t="s">
        <v>54</v>
      </c>
      <c r="C27" s="50">
        <v>13</v>
      </c>
      <c r="D27" s="50">
        <v>7</v>
      </c>
      <c r="E27" s="50">
        <v>9</v>
      </c>
      <c r="F27" s="50">
        <v>68</v>
      </c>
      <c r="G27" s="50">
        <v>0</v>
      </c>
      <c r="H27" s="50">
        <v>0</v>
      </c>
      <c r="I27" s="50">
        <v>8</v>
      </c>
      <c r="J27" s="50">
        <v>5</v>
      </c>
      <c r="K27" s="50">
        <v>3</v>
      </c>
      <c r="L27" s="50">
        <v>26</v>
      </c>
      <c r="M27" s="50">
        <v>172</v>
      </c>
      <c r="N27" s="50">
        <v>0</v>
      </c>
      <c r="O27" s="15">
        <f t="shared" si="0"/>
        <v>139</v>
      </c>
      <c r="P27" s="15">
        <f t="shared" si="1"/>
        <v>311</v>
      </c>
      <c r="R27" s="36" t="s">
        <v>151</v>
      </c>
      <c r="S27" s="34">
        <f>SUM(C78:C81)</f>
        <v>71</v>
      </c>
      <c r="T27" s="34">
        <f t="shared" ref="T27:AF27" si="19">SUM(D78:D81)</f>
        <v>34</v>
      </c>
      <c r="U27" s="34">
        <f t="shared" si="19"/>
        <v>17</v>
      </c>
      <c r="V27" s="34">
        <f t="shared" si="19"/>
        <v>58</v>
      </c>
      <c r="W27" s="34">
        <f t="shared" si="19"/>
        <v>3</v>
      </c>
      <c r="X27" s="34">
        <f t="shared" si="19"/>
        <v>2</v>
      </c>
      <c r="Y27" s="34">
        <f t="shared" si="19"/>
        <v>22</v>
      </c>
      <c r="Z27" s="34">
        <f t="shared" si="19"/>
        <v>24</v>
      </c>
      <c r="AA27" s="34">
        <f t="shared" si="19"/>
        <v>7</v>
      </c>
      <c r="AB27" s="34">
        <f t="shared" si="19"/>
        <v>15</v>
      </c>
      <c r="AC27" s="34">
        <f t="shared" si="19"/>
        <v>43</v>
      </c>
      <c r="AD27" s="34">
        <f t="shared" si="19"/>
        <v>0</v>
      </c>
      <c r="AE27" s="31">
        <f t="shared" si="19"/>
        <v>253</v>
      </c>
      <c r="AF27" s="31">
        <f t="shared" si="19"/>
        <v>296</v>
      </c>
    </row>
    <row r="28" spans="2:32" ht="23.1" customHeight="1" x14ac:dyDescent="0.25">
      <c r="B28" s="45" t="s">
        <v>55</v>
      </c>
      <c r="C28" s="50">
        <v>25</v>
      </c>
      <c r="D28" s="50">
        <v>4</v>
      </c>
      <c r="E28" s="50">
        <v>9</v>
      </c>
      <c r="F28" s="50">
        <v>46</v>
      </c>
      <c r="G28" s="50">
        <v>2</v>
      </c>
      <c r="H28" s="50">
        <v>1</v>
      </c>
      <c r="I28" s="50">
        <v>4</v>
      </c>
      <c r="J28" s="50">
        <v>2</v>
      </c>
      <c r="K28" s="50">
        <v>1</v>
      </c>
      <c r="L28" s="50">
        <v>14</v>
      </c>
      <c r="M28" s="50">
        <v>190</v>
      </c>
      <c r="N28" s="50">
        <v>0</v>
      </c>
      <c r="O28" s="15">
        <f t="shared" si="0"/>
        <v>108</v>
      </c>
      <c r="P28" s="15">
        <f t="shared" si="1"/>
        <v>298</v>
      </c>
      <c r="R28" s="36" t="s">
        <v>152</v>
      </c>
      <c r="S28" s="34">
        <f>SUM(C82:C85)</f>
        <v>37</v>
      </c>
      <c r="T28" s="34">
        <f t="shared" ref="T28:AF28" si="20">SUM(D82:D85)</f>
        <v>22</v>
      </c>
      <c r="U28" s="34">
        <f t="shared" si="20"/>
        <v>12</v>
      </c>
      <c r="V28" s="34">
        <f t="shared" si="20"/>
        <v>22</v>
      </c>
      <c r="W28" s="34">
        <f t="shared" si="20"/>
        <v>7</v>
      </c>
      <c r="X28" s="34">
        <f t="shared" si="20"/>
        <v>1</v>
      </c>
      <c r="Y28" s="34">
        <f t="shared" si="20"/>
        <v>15</v>
      </c>
      <c r="Z28" s="34">
        <f t="shared" si="20"/>
        <v>19</v>
      </c>
      <c r="AA28" s="34">
        <f t="shared" si="20"/>
        <v>2</v>
      </c>
      <c r="AB28" s="34">
        <f t="shared" si="20"/>
        <v>11</v>
      </c>
      <c r="AC28" s="34">
        <f t="shared" si="20"/>
        <v>48</v>
      </c>
      <c r="AD28" s="34">
        <f t="shared" si="20"/>
        <v>0</v>
      </c>
      <c r="AE28" s="31">
        <f t="shared" si="20"/>
        <v>148</v>
      </c>
      <c r="AF28" s="31">
        <f t="shared" si="20"/>
        <v>196</v>
      </c>
    </row>
    <row r="29" spans="2:32" ht="23.1" customHeight="1" x14ac:dyDescent="0.25">
      <c r="B29" s="45" t="s">
        <v>56</v>
      </c>
      <c r="C29" s="50">
        <v>9</v>
      </c>
      <c r="D29" s="50">
        <v>6</v>
      </c>
      <c r="E29" s="50">
        <v>4</v>
      </c>
      <c r="F29" s="50">
        <v>73</v>
      </c>
      <c r="G29" s="50">
        <v>3</v>
      </c>
      <c r="H29" s="50">
        <v>0</v>
      </c>
      <c r="I29" s="50">
        <v>3</v>
      </c>
      <c r="J29" s="50">
        <v>6</v>
      </c>
      <c r="K29" s="50">
        <v>6</v>
      </c>
      <c r="L29" s="50">
        <v>4</v>
      </c>
      <c r="M29" s="50">
        <v>162</v>
      </c>
      <c r="N29" s="50">
        <v>0</v>
      </c>
      <c r="O29" s="15">
        <f t="shared" si="0"/>
        <v>114</v>
      </c>
      <c r="P29" s="15">
        <f t="shared" si="1"/>
        <v>276</v>
      </c>
      <c r="R29" s="36" t="s">
        <v>153</v>
      </c>
      <c r="S29" s="34">
        <f>SUM(C86:C89)</f>
        <v>33</v>
      </c>
      <c r="T29" s="34">
        <f t="shared" ref="T29:AF29" si="21">SUM(D86:D89)</f>
        <v>18</v>
      </c>
      <c r="U29" s="34">
        <f t="shared" si="21"/>
        <v>6</v>
      </c>
      <c r="V29" s="34">
        <f t="shared" si="21"/>
        <v>20</v>
      </c>
      <c r="W29" s="34">
        <f t="shared" si="21"/>
        <v>3</v>
      </c>
      <c r="X29" s="34">
        <f t="shared" si="21"/>
        <v>6</v>
      </c>
      <c r="Y29" s="34">
        <f t="shared" si="21"/>
        <v>21</v>
      </c>
      <c r="Z29" s="34">
        <f t="shared" si="21"/>
        <v>8</v>
      </c>
      <c r="AA29" s="34">
        <f t="shared" si="21"/>
        <v>6</v>
      </c>
      <c r="AB29" s="34">
        <f t="shared" si="21"/>
        <v>12</v>
      </c>
      <c r="AC29" s="34">
        <f t="shared" si="21"/>
        <v>33</v>
      </c>
      <c r="AD29" s="34">
        <f t="shared" si="21"/>
        <v>0</v>
      </c>
      <c r="AE29" s="31">
        <f t="shared" si="21"/>
        <v>133</v>
      </c>
      <c r="AF29" s="31">
        <f t="shared" si="21"/>
        <v>166</v>
      </c>
    </row>
    <row r="30" spans="2:32" ht="23.1" customHeight="1" x14ac:dyDescent="0.25">
      <c r="B30" s="45" t="s">
        <v>57</v>
      </c>
      <c r="C30" s="50">
        <v>17</v>
      </c>
      <c r="D30" s="50">
        <v>12</v>
      </c>
      <c r="E30" s="50">
        <v>6</v>
      </c>
      <c r="F30" s="50">
        <v>71</v>
      </c>
      <c r="G30" s="50">
        <v>1</v>
      </c>
      <c r="H30" s="50">
        <v>0</v>
      </c>
      <c r="I30" s="50">
        <v>7</v>
      </c>
      <c r="J30" s="50">
        <v>5</v>
      </c>
      <c r="K30" s="50">
        <v>3</v>
      </c>
      <c r="L30" s="50">
        <v>61</v>
      </c>
      <c r="M30" s="50">
        <v>162</v>
      </c>
      <c r="N30" s="50">
        <v>0</v>
      </c>
      <c r="O30" s="15">
        <f t="shared" si="0"/>
        <v>183</v>
      </c>
      <c r="P30" s="15">
        <f t="shared" si="1"/>
        <v>345</v>
      </c>
      <c r="R30" s="36" t="s">
        <v>154</v>
      </c>
      <c r="S30" s="34">
        <f>SUM(C90:C93)</f>
        <v>25</v>
      </c>
      <c r="T30" s="34">
        <f t="shared" ref="T30:AF30" si="22">SUM(D90:D93)</f>
        <v>15</v>
      </c>
      <c r="U30" s="34">
        <f t="shared" si="22"/>
        <v>9</v>
      </c>
      <c r="V30" s="34">
        <f t="shared" si="22"/>
        <v>16</v>
      </c>
      <c r="W30" s="34">
        <f t="shared" si="22"/>
        <v>0</v>
      </c>
      <c r="X30" s="34">
        <f t="shared" si="22"/>
        <v>2</v>
      </c>
      <c r="Y30" s="34">
        <f t="shared" si="22"/>
        <v>7</v>
      </c>
      <c r="Z30" s="34">
        <f t="shared" si="22"/>
        <v>16</v>
      </c>
      <c r="AA30" s="34">
        <f t="shared" si="22"/>
        <v>1</v>
      </c>
      <c r="AB30" s="34">
        <f t="shared" si="22"/>
        <v>24</v>
      </c>
      <c r="AC30" s="34">
        <f t="shared" si="22"/>
        <v>29</v>
      </c>
      <c r="AD30" s="34">
        <f t="shared" si="22"/>
        <v>0</v>
      </c>
      <c r="AE30" s="31">
        <f t="shared" si="22"/>
        <v>115</v>
      </c>
      <c r="AF30" s="31">
        <f t="shared" si="22"/>
        <v>144</v>
      </c>
    </row>
    <row r="31" spans="2:32" ht="23.1" customHeight="1" x14ac:dyDescent="0.25">
      <c r="B31" s="46" t="s">
        <v>58</v>
      </c>
      <c r="C31" s="50">
        <v>6</v>
      </c>
      <c r="D31" s="50">
        <v>4</v>
      </c>
      <c r="E31" s="50">
        <v>2</v>
      </c>
      <c r="F31" s="50">
        <v>36</v>
      </c>
      <c r="G31" s="50">
        <v>1</v>
      </c>
      <c r="H31" s="50">
        <v>2</v>
      </c>
      <c r="I31" s="50">
        <v>8</v>
      </c>
      <c r="J31" s="50">
        <v>9</v>
      </c>
      <c r="K31" s="50">
        <v>1</v>
      </c>
      <c r="L31" s="50">
        <v>11</v>
      </c>
      <c r="M31" s="50">
        <v>119</v>
      </c>
      <c r="N31" s="50">
        <v>0</v>
      </c>
      <c r="O31" s="15">
        <f t="shared" si="0"/>
        <v>80</v>
      </c>
      <c r="P31" s="15">
        <f t="shared" si="1"/>
        <v>199</v>
      </c>
      <c r="R31" s="36" t="s">
        <v>155</v>
      </c>
      <c r="S31" s="34">
        <f>SUM(C94:C97)</f>
        <v>22</v>
      </c>
      <c r="T31" s="34">
        <f t="shared" ref="T31:AF31" si="23">SUM(D94:D97)</f>
        <v>6</v>
      </c>
      <c r="U31" s="34">
        <f t="shared" si="23"/>
        <v>3</v>
      </c>
      <c r="V31" s="34">
        <f t="shared" si="23"/>
        <v>32</v>
      </c>
      <c r="W31" s="34">
        <f t="shared" si="23"/>
        <v>3</v>
      </c>
      <c r="X31" s="34">
        <f t="shared" si="23"/>
        <v>5</v>
      </c>
      <c r="Y31" s="34">
        <f t="shared" si="23"/>
        <v>11</v>
      </c>
      <c r="Z31" s="34">
        <f t="shared" si="23"/>
        <v>10</v>
      </c>
      <c r="AA31" s="34">
        <f t="shared" si="23"/>
        <v>3</v>
      </c>
      <c r="AB31" s="34">
        <f t="shared" si="23"/>
        <v>26</v>
      </c>
      <c r="AC31" s="34">
        <f t="shared" si="23"/>
        <v>33</v>
      </c>
      <c r="AD31" s="34">
        <f t="shared" si="23"/>
        <v>0</v>
      </c>
      <c r="AE31" s="31">
        <f t="shared" si="23"/>
        <v>121</v>
      </c>
      <c r="AF31" s="31">
        <f t="shared" si="23"/>
        <v>154</v>
      </c>
    </row>
    <row r="32" spans="2:32" ht="23.1" customHeight="1" x14ac:dyDescent="0.25">
      <c r="B32" s="46" t="s">
        <v>59</v>
      </c>
      <c r="C32" s="50">
        <v>12</v>
      </c>
      <c r="D32" s="50">
        <v>5</v>
      </c>
      <c r="E32" s="50">
        <v>2</v>
      </c>
      <c r="F32" s="50">
        <v>18</v>
      </c>
      <c r="G32" s="50">
        <v>4</v>
      </c>
      <c r="H32" s="50">
        <v>0</v>
      </c>
      <c r="I32" s="50">
        <v>1</v>
      </c>
      <c r="J32" s="50">
        <v>1</v>
      </c>
      <c r="K32" s="50">
        <v>1</v>
      </c>
      <c r="L32" s="50">
        <v>18</v>
      </c>
      <c r="M32" s="50">
        <v>125</v>
      </c>
      <c r="N32" s="50">
        <v>0</v>
      </c>
      <c r="O32" s="15">
        <f t="shared" si="0"/>
        <v>62</v>
      </c>
      <c r="P32" s="15">
        <f t="shared" si="1"/>
        <v>187</v>
      </c>
      <c r="R32" s="33" t="s">
        <v>156</v>
      </c>
      <c r="S32" s="34">
        <f>SUM(C98:C101)</f>
        <v>20</v>
      </c>
      <c r="T32" s="34">
        <f t="shared" ref="T32:AF32" si="24">SUM(D98:D101)</f>
        <v>14</v>
      </c>
      <c r="U32" s="34">
        <f t="shared" si="24"/>
        <v>5</v>
      </c>
      <c r="V32" s="34">
        <f t="shared" si="24"/>
        <v>78</v>
      </c>
      <c r="W32" s="34">
        <f t="shared" si="24"/>
        <v>4</v>
      </c>
      <c r="X32" s="34">
        <f t="shared" si="24"/>
        <v>7</v>
      </c>
      <c r="Y32" s="34">
        <f t="shared" si="24"/>
        <v>12</v>
      </c>
      <c r="Z32" s="34">
        <f t="shared" si="24"/>
        <v>20</v>
      </c>
      <c r="AA32" s="34">
        <f t="shared" si="24"/>
        <v>13</v>
      </c>
      <c r="AB32" s="34">
        <f t="shared" si="24"/>
        <v>42</v>
      </c>
      <c r="AC32" s="34">
        <f t="shared" si="24"/>
        <v>34</v>
      </c>
      <c r="AD32" s="34">
        <f t="shared" si="24"/>
        <v>0</v>
      </c>
      <c r="AE32" s="31">
        <f t="shared" si="24"/>
        <v>215</v>
      </c>
      <c r="AF32" s="31">
        <f t="shared" si="24"/>
        <v>249</v>
      </c>
    </row>
    <row r="33" spans="2:32" ht="23.1" customHeight="1" x14ac:dyDescent="0.25">
      <c r="B33" s="45" t="s">
        <v>60</v>
      </c>
      <c r="C33" s="50">
        <v>17</v>
      </c>
      <c r="D33" s="50">
        <v>13</v>
      </c>
      <c r="E33" s="50">
        <v>8</v>
      </c>
      <c r="F33" s="50">
        <v>31</v>
      </c>
      <c r="G33" s="50">
        <v>6</v>
      </c>
      <c r="H33" s="50">
        <v>0</v>
      </c>
      <c r="I33" s="50">
        <v>3</v>
      </c>
      <c r="J33" s="50">
        <v>3</v>
      </c>
      <c r="K33" s="50">
        <v>4</v>
      </c>
      <c r="L33" s="50">
        <v>8</v>
      </c>
      <c r="M33" s="50">
        <v>94</v>
      </c>
      <c r="N33" s="50">
        <v>0</v>
      </c>
      <c r="O33" s="15">
        <f t="shared" si="0"/>
        <v>93</v>
      </c>
      <c r="P33" s="15">
        <f t="shared" si="1"/>
        <v>187</v>
      </c>
      <c r="R33" s="33" t="s">
        <v>157</v>
      </c>
      <c r="S33" s="34">
        <f>SUM(C102:C105)</f>
        <v>67</v>
      </c>
      <c r="T33" s="34">
        <f t="shared" ref="T33:AF33" si="25">SUM(D102:D105)</f>
        <v>38</v>
      </c>
      <c r="U33" s="34">
        <f t="shared" si="25"/>
        <v>14</v>
      </c>
      <c r="V33" s="34">
        <f t="shared" si="25"/>
        <v>132</v>
      </c>
      <c r="W33" s="34">
        <f t="shared" si="25"/>
        <v>9</v>
      </c>
      <c r="X33" s="34">
        <f t="shared" si="25"/>
        <v>2</v>
      </c>
      <c r="Y33" s="34">
        <f t="shared" si="25"/>
        <v>15</v>
      </c>
      <c r="Z33" s="34">
        <f t="shared" si="25"/>
        <v>14</v>
      </c>
      <c r="AA33" s="34">
        <f t="shared" si="25"/>
        <v>7</v>
      </c>
      <c r="AB33" s="34">
        <f t="shared" si="25"/>
        <v>55</v>
      </c>
      <c r="AC33" s="34">
        <f t="shared" si="25"/>
        <v>148</v>
      </c>
      <c r="AD33" s="34">
        <f t="shared" si="25"/>
        <v>0</v>
      </c>
      <c r="AE33" s="31">
        <f t="shared" si="25"/>
        <v>353</v>
      </c>
      <c r="AF33" s="31">
        <f t="shared" si="25"/>
        <v>501</v>
      </c>
    </row>
    <row r="34" spans="2:32" ht="23.1" customHeight="1" x14ac:dyDescent="0.25">
      <c r="B34" s="46" t="s">
        <v>61</v>
      </c>
      <c r="C34" s="50">
        <v>31</v>
      </c>
      <c r="D34" s="50">
        <v>15</v>
      </c>
      <c r="E34" s="50">
        <v>6</v>
      </c>
      <c r="F34" s="50">
        <v>53</v>
      </c>
      <c r="G34" s="50">
        <v>1</v>
      </c>
      <c r="H34" s="50">
        <v>0</v>
      </c>
      <c r="I34" s="50">
        <v>0</v>
      </c>
      <c r="J34" s="50">
        <v>4</v>
      </c>
      <c r="K34" s="50">
        <v>6</v>
      </c>
      <c r="L34" s="50">
        <v>12</v>
      </c>
      <c r="M34" s="50">
        <v>91</v>
      </c>
      <c r="N34" s="50">
        <v>0</v>
      </c>
      <c r="O34" s="15">
        <f t="shared" si="0"/>
        <v>128</v>
      </c>
      <c r="P34" s="15">
        <f t="shared" si="1"/>
        <v>219</v>
      </c>
      <c r="R34" s="38" t="s">
        <v>90</v>
      </c>
      <c r="S34" s="39">
        <f t="shared" ref="S34:AF34" si="26">MAX(S10:S12)</f>
        <v>115</v>
      </c>
      <c r="T34" s="39">
        <f t="shared" si="26"/>
        <v>38</v>
      </c>
      <c r="U34" s="39">
        <f t="shared" si="26"/>
        <v>25</v>
      </c>
      <c r="V34" s="39">
        <f t="shared" si="26"/>
        <v>184</v>
      </c>
      <c r="W34" s="39">
        <f t="shared" si="26"/>
        <v>17</v>
      </c>
      <c r="X34" s="39">
        <f t="shared" si="26"/>
        <v>4</v>
      </c>
      <c r="Y34" s="39">
        <f t="shared" si="26"/>
        <v>22</v>
      </c>
      <c r="Z34" s="39">
        <f t="shared" si="26"/>
        <v>23</v>
      </c>
      <c r="AA34" s="39">
        <f t="shared" si="26"/>
        <v>26</v>
      </c>
      <c r="AB34" s="39">
        <f t="shared" si="26"/>
        <v>77</v>
      </c>
      <c r="AC34" s="39">
        <f t="shared" si="26"/>
        <v>603</v>
      </c>
      <c r="AD34" s="39">
        <f t="shared" si="26"/>
        <v>0</v>
      </c>
      <c r="AE34" s="40">
        <f t="shared" si="26"/>
        <v>495</v>
      </c>
      <c r="AF34" s="40">
        <f t="shared" si="26"/>
        <v>1098</v>
      </c>
    </row>
    <row r="35" spans="2:32" ht="23.1" customHeight="1" x14ac:dyDescent="0.25">
      <c r="B35" s="46" t="s">
        <v>62</v>
      </c>
      <c r="C35" s="50">
        <v>53</v>
      </c>
      <c r="D35" s="50">
        <v>15</v>
      </c>
      <c r="E35" s="50">
        <v>4</v>
      </c>
      <c r="F35" s="50">
        <v>63</v>
      </c>
      <c r="G35" s="50">
        <v>2</v>
      </c>
      <c r="H35" s="50">
        <v>1</v>
      </c>
      <c r="I35" s="50">
        <v>3</v>
      </c>
      <c r="J35" s="50">
        <v>6</v>
      </c>
      <c r="K35" s="50">
        <v>0</v>
      </c>
      <c r="L35" s="50">
        <v>7</v>
      </c>
      <c r="M35" s="50">
        <v>102</v>
      </c>
      <c r="N35" s="50">
        <v>0</v>
      </c>
      <c r="O35" s="15">
        <f t="shared" si="0"/>
        <v>154</v>
      </c>
      <c r="P35" s="15">
        <f t="shared" si="1"/>
        <v>256</v>
      </c>
      <c r="R35" s="38" t="s">
        <v>91</v>
      </c>
      <c r="S35" s="39">
        <f t="shared" ref="S35:AF35" si="27">MAX(S13:S18)</f>
        <v>134</v>
      </c>
      <c r="T35" s="39">
        <f t="shared" si="27"/>
        <v>65</v>
      </c>
      <c r="U35" s="39">
        <f t="shared" si="27"/>
        <v>39</v>
      </c>
      <c r="V35" s="39">
        <f t="shared" si="27"/>
        <v>251</v>
      </c>
      <c r="W35" s="39">
        <f t="shared" si="27"/>
        <v>12</v>
      </c>
      <c r="X35" s="39">
        <f t="shared" si="27"/>
        <v>3</v>
      </c>
      <c r="Y35" s="39">
        <f t="shared" si="27"/>
        <v>25</v>
      </c>
      <c r="Z35" s="39">
        <f t="shared" si="27"/>
        <v>24</v>
      </c>
      <c r="AA35" s="39">
        <f t="shared" si="27"/>
        <v>14</v>
      </c>
      <c r="AB35" s="39">
        <f t="shared" si="27"/>
        <v>98</v>
      </c>
      <c r="AC35" s="39">
        <f t="shared" si="27"/>
        <v>708</v>
      </c>
      <c r="AD35" s="39">
        <f t="shared" si="27"/>
        <v>0</v>
      </c>
      <c r="AE35" s="40">
        <f t="shared" si="27"/>
        <v>511</v>
      </c>
      <c r="AF35" s="40">
        <f t="shared" si="27"/>
        <v>1172</v>
      </c>
    </row>
    <row r="36" spans="2:32" ht="23.1" customHeight="1" x14ac:dyDescent="0.25">
      <c r="B36" s="46" t="s">
        <v>63</v>
      </c>
      <c r="C36" s="50">
        <v>32</v>
      </c>
      <c r="D36" s="50">
        <v>13</v>
      </c>
      <c r="E36" s="50">
        <v>4</v>
      </c>
      <c r="F36" s="50">
        <v>45</v>
      </c>
      <c r="G36" s="50">
        <v>1</v>
      </c>
      <c r="H36" s="50">
        <v>0</v>
      </c>
      <c r="I36" s="50">
        <v>7</v>
      </c>
      <c r="J36" s="50">
        <v>4</v>
      </c>
      <c r="K36" s="50">
        <v>4</v>
      </c>
      <c r="L36" s="50">
        <v>9</v>
      </c>
      <c r="M36" s="50">
        <v>125</v>
      </c>
      <c r="N36" s="50">
        <v>0</v>
      </c>
      <c r="O36" s="15">
        <f t="shared" si="0"/>
        <v>119</v>
      </c>
      <c r="P36" s="15">
        <f t="shared" si="1"/>
        <v>244</v>
      </c>
      <c r="R36" s="38" t="s">
        <v>92</v>
      </c>
      <c r="S36" s="39">
        <f t="shared" ref="S36:AF36" si="28">MAX(S19:S21)</f>
        <v>108</v>
      </c>
      <c r="T36" s="39">
        <f t="shared" si="28"/>
        <v>72</v>
      </c>
      <c r="U36" s="39">
        <f t="shared" si="28"/>
        <v>45</v>
      </c>
      <c r="V36" s="39">
        <f t="shared" si="28"/>
        <v>260</v>
      </c>
      <c r="W36" s="39">
        <f t="shared" si="28"/>
        <v>13</v>
      </c>
      <c r="X36" s="39">
        <f t="shared" si="28"/>
        <v>3</v>
      </c>
      <c r="Y36" s="39">
        <f t="shared" si="28"/>
        <v>24</v>
      </c>
      <c r="Z36" s="39">
        <f t="shared" si="28"/>
        <v>22</v>
      </c>
      <c r="AA36" s="39">
        <f t="shared" si="28"/>
        <v>20</v>
      </c>
      <c r="AB36" s="39">
        <f t="shared" si="28"/>
        <v>48</v>
      </c>
      <c r="AC36" s="39">
        <f t="shared" si="28"/>
        <v>497</v>
      </c>
      <c r="AD36" s="39">
        <f t="shared" si="28"/>
        <v>0</v>
      </c>
      <c r="AE36" s="40">
        <f t="shared" si="28"/>
        <v>542</v>
      </c>
      <c r="AF36" s="40">
        <f t="shared" si="28"/>
        <v>1039</v>
      </c>
    </row>
    <row r="37" spans="2:32" ht="23.1" customHeight="1" x14ac:dyDescent="0.25">
      <c r="B37" s="45" t="s">
        <v>64</v>
      </c>
      <c r="C37" s="50">
        <v>18</v>
      </c>
      <c r="D37" s="50">
        <v>21</v>
      </c>
      <c r="E37" s="50">
        <v>7</v>
      </c>
      <c r="F37" s="50">
        <v>44</v>
      </c>
      <c r="G37" s="50">
        <v>1</v>
      </c>
      <c r="H37" s="50">
        <v>0</v>
      </c>
      <c r="I37" s="50">
        <v>6</v>
      </c>
      <c r="J37" s="50">
        <v>2</v>
      </c>
      <c r="K37" s="50">
        <v>2</v>
      </c>
      <c r="L37" s="50">
        <v>9</v>
      </c>
      <c r="M37" s="50">
        <v>133</v>
      </c>
      <c r="N37" s="50">
        <v>0</v>
      </c>
      <c r="O37" s="15">
        <f t="shared" si="0"/>
        <v>110</v>
      </c>
      <c r="P37" s="15">
        <f t="shared" si="1"/>
        <v>243</v>
      </c>
      <c r="R37" s="37" t="s">
        <v>85</v>
      </c>
      <c r="S37" s="35">
        <f t="shared" ref="S37:AF37" si="29">SUM(S10:S12)</f>
        <v>279</v>
      </c>
      <c r="T37" s="16">
        <f t="shared" si="29"/>
        <v>96</v>
      </c>
      <c r="U37" s="16">
        <f t="shared" si="29"/>
        <v>64</v>
      </c>
      <c r="V37" s="16">
        <f t="shared" si="29"/>
        <v>471</v>
      </c>
      <c r="W37" s="16">
        <f t="shared" si="29"/>
        <v>41</v>
      </c>
      <c r="X37" s="16">
        <f t="shared" si="29"/>
        <v>8</v>
      </c>
      <c r="Y37" s="16">
        <f t="shared" si="29"/>
        <v>54</v>
      </c>
      <c r="Z37" s="16">
        <f t="shared" si="29"/>
        <v>45</v>
      </c>
      <c r="AA37" s="16">
        <f t="shared" si="29"/>
        <v>45</v>
      </c>
      <c r="AB37" s="16">
        <f t="shared" si="29"/>
        <v>207</v>
      </c>
      <c r="AC37" s="16">
        <f t="shared" si="29"/>
        <v>1494</v>
      </c>
      <c r="AD37" s="16">
        <f t="shared" si="29"/>
        <v>0</v>
      </c>
      <c r="AE37" s="32">
        <f t="shared" si="29"/>
        <v>1310</v>
      </c>
      <c r="AF37" s="32">
        <f t="shared" si="29"/>
        <v>2804</v>
      </c>
    </row>
    <row r="38" spans="2:32" ht="23.1" customHeight="1" x14ac:dyDescent="0.25">
      <c r="B38" s="46" t="s">
        <v>65</v>
      </c>
      <c r="C38" s="50">
        <v>29</v>
      </c>
      <c r="D38" s="50">
        <v>17</v>
      </c>
      <c r="E38" s="50">
        <v>12</v>
      </c>
      <c r="F38" s="50">
        <v>47</v>
      </c>
      <c r="G38" s="50">
        <v>0</v>
      </c>
      <c r="H38" s="50">
        <v>0</v>
      </c>
      <c r="I38" s="50">
        <v>9</v>
      </c>
      <c r="J38" s="50">
        <v>10</v>
      </c>
      <c r="K38" s="50">
        <v>4</v>
      </c>
      <c r="L38" s="50">
        <v>20</v>
      </c>
      <c r="M38" s="50">
        <v>112</v>
      </c>
      <c r="N38" s="50">
        <v>0</v>
      </c>
      <c r="O38" s="15">
        <f t="shared" si="0"/>
        <v>148</v>
      </c>
      <c r="P38" s="15">
        <f t="shared" si="1"/>
        <v>260</v>
      </c>
      <c r="R38" s="28" t="s">
        <v>86</v>
      </c>
      <c r="S38" s="16">
        <f t="shared" ref="S38:AF38" si="30">SUM(S13:S18)</f>
        <v>473</v>
      </c>
      <c r="T38" s="16">
        <f t="shared" si="30"/>
        <v>279</v>
      </c>
      <c r="U38" s="16">
        <f t="shared" si="30"/>
        <v>162</v>
      </c>
      <c r="V38" s="16">
        <f t="shared" si="30"/>
        <v>1069</v>
      </c>
      <c r="W38" s="16">
        <f t="shared" si="30"/>
        <v>38</v>
      </c>
      <c r="X38" s="16">
        <f t="shared" si="30"/>
        <v>10</v>
      </c>
      <c r="Y38" s="16">
        <f t="shared" si="30"/>
        <v>106</v>
      </c>
      <c r="Z38" s="16">
        <f t="shared" si="30"/>
        <v>88</v>
      </c>
      <c r="AA38" s="16">
        <f t="shared" si="30"/>
        <v>67</v>
      </c>
      <c r="AB38" s="16">
        <f t="shared" si="30"/>
        <v>364</v>
      </c>
      <c r="AC38" s="16">
        <f t="shared" si="30"/>
        <v>3044</v>
      </c>
      <c r="AD38" s="16">
        <f t="shared" si="30"/>
        <v>0</v>
      </c>
      <c r="AE38" s="32">
        <f t="shared" si="30"/>
        <v>2656</v>
      </c>
      <c r="AF38" s="32">
        <f t="shared" si="30"/>
        <v>5700</v>
      </c>
    </row>
    <row r="39" spans="2:32" ht="23.1" customHeight="1" x14ac:dyDescent="0.25">
      <c r="B39" s="46" t="s">
        <v>66</v>
      </c>
      <c r="C39" s="50">
        <v>35</v>
      </c>
      <c r="D39" s="50">
        <v>31</v>
      </c>
      <c r="E39" s="50">
        <v>18</v>
      </c>
      <c r="F39" s="50">
        <v>39</v>
      </c>
      <c r="G39" s="50">
        <v>2</v>
      </c>
      <c r="H39" s="50">
        <v>0</v>
      </c>
      <c r="I39" s="50">
        <v>12</v>
      </c>
      <c r="J39" s="50">
        <v>8</v>
      </c>
      <c r="K39" s="50">
        <v>4</v>
      </c>
      <c r="L39" s="50">
        <v>24</v>
      </c>
      <c r="M39" s="50">
        <v>141</v>
      </c>
      <c r="N39" s="50">
        <v>0</v>
      </c>
      <c r="O39" s="15">
        <f t="shared" si="0"/>
        <v>173</v>
      </c>
      <c r="P39" s="15">
        <f t="shared" si="1"/>
        <v>314</v>
      </c>
      <c r="R39" s="29" t="s">
        <v>87</v>
      </c>
      <c r="S39" s="16">
        <f t="shared" ref="S39:AF39" si="31">SUM(S19:S21)</f>
        <v>284</v>
      </c>
      <c r="T39" s="16">
        <f t="shared" si="31"/>
        <v>187</v>
      </c>
      <c r="U39" s="16">
        <f t="shared" si="31"/>
        <v>89</v>
      </c>
      <c r="V39" s="16">
        <f t="shared" si="31"/>
        <v>604</v>
      </c>
      <c r="W39" s="16">
        <f t="shared" si="31"/>
        <v>28</v>
      </c>
      <c r="X39" s="16">
        <f t="shared" si="31"/>
        <v>5</v>
      </c>
      <c r="Y39" s="16">
        <f t="shared" si="31"/>
        <v>53</v>
      </c>
      <c r="Z39" s="16">
        <f t="shared" si="31"/>
        <v>52</v>
      </c>
      <c r="AA39" s="16">
        <f t="shared" si="31"/>
        <v>57</v>
      </c>
      <c r="AB39" s="16">
        <f t="shared" si="31"/>
        <v>132</v>
      </c>
      <c r="AC39" s="16">
        <f t="shared" si="31"/>
        <v>1368</v>
      </c>
      <c r="AD39" s="16">
        <f t="shared" si="31"/>
        <v>0</v>
      </c>
      <c r="AE39" s="32">
        <f t="shared" si="31"/>
        <v>1491</v>
      </c>
      <c r="AF39" s="32">
        <f t="shared" si="31"/>
        <v>2859</v>
      </c>
    </row>
    <row r="40" spans="2:32" ht="23.1" customHeight="1" x14ac:dyDescent="0.25">
      <c r="B40" s="46" t="s">
        <v>67</v>
      </c>
      <c r="C40" s="50">
        <v>16</v>
      </c>
      <c r="D40" s="50">
        <v>5</v>
      </c>
      <c r="E40" s="50">
        <v>7</v>
      </c>
      <c r="F40" s="50">
        <v>20</v>
      </c>
      <c r="G40" s="50">
        <v>1</v>
      </c>
      <c r="H40" s="50">
        <v>0</v>
      </c>
      <c r="I40" s="50">
        <v>1</v>
      </c>
      <c r="J40" s="50">
        <v>2</v>
      </c>
      <c r="K40" s="50">
        <v>2</v>
      </c>
      <c r="L40" s="50">
        <v>8</v>
      </c>
      <c r="M40" s="50">
        <v>77</v>
      </c>
      <c r="N40" s="50">
        <v>0</v>
      </c>
      <c r="O40" s="15">
        <f t="shared" si="0"/>
        <v>62</v>
      </c>
      <c r="P40" s="15">
        <f t="shared" si="1"/>
        <v>139</v>
      </c>
      <c r="R40" s="5" t="s">
        <v>17</v>
      </c>
      <c r="S40" s="16">
        <f t="shared" ref="S40:AF40" si="32">SUM(S10:S21)</f>
        <v>1036</v>
      </c>
      <c r="T40" s="16">
        <f t="shared" si="32"/>
        <v>562</v>
      </c>
      <c r="U40" s="16">
        <f t="shared" si="32"/>
        <v>315</v>
      </c>
      <c r="V40" s="16">
        <f t="shared" si="32"/>
        <v>2144</v>
      </c>
      <c r="W40" s="16">
        <f t="shared" si="32"/>
        <v>107</v>
      </c>
      <c r="X40" s="16">
        <f t="shared" si="32"/>
        <v>23</v>
      </c>
      <c r="Y40" s="16">
        <f t="shared" si="32"/>
        <v>213</v>
      </c>
      <c r="Z40" s="16">
        <f t="shared" si="32"/>
        <v>185</v>
      </c>
      <c r="AA40" s="16">
        <f t="shared" si="32"/>
        <v>169</v>
      </c>
      <c r="AB40" s="16">
        <f t="shared" si="32"/>
        <v>703</v>
      </c>
      <c r="AC40" s="16">
        <f t="shared" si="32"/>
        <v>5906</v>
      </c>
      <c r="AD40" s="16">
        <f t="shared" si="32"/>
        <v>0</v>
      </c>
      <c r="AE40" s="32">
        <f t="shared" si="32"/>
        <v>5457</v>
      </c>
      <c r="AF40" s="32">
        <f t="shared" si="32"/>
        <v>11363</v>
      </c>
    </row>
    <row r="41" spans="2:32" ht="23.1" customHeight="1" x14ac:dyDescent="0.25">
      <c r="B41" s="45" t="s">
        <v>68</v>
      </c>
      <c r="C41" s="50">
        <v>18</v>
      </c>
      <c r="D41" s="50">
        <v>12</v>
      </c>
      <c r="E41" s="50">
        <v>2</v>
      </c>
      <c r="F41" s="50">
        <v>40</v>
      </c>
      <c r="G41" s="50">
        <v>0</v>
      </c>
      <c r="H41" s="50">
        <v>2</v>
      </c>
      <c r="I41" s="50">
        <v>3</v>
      </c>
      <c r="J41" s="50">
        <v>4</v>
      </c>
      <c r="K41" s="50">
        <v>4</v>
      </c>
      <c r="L41" s="50">
        <v>12</v>
      </c>
      <c r="M41" s="50">
        <v>96</v>
      </c>
      <c r="N41" s="50">
        <v>0</v>
      </c>
      <c r="O41" s="15">
        <f t="shared" si="0"/>
        <v>97</v>
      </c>
      <c r="P41" s="15">
        <f t="shared" si="1"/>
        <v>193</v>
      </c>
      <c r="R41" s="5" t="s">
        <v>159</v>
      </c>
      <c r="S41" s="16">
        <f>SUM(S10:S33)</f>
        <v>1978</v>
      </c>
      <c r="T41" s="16">
        <f t="shared" ref="T41:AF41" si="33">SUM(T10:T33)</f>
        <v>1142</v>
      </c>
      <c r="U41" s="16">
        <f t="shared" si="33"/>
        <v>511</v>
      </c>
      <c r="V41" s="16">
        <f t="shared" si="33"/>
        <v>3135</v>
      </c>
      <c r="W41" s="16">
        <f t="shared" si="33"/>
        <v>180</v>
      </c>
      <c r="X41" s="16">
        <f t="shared" si="33"/>
        <v>65</v>
      </c>
      <c r="Y41" s="16">
        <f t="shared" si="33"/>
        <v>461</v>
      </c>
      <c r="Z41" s="16">
        <f t="shared" si="33"/>
        <v>401</v>
      </c>
      <c r="AA41" s="16">
        <f t="shared" si="33"/>
        <v>236</v>
      </c>
      <c r="AB41" s="16">
        <f t="shared" si="33"/>
        <v>996</v>
      </c>
      <c r="AC41" s="16">
        <f t="shared" si="33"/>
        <v>7424</v>
      </c>
      <c r="AD41" s="16">
        <f t="shared" si="33"/>
        <v>0</v>
      </c>
      <c r="AE41" s="32">
        <f t="shared" si="33"/>
        <v>9105</v>
      </c>
      <c r="AF41" s="32">
        <f t="shared" si="33"/>
        <v>16529</v>
      </c>
    </row>
    <row r="42" spans="2:32" ht="23.1" customHeight="1" x14ac:dyDescent="0.25">
      <c r="B42" s="46" t="s">
        <v>69</v>
      </c>
      <c r="C42" s="50">
        <v>8</v>
      </c>
      <c r="D42" s="50">
        <v>2</v>
      </c>
      <c r="E42" s="50">
        <v>6</v>
      </c>
      <c r="F42" s="50">
        <v>30</v>
      </c>
      <c r="G42" s="50">
        <v>0</v>
      </c>
      <c r="H42" s="50">
        <v>0</v>
      </c>
      <c r="I42" s="50">
        <v>3</v>
      </c>
      <c r="J42" s="50">
        <v>1</v>
      </c>
      <c r="K42" s="50">
        <v>3</v>
      </c>
      <c r="L42" s="50">
        <v>13</v>
      </c>
      <c r="M42" s="50">
        <v>83</v>
      </c>
      <c r="N42" s="50">
        <v>0</v>
      </c>
      <c r="O42" s="15">
        <f t="shared" si="0"/>
        <v>66</v>
      </c>
      <c r="P42" s="15">
        <f t="shared" si="1"/>
        <v>149</v>
      </c>
      <c r="R42" s="5" t="s">
        <v>160</v>
      </c>
      <c r="S42" s="48">
        <f>S41/S40</f>
        <v>1.9092664092664093</v>
      </c>
      <c r="T42" s="48">
        <f t="shared" ref="T42:AF42" si="34">T41/T40</f>
        <v>2.0320284697508897</v>
      </c>
      <c r="U42" s="48">
        <f t="shared" si="34"/>
        <v>1.6222222222222222</v>
      </c>
      <c r="V42" s="48">
        <f t="shared" si="34"/>
        <v>1.4622201492537314</v>
      </c>
      <c r="W42" s="48">
        <f t="shared" si="34"/>
        <v>1.6822429906542056</v>
      </c>
      <c r="X42" s="48">
        <f t="shared" si="34"/>
        <v>2.8260869565217392</v>
      </c>
      <c r="Y42" s="48">
        <f t="shared" si="34"/>
        <v>2.164319248826291</v>
      </c>
      <c r="Z42" s="48">
        <f t="shared" si="34"/>
        <v>2.1675675675675676</v>
      </c>
      <c r="AA42" s="48">
        <f t="shared" si="34"/>
        <v>1.3964497041420119</v>
      </c>
      <c r="AB42" s="48">
        <f t="shared" si="34"/>
        <v>1.4167852062588904</v>
      </c>
      <c r="AC42" s="48">
        <f t="shared" si="34"/>
        <v>1.2570267524551304</v>
      </c>
      <c r="AD42" s="48" t="e">
        <f t="shared" si="34"/>
        <v>#DIV/0!</v>
      </c>
      <c r="AE42" s="48">
        <f t="shared" si="34"/>
        <v>1.6684991753710829</v>
      </c>
      <c r="AF42" s="48">
        <f t="shared" si="34"/>
        <v>1.4546334594737305</v>
      </c>
    </row>
    <row r="43" spans="2:32" ht="23.1" customHeight="1" x14ac:dyDescent="0.25">
      <c r="B43" s="45" t="s">
        <v>70</v>
      </c>
      <c r="C43" s="50">
        <v>3</v>
      </c>
      <c r="D43" s="50">
        <v>14</v>
      </c>
      <c r="E43" s="50">
        <v>4</v>
      </c>
      <c r="F43" s="50">
        <v>35</v>
      </c>
      <c r="G43" s="50">
        <v>0</v>
      </c>
      <c r="H43" s="50">
        <v>0</v>
      </c>
      <c r="I43" s="50">
        <v>2</v>
      </c>
      <c r="J43" s="50">
        <v>2</v>
      </c>
      <c r="K43" s="50">
        <v>2</v>
      </c>
      <c r="L43" s="50">
        <v>11</v>
      </c>
      <c r="M43" s="50">
        <v>92</v>
      </c>
      <c r="N43" s="50">
        <v>0</v>
      </c>
      <c r="O43" s="15">
        <f t="shared" si="0"/>
        <v>73</v>
      </c>
      <c r="P43" s="15">
        <f t="shared" si="1"/>
        <v>165</v>
      </c>
    </row>
    <row r="44" spans="2:32" ht="23.1" customHeight="1" x14ac:dyDescent="0.25">
      <c r="B44" s="47" t="s">
        <v>71</v>
      </c>
      <c r="C44" s="50">
        <v>13</v>
      </c>
      <c r="D44" s="50">
        <v>24</v>
      </c>
      <c r="E44" s="50">
        <v>9</v>
      </c>
      <c r="F44" s="50">
        <v>35</v>
      </c>
      <c r="G44" s="50">
        <v>2</v>
      </c>
      <c r="H44" s="50">
        <v>0</v>
      </c>
      <c r="I44" s="50">
        <v>3</v>
      </c>
      <c r="J44" s="50">
        <v>1</v>
      </c>
      <c r="K44" s="50">
        <v>2</v>
      </c>
      <c r="L44" s="50">
        <v>19</v>
      </c>
      <c r="M44" s="50">
        <v>134</v>
      </c>
      <c r="N44" s="50">
        <v>0</v>
      </c>
      <c r="O44" s="15">
        <f t="shared" si="0"/>
        <v>108</v>
      </c>
      <c r="P44" s="15">
        <f t="shared" si="1"/>
        <v>242</v>
      </c>
    </row>
    <row r="45" spans="2:32" ht="23.1" customHeight="1" x14ac:dyDescent="0.25">
      <c r="B45" s="45" t="s">
        <v>72</v>
      </c>
      <c r="C45" s="50">
        <v>31</v>
      </c>
      <c r="D45" s="50">
        <v>22</v>
      </c>
      <c r="E45" s="50">
        <v>18</v>
      </c>
      <c r="F45" s="50">
        <v>51</v>
      </c>
      <c r="G45" s="50">
        <v>0</v>
      </c>
      <c r="H45" s="50">
        <v>1</v>
      </c>
      <c r="I45" s="50">
        <v>4</v>
      </c>
      <c r="J45" s="50">
        <v>2</v>
      </c>
      <c r="K45" s="50">
        <v>1</v>
      </c>
      <c r="L45" s="50">
        <v>12</v>
      </c>
      <c r="M45" s="50">
        <v>83</v>
      </c>
      <c r="N45" s="50">
        <v>0</v>
      </c>
      <c r="O45" s="15">
        <f t="shared" si="0"/>
        <v>142</v>
      </c>
      <c r="P45" s="15">
        <f t="shared" si="1"/>
        <v>225</v>
      </c>
    </row>
    <row r="46" spans="2:32" ht="23.1" customHeight="1" x14ac:dyDescent="0.25">
      <c r="B46" s="46" t="s">
        <v>73</v>
      </c>
      <c r="C46" s="50">
        <v>13</v>
      </c>
      <c r="D46" s="50">
        <v>24</v>
      </c>
      <c r="E46" s="50">
        <v>9</v>
      </c>
      <c r="F46" s="50">
        <v>35</v>
      </c>
      <c r="G46" s="50">
        <v>2</v>
      </c>
      <c r="H46" s="50">
        <v>0</v>
      </c>
      <c r="I46" s="50">
        <v>3</v>
      </c>
      <c r="J46" s="50">
        <v>1</v>
      </c>
      <c r="K46" s="50">
        <v>2</v>
      </c>
      <c r="L46" s="50">
        <v>19</v>
      </c>
      <c r="M46" s="50">
        <v>134</v>
      </c>
      <c r="N46" s="50">
        <v>0</v>
      </c>
      <c r="O46" s="15">
        <f t="shared" si="0"/>
        <v>108</v>
      </c>
      <c r="P46" s="15">
        <f t="shared" si="1"/>
        <v>242</v>
      </c>
      <c r="R46" s="8"/>
      <c r="T46"/>
    </row>
    <row r="47" spans="2:32" ht="23.1" customHeight="1" x14ac:dyDescent="0.25">
      <c r="B47" s="46" t="s">
        <v>74</v>
      </c>
      <c r="C47" s="50">
        <v>31</v>
      </c>
      <c r="D47" s="50">
        <v>22</v>
      </c>
      <c r="E47" s="50">
        <v>18</v>
      </c>
      <c r="F47" s="50">
        <v>51</v>
      </c>
      <c r="G47" s="50">
        <v>0</v>
      </c>
      <c r="H47" s="50">
        <v>1</v>
      </c>
      <c r="I47" s="50">
        <v>4</v>
      </c>
      <c r="J47" s="50">
        <v>2</v>
      </c>
      <c r="K47" s="50">
        <v>1</v>
      </c>
      <c r="L47" s="50">
        <v>12</v>
      </c>
      <c r="M47" s="50">
        <v>83</v>
      </c>
      <c r="N47" s="50">
        <v>0</v>
      </c>
      <c r="O47" s="15">
        <f t="shared" si="0"/>
        <v>142</v>
      </c>
      <c r="P47" s="15">
        <f t="shared" si="1"/>
        <v>225</v>
      </c>
      <c r="R47" s="8"/>
      <c r="T47"/>
    </row>
    <row r="48" spans="2:32" ht="23.1" customHeight="1" x14ac:dyDescent="0.25">
      <c r="B48" s="46" t="s">
        <v>75</v>
      </c>
      <c r="C48" s="50">
        <v>37</v>
      </c>
      <c r="D48" s="50">
        <v>14</v>
      </c>
      <c r="E48" s="50">
        <v>11</v>
      </c>
      <c r="F48" s="50">
        <v>46</v>
      </c>
      <c r="G48" s="50">
        <v>3</v>
      </c>
      <c r="H48" s="50">
        <v>1</v>
      </c>
      <c r="I48" s="50">
        <v>3</v>
      </c>
      <c r="J48" s="50">
        <v>4</v>
      </c>
      <c r="K48" s="50">
        <v>11</v>
      </c>
      <c r="L48" s="50">
        <v>0</v>
      </c>
      <c r="M48" s="50">
        <v>118</v>
      </c>
      <c r="N48" s="50">
        <v>0</v>
      </c>
      <c r="O48" s="15">
        <f t="shared" si="0"/>
        <v>130</v>
      </c>
      <c r="P48" s="15">
        <f t="shared" si="1"/>
        <v>248</v>
      </c>
      <c r="R48" s="8"/>
      <c r="T48"/>
    </row>
    <row r="49" spans="2:20" ht="23.1" customHeight="1" x14ac:dyDescent="0.25">
      <c r="B49" s="45" t="s">
        <v>76</v>
      </c>
      <c r="C49" s="50">
        <v>27</v>
      </c>
      <c r="D49" s="50">
        <v>12</v>
      </c>
      <c r="E49" s="50">
        <v>7</v>
      </c>
      <c r="F49" s="50">
        <v>36</v>
      </c>
      <c r="G49" s="50">
        <v>3</v>
      </c>
      <c r="H49" s="50">
        <v>1</v>
      </c>
      <c r="I49" s="50">
        <v>4</v>
      </c>
      <c r="J49" s="50">
        <v>3</v>
      </c>
      <c r="K49" s="50">
        <v>6</v>
      </c>
      <c r="L49" s="50">
        <v>8</v>
      </c>
      <c r="M49" s="50">
        <v>108</v>
      </c>
      <c r="N49" s="50">
        <v>0</v>
      </c>
      <c r="O49" s="15">
        <f t="shared" si="0"/>
        <v>107</v>
      </c>
      <c r="P49" s="15">
        <f t="shared" si="1"/>
        <v>215</v>
      </c>
      <c r="R49" s="8"/>
      <c r="T49"/>
    </row>
    <row r="50" spans="2:20" ht="23.1" customHeight="1" x14ac:dyDescent="0.25">
      <c r="B50" s="46" t="s">
        <v>77</v>
      </c>
      <c r="C50" s="50">
        <v>13</v>
      </c>
      <c r="D50" s="50">
        <v>9</v>
      </c>
      <c r="E50" s="50">
        <v>3</v>
      </c>
      <c r="F50" s="50">
        <v>25</v>
      </c>
      <c r="G50" s="50">
        <v>1</v>
      </c>
      <c r="H50" s="50">
        <v>0</v>
      </c>
      <c r="I50" s="50">
        <v>3</v>
      </c>
      <c r="J50" s="50">
        <v>1</v>
      </c>
      <c r="K50" s="50">
        <v>2</v>
      </c>
      <c r="L50" s="50">
        <v>2</v>
      </c>
      <c r="M50" s="50">
        <v>45</v>
      </c>
      <c r="N50" s="50">
        <v>0</v>
      </c>
      <c r="O50" s="15">
        <f t="shared" si="0"/>
        <v>59</v>
      </c>
      <c r="P50" s="15">
        <f t="shared" si="1"/>
        <v>104</v>
      </c>
      <c r="R50" s="8"/>
      <c r="T50"/>
    </row>
    <row r="51" spans="2:20" ht="23.1" customHeight="1" x14ac:dyDescent="0.25">
      <c r="B51" s="46" t="s">
        <v>78</v>
      </c>
      <c r="C51" s="50">
        <v>38</v>
      </c>
      <c r="D51" s="50">
        <v>27</v>
      </c>
      <c r="E51" s="50">
        <v>4</v>
      </c>
      <c r="F51" s="50">
        <v>49</v>
      </c>
      <c r="G51" s="50">
        <v>4</v>
      </c>
      <c r="H51" s="50">
        <v>0</v>
      </c>
      <c r="I51" s="50">
        <v>6</v>
      </c>
      <c r="J51" s="50">
        <v>4</v>
      </c>
      <c r="K51" s="50">
        <v>4</v>
      </c>
      <c r="L51" s="50">
        <v>17</v>
      </c>
      <c r="M51" s="50">
        <v>172</v>
      </c>
      <c r="N51" s="50">
        <v>0</v>
      </c>
      <c r="O51" s="15">
        <f t="shared" si="0"/>
        <v>153</v>
      </c>
      <c r="P51" s="15">
        <f t="shared" si="1"/>
        <v>325</v>
      </c>
      <c r="R51" s="8"/>
      <c r="T51"/>
    </row>
    <row r="52" spans="2:20" ht="23.1" customHeight="1" x14ac:dyDescent="0.25">
      <c r="B52" s="46" t="s">
        <v>79</v>
      </c>
      <c r="C52" s="50">
        <v>16</v>
      </c>
      <c r="D52" s="50">
        <v>10</v>
      </c>
      <c r="E52" s="50">
        <v>6</v>
      </c>
      <c r="F52" s="50">
        <v>42</v>
      </c>
      <c r="G52" s="50">
        <v>0</v>
      </c>
      <c r="H52" s="50">
        <v>0</v>
      </c>
      <c r="I52" s="50">
        <v>8</v>
      </c>
      <c r="J52" s="50">
        <v>7</v>
      </c>
      <c r="K52" s="50">
        <v>5</v>
      </c>
      <c r="L52" s="50">
        <v>14</v>
      </c>
      <c r="M52" s="50">
        <v>96</v>
      </c>
      <c r="N52" s="50">
        <v>0</v>
      </c>
      <c r="O52" s="15">
        <f t="shared" si="0"/>
        <v>108</v>
      </c>
      <c r="P52" s="15">
        <f t="shared" si="1"/>
        <v>204</v>
      </c>
      <c r="R52" s="8"/>
      <c r="T52"/>
    </row>
    <row r="53" spans="2:20" ht="23.1" customHeight="1" x14ac:dyDescent="0.25">
      <c r="B53" s="45" t="s">
        <v>80</v>
      </c>
      <c r="C53" s="50">
        <v>20</v>
      </c>
      <c r="D53" s="50">
        <v>16</v>
      </c>
      <c r="E53" s="50">
        <v>8</v>
      </c>
      <c r="F53" s="50">
        <v>60</v>
      </c>
      <c r="G53" s="50">
        <v>2</v>
      </c>
      <c r="H53" s="50">
        <v>0</v>
      </c>
      <c r="I53" s="50">
        <v>7</v>
      </c>
      <c r="J53" s="50">
        <v>8</v>
      </c>
      <c r="K53" s="50">
        <v>9</v>
      </c>
      <c r="L53" s="50">
        <v>12</v>
      </c>
      <c r="M53" s="50">
        <v>115</v>
      </c>
      <c r="N53" s="50">
        <v>0</v>
      </c>
      <c r="O53" s="15">
        <f t="shared" si="0"/>
        <v>142</v>
      </c>
      <c r="P53" s="15">
        <f t="shared" si="1"/>
        <v>257</v>
      </c>
      <c r="R53" s="8"/>
      <c r="T53"/>
    </row>
    <row r="54" spans="2:20" ht="23.1" customHeight="1" x14ac:dyDescent="0.25">
      <c r="B54" s="45" t="s">
        <v>81</v>
      </c>
      <c r="C54" s="50">
        <v>27</v>
      </c>
      <c r="D54" s="50">
        <v>11</v>
      </c>
      <c r="E54" s="50">
        <v>7</v>
      </c>
      <c r="F54" s="50">
        <v>64</v>
      </c>
      <c r="G54" s="50">
        <v>4</v>
      </c>
      <c r="H54" s="50">
        <v>1</v>
      </c>
      <c r="I54" s="50">
        <v>4</v>
      </c>
      <c r="J54" s="50">
        <v>7</v>
      </c>
      <c r="K54" s="50">
        <v>6</v>
      </c>
      <c r="L54" s="50">
        <v>7</v>
      </c>
      <c r="M54" s="50">
        <v>118</v>
      </c>
      <c r="N54" s="50">
        <v>0</v>
      </c>
      <c r="O54" s="15">
        <f t="shared" si="0"/>
        <v>138</v>
      </c>
      <c r="P54" s="15">
        <f t="shared" si="1"/>
        <v>256</v>
      </c>
      <c r="R54" s="8"/>
      <c r="T54"/>
    </row>
    <row r="55" spans="2:20" ht="23.1" customHeight="1" x14ac:dyDescent="0.25">
      <c r="B55" s="45" t="s">
        <v>82</v>
      </c>
      <c r="C55" s="50">
        <v>27</v>
      </c>
      <c r="D55" s="50">
        <v>21</v>
      </c>
      <c r="E55" s="50">
        <v>7</v>
      </c>
      <c r="F55" s="50">
        <v>61</v>
      </c>
      <c r="G55" s="50">
        <v>5</v>
      </c>
      <c r="H55" s="50">
        <v>0</v>
      </c>
      <c r="I55" s="50">
        <v>4</v>
      </c>
      <c r="J55" s="50">
        <v>9</v>
      </c>
      <c r="K55" s="50">
        <v>4</v>
      </c>
      <c r="L55" s="50">
        <v>12</v>
      </c>
      <c r="M55" s="50">
        <v>125</v>
      </c>
      <c r="N55" s="50">
        <v>0</v>
      </c>
      <c r="O55" s="15">
        <f t="shared" si="0"/>
        <v>150</v>
      </c>
      <c r="P55" s="15">
        <f t="shared" si="1"/>
        <v>275</v>
      </c>
      <c r="R55" s="8"/>
      <c r="T55"/>
    </row>
    <row r="56" spans="2:20" ht="23.1" customHeight="1" x14ac:dyDescent="0.25">
      <c r="B56" s="45" t="s">
        <v>83</v>
      </c>
      <c r="C56" s="50">
        <v>21</v>
      </c>
      <c r="D56" s="50">
        <v>9</v>
      </c>
      <c r="E56" s="50">
        <v>3</v>
      </c>
      <c r="F56" s="50">
        <v>56</v>
      </c>
      <c r="G56" s="50">
        <v>4</v>
      </c>
      <c r="H56" s="50">
        <v>1</v>
      </c>
      <c r="I56" s="50">
        <v>3</v>
      </c>
      <c r="J56" s="50">
        <v>0</v>
      </c>
      <c r="K56" s="50">
        <v>2</v>
      </c>
      <c r="L56" s="50">
        <v>13</v>
      </c>
      <c r="M56" s="50">
        <v>108</v>
      </c>
      <c r="N56" s="50">
        <v>0</v>
      </c>
      <c r="O56" s="15">
        <f t="shared" si="0"/>
        <v>112</v>
      </c>
      <c r="P56" s="15">
        <f t="shared" si="1"/>
        <v>220</v>
      </c>
      <c r="R56" s="8"/>
      <c r="T56"/>
    </row>
    <row r="57" spans="2:20" ht="23.1" customHeight="1" x14ac:dyDescent="0.25">
      <c r="B57" s="45" t="s">
        <v>84</v>
      </c>
      <c r="C57" s="50">
        <v>14</v>
      </c>
      <c r="D57" s="50">
        <v>12</v>
      </c>
      <c r="E57" s="50">
        <v>6</v>
      </c>
      <c r="F57" s="50">
        <v>79</v>
      </c>
      <c r="G57" s="50">
        <v>0</v>
      </c>
      <c r="H57" s="50">
        <v>0</v>
      </c>
      <c r="I57" s="50">
        <v>4</v>
      </c>
      <c r="J57" s="50">
        <v>6</v>
      </c>
      <c r="K57" s="50">
        <v>5</v>
      </c>
      <c r="L57" s="50">
        <v>16</v>
      </c>
      <c r="M57" s="50">
        <v>146</v>
      </c>
      <c r="N57" s="50">
        <v>0</v>
      </c>
      <c r="O57" s="15">
        <f t="shared" si="0"/>
        <v>142</v>
      </c>
      <c r="P57" s="15">
        <f t="shared" si="1"/>
        <v>288</v>
      </c>
      <c r="R57" s="8"/>
      <c r="T57"/>
    </row>
    <row r="58" spans="2:20" ht="23.1" customHeight="1" x14ac:dyDescent="0.25">
      <c r="B58" s="45" t="s">
        <v>99</v>
      </c>
      <c r="C58" s="50">
        <v>33</v>
      </c>
      <c r="D58" s="50">
        <v>14</v>
      </c>
      <c r="E58" s="50">
        <v>8</v>
      </c>
      <c r="F58" s="50">
        <v>29</v>
      </c>
      <c r="G58" s="50">
        <v>1</v>
      </c>
      <c r="H58" s="50">
        <v>2</v>
      </c>
      <c r="I58" s="50">
        <v>7</v>
      </c>
      <c r="J58" s="50">
        <v>6</v>
      </c>
      <c r="K58" s="50">
        <v>0</v>
      </c>
      <c r="L58" s="50">
        <v>3</v>
      </c>
      <c r="M58" s="50">
        <v>78</v>
      </c>
      <c r="N58" s="50">
        <v>0</v>
      </c>
      <c r="O58" s="15">
        <f t="shared" si="0"/>
        <v>103</v>
      </c>
      <c r="P58" s="15">
        <f t="shared" si="1"/>
        <v>181</v>
      </c>
      <c r="R58" s="8"/>
      <c r="T58"/>
    </row>
    <row r="59" spans="2:20" ht="23.1" customHeight="1" x14ac:dyDescent="0.25">
      <c r="B59" s="45" t="s">
        <v>100</v>
      </c>
      <c r="C59" s="50">
        <v>31</v>
      </c>
      <c r="D59" s="50">
        <v>18</v>
      </c>
      <c r="E59" s="50">
        <v>6</v>
      </c>
      <c r="F59" s="50">
        <v>27</v>
      </c>
      <c r="G59" s="50">
        <v>2</v>
      </c>
      <c r="H59" s="50">
        <v>0</v>
      </c>
      <c r="I59" s="50">
        <v>8</v>
      </c>
      <c r="J59" s="50">
        <v>2</v>
      </c>
      <c r="K59" s="50">
        <v>2</v>
      </c>
      <c r="L59" s="50">
        <v>7</v>
      </c>
      <c r="M59" s="50">
        <v>54</v>
      </c>
      <c r="N59" s="50">
        <v>0</v>
      </c>
      <c r="O59" s="15">
        <f t="shared" si="0"/>
        <v>103</v>
      </c>
      <c r="P59" s="15">
        <f t="shared" si="1"/>
        <v>157</v>
      </c>
      <c r="R59" s="8"/>
      <c r="T59"/>
    </row>
    <row r="60" spans="2:20" ht="23.1" customHeight="1" x14ac:dyDescent="0.25">
      <c r="B60" s="45" t="s">
        <v>101</v>
      </c>
      <c r="C60" s="50">
        <v>27</v>
      </c>
      <c r="D60" s="50">
        <v>20</v>
      </c>
      <c r="E60" s="50">
        <v>8</v>
      </c>
      <c r="F60" s="50">
        <v>25</v>
      </c>
      <c r="G60" s="50">
        <v>0</v>
      </c>
      <c r="H60" s="50">
        <v>0</v>
      </c>
      <c r="I60" s="50">
        <v>4</v>
      </c>
      <c r="J60" s="50">
        <v>3</v>
      </c>
      <c r="K60" s="50">
        <v>2</v>
      </c>
      <c r="L60" s="50">
        <v>12</v>
      </c>
      <c r="M60" s="50">
        <v>95</v>
      </c>
      <c r="N60" s="50">
        <v>0</v>
      </c>
      <c r="O60" s="15">
        <f t="shared" si="0"/>
        <v>101</v>
      </c>
      <c r="P60" s="15">
        <f t="shared" si="1"/>
        <v>196</v>
      </c>
      <c r="R60" s="8"/>
      <c r="T60"/>
    </row>
    <row r="61" spans="2:20" ht="23.1" customHeight="1" x14ac:dyDescent="0.25">
      <c r="B61" s="45" t="s">
        <v>102</v>
      </c>
      <c r="C61" s="50">
        <v>27</v>
      </c>
      <c r="D61" s="50">
        <v>21</v>
      </c>
      <c r="E61" s="50">
        <v>1</v>
      </c>
      <c r="F61" s="50">
        <v>24</v>
      </c>
      <c r="G61" s="50">
        <v>1</v>
      </c>
      <c r="H61" s="50">
        <v>0</v>
      </c>
      <c r="I61" s="50">
        <v>5</v>
      </c>
      <c r="J61" s="50">
        <v>2</v>
      </c>
      <c r="K61" s="50">
        <v>2</v>
      </c>
      <c r="L61" s="50">
        <v>8</v>
      </c>
      <c r="M61" s="50">
        <v>98</v>
      </c>
      <c r="N61" s="50">
        <v>0</v>
      </c>
      <c r="O61" s="15">
        <f t="shared" si="0"/>
        <v>91</v>
      </c>
      <c r="P61" s="15">
        <f t="shared" si="1"/>
        <v>189</v>
      </c>
      <c r="R61" s="8"/>
      <c r="T61"/>
    </row>
    <row r="62" spans="2:20" ht="23.1" customHeight="1" x14ac:dyDescent="0.25">
      <c r="B62" s="45" t="s">
        <v>107</v>
      </c>
      <c r="C62" s="50">
        <v>37</v>
      </c>
      <c r="D62" s="50">
        <v>19</v>
      </c>
      <c r="E62" s="50">
        <v>8</v>
      </c>
      <c r="F62" s="50">
        <v>27</v>
      </c>
      <c r="G62" s="50">
        <v>2</v>
      </c>
      <c r="H62" s="50">
        <v>0</v>
      </c>
      <c r="I62" s="50">
        <v>4</v>
      </c>
      <c r="J62" s="50">
        <v>9</v>
      </c>
      <c r="K62" s="50">
        <v>1</v>
      </c>
      <c r="L62" s="50">
        <v>1</v>
      </c>
      <c r="M62" s="50">
        <v>143</v>
      </c>
      <c r="N62" s="50">
        <v>0</v>
      </c>
      <c r="O62" s="15">
        <f t="shared" si="0"/>
        <v>108</v>
      </c>
      <c r="P62" s="15">
        <f t="shared" si="1"/>
        <v>251</v>
      </c>
      <c r="R62" s="8"/>
      <c r="T62"/>
    </row>
    <row r="63" spans="2:20" ht="23.1" customHeight="1" x14ac:dyDescent="0.25">
      <c r="B63" s="45" t="s">
        <v>108</v>
      </c>
      <c r="C63" s="50">
        <v>41</v>
      </c>
      <c r="D63" s="50">
        <v>39</v>
      </c>
      <c r="E63" s="50">
        <v>6</v>
      </c>
      <c r="F63" s="50">
        <v>45</v>
      </c>
      <c r="G63" s="50">
        <v>3</v>
      </c>
      <c r="H63" s="50">
        <v>1</v>
      </c>
      <c r="I63" s="50">
        <v>10</v>
      </c>
      <c r="J63" s="50">
        <v>7</v>
      </c>
      <c r="K63" s="50">
        <v>0</v>
      </c>
      <c r="L63" s="50">
        <v>4</v>
      </c>
      <c r="M63" s="50">
        <v>103</v>
      </c>
      <c r="N63" s="50">
        <v>0</v>
      </c>
      <c r="O63" s="15">
        <f t="shared" si="0"/>
        <v>156</v>
      </c>
      <c r="P63" s="15">
        <f t="shared" si="1"/>
        <v>259</v>
      </c>
      <c r="R63" s="8"/>
      <c r="T63"/>
    </row>
    <row r="64" spans="2:20" ht="23.1" customHeight="1" x14ac:dyDescent="0.25">
      <c r="B64" s="45" t="s">
        <v>109</v>
      </c>
      <c r="C64" s="50">
        <v>33</v>
      </c>
      <c r="D64" s="50">
        <v>16</v>
      </c>
      <c r="E64" s="50">
        <v>6</v>
      </c>
      <c r="F64" s="50">
        <v>31</v>
      </c>
      <c r="G64" s="50">
        <v>0</v>
      </c>
      <c r="H64" s="50">
        <v>8</v>
      </c>
      <c r="I64" s="50">
        <v>6</v>
      </c>
      <c r="J64" s="50">
        <v>2</v>
      </c>
      <c r="K64" s="50">
        <v>7</v>
      </c>
      <c r="L64" s="50">
        <v>2</v>
      </c>
      <c r="M64" s="50">
        <v>100</v>
      </c>
      <c r="N64" s="50">
        <v>0</v>
      </c>
      <c r="O64" s="15">
        <f t="shared" si="0"/>
        <v>111</v>
      </c>
      <c r="P64" s="15">
        <f t="shared" si="1"/>
        <v>211</v>
      </c>
      <c r="R64" s="8"/>
      <c r="T64"/>
    </row>
    <row r="65" spans="2:20" ht="23.1" customHeight="1" x14ac:dyDescent="0.25">
      <c r="B65" s="45" t="s">
        <v>158</v>
      </c>
      <c r="C65" s="50">
        <v>28</v>
      </c>
      <c r="D65" s="50">
        <v>12</v>
      </c>
      <c r="E65" s="50">
        <v>6</v>
      </c>
      <c r="F65" s="50">
        <v>37</v>
      </c>
      <c r="G65" s="50">
        <v>4</v>
      </c>
      <c r="H65" s="50">
        <v>0</v>
      </c>
      <c r="I65" s="50">
        <v>6</v>
      </c>
      <c r="J65" s="50">
        <v>2</v>
      </c>
      <c r="K65" s="50">
        <v>2</v>
      </c>
      <c r="L65" s="50">
        <v>3</v>
      </c>
      <c r="M65" s="50">
        <v>60</v>
      </c>
      <c r="N65" s="50">
        <v>0</v>
      </c>
      <c r="O65" s="15">
        <f t="shared" si="0"/>
        <v>100</v>
      </c>
      <c r="P65" s="15">
        <f t="shared" si="1"/>
        <v>160</v>
      </c>
      <c r="R65" s="8"/>
      <c r="T65"/>
    </row>
    <row r="66" spans="2:20" ht="23.1" customHeight="1" x14ac:dyDescent="0.25">
      <c r="B66" s="45" t="s">
        <v>103</v>
      </c>
      <c r="C66" s="50">
        <v>24</v>
      </c>
      <c r="D66" s="50">
        <v>19</v>
      </c>
      <c r="E66" s="50">
        <v>5</v>
      </c>
      <c r="F66" s="50">
        <v>37</v>
      </c>
      <c r="G66" s="50">
        <v>3</v>
      </c>
      <c r="H66" s="50">
        <v>1</v>
      </c>
      <c r="I66" s="50">
        <v>12</v>
      </c>
      <c r="J66" s="50">
        <v>8</v>
      </c>
      <c r="K66" s="50">
        <v>1</v>
      </c>
      <c r="L66" s="50">
        <v>4</v>
      </c>
      <c r="M66" s="50">
        <v>48</v>
      </c>
      <c r="N66" s="50">
        <v>0</v>
      </c>
      <c r="O66" s="15">
        <f t="shared" si="0"/>
        <v>114</v>
      </c>
      <c r="P66" s="15">
        <f t="shared" si="1"/>
        <v>162</v>
      </c>
      <c r="R66" s="8"/>
      <c r="T66"/>
    </row>
    <row r="67" spans="2:20" ht="23.1" customHeight="1" x14ac:dyDescent="0.25">
      <c r="B67" s="45" t="s">
        <v>104</v>
      </c>
      <c r="C67" s="50">
        <v>33</v>
      </c>
      <c r="D67" s="50">
        <v>27</v>
      </c>
      <c r="E67" s="50">
        <v>8</v>
      </c>
      <c r="F67" s="50">
        <v>37</v>
      </c>
      <c r="G67" s="50">
        <v>2</v>
      </c>
      <c r="H67" s="50">
        <v>0</v>
      </c>
      <c r="I67" s="50">
        <v>13</v>
      </c>
      <c r="J67" s="50">
        <v>8</v>
      </c>
      <c r="K67" s="50">
        <v>1</v>
      </c>
      <c r="L67" s="50">
        <v>8</v>
      </c>
      <c r="M67" s="50">
        <v>56</v>
      </c>
      <c r="N67" s="50">
        <v>0</v>
      </c>
      <c r="O67" s="15">
        <f t="shared" si="0"/>
        <v>137</v>
      </c>
      <c r="P67" s="15">
        <f t="shared" si="1"/>
        <v>193</v>
      </c>
      <c r="R67" s="8"/>
      <c r="T67"/>
    </row>
    <row r="68" spans="2:20" ht="23.1" customHeight="1" x14ac:dyDescent="0.25">
      <c r="B68" s="45" t="s">
        <v>105</v>
      </c>
      <c r="C68" s="50">
        <v>50</v>
      </c>
      <c r="D68" s="50">
        <v>37</v>
      </c>
      <c r="E68" s="50">
        <v>7</v>
      </c>
      <c r="F68" s="50">
        <v>37</v>
      </c>
      <c r="G68" s="50">
        <v>1</v>
      </c>
      <c r="H68" s="50">
        <v>0</v>
      </c>
      <c r="I68" s="50">
        <v>6</v>
      </c>
      <c r="J68" s="50">
        <v>7</v>
      </c>
      <c r="K68" s="50">
        <v>0</v>
      </c>
      <c r="L68" s="50">
        <v>3</v>
      </c>
      <c r="M68" s="50">
        <v>64</v>
      </c>
      <c r="N68" s="50">
        <v>0</v>
      </c>
      <c r="O68" s="15">
        <f t="shared" si="0"/>
        <v>148</v>
      </c>
      <c r="P68" s="15">
        <f t="shared" si="1"/>
        <v>212</v>
      </c>
      <c r="R68" s="8"/>
      <c r="T68"/>
    </row>
    <row r="69" spans="2:20" ht="23.1" customHeight="1" x14ac:dyDescent="0.25">
      <c r="B69" s="45" t="s">
        <v>106</v>
      </c>
      <c r="C69" s="50">
        <v>42</v>
      </c>
      <c r="D69" s="50">
        <v>31</v>
      </c>
      <c r="E69" s="50">
        <v>9</v>
      </c>
      <c r="F69" s="50">
        <v>32</v>
      </c>
      <c r="G69" s="50">
        <v>1</v>
      </c>
      <c r="H69" s="50">
        <v>1</v>
      </c>
      <c r="I69" s="50">
        <v>5</v>
      </c>
      <c r="J69" s="50">
        <v>3</v>
      </c>
      <c r="K69" s="50">
        <v>2</v>
      </c>
      <c r="L69" s="50">
        <v>4</v>
      </c>
      <c r="M69" s="50">
        <v>40</v>
      </c>
      <c r="N69" s="50">
        <v>0</v>
      </c>
      <c r="O69" s="15">
        <f t="shared" si="0"/>
        <v>130</v>
      </c>
      <c r="P69" s="15">
        <f t="shared" si="1"/>
        <v>170</v>
      </c>
      <c r="R69" s="8"/>
      <c r="T69"/>
    </row>
    <row r="70" spans="2:20" ht="23.1" customHeight="1" x14ac:dyDescent="0.25">
      <c r="B70" s="45" t="s">
        <v>110</v>
      </c>
      <c r="C70" s="50">
        <v>24</v>
      </c>
      <c r="D70" s="50">
        <v>17</v>
      </c>
      <c r="E70" s="50">
        <v>7</v>
      </c>
      <c r="F70" s="50">
        <v>44</v>
      </c>
      <c r="G70" s="50">
        <v>4</v>
      </c>
      <c r="H70" s="50">
        <v>1</v>
      </c>
      <c r="I70" s="50">
        <v>8</v>
      </c>
      <c r="J70" s="50">
        <v>9</v>
      </c>
      <c r="K70" s="50">
        <v>1</v>
      </c>
      <c r="L70" s="50">
        <v>3</v>
      </c>
      <c r="M70" s="50">
        <v>44</v>
      </c>
      <c r="N70" s="50">
        <v>0</v>
      </c>
      <c r="O70" s="15">
        <f t="shared" si="0"/>
        <v>118</v>
      </c>
      <c r="P70" s="15">
        <f t="shared" si="1"/>
        <v>162</v>
      </c>
      <c r="R70" s="8"/>
      <c r="T70"/>
    </row>
    <row r="71" spans="2:20" ht="23.1" customHeight="1" x14ac:dyDescent="0.25">
      <c r="B71" s="45" t="s">
        <v>111</v>
      </c>
      <c r="C71" s="50">
        <v>43</v>
      </c>
      <c r="D71" s="50">
        <v>28</v>
      </c>
      <c r="E71" s="50">
        <v>6</v>
      </c>
      <c r="F71" s="50">
        <v>31</v>
      </c>
      <c r="G71" s="50">
        <v>1</v>
      </c>
      <c r="H71" s="50">
        <v>0</v>
      </c>
      <c r="I71" s="50">
        <v>8</v>
      </c>
      <c r="J71" s="50">
        <v>3</v>
      </c>
      <c r="K71" s="50">
        <v>0</v>
      </c>
      <c r="L71" s="50">
        <v>6</v>
      </c>
      <c r="M71" s="50">
        <v>31</v>
      </c>
      <c r="N71" s="50">
        <v>0</v>
      </c>
      <c r="O71" s="15">
        <f t="shared" si="0"/>
        <v>126</v>
      </c>
      <c r="P71" s="15">
        <f t="shared" si="1"/>
        <v>157</v>
      </c>
      <c r="R71" s="8"/>
      <c r="T71"/>
    </row>
    <row r="72" spans="2:20" ht="23.1" customHeight="1" x14ac:dyDescent="0.25">
      <c r="B72" s="45" t="s">
        <v>112</v>
      </c>
      <c r="C72" s="50">
        <v>48</v>
      </c>
      <c r="D72" s="50">
        <v>21</v>
      </c>
      <c r="E72" s="50">
        <v>6</v>
      </c>
      <c r="F72" s="50">
        <v>30</v>
      </c>
      <c r="G72" s="50">
        <v>5</v>
      </c>
      <c r="H72" s="50">
        <v>0</v>
      </c>
      <c r="I72" s="50">
        <v>3</v>
      </c>
      <c r="J72" s="50">
        <v>10</v>
      </c>
      <c r="K72" s="50">
        <v>2</v>
      </c>
      <c r="L72" s="50">
        <v>6</v>
      </c>
      <c r="M72" s="50">
        <v>32</v>
      </c>
      <c r="N72" s="50">
        <v>0</v>
      </c>
      <c r="O72" s="15">
        <f t="shared" si="0"/>
        <v>131</v>
      </c>
      <c r="P72" s="15">
        <f t="shared" si="1"/>
        <v>163</v>
      </c>
      <c r="R72" s="8"/>
      <c r="T72"/>
    </row>
    <row r="73" spans="2:20" ht="23.1" customHeight="1" x14ac:dyDescent="0.25">
      <c r="B73" s="45" t="s">
        <v>113</v>
      </c>
      <c r="C73" s="50">
        <v>36</v>
      </c>
      <c r="D73" s="50">
        <v>31</v>
      </c>
      <c r="E73" s="50">
        <v>13</v>
      </c>
      <c r="F73" s="50">
        <v>45</v>
      </c>
      <c r="G73" s="50">
        <v>1</v>
      </c>
      <c r="H73" s="50">
        <v>1</v>
      </c>
      <c r="I73" s="50">
        <v>10</v>
      </c>
      <c r="J73" s="50">
        <v>5</v>
      </c>
      <c r="K73" s="50">
        <v>1</v>
      </c>
      <c r="L73" s="50">
        <v>11</v>
      </c>
      <c r="M73" s="50">
        <v>22</v>
      </c>
      <c r="N73" s="50">
        <v>0</v>
      </c>
      <c r="O73" s="15">
        <f t="shared" si="0"/>
        <v>154</v>
      </c>
      <c r="P73" s="15">
        <f t="shared" si="1"/>
        <v>176</v>
      </c>
      <c r="R73" s="8"/>
      <c r="T73"/>
    </row>
    <row r="74" spans="2:20" ht="23.1" customHeight="1" x14ac:dyDescent="0.25">
      <c r="B74" s="45" t="s">
        <v>114</v>
      </c>
      <c r="C74" s="50">
        <v>34</v>
      </c>
      <c r="D74" s="50">
        <v>23</v>
      </c>
      <c r="E74" s="50">
        <v>3</v>
      </c>
      <c r="F74" s="50">
        <v>28</v>
      </c>
      <c r="G74" s="50">
        <v>4</v>
      </c>
      <c r="H74" s="50">
        <v>1</v>
      </c>
      <c r="I74" s="50">
        <v>15</v>
      </c>
      <c r="J74" s="50">
        <v>4</v>
      </c>
      <c r="K74" s="50">
        <v>1</v>
      </c>
      <c r="L74" s="50">
        <v>4</v>
      </c>
      <c r="M74" s="50">
        <v>16</v>
      </c>
      <c r="N74" s="50">
        <v>0</v>
      </c>
      <c r="O74" s="15">
        <f t="shared" ref="O74:O105" si="35">SUM(C74:L74,N74)</f>
        <v>117</v>
      </c>
      <c r="P74" s="15">
        <f t="shared" ref="P74:P105" si="36">SUM(C74:N74)</f>
        <v>133</v>
      </c>
      <c r="R74" s="8"/>
      <c r="T74"/>
    </row>
    <row r="75" spans="2:20" ht="23.1" customHeight="1" x14ac:dyDescent="0.25">
      <c r="B75" s="45" t="s">
        <v>115</v>
      </c>
      <c r="C75" s="50">
        <v>20</v>
      </c>
      <c r="D75" s="50">
        <v>15</v>
      </c>
      <c r="E75" s="50">
        <v>6</v>
      </c>
      <c r="F75" s="50">
        <v>23</v>
      </c>
      <c r="G75" s="50">
        <v>5</v>
      </c>
      <c r="H75" s="50">
        <v>0</v>
      </c>
      <c r="I75" s="50">
        <v>3</v>
      </c>
      <c r="J75" s="50">
        <v>4</v>
      </c>
      <c r="K75" s="50">
        <v>0</v>
      </c>
      <c r="L75" s="50">
        <v>7</v>
      </c>
      <c r="M75" s="50">
        <v>21</v>
      </c>
      <c r="N75" s="50">
        <v>0</v>
      </c>
      <c r="O75" s="15">
        <f t="shared" si="35"/>
        <v>83</v>
      </c>
      <c r="P75" s="15">
        <f t="shared" si="36"/>
        <v>104</v>
      </c>
      <c r="R75" s="8"/>
      <c r="T75"/>
    </row>
    <row r="76" spans="2:20" ht="23.1" customHeight="1" x14ac:dyDescent="0.25">
      <c r="B76" s="45" t="s">
        <v>116</v>
      </c>
      <c r="C76" s="50">
        <v>24</v>
      </c>
      <c r="D76" s="50">
        <v>17</v>
      </c>
      <c r="E76" s="50">
        <v>9</v>
      </c>
      <c r="F76" s="50">
        <v>22</v>
      </c>
      <c r="G76" s="50">
        <v>4</v>
      </c>
      <c r="H76" s="50">
        <v>1</v>
      </c>
      <c r="I76" s="50">
        <v>4</v>
      </c>
      <c r="J76" s="50">
        <v>6</v>
      </c>
      <c r="K76" s="50">
        <v>2</v>
      </c>
      <c r="L76" s="50">
        <v>8</v>
      </c>
      <c r="M76" s="50">
        <v>21</v>
      </c>
      <c r="N76" s="50">
        <v>0</v>
      </c>
      <c r="O76" s="15">
        <f t="shared" si="35"/>
        <v>97</v>
      </c>
      <c r="P76" s="15">
        <f t="shared" si="36"/>
        <v>118</v>
      </c>
      <c r="R76" s="8"/>
      <c r="T76"/>
    </row>
    <row r="77" spans="2:20" ht="23.1" customHeight="1" x14ac:dyDescent="0.25">
      <c r="B77" s="45" t="s">
        <v>117</v>
      </c>
      <c r="C77" s="50">
        <v>32</v>
      </c>
      <c r="D77" s="50">
        <v>8</v>
      </c>
      <c r="E77" s="50">
        <v>2</v>
      </c>
      <c r="F77" s="50">
        <v>22</v>
      </c>
      <c r="G77" s="50">
        <v>0</v>
      </c>
      <c r="H77" s="50">
        <v>0</v>
      </c>
      <c r="I77" s="50">
        <v>8</v>
      </c>
      <c r="J77" s="50">
        <v>5</v>
      </c>
      <c r="K77" s="50">
        <v>1</v>
      </c>
      <c r="L77" s="50">
        <v>4</v>
      </c>
      <c r="M77" s="50">
        <v>24</v>
      </c>
      <c r="N77" s="50">
        <v>0</v>
      </c>
      <c r="O77" s="15">
        <f t="shared" si="35"/>
        <v>82</v>
      </c>
      <c r="P77" s="15">
        <f t="shared" si="36"/>
        <v>106</v>
      </c>
      <c r="R77" s="8"/>
      <c r="T77"/>
    </row>
    <row r="78" spans="2:20" ht="23.1" customHeight="1" x14ac:dyDescent="0.25">
      <c r="B78" s="46" t="s">
        <v>118</v>
      </c>
      <c r="C78" s="50">
        <v>17</v>
      </c>
      <c r="D78" s="50">
        <v>17</v>
      </c>
      <c r="E78" s="50">
        <v>4</v>
      </c>
      <c r="F78" s="50">
        <v>25</v>
      </c>
      <c r="G78" s="50">
        <v>0</v>
      </c>
      <c r="H78" s="50">
        <v>0</v>
      </c>
      <c r="I78" s="50">
        <v>5</v>
      </c>
      <c r="J78" s="50">
        <v>7</v>
      </c>
      <c r="K78" s="50">
        <v>4</v>
      </c>
      <c r="L78" s="50">
        <v>4</v>
      </c>
      <c r="M78" s="50">
        <v>10</v>
      </c>
      <c r="N78" s="50">
        <v>0</v>
      </c>
      <c r="O78" s="15">
        <f t="shared" si="35"/>
        <v>83</v>
      </c>
      <c r="P78" s="15">
        <f t="shared" si="36"/>
        <v>93</v>
      </c>
      <c r="R78" s="8"/>
      <c r="T78"/>
    </row>
    <row r="79" spans="2:20" ht="23.1" customHeight="1" x14ac:dyDescent="0.25">
      <c r="B79" s="45" t="s">
        <v>119</v>
      </c>
      <c r="C79" s="50">
        <v>16</v>
      </c>
      <c r="D79" s="50">
        <v>6</v>
      </c>
      <c r="E79" s="50">
        <v>1</v>
      </c>
      <c r="F79" s="50">
        <v>10</v>
      </c>
      <c r="G79" s="50">
        <v>1</v>
      </c>
      <c r="H79" s="50">
        <v>0</v>
      </c>
      <c r="I79" s="50">
        <v>7</v>
      </c>
      <c r="J79" s="50">
        <v>7</v>
      </c>
      <c r="K79" s="50">
        <v>1</v>
      </c>
      <c r="L79" s="50">
        <v>2</v>
      </c>
      <c r="M79" s="50">
        <v>13</v>
      </c>
      <c r="N79" s="50">
        <v>0</v>
      </c>
      <c r="O79" s="15">
        <f t="shared" si="35"/>
        <v>51</v>
      </c>
      <c r="P79" s="15">
        <f t="shared" si="36"/>
        <v>64</v>
      </c>
      <c r="R79" s="8"/>
      <c r="T79"/>
    </row>
    <row r="80" spans="2:20" ht="23.1" customHeight="1" x14ac:dyDescent="0.25">
      <c r="B80" s="47" t="s">
        <v>120</v>
      </c>
      <c r="C80" s="50">
        <v>13</v>
      </c>
      <c r="D80" s="50">
        <v>4</v>
      </c>
      <c r="E80" s="50">
        <v>6</v>
      </c>
      <c r="F80" s="50">
        <v>10</v>
      </c>
      <c r="G80" s="50">
        <v>2</v>
      </c>
      <c r="H80" s="50">
        <v>1</v>
      </c>
      <c r="I80" s="50">
        <v>4</v>
      </c>
      <c r="J80" s="50">
        <v>4</v>
      </c>
      <c r="K80" s="50">
        <v>1</v>
      </c>
      <c r="L80" s="50">
        <v>4</v>
      </c>
      <c r="M80" s="50">
        <v>15</v>
      </c>
      <c r="N80" s="50">
        <v>0</v>
      </c>
      <c r="O80" s="15">
        <f t="shared" si="35"/>
        <v>49</v>
      </c>
      <c r="P80" s="15">
        <f t="shared" si="36"/>
        <v>64</v>
      </c>
      <c r="R80" s="8"/>
      <c r="T80"/>
    </row>
    <row r="81" spans="2:20" ht="23.1" customHeight="1" x14ac:dyDescent="0.25">
      <c r="B81" s="45" t="s">
        <v>121</v>
      </c>
      <c r="C81" s="50">
        <v>25</v>
      </c>
      <c r="D81" s="50">
        <v>7</v>
      </c>
      <c r="E81" s="50">
        <v>6</v>
      </c>
      <c r="F81" s="50">
        <v>13</v>
      </c>
      <c r="G81" s="50">
        <v>0</v>
      </c>
      <c r="H81" s="50">
        <v>1</v>
      </c>
      <c r="I81" s="50">
        <v>6</v>
      </c>
      <c r="J81" s="50">
        <v>6</v>
      </c>
      <c r="K81" s="50">
        <v>1</v>
      </c>
      <c r="L81" s="50">
        <v>5</v>
      </c>
      <c r="M81" s="50">
        <v>5</v>
      </c>
      <c r="N81" s="50">
        <v>0</v>
      </c>
      <c r="O81" s="15">
        <f t="shared" si="35"/>
        <v>70</v>
      </c>
      <c r="P81" s="15">
        <f t="shared" si="36"/>
        <v>75</v>
      </c>
      <c r="R81" s="8"/>
      <c r="T81"/>
    </row>
    <row r="82" spans="2:20" ht="23.1" customHeight="1" x14ac:dyDescent="0.25">
      <c r="B82" s="46" t="s">
        <v>122</v>
      </c>
      <c r="C82" s="50">
        <v>11</v>
      </c>
      <c r="D82" s="50">
        <v>6</v>
      </c>
      <c r="E82" s="50">
        <v>3</v>
      </c>
      <c r="F82" s="50">
        <v>11</v>
      </c>
      <c r="G82" s="50">
        <v>1</v>
      </c>
      <c r="H82" s="50">
        <v>0</v>
      </c>
      <c r="I82" s="50">
        <v>5</v>
      </c>
      <c r="J82" s="50">
        <v>2</v>
      </c>
      <c r="K82" s="50">
        <v>0</v>
      </c>
      <c r="L82" s="50">
        <v>5</v>
      </c>
      <c r="M82" s="50">
        <v>13</v>
      </c>
      <c r="N82" s="50">
        <v>0</v>
      </c>
      <c r="O82" s="15">
        <f t="shared" si="35"/>
        <v>44</v>
      </c>
      <c r="P82" s="15">
        <f t="shared" si="36"/>
        <v>57</v>
      </c>
      <c r="R82" s="8"/>
      <c r="T82"/>
    </row>
    <row r="83" spans="2:20" ht="23.1" customHeight="1" x14ac:dyDescent="0.25">
      <c r="B83" s="45" t="s">
        <v>123</v>
      </c>
      <c r="C83" s="50">
        <v>5</v>
      </c>
      <c r="D83" s="50">
        <v>6</v>
      </c>
      <c r="E83" s="50">
        <v>4</v>
      </c>
      <c r="F83" s="50">
        <v>6</v>
      </c>
      <c r="G83" s="50">
        <v>1</v>
      </c>
      <c r="H83" s="50">
        <v>0</v>
      </c>
      <c r="I83" s="50">
        <v>5</v>
      </c>
      <c r="J83" s="50">
        <v>3</v>
      </c>
      <c r="K83" s="50">
        <v>0</v>
      </c>
      <c r="L83" s="50">
        <v>1</v>
      </c>
      <c r="M83" s="50">
        <v>16</v>
      </c>
      <c r="N83" s="50">
        <v>0</v>
      </c>
      <c r="O83" s="15">
        <f t="shared" si="35"/>
        <v>31</v>
      </c>
      <c r="P83" s="15">
        <f t="shared" si="36"/>
        <v>47</v>
      </c>
      <c r="R83" s="8"/>
      <c r="T83"/>
    </row>
    <row r="84" spans="2:20" ht="23.1" customHeight="1" x14ac:dyDescent="0.25">
      <c r="B84" s="47" t="s">
        <v>124</v>
      </c>
      <c r="C84" s="50">
        <v>10</v>
      </c>
      <c r="D84" s="50">
        <v>6</v>
      </c>
      <c r="E84" s="50">
        <v>4</v>
      </c>
      <c r="F84" s="50">
        <v>2</v>
      </c>
      <c r="G84" s="50">
        <v>4</v>
      </c>
      <c r="H84" s="50">
        <v>1</v>
      </c>
      <c r="I84" s="50">
        <v>2</v>
      </c>
      <c r="J84" s="50">
        <v>8</v>
      </c>
      <c r="K84" s="50">
        <v>2</v>
      </c>
      <c r="L84" s="50">
        <v>1</v>
      </c>
      <c r="M84" s="50">
        <v>5</v>
      </c>
      <c r="N84" s="50">
        <v>0</v>
      </c>
      <c r="O84" s="15">
        <f t="shared" si="35"/>
        <v>40</v>
      </c>
      <c r="P84" s="15">
        <f t="shared" si="36"/>
        <v>45</v>
      </c>
      <c r="R84" s="8"/>
      <c r="T84"/>
    </row>
    <row r="85" spans="2:20" ht="23.1" customHeight="1" x14ac:dyDescent="0.25">
      <c r="B85" s="45" t="s">
        <v>125</v>
      </c>
      <c r="C85" s="50">
        <v>11</v>
      </c>
      <c r="D85" s="50">
        <v>4</v>
      </c>
      <c r="E85" s="50">
        <v>1</v>
      </c>
      <c r="F85" s="50">
        <v>3</v>
      </c>
      <c r="G85" s="50">
        <v>1</v>
      </c>
      <c r="H85" s="50">
        <v>0</v>
      </c>
      <c r="I85" s="50">
        <v>3</v>
      </c>
      <c r="J85" s="50">
        <v>6</v>
      </c>
      <c r="K85" s="50">
        <v>0</v>
      </c>
      <c r="L85" s="50">
        <v>4</v>
      </c>
      <c r="M85" s="50">
        <v>14</v>
      </c>
      <c r="N85" s="50">
        <v>0</v>
      </c>
      <c r="O85" s="15">
        <f t="shared" si="35"/>
        <v>33</v>
      </c>
      <c r="P85" s="15">
        <f t="shared" si="36"/>
        <v>47</v>
      </c>
      <c r="R85" s="8"/>
      <c r="T85"/>
    </row>
    <row r="86" spans="2:20" ht="23.1" customHeight="1" x14ac:dyDescent="0.25">
      <c r="B86" s="46" t="s">
        <v>126</v>
      </c>
      <c r="C86" s="50">
        <v>10</v>
      </c>
      <c r="D86" s="50">
        <v>5</v>
      </c>
      <c r="E86" s="50">
        <v>2</v>
      </c>
      <c r="F86" s="50">
        <v>8</v>
      </c>
      <c r="G86" s="50">
        <v>1</v>
      </c>
      <c r="H86" s="50">
        <v>2</v>
      </c>
      <c r="I86" s="50">
        <v>4</v>
      </c>
      <c r="J86" s="50">
        <v>5</v>
      </c>
      <c r="K86" s="50">
        <v>0</v>
      </c>
      <c r="L86" s="50">
        <v>2</v>
      </c>
      <c r="M86" s="50">
        <v>6</v>
      </c>
      <c r="N86" s="50">
        <v>0</v>
      </c>
      <c r="O86" s="15">
        <f t="shared" si="35"/>
        <v>39</v>
      </c>
      <c r="P86" s="15">
        <f t="shared" si="36"/>
        <v>45</v>
      </c>
      <c r="R86" s="8"/>
      <c r="T86"/>
    </row>
    <row r="87" spans="2:20" ht="23.1" customHeight="1" x14ac:dyDescent="0.25">
      <c r="B87" s="45" t="s">
        <v>127</v>
      </c>
      <c r="C87" s="50">
        <v>6</v>
      </c>
      <c r="D87" s="50">
        <v>5</v>
      </c>
      <c r="E87" s="50">
        <v>2</v>
      </c>
      <c r="F87" s="50">
        <v>5</v>
      </c>
      <c r="G87" s="50">
        <v>0</v>
      </c>
      <c r="H87" s="50">
        <v>0</v>
      </c>
      <c r="I87" s="50">
        <v>10</v>
      </c>
      <c r="J87" s="50">
        <v>3</v>
      </c>
      <c r="K87" s="50">
        <v>0</v>
      </c>
      <c r="L87" s="50">
        <v>6</v>
      </c>
      <c r="M87" s="50">
        <v>12</v>
      </c>
      <c r="N87" s="50">
        <v>0</v>
      </c>
      <c r="O87" s="15">
        <f t="shared" si="35"/>
        <v>37</v>
      </c>
      <c r="P87" s="15">
        <f t="shared" si="36"/>
        <v>49</v>
      </c>
      <c r="R87" s="8"/>
      <c r="T87"/>
    </row>
    <row r="88" spans="2:20" ht="23.1" customHeight="1" x14ac:dyDescent="0.25">
      <c r="B88" s="47" t="s">
        <v>128</v>
      </c>
      <c r="C88" s="50">
        <v>13</v>
      </c>
      <c r="D88" s="50">
        <v>4</v>
      </c>
      <c r="E88" s="50">
        <v>1</v>
      </c>
      <c r="F88" s="50">
        <v>3</v>
      </c>
      <c r="G88" s="50">
        <v>1</v>
      </c>
      <c r="H88" s="50">
        <v>2</v>
      </c>
      <c r="I88" s="50">
        <v>3</v>
      </c>
      <c r="J88" s="50">
        <v>0</v>
      </c>
      <c r="K88" s="50">
        <v>4</v>
      </c>
      <c r="L88" s="50">
        <v>4</v>
      </c>
      <c r="M88" s="50">
        <v>9</v>
      </c>
      <c r="N88" s="50">
        <v>0</v>
      </c>
      <c r="O88" s="15">
        <f t="shared" si="35"/>
        <v>35</v>
      </c>
      <c r="P88" s="15">
        <f t="shared" si="36"/>
        <v>44</v>
      </c>
      <c r="R88" s="8"/>
      <c r="T88"/>
    </row>
    <row r="89" spans="2:20" ht="23.1" customHeight="1" x14ac:dyDescent="0.25">
      <c r="B89" s="45" t="s">
        <v>129</v>
      </c>
      <c r="C89" s="50">
        <v>4</v>
      </c>
      <c r="D89" s="50">
        <v>4</v>
      </c>
      <c r="E89" s="50">
        <v>1</v>
      </c>
      <c r="F89" s="50">
        <v>4</v>
      </c>
      <c r="G89" s="50">
        <v>1</v>
      </c>
      <c r="H89" s="50">
        <v>2</v>
      </c>
      <c r="I89" s="50">
        <v>4</v>
      </c>
      <c r="J89" s="50">
        <v>0</v>
      </c>
      <c r="K89" s="50">
        <v>2</v>
      </c>
      <c r="L89" s="50">
        <v>0</v>
      </c>
      <c r="M89" s="50">
        <v>6</v>
      </c>
      <c r="N89" s="50">
        <v>0</v>
      </c>
      <c r="O89" s="15">
        <f t="shared" si="35"/>
        <v>22</v>
      </c>
      <c r="P89" s="15">
        <f t="shared" si="36"/>
        <v>28</v>
      </c>
      <c r="R89" s="8"/>
      <c r="T89"/>
    </row>
    <row r="90" spans="2:20" ht="23.1" customHeight="1" x14ac:dyDescent="0.25">
      <c r="B90" s="46" t="s">
        <v>130</v>
      </c>
      <c r="C90" s="50">
        <v>14</v>
      </c>
      <c r="D90" s="50">
        <v>5</v>
      </c>
      <c r="E90" s="50">
        <v>3</v>
      </c>
      <c r="F90" s="50">
        <v>3</v>
      </c>
      <c r="G90" s="50">
        <v>0</v>
      </c>
      <c r="H90" s="50">
        <v>1</v>
      </c>
      <c r="I90" s="50">
        <v>0</v>
      </c>
      <c r="J90" s="50">
        <v>6</v>
      </c>
      <c r="K90" s="50">
        <v>1</v>
      </c>
      <c r="L90" s="50">
        <v>4</v>
      </c>
      <c r="M90" s="50">
        <v>6</v>
      </c>
      <c r="N90" s="50">
        <v>0</v>
      </c>
      <c r="O90" s="15">
        <f t="shared" si="35"/>
        <v>37</v>
      </c>
      <c r="P90" s="15">
        <f t="shared" si="36"/>
        <v>43</v>
      </c>
      <c r="R90" s="8"/>
      <c r="T90"/>
    </row>
    <row r="91" spans="2:20" ht="23.1" customHeight="1" x14ac:dyDescent="0.25">
      <c r="B91" s="45" t="s">
        <v>131</v>
      </c>
      <c r="C91" s="50">
        <v>2</v>
      </c>
      <c r="D91" s="50">
        <v>2</v>
      </c>
      <c r="E91" s="50">
        <v>2</v>
      </c>
      <c r="F91" s="50">
        <v>5</v>
      </c>
      <c r="G91" s="50">
        <v>0</v>
      </c>
      <c r="H91" s="50">
        <v>1</v>
      </c>
      <c r="I91" s="50">
        <v>2</v>
      </c>
      <c r="J91" s="50">
        <v>4</v>
      </c>
      <c r="K91" s="50">
        <v>0</v>
      </c>
      <c r="L91" s="50">
        <v>8</v>
      </c>
      <c r="M91" s="50">
        <v>4</v>
      </c>
      <c r="N91" s="50">
        <v>0</v>
      </c>
      <c r="O91" s="15">
        <f t="shared" si="35"/>
        <v>26</v>
      </c>
      <c r="P91" s="15">
        <f t="shared" si="36"/>
        <v>30</v>
      </c>
      <c r="R91" s="8"/>
      <c r="T91"/>
    </row>
    <row r="92" spans="2:20" ht="23.1" customHeight="1" x14ac:dyDescent="0.25">
      <c r="B92" s="47" t="s">
        <v>132</v>
      </c>
      <c r="C92" s="50">
        <v>4</v>
      </c>
      <c r="D92" s="50">
        <v>0</v>
      </c>
      <c r="E92" s="50">
        <v>4</v>
      </c>
      <c r="F92" s="50">
        <v>4</v>
      </c>
      <c r="G92" s="50">
        <v>0</v>
      </c>
      <c r="H92" s="50">
        <v>0</v>
      </c>
      <c r="I92" s="50">
        <v>3</v>
      </c>
      <c r="J92" s="50">
        <v>0</v>
      </c>
      <c r="K92" s="50">
        <v>0</v>
      </c>
      <c r="L92" s="50">
        <v>9</v>
      </c>
      <c r="M92" s="50">
        <v>12</v>
      </c>
      <c r="N92" s="50">
        <v>0</v>
      </c>
      <c r="O92" s="15">
        <f t="shared" si="35"/>
        <v>24</v>
      </c>
      <c r="P92" s="15">
        <f t="shared" si="36"/>
        <v>36</v>
      </c>
      <c r="R92" s="8"/>
      <c r="T92"/>
    </row>
    <row r="93" spans="2:20" ht="23.1" customHeight="1" x14ac:dyDescent="0.25">
      <c r="B93" s="45" t="s">
        <v>133</v>
      </c>
      <c r="C93" s="50">
        <v>5</v>
      </c>
      <c r="D93" s="50">
        <v>8</v>
      </c>
      <c r="E93" s="50">
        <v>0</v>
      </c>
      <c r="F93" s="50">
        <v>4</v>
      </c>
      <c r="G93" s="50">
        <v>0</v>
      </c>
      <c r="H93" s="50">
        <v>0</v>
      </c>
      <c r="I93" s="50">
        <v>2</v>
      </c>
      <c r="J93" s="50">
        <v>6</v>
      </c>
      <c r="K93" s="50">
        <v>0</v>
      </c>
      <c r="L93" s="50">
        <v>3</v>
      </c>
      <c r="M93" s="50">
        <v>7</v>
      </c>
      <c r="N93" s="50">
        <v>0</v>
      </c>
      <c r="O93" s="15">
        <f t="shared" si="35"/>
        <v>28</v>
      </c>
      <c r="P93" s="15">
        <f t="shared" si="36"/>
        <v>35</v>
      </c>
      <c r="R93" s="8"/>
      <c r="T93"/>
    </row>
    <row r="94" spans="2:20" ht="23.1" customHeight="1" x14ac:dyDescent="0.25">
      <c r="B94" s="46" t="s">
        <v>134</v>
      </c>
      <c r="C94" s="50">
        <v>8</v>
      </c>
      <c r="D94" s="50">
        <v>2</v>
      </c>
      <c r="E94" s="50">
        <v>1</v>
      </c>
      <c r="F94" s="50">
        <v>8</v>
      </c>
      <c r="G94" s="50">
        <v>1</v>
      </c>
      <c r="H94" s="50">
        <v>1</v>
      </c>
      <c r="I94" s="50">
        <v>2</v>
      </c>
      <c r="J94" s="50">
        <v>2</v>
      </c>
      <c r="K94" s="50">
        <v>2</v>
      </c>
      <c r="L94" s="50">
        <v>7</v>
      </c>
      <c r="M94" s="50">
        <v>8</v>
      </c>
      <c r="N94" s="50">
        <v>0</v>
      </c>
      <c r="O94" s="15">
        <f t="shared" si="35"/>
        <v>34</v>
      </c>
      <c r="P94" s="15">
        <f t="shared" si="36"/>
        <v>42</v>
      </c>
      <c r="R94" s="8"/>
      <c r="T94"/>
    </row>
    <row r="95" spans="2:20" ht="23.1" customHeight="1" x14ac:dyDescent="0.25">
      <c r="B95" s="45" t="s">
        <v>135</v>
      </c>
      <c r="C95" s="50">
        <v>4</v>
      </c>
      <c r="D95" s="50">
        <v>0</v>
      </c>
      <c r="E95" s="50">
        <v>0</v>
      </c>
      <c r="F95" s="50">
        <v>5</v>
      </c>
      <c r="G95" s="50">
        <v>1</v>
      </c>
      <c r="H95" s="50">
        <v>1</v>
      </c>
      <c r="I95" s="50">
        <v>3</v>
      </c>
      <c r="J95" s="50">
        <v>1</v>
      </c>
      <c r="K95" s="50">
        <v>0</v>
      </c>
      <c r="L95" s="50">
        <v>3</v>
      </c>
      <c r="M95" s="50">
        <v>12</v>
      </c>
      <c r="N95" s="50">
        <v>0</v>
      </c>
      <c r="O95" s="15">
        <f t="shared" si="35"/>
        <v>18</v>
      </c>
      <c r="P95" s="15">
        <f t="shared" si="36"/>
        <v>30</v>
      </c>
      <c r="R95" s="8"/>
      <c r="T95"/>
    </row>
    <row r="96" spans="2:20" ht="23.1" customHeight="1" x14ac:dyDescent="0.25">
      <c r="B96" s="47" t="s">
        <v>136</v>
      </c>
      <c r="C96" s="50">
        <v>5</v>
      </c>
      <c r="D96" s="50">
        <v>1</v>
      </c>
      <c r="E96" s="50">
        <v>0</v>
      </c>
      <c r="F96" s="50">
        <v>9</v>
      </c>
      <c r="G96" s="50">
        <v>0</v>
      </c>
      <c r="H96" s="50">
        <v>3</v>
      </c>
      <c r="I96" s="50">
        <v>3</v>
      </c>
      <c r="J96" s="50">
        <v>4</v>
      </c>
      <c r="K96" s="50">
        <v>1</v>
      </c>
      <c r="L96" s="50">
        <v>7</v>
      </c>
      <c r="M96" s="50">
        <v>2</v>
      </c>
      <c r="N96" s="50">
        <v>0</v>
      </c>
      <c r="O96" s="15">
        <f t="shared" si="35"/>
        <v>33</v>
      </c>
      <c r="P96" s="15">
        <f t="shared" si="36"/>
        <v>35</v>
      </c>
      <c r="R96" s="8"/>
      <c r="T96"/>
    </row>
    <row r="97" spans="2:20" ht="23.1" customHeight="1" x14ac:dyDescent="0.25">
      <c r="B97" s="45" t="s">
        <v>137</v>
      </c>
      <c r="C97" s="50">
        <v>5</v>
      </c>
      <c r="D97" s="50">
        <v>3</v>
      </c>
      <c r="E97" s="50">
        <v>2</v>
      </c>
      <c r="F97" s="50">
        <v>10</v>
      </c>
      <c r="G97" s="50">
        <v>1</v>
      </c>
      <c r="H97" s="50">
        <v>0</v>
      </c>
      <c r="I97" s="50">
        <v>3</v>
      </c>
      <c r="J97" s="50">
        <v>3</v>
      </c>
      <c r="K97" s="50">
        <v>0</v>
      </c>
      <c r="L97" s="50">
        <v>9</v>
      </c>
      <c r="M97" s="50">
        <v>11</v>
      </c>
      <c r="N97" s="50">
        <v>0</v>
      </c>
      <c r="O97" s="15">
        <f t="shared" si="35"/>
        <v>36</v>
      </c>
      <c r="P97" s="15">
        <f t="shared" si="36"/>
        <v>47</v>
      </c>
      <c r="R97" s="8"/>
      <c r="T97"/>
    </row>
    <row r="98" spans="2:20" ht="23.1" customHeight="1" x14ac:dyDescent="0.25">
      <c r="B98" s="46" t="s">
        <v>138</v>
      </c>
      <c r="C98" s="50">
        <v>0</v>
      </c>
      <c r="D98" s="50">
        <v>3</v>
      </c>
      <c r="E98" s="50">
        <v>0</v>
      </c>
      <c r="F98" s="50">
        <v>13</v>
      </c>
      <c r="G98" s="50">
        <v>0</v>
      </c>
      <c r="H98" s="50">
        <v>1</v>
      </c>
      <c r="I98" s="50">
        <v>2</v>
      </c>
      <c r="J98" s="50">
        <v>3</v>
      </c>
      <c r="K98" s="50">
        <v>0</v>
      </c>
      <c r="L98" s="50">
        <v>6</v>
      </c>
      <c r="M98" s="50">
        <v>3</v>
      </c>
      <c r="N98" s="50">
        <v>0</v>
      </c>
      <c r="O98" s="15">
        <f t="shared" si="35"/>
        <v>28</v>
      </c>
      <c r="P98" s="15">
        <f t="shared" si="36"/>
        <v>31</v>
      </c>
      <c r="R98" s="8"/>
      <c r="T98"/>
    </row>
    <row r="99" spans="2:20" ht="23.1" customHeight="1" x14ac:dyDescent="0.25">
      <c r="B99" s="45" t="s">
        <v>139</v>
      </c>
      <c r="C99" s="50">
        <v>7</v>
      </c>
      <c r="D99" s="50">
        <v>0</v>
      </c>
      <c r="E99" s="50">
        <v>2</v>
      </c>
      <c r="F99" s="50">
        <v>22</v>
      </c>
      <c r="G99" s="50">
        <v>1</v>
      </c>
      <c r="H99" s="50">
        <v>2</v>
      </c>
      <c r="I99" s="50">
        <v>3</v>
      </c>
      <c r="J99" s="50">
        <v>7</v>
      </c>
      <c r="K99" s="50">
        <v>0</v>
      </c>
      <c r="L99" s="50">
        <v>14</v>
      </c>
      <c r="M99" s="50">
        <v>6</v>
      </c>
      <c r="N99" s="50">
        <v>0</v>
      </c>
      <c r="O99" s="15">
        <f t="shared" si="35"/>
        <v>58</v>
      </c>
      <c r="P99" s="15">
        <f t="shared" si="36"/>
        <v>64</v>
      </c>
      <c r="R99" s="8"/>
      <c r="T99"/>
    </row>
    <row r="100" spans="2:20" ht="23.1" customHeight="1" x14ac:dyDescent="0.25">
      <c r="B100" s="47" t="s">
        <v>140</v>
      </c>
      <c r="C100" s="50">
        <v>8</v>
      </c>
      <c r="D100" s="50">
        <v>8</v>
      </c>
      <c r="E100" s="50">
        <v>3</v>
      </c>
      <c r="F100" s="50">
        <v>22</v>
      </c>
      <c r="G100" s="50">
        <v>2</v>
      </c>
      <c r="H100" s="50">
        <v>2</v>
      </c>
      <c r="I100" s="50">
        <v>4</v>
      </c>
      <c r="J100" s="50">
        <v>1</v>
      </c>
      <c r="K100" s="50">
        <v>9</v>
      </c>
      <c r="L100" s="50">
        <v>12</v>
      </c>
      <c r="M100" s="50">
        <v>10</v>
      </c>
      <c r="N100" s="50">
        <v>0</v>
      </c>
      <c r="O100" s="15">
        <f t="shared" si="35"/>
        <v>71</v>
      </c>
      <c r="P100" s="15">
        <f t="shared" si="36"/>
        <v>81</v>
      </c>
      <c r="R100" s="8"/>
      <c r="T100"/>
    </row>
    <row r="101" spans="2:20" ht="23.1" customHeight="1" x14ac:dyDescent="0.25">
      <c r="B101" s="45" t="s">
        <v>141</v>
      </c>
      <c r="C101" s="50">
        <v>5</v>
      </c>
      <c r="D101" s="50">
        <v>3</v>
      </c>
      <c r="E101" s="50">
        <v>0</v>
      </c>
      <c r="F101" s="50">
        <v>21</v>
      </c>
      <c r="G101" s="50">
        <v>1</v>
      </c>
      <c r="H101" s="50">
        <v>2</v>
      </c>
      <c r="I101" s="50">
        <v>3</v>
      </c>
      <c r="J101" s="50">
        <v>9</v>
      </c>
      <c r="K101" s="50">
        <v>4</v>
      </c>
      <c r="L101" s="50">
        <v>10</v>
      </c>
      <c r="M101" s="50">
        <v>15</v>
      </c>
      <c r="N101" s="50">
        <v>0</v>
      </c>
      <c r="O101" s="15">
        <f t="shared" si="35"/>
        <v>58</v>
      </c>
      <c r="P101" s="15">
        <f t="shared" si="36"/>
        <v>73</v>
      </c>
      <c r="R101" s="8"/>
      <c r="T101"/>
    </row>
    <row r="102" spans="2:20" ht="23.1" customHeight="1" x14ac:dyDescent="0.25">
      <c r="B102" s="46" t="s">
        <v>142</v>
      </c>
      <c r="C102" s="50">
        <v>11</v>
      </c>
      <c r="D102" s="50">
        <v>7</v>
      </c>
      <c r="E102" s="50">
        <v>1</v>
      </c>
      <c r="F102" s="50">
        <v>29</v>
      </c>
      <c r="G102" s="50">
        <v>5</v>
      </c>
      <c r="H102" s="50">
        <v>1</v>
      </c>
      <c r="I102" s="50">
        <v>5</v>
      </c>
      <c r="J102" s="50">
        <v>2</v>
      </c>
      <c r="K102" s="50">
        <v>2</v>
      </c>
      <c r="L102" s="50">
        <v>15</v>
      </c>
      <c r="M102" s="50">
        <v>20</v>
      </c>
      <c r="N102" s="50">
        <v>0</v>
      </c>
      <c r="O102" s="15">
        <f t="shared" si="35"/>
        <v>78</v>
      </c>
      <c r="P102" s="15">
        <f t="shared" si="36"/>
        <v>98</v>
      </c>
      <c r="R102" s="8"/>
      <c r="T102"/>
    </row>
    <row r="103" spans="2:20" ht="23.1" customHeight="1" x14ac:dyDescent="0.25">
      <c r="B103" s="45" t="s">
        <v>143</v>
      </c>
      <c r="C103" s="50">
        <v>27</v>
      </c>
      <c r="D103" s="50">
        <v>18</v>
      </c>
      <c r="E103" s="50">
        <v>3</v>
      </c>
      <c r="F103" s="50">
        <v>32</v>
      </c>
      <c r="G103" s="50">
        <v>2</v>
      </c>
      <c r="H103" s="50">
        <v>1</v>
      </c>
      <c r="I103" s="50">
        <v>3</v>
      </c>
      <c r="J103" s="50">
        <v>7</v>
      </c>
      <c r="K103" s="50">
        <v>3</v>
      </c>
      <c r="L103" s="50">
        <v>24</v>
      </c>
      <c r="M103" s="50">
        <v>32</v>
      </c>
      <c r="N103" s="50">
        <v>0</v>
      </c>
      <c r="O103" s="15">
        <f t="shared" si="35"/>
        <v>120</v>
      </c>
      <c r="P103" s="15">
        <f t="shared" si="36"/>
        <v>152</v>
      </c>
      <c r="R103" s="8"/>
      <c r="T103"/>
    </row>
    <row r="104" spans="2:20" ht="23.1" customHeight="1" x14ac:dyDescent="0.25">
      <c r="B104" s="47" t="s">
        <v>144</v>
      </c>
      <c r="C104" s="50">
        <v>15</v>
      </c>
      <c r="D104" s="50">
        <v>4</v>
      </c>
      <c r="E104" s="50">
        <v>5</v>
      </c>
      <c r="F104" s="50">
        <v>35</v>
      </c>
      <c r="G104" s="50">
        <v>2</v>
      </c>
      <c r="H104" s="50">
        <v>0</v>
      </c>
      <c r="I104" s="50">
        <v>6</v>
      </c>
      <c r="J104" s="50">
        <v>2</v>
      </c>
      <c r="K104" s="50">
        <v>1</v>
      </c>
      <c r="L104" s="50">
        <v>6</v>
      </c>
      <c r="M104" s="50">
        <v>33</v>
      </c>
      <c r="N104" s="50">
        <v>0</v>
      </c>
      <c r="O104" s="15">
        <f t="shared" si="35"/>
        <v>76</v>
      </c>
      <c r="P104" s="15">
        <f t="shared" si="36"/>
        <v>109</v>
      </c>
      <c r="R104" s="8"/>
      <c r="T104"/>
    </row>
    <row r="105" spans="2:20" ht="23.1" customHeight="1" x14ac:dyDescent="0.25">
      <c r="B105" s="45" t="s">
        <v>145</v>
      </c>
      <c r="C105" s="50">
        <v>14</v>
      </c>
      <c r="D105" s="50">
        <v>9</v>
      </c>
      <c r="E105" s="50">
        <v>5</v>
      </c>
      <c r="F105" s="50">
        <v>36</v>
      </c>
      <c r="G105" s="50">
        <v>0</v>
      </c>
      <c r="H105" s="50">
        <v>0</v>
      </c>
      <c r="I105" s="50">
        <v>1</v>
      </c>
      <c r="J105" s="50">
        <v>3</v>
      </c>
      <c r="K105" s="50">
        <v>1</v>
      </c>
      <c r="L105" s="50">
        <v>10</v>
      </c>
      <c r="M105" s="50">
        <v>63</v>
      </c>
      <c r="N105" s="50">
        <v>0</v>
      </c>
      <c r="O105" s="15">
        <f t="shared" si="35"/>
        <v>79</v>
      </c>
      <c r="P105" s="15">
        <f t="shared" si="36"/>
        <v>142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1978</v>
      </c>
      <c r="D106" s="16">
        <f t="shared" ref="D106:P106" si="37">SUM(D10:D105)</f>
        <v>1142</v>
      </c>
      <c r="E106" s="16">
        <f t="shared" si="37"/>
        <v>511</v>
      </c>
      <c r="F106" s="16">
        <f t="shared" si="37"/>
        <v>3135</v>
      </c>
      <c r="G106" s="16">
        <f t="shared" si="37"/>
        <v>180</v>
      </c>
      <c r="H106" s="16">
        <f t="shared" si="37"/>
        <v>65</v>
      </c>
      <c r="I106" s="16">
        <f t="shared" si="37"/>
        <v>461</v>
      </c>
      <c r="J106" s="16">
        <f t="shared" si="37"/>
        <v>401</v>
      </c>
      <c r="K106" s="16">
        <f t="shared" si="37"/>
        <v>236</v>
      </c>
      <c r="L106" s="16">
        <f t="shared" si="37"/>
        <v>996</v>
      </c>
      <c r="M106" s="16">
        <f t="shared" si="37"/>
        <v>7424</v>
      </c>
      <c r="N106" s="16">
        <f t="shared" si="37"/>
        <v>0</v>
      </c>
      <c r="O106" s="16">
        <f t="shared" si="37"/>
        <v>9105</v>
      </c>
      <c r="P106" s="16">
        <f t="shared" si="37"/>
        <v>16529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0.11966846149192328</v>
      </c>
      <c r="D107" s="43">
        <f t="shared" si="38"/>
        <v>6.9090689091899082E-2</v>
      </c>
      <c r="E107" s="43">
        <f t="shared" si="38"/>
        <v>3.0915360880876035E-2</v>
      </c>
      <c r="F107" s="43">
        <f t="shared" si="38"/>
        <v>0.18966664650009074</v>
      </c>
      <c r="G107" s="43">
        <f t="shared" si="38"/>
        <v>1.0889950995220521E-2</v>
      </c>
      <c r="H107" s="43">
        <f t="shared" si="38"/>
        <v>3.9324823038296326E-3</v>
      </c>
      <c r="I107" s="43">
        <f t="shared" si="38"/>
        <v>2.789037449331478E-2</v>
      </c>
      <c r="J107" s="43">
        <f t="shared" si="38"/>
        <v>2.4260390828241274E-2</v>
      </c>
      <c r="K107" s="43">
        <f t="shared" si="38"/>
        <v>1.4277935749289128E-2</v>
      </c>
      <c r="L107" s="43">
        <f t="shared" si="38"/>
        <v>6.0257728840220216E-2</v>
      </c>
      <c r="M107" s="43">
        <f t="shared" si="38"/>
        <v>0.44914997882509528</v>
      </c>
      <c r="N107" s="43">
        <f t="shared" si="38"/>
        <v>0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0.21724327292696322</v>
      </c>
      <c r="D108" s="44">
        <f t="shared" ref="D108:N108" si="39">D106/$O$106</f>
        <v>0.12542559033498077</v>
      </c>
      <c r="E108" s="44">
        <f t="shared" si="39"/>
        <v>5.6123009335529932E-2</v>
      </c>
      <c r="F108" s="44">
        <f t="shared" si="39"/>
        <v>0.3443163097199341</v>
      </c>
      <c r="G108" s="44">
        <f t="shared" si="39"/>
        <v>1.9769357495881382E-2</v>
      </c>
      <c r="H108" s="44">
        <f t="shared" si="39"/>
        <v>7.1389346512904994E-3</v>
      </c>
      <c r="I108" s="44">
        <f t="shared" si="39"/>
        <v>5.0631521142229546E-2</v>
      </c>
      <c r="J108" s="44">
        <f t="shared" si="39"/>
        <v>4.404173531026908E-2</v>
      </c>
      <c r="K108" s="44">
        <f t="shared" si="39"/>
        <v>2.5919824272377816E-2</v>
      </c>
      <c r="L108" s="44">
        <f t="shared" si="39"/>
        <v>0.10939044481054366</v>
      </c>
      <c r="M108" s="44"/>
      <c r="N108" s="44">
        <f t="shared" si="39"/>
        <v>0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1:AF126"/>
  <sheetViews>
    <sheetView view="pageBreakPreview" zoomScale="60" workbookViewId="0">
      <selection activeCell="N57" sqref="N57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2" t="s">
        <v>23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  <c r="AE1" s="62"/>
    </row>
    <row r="2" spans="2:32" ht="20.100000000000001" customHeight="1" x14ac:dyDescent="0.25">
      <c r="B2" s="63" t="s">
        <v>95</v>
      </c>
      <c r="C2" s="63"/>
      <c r="D2" s="63"/>
      <c r="E2" s="63"/>
      <c r="F2" s="63"/>
      <c r="G2" s="63"/>
      <c r="H2" s="63"/>
      <c r="I2" s="63"/>
      <c r="J2" s="63"/>
      <c r="K2" s="63"/>
      <c r="L2" s="63"/>
      <c r="M2" s="63"/>
      <c r="N2" s="63"/>
      <c r="O2" s="63"/>
      <c r="P2" s="63"/>
      <c r="Q2" s="63"/>
      <c r="R2" s="63"/>
      <c r="S2" s="63"/>
      <c r="T2" s="63"/>
      <c r="U2" s="63"/>
      <c r="V2" s="63"/>
      <c r="W2" s="63"/>
      <c r="X2" s="63"/>
      <c r="Y2" s="63"/>
      <c r="Z2" s="63"/>
      <c r="AA2" s="63"/>
      <c r="AB2" s="63"/>
      <c r="AC2" s="63"/>
      <c r="AD2" s="63"/>
      <c r="AE2" s="63"/>
    </row>
    <row r="3" spans="2:32" ht="20.100000000000001" customHeight="1" x14ac:dyDescent="0.25">
      <c r="B3" s="22" t="s">
        <v>96</v>
      </c>
      <c r="C3" s="67" t="str">
        <f>'23.09 Seeta-Mukono'!C3:G3</f>
        <v>MCC - C2 - STN074 - SONDE  ROAD</v>
      </c>
      <c r="D3" s="67"/>
      <c r="E3" s="67"/>
      <c r="F3" s="67"/>
      <c r="G3" s="67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182</v>
      </c>
      <c r="E5" s="3"/>
      <c r="F5" s="41" t="s">
        <v>1</v>
      </c>
      <c r="G5" s="68" t="str">
        <f>'28.09 Mukono-Seeta-24h'!G5:H5</f>
        <v>STATION 74</v>
      </c>
      <c r="H5" s="69"/>
      <c r="I5" s="14"/>
      <c r="J5" s="2" t="s">
        <v>5</v>
      </c>
      <c r="K5" s="68" t="s">
        <v>181</v>
      </c>
      <c r="L5" s="69"/>
      <c r="M5" s="10"/>
      <c r="N5" s="10"/>
      <c r="O5" s="3"/>
      <c r="P5" s="3"/>
    </row>
    <row r="6" spans="2:32" ht="23.25" customHeight="1" x14ac:dyDescent="0.25">
      <c r="C6" s="2" t="s">
        <v>4</v>
      </c>
      <c r="D6" s="68" t="str">
        <f>'23.09 Seeta-Mukono'!D6:E6</f>
        <v>Seeta</v>
      </c>
      <c r="E6" s="69"/>
      <c r="F6" s="2" t="s">
        <v>2</v>
      </c>
      <c r="G6" s="68" t="str">
        <f>'23.09 Seeta-Mukono'!G6:H6</f>
        <v>Mukono</v>
      </c>
      <c r="H6" s="69"/>
      <c r="J6" s="2" t="s">
        <v>21</v>
      </c>
      <c r="K6" s="68" t="str">
        <f>'28.09 Mukono-Seeta-24h'!K6:L6</f>
        <v>Tracy</v>
      </c>
      <c r="L6" s="69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1" t="s">
        <v>88</v>
      </c>
      <c r="S8" s="61"/>
      <c r="T8" s="61"/>
      <c r="U8" s="61"/>
      <c r="V8" s="61"/>
      <c r="W8" s="61"/>
      <c r="X8" s="61"/>
      <c r="Y8" s="61"/>
      <c r="Z8" s="61"/>
      <c r="AA8" s="61"/>
      <c r="AB8" s="61"/>
      <c r="AC8" s="61"/>
      <c r="AD8" s="61"/>
      <c r="AE8" s="61"/>
      <c r="AF8" s="61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25</v>
      </c>
      <c r="D10" s="50">
        <v>6</v>
      </c>
      <c r="E10" s="50">
        <v>2</v>
      </c>
      <c r="F10" s="50">
        <v>25</v>
      </c>
      <c r="G10" s="50">
        <v>4</v>
      </c>
      <c r="H10" s="50">
        <v>1</v>
      </c>
      <c r="I10" s="50">
        <v>2</v>
      </c>
      <c r="J10" s="50">
        <v>3</v>
      </c>
      <c r="K10" s="50">
        <v>1</v>
      </c>
      <c r="L10" s="50">
        <v>7</v>
      </c>
      <c r="M10" s="50">
        <v>25</v>
      </c>
      <c r="N10" s="50">
        <v>0</v>
      </c>
      <c r="O10" s="15">
        <f t="shared" ref="O10:O57" si="0">SUM(C10:L10,N10)</f>
        <v>76</v>
      </c>
      <c r="P10" s="15">
        <f t="shared" ref="P10:P57" si="1">SUM(C10:N10)</f>
        <v>101</v>
      </c>
      <c r="R10" s="1" t="s">
        <v>6</v>
      </c>
      <c r="S10" s="17">
        <f t="shared" ref="S10:AF10" si="2">SUM(C10:C13)</f>
        <v>175</v>
      </c>
      <c r="T10" s="17">
        <f t="shared" si="2"/>
        <v>13</v>
      </c>
      <c r="U10" s="17">
        <f t="shared" si="2"/>
        <v>11</v>
      </c>
      <c r="V10" s="17">
        <f t="shared" si="2"/>
        <v>93</v>
      </c>
      <c r="W10" s="17">
        <f t="shared" si="2"/>
        <v>10</v>
      </c>
      <c r="X10" s="17">
        <f t="shared" si="2"/>
        <v>3</v>
      </c>
      <c r="Y10" s="17">
        <f t="shared" si="2"/>
        <v>13</v>
      </c>
      <c r="Z10" s="17">
        <f t="shared" si="2"/>
        <v>5</v>
      </c>
      <c r="AA10" s="17">
        <f t="shared" si="2"/>
        <v>3</v>
      </c>
      <c r="AB10" s="17">
        <f t="shared" si="2"/>
        <v>13</v>
      </c>
      <c r="AC10" s="17">
        <f t="shared" si="2"/>
        <v>132</v>
      </c>
      <c r="AD10" s="17">
        <f t="shared" si="2"/>
        <v>0</v>
      </c>
      <c r="AE10" s="31">
        <f t="shared" si="2"/>
        <v>339</v>
      </c>
      <c r="AF10" s="31">
        <f t="shared" si="2"/>
        <v>471</v>
      </c>
    </row>
    <row r="11" spans="2:32" s="6" customFormat="1" ht="23.1" customHeight="1" x14ac:dyDescent="0.25">
      <c r="B11" s="23" t="s">
        <v>38</v>
      </c>
      <c r="C11" s="50">
        <v>21</v>
      </c>
      <c r="D11" s="50">
        <v>4</v>
      </c>
      <c r="E11" s="50">
        <v>0</v>
      </c>
      <c r="F11" s="50">
        <v>29</v>
      </c>
      <c r="G11" s="50">
        <v>1</v>
      </c>
      <c r="H11" s="50">
        <v>0</v>
      </c>
      <c r="I11" s="50">
        <v>0</v>
      </c>
      <c r="J11" s="50">
        <v>0</v>
      </c>
      <c r="K11" s="50">
        <v>0</v>
      </c>
      <c r="L11" s="50">
        <v>1</v>
      </c>
      <c r="M11" s="50">
        <v>42</v>
      </c>
      <c r="N11" s="50">
        <v>0</v>
      </c>
      <c r="O11" s="15">
        <f t="shared" si="0"/>
        <v>56</v>
      </c>
      <c r="P11" s="15">
        <f t="shared" si="1"/>
        <v>98</v>
      </c>
      <c r="R11" s="1" t="s">
        <v>7</v>
      </c>
      <c r="S11" s="17">
        <f t="shared" ref="S11:AF11" si="3">SUM(C14:C17)</f>
        <v>261</v>
      </c>
      <c r="T11" s="17">
        <f t="shared" si="3"/>
        <v>35</v>
      </c>
      <c r="U11" s="17">
        <f t="shared" si="3"/>
        <v>34</v>
      </c>
      <c r="V11" s="17">
        <f t="shared" si="3"/>
        <v>194</v>
      </c>
      <c r="W11" s="17">
        <f t="shared" si="3"/>
        <v>8</v>
      </c>
      <c r="X11" s="17">
        <f t="shared" si="3"/>
        <v>2</v>
      </c>
      <c r="Y11" s="17">
        <f t="shared" si="3"/>
        <v>52</v>
      </c>
      <c r="Z11" s="17">
        <f t="shared" si="3"/>
        <v>13</v>
      </c>
      <c r="AA11" s="17">
        <f t="shared" si="3"/>
        <v>9</v>
      </c>
      <c r="AB11" s="17">
        <f t="shared" si="3"/>
        <v>19</v>
      </c>
      <c r="AC11" s="17">
        <f t="shared" si="3"/>
        <v>243</v>
      </c>
      <c r="AD11" s="17">
        <f t="shared" si="3"/>
        <v>90</v>
      </c>
      <c r="AE11" s="31">
        <f t="shared" si="3"/>
        <v>717</v>
      </c>
      <c r="AF11" s="31">
        <f t="shared" si="3"/>
        <v>960</v>
      </c>
    </row>
    <row r="12" spans="2:32" ht="23.1" customHeight="1" x14ac:dyDescent="0.25">
      <c r="B12" s="23" t="s">
        <v>39</v>
      </c>
      <c r="C12" s="50">
        <v>79</v>
      </c>
      <c r="D12" s="50">
        <v>0</v>
      </c>
      <c r="E12" s="50">
        <v>0</v>
      </c>
      <c r="F12" s="50">
        <v>0</v>
      </c>
      <c r="G12" s="50">
        <v>0</v>
      </c>
      <c r="H12" s="50">
        <v>0</v>
      </c>
      <c r="I12" s="50">
        <v>0</v>
      </c>
      <c r="J12" s="50">
        <v>0</v>
      </c>
      <c r="K12" s="50">
        <v>0</v>
      </c>
      <c r="L12" s="50">
        <v>0</v>
      </c>
      <c r="M12" s="50">
        <v>0</v>
      </c>
      <c r="N12" s="50">
        <v>0</v>
      </c>
      <c r="O12" s="15">
        <f t="shared" si="0"/>
        <v>79</v>
      </c>
      <c r="P12" s="15">
        <f t="shared" si="1"/>
        <v>79</v>
      </c>
      <c r="R12" s="1" t="s">
        <v>8</v>
      </c>
      <c r="S12" s="17">
        <f t="shared" ref="S12:AF12" si="4">SUM(C18:C21)</f>
        <v>272</v>
      </c>
      <c r="T12" s="17">
        <f t="shared" si="4"/>
        <v>29</v>
      </c>
      <c r="U12" s="17">
        <f t="shared" si="4"/>
        <v>27</v>
      </c>
      <c r="V12" s="17">
        <f t="shared" si="4"/>
        <v>191</v>
      </c>
      <c r="W12" s="17">
        <f t="shared" si="4"/>
        <v>10</v>
      </c>
      <c r="X12" s="17">
        <f t="shared" si="4"/>
        <v>2</v>
      </c>
      <c r="Y12" s="17">
        <f t="shared" si="4"/>
        <v>136</v>
      </c>
      <c r="Z12" s="17">
        <f t="shared" si="4"/>
        <v>13</v>
      </c>
      <c r="AA12" s="17">
        <f t="shared" si="4"/>
        <v>1</v>
      </c>
      <c r="AB12" s="17">
        <f t="shared" si="4"/>
        <v>22</v>
      </c>
      <c r="AC12" s="17">
        <f t="shared" si="4"/>
        <v>413</v>
      </c>
      <c r="AD12" s="17">
        <f t="shared" si="4"/>
        <v>0</v>
      </c>
      <c r="AE12" s="31">
        <f t="shared" si="4"/>
        <v>703</v>
      </c>
      <c r="AF12" s="31">
        <f t="shared" si="4"/>
        <v>1116</v>
      </c>
    </row>
    <row r="13" spans="2:32" ht="23.1" customHeight="1" x14ac:dyDescent="0.25">
      <c r="B13" s="23" t="s">
        <v>40</v>
      </c>
      <c r="C13" s="50">
        <v>50</v>
      </c>
      <c r="D13" s="50">
        <v>3</v>
      </c>
      <c r="E13" s="50">
        <v>9</v>
      </c>
      <c r="F13" s="50">
        <v>39</v>
      </c>
      <c r="G13" s="50">
        <v>5</v>
      </c>
      <c r="H13" s="50">
        <v>2</v>
      </c>
      <c r="I13" s="50">
        <v>11</v>
      </c>
      <c r="J13" s="50">
        <v>2</v>
      </c>
      <c r="K13" s="50">
        <v>2</v>
      </c>
      <c r="L13" s="50">
        <v>5</v>
      </c>
      <c r="M13" s="50">
        <v>65</v>
      </c>
      <c r="N13" s="50">
        <v>0</v>
      </c>
      <c r="O13" s="15">
        <f t="shared" si="0"/>
        <v>128</v>
      </c>
      <c r="P13" s="15">
        <f t="shared" si="1"/>
        <v>193</v>
      </c>
      <c r="R13" s="1" t="s">
        <v>9</v>
      </c>
      <c r="S13" s="17">
        <f t="shared" ref="S13:AF13" si="5">SUM(C22:C25)</f>
        <v>374</v>
      </c>
      <c r="T13" s="17">
        <f t="shared" si="5"/>
        <v>36</v>
      </c>
      <c r="U13" s="17">
        <f t="shared" si="5"/>
        <v>34</v>
      </c>
      <c r="V13" s="17">
        <f t="shared" si="5"/>
        <v>217</v>
      </c>
      <c r="W13" s="17">
        <f t="shared" si="5"/>
        <v>12</v>
      </c>
      <c r="X13" s="17">
        <f t="shared" si="5"/>
        <v>15</v>
      </c>
      <c r="Y13" s="17">
        <f t="shared" si="5"/>
        <v>33</v>
      </c>
      <c r="Z13" s="17">
        <f t="shared" si="5"/>
        <v>14</v>
      </c>
      <c r="AA13" s="17">
        <f t="shared" si="5"/>
        <v>11</v>
      </c>
      <c r="AB13" s="17">
        <f t="shared" si="5"/>
        <v>26</v>
      </c>
      <c r="AC13" s="17">
        <f t="shared" si="5"/>
        <v>448</v>
      </c>
      <c r="AD13" s="17">
        <f t="shared" si="5"/>
        <v>0</v>
      </c>
      <c r="AE13" s="31">
        <f t="shared" si="5"/>
        <v>772</v>
      </c>
      <c r="AF13" s="31">
        <f t="shared" si="5"/>
        <v>1220</v>
      </c>
    </row>
    <row r="14" spans="2:32" ht="23.1" customHeight="1" x14ac:dyDescent="0.25">
      <c r="B14" s="23" t="s">
        <v>41</v>
      </c>
      <c r="C14" s="50">
        <v>57</v>
      </c>
      <c r="D14" s="50">
        <v>12</v>
      </c>
      <c r="E14" s="50">
        <v>6</v>
      </c>
      <c r="F14" s="50">
        <v>55</v>
      </c>
      <c r="G14" s="50">
        <v>3</v>
      </c>
      <c r="H14" s="50">
        <v>1</v>
      </c>
      <c r="I14" s="50">
        <v>19</v>
      </c>
      <c r="J14" s="50">
        <v>2</v>
      </c>
      <c r="K14" s="50">
        <v>0</v>
      </c>
      <c r="L14" s="50">
        <v>6</v>
      </c>
      <c r="M14" s="50">
        <v>80</v>
      </c>
      <c r="N14" s="50">
        <v>0</v>
      </c>
      <c r="O14" s="15">
        <f t="shared" si="0"/>
        <v>161</v>
      </c>
      <c r="P14" s="15">
        <f t="shared" si="1"/>
        <v>241</v>
      </c>
      <c r="R14" s="1" t="s">
        <v>10</v>
      </c>
      <c r="S14" s="17">
        <f t="shared" ref="S14:AF14" si="6">SUM(C26:C29)</f>
        <v>283</v>
      </c>
      <c r="T14" s="17">
        <f t="shared" si="6"/>
        <v>31</v>
      </c>
      <c r="U14" s="17">
        <f t="shared" si="6"/>
        <v>30</v>
      </c>
      <c r="V14" s="17">
        <f t="shared" si="6"/>
        <v>214</v>
      </c>
      <c r="W14" s="17">
        <f t="shared" si="6"/>
        <v>5</v>
      </c>
      <c r="X14" s="17">
        <f t="shared" si="6"/>
        <v>0</v>
      </c>
      <c r="Y14" s="17">
        <f t="shared" si="6"/>
        <v>44</v>
      </c>
      <c r="Z14" s="17">
        <f t="shared" si="6"/>
        <v>11</v>
      </c>
      <c r="AA14" s="17">
        <f t="shared" si="6"/>
        <v>14</v>
      </c>
      <c r="AB14" s="17">
        <f t="shared" si="6"/>
        <v>20</v>
      </c>
      <c r="AC14" s="17">
        <f t="shared" si="6"/>
        <v>339</v>
      </c>
      <c r="AD14" s="17">
        <f t="shared" si="6"/>
        <v>0</v>
      </c>
      <c r="AE14" s="31">
        <f t="shared" si="6"/>
        <v>652</v>
      </c>
      <c r="AF14" s="31">
        <f t="shared" si="6"/>
        <v>991</v>
      </c>
    </row>
    <row r="15" spans="2:32" ht="23.1" customHeight="1" x14ac:dyDescent="0.25">
      <c r="B15" s="23" t="s">
        <v>42</v>
      </c>
      <c r="C15" s="50">
        <v>52</v>
      </c>
      <c r="D15" s="50">
        <v>1</v>
      </c>
      <c r="E15" s="50">
        <v>5</v>
      </c>
      <c r="F15" s="50">
        <v>36</v>
      </c>
      <c r="G15" s="50">
        <v>1</v>
      </c>
      <c r="H15" s="50">
        <v>0</v>
      </c>
      <c r="I15" s="50">
        <v>7</v>
      </c>
      <c r="J15" s="50">
        <v>2</v>
      </c>
      <c r="K15" s="50">
        <v>2</v>
      </c>
      <c r="L15" s="50">
        <v>8</v>
      </c>
      <c r="M15" s="50">
        <v>78</v>
      </c>
      <c r="N15" s="50">
        <v>0</v>
      </c>
      <c r="O15" s="15">
        <f t="shared" si="0"/>
        <v>114</v>
      </c>
      <c r="P15" s="15">
        <f t="shared" si="1"/>
        <v>192</v>
      </c>
      <c r="R15" s="1" t="s">
        <v>11</v>
      </c>
      <c r="S15" s="17">
        <f t="shared" ref="S15:AF15" si="7">SUM(C30:C33)</f>
        <v>162</v>
      </c>
      <c r="T15" s="17">
        <f t="shared" si="7"/>
        <v>16</v>
      </c>
      <c r="U15" s="17">
        <f t="shared" si="7"/>
        <v>19</v>
      </c>
      <c r="V15" s="17">
        <f t="shared" si="7"/>
        <v>161</v>
      </c>
      <c r="W15" s="17">
        <f t="shared" si="7"/>
        <v>6</v>
      </c>
      <c r="X15" s="17">
        <f t="shared" si="7"/>
        <v>5</v>
      </c>
      <c r="Y15" s="17">
        <f t="shared" si="7"/>
        <v>30</v>
      </c>
      <c r="Z15" s="17">
        <f t="shared" si="7"/>
        <v>9</v>
      </c>
      <c r="AA15" s="17">
        <f t="shared" si="7"/>
        <v>10</v>
      </c>
      <c r="AB15" s="17">
        <f t="shared" si="7"/>
        <v>13</v>
      </c>
      <c r="AC15" s="17">
        <f t="shared" si="7"/>
        <v>155</v>
      </c>
      <c r="AD15" s="17">
        <f t="shared" si="7"/>
        <v>0</v>
      </c>
      <c r="AE15" s="31">
        <f t="shared" si="7"/>
        <v>431</v>
      </c>
      <c r="AF15" s="31">
        <f t="shared" si="7"/>
        <v>586</v>
      </c>
    </row>
    <row r="16" spans="2:32" ht="23.1" customHeight="1" x14ac:dyDescent="0.25">
      <c r="B16" s="23" t="s">
        <v>43</v>
      </c>
      <c r="C16" s="50">
        <v>83</v>
      </c>
      <c r="D16" s="50">
        <v>12</v>
      </c>
      <c r="E16" s="50">
        <v>13</v>
      </c>
      <c r="F16" s="50">
        <v>59</v>
      </c>
      <c r="G16" s="50">
        <v>2</v>
      </c>
      <c r="H16" s="50">
        <v>0</v>
      </c>
      <c r="I16" s="50">
        <v>13</v>
      </c>
      <c r="J16" s="50">
        <v>3</v>
      </c>
      <c r="K16" s="50">
        <v>1</v>
      </c>
      <c r="L16" s="50">
        <v>3</v>
      </c>
      <c r="M16" s="50">
        <v>79</v>
      </c>
      <c r="N16" s="50">
        <v>0</v>
      </c>
      <c r="O16" s="15">
        <f t="shared" si="0"/>
        <v>189</v>
      </c>
      <c r="P16" s="15">
        <f t="shared" si="1"/>
        <v>268</v>
      </c>
      <c r="R16" s="1" t="s">
        <v>12</v>
      </c>
      <c r="S16" s="17">
        <f t="shared" ref="S16:AF16" si="8">SUM(C34:C37)</f>
        <v>271</v>
      </c>
      <c r="T16" s="17">
        <f t="shared" si="8"/>
        <v>29</v>
      </c>
      <c r="U16" s="17">
        <f t="shared" si="8"/>
        <v>25</v>
      </c>
      <c r="V16" s="17">
        <f t="shared" si="8"/>
        <v>211</v>
      </c>
      <c r="W16" s="17">
        <f t="shared" si="8"/>
        <v>7</v>
      </c>
      <c r="X16" s="17">
        <f t="shared" si="8"/>
        <v>1</v>
      </c>
      <c r="Y16" s="17">
        <f t="shared" si="8"/>
        <v>42</v>
      </c>
      <c r="Z16" s="17">
        <f t="shared" si="8"/>
        <v>15</v>
      </c>
      <c r="AA16" s="17">
        <f t="shared" si="8"/>
        <v>3</v>
      </c>
      <c r="AB16" s="17">
        <f t="shared" si="8"/>
        <v>44</v>
      </c>
      <c r="AC16" s="17">
        <f t="shared" si="8"/>
        <v>355</v>
      </c>
      <c r="AD16" s="17">
        <f t="shared" si="8"/>
        <v>0</v>
      </c>
      <c r="AE16" s="31">
        <f t="shared" si="8"/>
        <v>648</v>
      </c>
      <c r="AF16" s="31">
        <f t="shared" si="8"/>
        <v>1003</v>
      </c>
    </row>
    <row r="17" spans="2:32" ht="23.1" customHeight="1" x14ac:dyDescent="0.25">
      <c r="B17" s="23" t="s">
        <v>44</v>
      </c>
      <c r="C17" s="50">
        <v>69</v>
      </c>
      <c r="D17" s="50">
        <v>10</v>
      </c>
      <c r="E17" s="50">
        <v>10</v>
      </c>
      <c r="F17" s="50">
        <v>44</v>
      </c>
      <c r="G17" s="50">
        <v>2</v>
      </c>
      <c r="H17" s="50">
        <v>1</v>
      </c>
      <c r="I17" s="50">
        <v>13</v>
      </c>
      <c r="J17" s="50">
        <v>6</v>
      </c>
      <c r="K17" s="50">
        <v>6</v>
      </c>
      <c r="L17" s="50">
        <v>2</v>
      </c>
      <c r="M17" s="50">
        <v>6</v>
      </c>
      <c r="N17" s="50">
        <v>90</v>
      </c>
      <c r="O17" s="15">
        <f t="shared" si="0"/>
        <v>253</v>
      </c>
      <c r="P17" s="15">
        <f t="shared" si="1"/>
        <v>259</v>
      </c>
      <c r="R17" s="1" t="s">
        <v>13</v>
      </c>
      <c r="S17" s="17">
        <f t="shared" ref="S17:AF17" si="9">SUM(C38:C41)</f>
        <v>322</v>
      </c>
      <c r="T17" s="17">
        <f t="shared" si="9"/>
        <v>39</v>
      </c>
      <c r="U17" s="17">
        <f t="shared" si="9"/>
        <v>84</v>
      </c>
      <c r="V17" s="17">
        <f t="shared" si="9"/>
        <v>232</v>
      </c>
      <c r="W17" s="17">
        <f t="shared" si="9"/>
        <v>11</v>
      </c>
      <c r="X17" s="17">
        <f t="shared" si="9"/>
        <v>1</v>
      </c>
      <c r="Y17" s="17">
        <f t="shared" si="9"/>
        <v>68</v>
      </c>
      <c r="Z17" s="17">
        <f t="shared" si="9"/>
        <v>8</v>
      </c>
      <c r="AA17" s="17">
        <f t="shared" si="9"/>
        <v>5</v>
      </c>
      <c r="AB17" s="17">
        <f t="shared" si="9"/>
        <v>53</v>
      </c>
      <c r="AC17" s="17">
        <f t="shared" si="9"/>
        <v>407</v>
      </c>
      <c r="AD17" s="17">
        <f t="shared" si="9"/>
        <v>0</v>
      </c>
      <c r="AE17" s="31">
        <f t="shared" si="9"/>
        <v>823</v>
      </c>
      <c r="AF17" s="31">
        <f t="shared" si="9"/>
        <v>1230</v>
      </c>
    </row>
    <row r="18" spans="2:32" ht="23.1" customHeight="1" x14ac:dyDescent="0.25">
      <c r="B18" s="23" t="s">
        <v>45</v>
      </c>
      <c r="C18" s="50">
        <v>68</v>
      </c>
      <c r="D18" s="50">
        <v>10</v>
      </c>
      <c r="E18" s="50">
        <v>7</v>
      </c>
      <c r="F18" s="50">
        <v>49</v>
      </c>
      <c r="G18" s="50">
        <v>3</v>
      </c>
      <c r="H18" s="50">
        <v>0</v>
      </c>
      <c r="I18" s="50">
        <v>8</v>
      </c>
      <c r="J18" s="50">
        <v>3</v>
      </c>
      <c r="K18" s="50">
        <v>0</v>
      </c>
      <c r="L18" s="50">
        <v>5</v>
      </c>
      <c r="M18" s="50">
        <v>86</v>
      </c>
      <c r="N18" s="50">
        <v>0</v>
      </c>
      <c r="O18" s="15">
        <f t="shared" si="0"/>
        <v>153</v>
      </c>
      <c r="P18" s="15">
        <f t="shared" si="1"/>
        <v>239</v>
      </c>
      <c r="R18" s="1" t="s">
        <v>14</v>
      </c>
      <c r="S18" s="17">
        <f t="shared" ref="S18:AF18" si="10">SUM(C42:C45)</f>
        <v>230</v>
      </c>
      <c r="T18" s="17">
        <f t="shared" si="10"/>
        <v>25</v>
      </c>
      <c r="U18" s="17">
        <f t="shared" si="10"/>
        <v>33</v>
      </c>
      <c r="V18" s="17">
        <f t="shared" si="10"/>
        <v>186</v>
      </c>
      <c r="W18" s="17">
        <f t="shared" si="10"/>
        <v>10</v>
      </c>
      <c r="X18" s="17">
        <f t="shared" si="10"/>
        <v>3</v>
      </c>
      <c r="Y18" s="17">
        <f t="shared" si="10"/>
        <v>27</v>
      </c>
      <c r="Z18" s="17">
        <f t="shared" si="10"/>
        <v>19</v>
      </c>
      <c r="AA18" s="17">
        <f t="shared" si="10"/>
        <v>6</v>
      </c>
      <c r="AB18" s="17">
        <f t="shared" si="10"/>
        <v>21</v>
      </c>
      <c r="AC18" s="17">
        <f t="shared" si="10"/>
        <v>310</v>
      </c>
      <c r="AD18" s="17">
        <f t="shared" si="10"/>
        <v>0</v>
      </c>
      <c r="AE18" s="31">
        <f t="shared" si="10"/>
        <v>560</v>
      </c>
      <c r="AF18" s="31">
        <f t="shared" si="10"/>
        <v>870</v>
      </c>
    </row>
    <row r="19" spans="2:32" ht="23.1" customHeight="1" x14ac:dyDescent="0.25">
      <c r="B19" s="23" t="s">
        <v>46</v>
      </c>
      <c r="C19" s="50">
        <v>64</v>
      </c>
      <c r="D19" s="50">
        <v>6</v>
      </c>
      <c r="E19" s="50">
        <v>7</v>
      </c>
      <c r="F19" s="50">
        <v>47</v>
      </c>
      <c r="G19" s="50">
        <v>3</v>
      </c>
      <c r="H19" s="50">
        <v>2</v>
      </c>
      <c r="I19" s="50">
        <v>11</v>
      </c>
      <c r="J19" s="50">
        <v>4</v>
      </c>
      <c r="K19" s="50">
        <v>0</v>
      </c>
      <c r="L19" s="50">
        <v>5</v>
      </c>
      <c r="M19" s="50">
        <v>102</v>
      </c>
      <c r="N19" s="50">
        <v>0</v>
      </c>
      <c r="O19" s="15">
        <f t="shared" si="0"/>
        <v>149</v>
      </c>
      <c r="P19" s="15">
        <f t="shared" si="1"/>
        <v>251</v>
      </c>
      <c r="R19" s="1" t="s">
        <v>15</v>
      </c>
      <c r="S19" s="17">
        <f t="shared" ref="S19:AF19" si="11">SUM(C46:C49)</f>
        <v>248</v>
      </c>
      <c r="T19" s="17">
        <f t="shared" si="11"/>
        <v>21</v>
      </c>
      <c r="U19" s="17">
        <f t="shared" si="11"/>
        <v>23</v>
      </c>
      <c r="V19" s="17">
        <f t="shared" si="11"/>
        <v>211</v>
      </c>
      <c r="W19" s="17">
        <f t="shared" si="11"/>
        <v>10</v>
      </c>
      <c r="X19" s="17">
        <f t="shared" si="11"/>
        <v>3</v>
      </c>
      <c r="Y19" s="17">
        <f t="shared" si="11"/>
        <v>39</v>
      </c>
      <c r="Z19" s="17">
        <f t="shared" si="11"/>
        <v>5</v>
      </c>
      <c r="AA19" s="17">
        <f t="shared" si="11"/>
        <v>6</v>
      </c>
      <c r="AB19" s="17">
        <f t="shared" si="11"/>
        <v>34</v>
      </c>
      <c r="AC19" s="17">
        <f t="shared" si="11"/>
        <v>343</v>
      </c>
      <c r="AD19" s="17">
        <f t="shared" si="11"/>
        <v>0</v>
      </c>
      <c r="AE19" s="31">
        <f t="shared" si="11"/>
        <v>600</v>
      </c>
      <c r="AF19" s="31">
        <f t="shared" si="11"/>
        <v>943</v>
      </c>
    </row>
    <row r="20" spans="2:32" ht="23.1" customHeight="1" x14ac:dyDescent="0.25">
      <c r="B20" s="23" t="s">
        <v>47</v>
      </c>
      <c r="C20" s="50">
        <v>63</v>
      </c>
      <c r="D20" s="50">
        <v>5</v>
      </c>
      <c r="E20" s="50">
        <v>10</v>
      </c>
      <c r="F20" s="50">
        <v>58</v>
      </c>
      <c r="G20" s="50">
        <v>1</v>
      </c>
      <c r="H20" s="50">
        <v>0</v>
      </c>
      <c r="I20" s="50">
        <v>11</v>
      </c>
      <c r="J20" s="50">
        <v>5</v>
      </c>
      <c r="K20" s="50">
        <v>0</v>
      </c>
      <c r="L20" s="50">
        <v>4</v>
      </c>
      <c r="M20" s="50">
        <v>118</v>
      </c>
      <c r="N20" s="50">
        <v>0</v>
      </c>
      <c r="O20" s="15">
        <f t="shared" si="0"/>
        <v>157</v>
      </c>
      <c r="P20" s="15">
        <f t="shared" si="1"/>
        <v>275</v>
      </c>
      <c r="R20" s="1" t="s">
        <v>16</v>
      </c>
      <c r="S20" s="17">
        <f t="shared" ref="S20:AF20" si="12">SUM(C50:C53)</f>
        <v>205</v>
      </c>
      <c r="T20" s="17">
        <f t="shared" si="12"/>
        <v>35</v>
      </c>
      <c r="U20" s="17">
        <f t="shared" si="12"/>
        <v>31</v>
      </c>
      <c r="V20" s="17">
        <f t="shared" si="12"/>
        <v>209</v>
      </c>
      <c r="W20" s="17">
        <f t="shared" si="12"/>
        <v>11</v>
      </c>
      <c r="X20" s="17">
        <f t="shared" si="12"/>
        <v>4</v>
      </c>
      <c r="Y20" s="17">
        <f t="shared" si="12"/>
        <v>50</v>
      </c>
      <c r="Z20" s="17">
        <f t="shared" si="12"/>
        <v>6</v>
      </c>
      <c r="AA20" s="17">
        <f t="shared" si="12"/>
        <v>14</v>
      </c>
      <c r="AB20" s="17">
        <f t="shared" si="12"/>
        <v>34</v>
      </c>
      <c r="AC20" s="17">
        <f t="shared" si="12"/>
        <v>413</v>
      </c>
      <c r="AD20" s="17">
        <f t="shared" si="12"/>
        <v>0</v>
      </c>
      <c r="AE20" s="31">
        <f t="shared" si="12"/>
        <v>599</v>
      </c>
      <c r="AF20" s="31">
        <f t="shared" si="12"/>
        <v>1012</v>
      </c>
    </row>
    <row r="21" spans="2:32" ht="23.1" customHeight="1" x14ac:dyDescent="0.25">
      <c r="B21" s="23" t="s">
        <v>48</v>
      </c>
      <c r="C21" s="50">
        <v>77</v>
      </c>
      <c r="D21" s="50">
        <v>8</v>
      </c>
      <c r="E21" s="50">
        <v>3</v>
      </c>
      <c r="F21" s="50">
        <v>37</v>
      </c>
      <c r="G21" s="50">
        <v>3</v>
      </c>
      <c r="H21" s="50">
        <v>0</v>
      </c>
      <c r="I21" s="50">
        <v>106</v>
      </c>
      <c r="J21" s="50">
        <v>1</v>
      </c>
      <c r="K21" s="50">
        <v>1</v>
      </c>
      <c r="L21" s="50">
        <v>8</v>
      </c>
      <c r="M21" s="50">
        <v>107</v>
      </c>
      <c r="N21" s="50">
        <v>0</v>
      </c>
      <c r="O21" s="15">
        <f t="shared" si="0"/>
        <v>244</v>
      </c>
      <c r="P21" s="15">
        <f t="shared" si="1"/>
        <v>351</v>
      </c>
      <c r="R21" s="36" t="s">
        <v>20</v>
      </c>
      <c r="S21" s="34">
        <f t="shared" ref="S21:AF21" si="13">SUM(C54:C57)</f>
        <v>211</v>
      </c>
      <c r="T21" s="17">
        <f t="shared" si="13"/>
        <v>63</v>
      </c>
      <c r="U21" s="17">
        <f t="shared" si="13"/>
        <v>21</v>
      </c>
      <c r="V21" s="17">
        <f t="shared" si="13"/>
        <v>173</v>
      </c>
      <c r="W21" s="17">
        <f t="shared" si="13"/>
        <v>55</v>
      </c>
      <c r="X21" s="17">
        <f t="shared" si="13"/>
        <v>11</v>
      </c>
      <c r="Y21" s="17">
        <f t="shared" si="13"/>
        <v>27</v>
      </c>
      <c r="Z21" s="17">
        <f t="shared" si="13"/>
        <v>16</v>
      </c>
      <c r="AA21" s="17">
        <f t="shared" si="13"/>
        <v>6</v>
      </c>
      <c r="AB21" s="17">
        <f t="shared" si="13"/>
        <v>22</v>
      </c>
      <c r="AC21" s="17">
        <f t="shared" si="13"/>
        <v>478</v>
      </c>
      <c r="AD21" s="17">
        <f t="shared" si="13"/>
        <v>1</v>
      </c>
      <c r="AE21" s="31">
        <f t="shared" si="13"/>
        <v>606</v>
      </c>
      <c r="AF21" s="31">
        <f t="shared" si="13"/>
        <v>1084</v>
      </c>
    </row>
    <row r="22" spans="2:32" ht="23.1" customHeight="1" x14ac:dyDescent="0.25">
      <c r="B22" s="23" t="s">
        <v>49</v>
      </c>
      <c r="C22" s="50">
        <v>73</v>
      </c>
      <c r="D22" s="50">
        <v>4</v>
      </c>
      <c r="E22" s="50">
        <v>4</v>
      </c>
      <c r="F22" s="50">
        <v>48</v>
      </c>
      <c r="G22" s="50">
        <v>3</v>
      </c>
      <c r="H22" s="50">
        <v>1</v>
      </c>
      <c r="I22" s="50">
        <v>7</v>
      </c>
      <c r="J22" s="50">
        <v>4</v>
      </c>
      <c r="K22" s="50">
        <v>1</v>
      </c>
      <c r="L22" s="50">
        <v>5</v>
      </c>
      <c r="M22" s="50">
        <v>107</v>
      </c>
      <c r="N22" s="50">
        <v>0</v>
      </c>
      <c r="O22" s="15">
        <f t="shared" si="0"/>
        <v>150</v>
      </c>
      <c r="P22" s="15">
        <f t="shared" si="1"/>
        <v>257</v>
      </c>
      <c r="R22" s="38" t="s">
        <v>90</v>
      </c>
      <c r="S22" s="39">
        <f>MAX(S10:S12)</f>
        <v>272</v>
      </c>
      <c r="T22" s="39">
        <f t="shared" ref="T22:AF22" si="14">MAX(T10:T12)</f>
        <v>35</v>
      </c>
      <c r="U22" s="39">
        <f t="shared" si="14"/>
        <v>34</v>
      </c>
      <c r="V22" s="39">
        <f t="shared" si="14"/>
        <v>194</v>
      </c>
      <c r="W22" s="39">
        <f t="shared" si="14"/>
        <v>10</v>
      </c>
      <c r="X22" s="39">
        <f t="shared" si="14"/>
        <v>3</v>
      </c>
      <c r="Y22" s="39">
        <f t="shared" si="14"/>
        <v>136</v>
      </c>
      <c r="Z22" s="39">
        <f t="shared" si="14"/>
        <v>13</v>
      </c>
      <c r="AA22" s="39">
        <f t="shared" si="14"/>
        <v>9</v>
      </c>
      <c r="AB22" s="39">
        <f t="shared" si="14"/>
        <v>22</v>
      </c>
      <c r="AC22" s="39">
        <f t="shared" si="14"/>
        <v>413</v>
      </c>
      <c r="AD22" s="39">
        <f t="shared" si="14"/>
        <v>90</v>
      </c>
      <c r="AE22" s="40">
        <f t="shared" si="14"/>
        <v>717</v>
      </c>
      <c r="AF22" s="40">
        <f t="shared" si="14"/>
        <v>1116</v>
      </c>
    </row>
    <row r="23" spans="2:32" ht="23.1" customHeight="1" x14ac:dyDescent="0.25">
      <c r="B23" s="23" t="s">
        <v>50</v>
      </c>
      <c r="C23" s="50">
        <v>108</v>
      </c>
      <c r="D23" s="50">
        <v>15</v>
      </c>
      <c r="E23" s="50">
        <v>12</v>
      </c>
      <c r="F23" s="50">
        <v>53</v>
      </c>
      <c r="G23" s="50">
        <v>2</v>
      </c>
      <c r="H23" s="50">
        <v>0</v>
      </c>
      <c r="I23" s="50">
        <v>11</v>
      </c>
      <c r="J23" s="50">
        <v>3</v>
      </c>
      <c r="K23" s="50">
        <v>4</v>
      </c>
      <c r="L23" s="50">
        <v>9</v>
      </c>
      <c r="M23" s="50">
        <v>136</v>
      </c>
      <c r="N23" s="50">
        <v>0</v>
      </c>
      <c r="O23" s="15">
        <f t="shared" si="0"/>
        <v>217</v>
      </c>
      <c r="P23" s="15">
        <f t="shared" si="1"/>
        <v>353</v>
      </c>
      <c r="R23" s="38" t="s">
        <v>91</v>
      </c>
      <c r="S23" s="39">
        <f>MAX(S13:S18)</f>
        <v>374</v>
      </c>
      <c r="T23" s="39">
        <f t="shared" ref="T23:AF23" si="15">MAX(T13:T18)</f>
        <v>39</v>
      </c>
      <c r="U23" s="39">
        <f t="shared" si="15"/>
        <v>84</v>
      </c>
      <c r="V23" s="39">
        <f t="shared" si="15"/>
        <v>232</v>
      </c>
      <c r="W23" s="39">
        <f t="shared" si="15"/>
        <v>12</v>
      </c>
      <c r="X23" s="39">
        <f t="shared" si="15"/>
        <v>15</v>
      </c>
      <c r="Y23" s="39">
        <f t="shared" si="15"/>
        <v>68</v>
      </c>
      <c r="Z23" s="39">
        <f t="shared" si="15"/>
        <v>19</v>
      </c>
      <c r="AA23" s="39">
        <f t="shared" si="15"/>
        <v>14</v>
      </c>
      <c r="AB23" s="39">
        <f t="shared" si="15"/>
        <v>53</v>
      </c>
      <c r="AC23" s="39">
        <f t="shared" si="15"/>
        <v>448</v>
      </c>
      <c r="AD23" s="39">
        <f t="shared" si="15"/>
        <v>0</v>
      </c>
      <c r="AE23" s="40">
        <f t="shared" si="15"/>
        <v>823</v>
      </c>
      <c r="AF23" s="40">
        <f t="shared" si="15"/>
        <v>1230</v>
      </c>
    </row>
    <row r="24" spans="2:32" ht="23.1" customHeight="1" x14ac:dyDescent="0.25">
      <c r="B24" s="23" t="s">
        <v>51</v>
      </c>
      <c r="C24" s="50">
        <v>104</v>
      </c>
      <c r="D24" s="50">
        <v>8</v>
      </c>
      <c r="E24" s="50">
        <v>12</v>
      </c>
      <c r="F24" s="50">
        <v>74</v>
      </c>
      <c r="G24" s="50">
        <v>6</v>
      </c>
      <c r="H24" s="50">
        <v>1</v>
      </c>
      <c r="I24" s="50">
        <v>11</v>
      </c>
      <c r="J24" s="50">
        <v>3</v>
      </c>
      <c r="K24" s="50">
        <v>2</v>
      </c>
      <c r="L24" s="50">
        <v>8</v>
      </c>
      <c r="M24" s="50">
        <v>97</v>
      </c>
      <c r="N24" s="50">
        <v>0</v>
      </c>
      <c r="O24" s="15">
        <f t="shared" si="0"/>
        <v>229</v>
      </c>
      <c r="P24" s="15">
        <f t="shared" si="1"/>
        <v>326</v>
      </c>
      <c r="R24" s="38" t="s">
        <v>92</v>
      </c>
      <c r="S24" s="39">
        <f>MAX(S19:S21)</f>
        <v>248</v>
      </c>
      <c r="T24" s="39">
        <f t="shared" ref="T24:AF24" si="16">MAX(T19:T21)</f>
        <v>63</v>
      </c>
      <c r="U24" s="39">
        <f t="shared" si="16"/>
        <v>31</v>
      </c>
      <c r="V24" s="39">
        <f t="shared" si="16"/>
        <v>211</v>
      </c>
      <c r="W24" s="39">
        <f t="shared" si="16"/>
        <v>55</v>
      </c>
      <c r="X24" s="39">
        <f t="shared" si="16"/>
        <v>11</v>
      </c>
      <c r="Y24" s="39">
        <f t="shared" si="16"/>
        <v>50</v>
      </c>
      <c r="Z24" s="39">
        <f t="shared" si="16"/>
        <v>16</v>
      </c>
      <c r="AA24" s="39">
        <f t="shared" si="16"/>
        <v>14</v>
      </c>
      <c r="AB24" s="39">
        <f t="shared" si="16"/>
        <v>34</v>
      </c>
      <c r="AC24" s="39">
        <f t="shared" si="16"/>
        <v>478</v>
      </c>
      <c r="AD24" s="39">
        <f t="shared" si="16"/>
        <v>1</v>
      </c>
      <c r="AE24" s="40">
        <f t="shared" si="16"/>
        <v>606</v>
      </c>
      <c r="AF24" s="40">
        <f t="shared" si="16"/>
        <v>1084</v>
      </c>
    </row>
    <row r="25" spans="2:32" ht="23.1" customHeight="1" x14ac:dyDescent="0.25">
      <c r="B25" s="23" t="s">
        <v>52</v>
      </c>
      <c r="C25" s="50">
        <v>89</v>
      </c>
      <c r="D25" s="50">
        <v>9</v>
      </c>
      <c r="E25" s="50">
        <v>6</v>
      </c>
      <c r="F25" s="50">
        <v>42</v>
      </c>
      <c r="G25" s="50">
        <v>1</v>
      </c>
      <c r="H25" s="50">
        <v>13</v>
      </c>
      <c r="I25" s="50">
        <v>4</v>
      </c>
      <c r="J25" s="50">
        <v>4</v>
      </c>
      <c r="K25" s="50">
        <v>4</v>
      </c>
      <c r="L25" s="50">
        <v>4</v>
      </c>
      <c r="M25" s="50">
        <v>108</v>
      </c>
      <c r="N25" s="50">
        <v>0</v>
      </c>
      <c r="O25" s="15">
        <f t="shared" si="0"/>
        <v>176</v>
      </c>
      <c r="P25" s="15">
        <f t="shared" si="1"/>
        <v>284</v>
      </c>
      <c r="R25" s="37" t="s">
        <v>85</v>
      </c>
      <c r="S25" s="35">
        <f t="shared" ref="S25:AF25" si="17">SUM(S10:S12)</f>
        <v>708</v>
      </c>
      <c r="T25" s="16">
        <f t="shared" si="17"/>
        <v>77</v>
      </c>
      <c r="U25" s="16">
        <f t="shared" si="17"/>
        <v>72</v>
      </c>
      <c r="V25" s="16">
        <f t="shared" si="17"/>
        <v>478</v>
      </c>
      <c r="W25" s="16">
        <f t="shared" si="17"/>
        <v>28</v>
      </c>
      <c r="X25" s="16">
        <f t="shared" si="17"/>
        <v>7</v>
      </c>
      <c r="Y25" s="16">
        <f t="shared" si="17"/>
        <v>201</v>
      </c>
      <c r="Z25" s="16">
        <f t="shared" si="17"/>
        <v>31</v>
      </c>
      <c r="AA25" s="16">
        <f t="shared" si="17"/>
        <v>13</v>
      </c>
      <c r="AB25" s="16">
        <f t="shared" si="17"/>
        <v>54</v>
      </c>
      <c r="AC25" s="16">
        <f t="shared" si="17"/>
        <v>788</v>
      </c>
      <c r="AD25" s="16">
        <f t="shared" si="17"/>
        <v>90</v>
      </c>
      <c r="AE25" s="32">
        <f t="shared" si="17"/>
        <v>1759</v>
      </c>
      <c r="AF25" s="32">
        <f t="shared" si="17"/>
        <v>2547</v>
      </c>
    </row>
    <row r="26" spans="2:32" ht="23.1" customHeight="1" x14ac:dyDescent="0.25">
      <c r="B26" s="23" t="s">
        <v>53</v>
      </c>
      <c r="C26" s="50">
        <v>62</v>
      </c>
      <c r="D26" s="50">
        <v>16</v>
      </c>
      <c r="E26" s="50">
        <v>6</v>
      </c>
      <c r="F26" s="50">
        <v>52</v>
      </c>
      <c r="G26" s="50">
        <v>1</v>
      </c>
      <c r="H26" s="50">
        <v>0</v>
      </c>
      <c r="I26" s="50">
        <v>8</v>
      </c>
      <c r="J26" s="50">
        <v>2</v>
      </c>
      <c r="K26" s="50">
        <v>6</v>
      </c>
      <c r="L26" s="50">
        <v>5</v>
      </c>
      <c r="M26" s="50">
        <v>99</v>
      </c>
      <c r="N26" s="50">
        <v>0</v>
      </c>
      <c r="O26" s="15">
        <f t="shared" si="0"/>
        <v>158</v>
      </c>
      <c r="P26" s="15">
        <f t="shared" si="1"/>
        <v>257</v>
      </c>
      <c r="R26" s="28" t="s">
        <v>86</v>
      </c>
      <c r="S26" s="16">
        <f t="shared" ref="S26:AF26" si="18">SUM(S13:S18)</f>
        <v>1642</v>
      </c>
      <c r="T26" s="16">
        <f t="shared" si="18"/>
        <v>176</v>
      </c>
      <c r="U26" s="16">
        <f t="shared" si="18"/>
        <v>225</v>
      </c>
      <c r="V26" s="16">
        <f t="shared" si="18"/>
        <v>1221</v>
      </c>
      <c r="W26" s="16">
        <f t="shared" si="18"/>
        <v>51</v>
      </c>
      <c r="X26" s="16">
        <f t="shared" si="18"/>
        <v>25</v>
      </c>
      <c r="Y26" s="16">
        <f t="shared" si="18"/>
        <v>244</v>
      </c>
      <c r="Z26" s="16">
        <f t="shared" si="18"/>
        <v>76</v>
      </c>
      <c r="AA26" s="16">
        <f t="shared" si="18"/>
        <v>49</v>
      </c>
      <c r="AB26" s="16">
        <f t="shared" si="18"/>
        <v>177</v>
      </c>
      <c r="AC26" s="16">
        <f t="shared" si="18"/>
        <v>2014</v>
      </c>
      <c r="AD26" s="16">
        <f t="shared" si="18"/>
        <v>0</v>
      </c>
      <c r="AE26" s="32">
        <f t="shared" si="18"/>
        <v>3886</v>
      </c>
      <c r="AF26" s="32">
        <f t="shared" si="18"/>
        <v>5900</v>
      </c>
    </row>
    <row r="27" spans="2:32" ht="23.1" customHeight="1" x14ac:dyDescent="0.25">
      <c r="B27" s="23" t="s">
        <v>54</v>
      </c>
      <c r="C27" s="50">
        <v>62</v>
      </c>
      <c r="D27" s="50">
        <v>8</v>
      </c>
      <c r="E27" s="50">
        <v>12</v>
      </c>
      <c r="F27" s="50">
        <v>41</v>
      </c>
      <c r="G27" s="50">
        <v>1</v>
      </c>
      <c r="H27" s="50">
        <v>0</v>
      </c>
      <c r="I27" s="50">
        <v>8</v>
      </c>
      <c r="J27" s="50">
        <v>1</v>
      </c>
      <c r="K27" s="50">
        <v>2</v>
      </c>
      <c r="L27" s="50">
        <v>0</v>
      </c>
      <c r="M27" s="50">
        <v>137</v>
      </c>
      <c r="N27" s="50">
        <v>0</v>
      </c>
      <c r="O27" s="15">
        <f t="shared" si="0"/>
        <v>135</v>
      </c>
      <c r="P27" s="15">
        <f t="shared" si="1"/>
        <v>272</v>
      </c>
      <c r="R27" s="29" t="s">
        <v>87</v>
      </c>
      <c r="S27" s="16">
        <f t="shared" ref="S27:AF27" si="19">SUM(S19:S21)</f>
        <v>664</v>
      </c>
      <c r="T27" s="16">
        <f t="shared" si="19"/>
        <v>119</v>
      </c>
      <c r="U27" s="16">
        <f t="shared" si="19"/>
        <v>75</v>
      </c>
      <c r="V27" s="16">
        <f t="shared" si="19"/>
        <v>593</v>
      </c>
      <c r="W27" s="16">
        <f t="shared" si="19"/>
        <v>76</v>
      </c>
      <c r="X27" s="16">
        <f t="shared" si="19"/>
        <v>18</v>
      </c>
      <c r="Y27" s="16">
        <f t="shared" si="19"/>
        <v>116</v>
      </c>
      <c r="Z27" s="16">
        <f t="shared" si="19"/>
        <v>27</v>
      </c>
      <c r="AA27" s="16">
        <f t="shared" si="19"/>
        <v>26</v>
      </c>
      <c r="AB27" s="16">
        <f t="shared" si="19"/>
        <v>90</v>
      </c>
      <c r="AC27" s="16">
        <f t="shared" si="19"/>
        <v>1234</v>
      </c>
      <c r="AD27" s="16">
        <f t="shared" si="19"/>
        <v>1</v>
      </c>
      <c r="AE27" s="32">
        <f t="shared" si="19"/>
        <v>1805</v>
      </c>
      <c r="AF27" s="32">
        <f t="shared" si="19"/>
        <v>3039</v>
      </c>
    </row>
    <row r="28" spans="2:32" ht="23.1" customHeight="1" x14ac:dyDescent="0.25">
      <c r="B28" s="23" t="s">
        <v>55</v>
      </c>
      <c r="C28" s="50">
        <v>75</v>
      </c>
      <c r="D28" s="50">
        <v>4</v>
      </c>
      <c r="E28" s="50">
        <v>10</v>
      </c>
      <c r="F28" s="50">
        <v>75</v>
      </c>
      <c r="G28" s="50">
        <v>2</v>
      </c>
      <c r="H28" s="50">
        <v>0</v>
      </c>
      <c r="I28" s="50">
        <v>12</v>
      </c>
      <c r="J28" s="50">
        <v>3</v>
      </c>
      <c r="K28" s="50">
        <v>3</v>
      </c>
      <c r="L28" s="50">
        <v>6</v>
      </c>
      <c r="M28" s="50">
        <v>94</v>
      </c>
      <c r="N28" s="50">
        <v>0</v>
      </c>
      <c r="O28" s="15">
        <f t="shared" si="0"/>
        <v>190</v>
      </c>
      <c r="P28" s="15">
        <f t="shared" si="1"/>
        <v>284</v>
      </c>
      <c r="R28" s="5" t="s">
        <v>17</v>
      </c>
      <c r="S28" s="16">
        <f t="shared" ref="S28:AF28" si="20">SUM(S10:S21)</f>
        <v>3014</v>
      </c>
      <c r="T28" s="16">
        <f t="shared" si="20"/>
        <v>372</v>
      </c>
      <c r="U28" s="16">
        <f t="shared" si="20"/>
        <v>372</v>
      </c>
      <c r="V28" s="16">
        <f t="shared" si="20"/>
        <v>2292</v>
      </c>
      <c r="W28" s="16">
        <f t="shared" si="20"/>
        <v>155</v>
      </c>
      <c r="X28" s="16">
        <f t="shared" si="20"/>
        <v>50</v>
      </c>
      <c r="Y28" s="16">
        <f t="shared" si="20"/>
        <v>561</v>
      </c>
      <c r="Z28" s="16">
        <f t="shared" si="20"/>
        <v>134</v>
      </c>
      <c r="AA28" s="16">
        <f t="shared" si="20"/>
        <v>88</v>
      </c>
      <c r="AB28" s="16">
        <f t="shared" si="20"/>
        <v>321</v>
      </c>
      <c r="AC28" s="16">
        <f t="shared" si="20"/>
        <v>4036</v>
      </c>
      <c r="AD28" s="16">
        <f t="shared" si="20"/>
        <v>91</v>
      </c>
      <c r="AE28" s="32">
        <f t="shared" si="20"/>
        <v>7450</v>
      </c>
      <c r="AF28" s="32">
        <f t="shared" si="20"/>
        <v>11486</v>
      </c>
    </row>
    <row r="29" spans="2:32" ht="23.1" customHeight="1" x14ac:dyDescent="0.25">
      <c r="B29" s="23" t="s">
        <v>56</v>
      </c>
      <c r="C29" s="50">
        <v>84</v>
      </c>
      <c r="D29" s="50">
        <v>3</v>
      </c>
      <c r="E29" s="50">
        <v>2</v>
      </c>
      <c r="F29" s="50">
        <v>46</v>
      </c>
      <c r="G29" s="50">
        <v>1</v>
      </c>
      <c r="H29" s="50">
        <v>0</v>
      </c>
      <c r="I29" s="50">
        <v>16</v>
      </c>
      <c r="J29" s="50">
        <v>5</v>
      </c>
      <c r="K29" s="50">
        <v>3</v>
      </c>
      <c r="L29" s="50">
        <v>9</v>
      </c>
      <c r="M29" s="50">
        <v>9</v>
      </c>
      <c r="N29" s="50">
        <v>0</v>
      </c>
      <c r="O29" s="15">
        <f t="shared" si="0"/>
        <v>169</v>
      </c>
      <c r="P29" s="15">
        <f t="shared" si="1"/>
        <v>178</v>
      </c>
      <c r="R29"/>
      <c r="S29" s="20"/>
      <c r="T29" s="19"/>
    </row>
    <row r="30" spans="2:32" ht="23.1" customHeight="1" x14ac:dyDescent="0.25">
      <c r="B30" s="23" t="s">
        <v>57</v>
      </c>
      <c r="C30" s="50">
        <v>28</v>
      </c>
      <c r="D30" s="50">
        <v>2</v>
      </c>
      <c r="E30" s="50">
        <v>7</v>
      </c>
      <c r="F30" s="50">
        <v>27</v>
      </c>
      <c r="G30" s="50">
        <v>1</v>
      </c>
      <c r="H30" s="50">
        <v>0</v>
      </c>
      <c r="I30" s="50">
        <v>5</v>
      </c>
      <c r="J30" s="50">
        <v>3</v>
      </c>
      <c r="K30" s="50">
        <v>0</v>
      </c>
      <c r="L30" s="50">
        <v>3</v>
      </c>
      <c r="M30" s="50">
        <v>54</v>
      </c>
      <c r="N30" s="50">
        <v>0</v>
      </c>
      <c r="O30" s="15">
        <f t="shared" si="0"/>
        <v>76</v>
      </c>
      <c r="P30" s="15">
        <f t="shared" si="1"/>
        <v>130</v>
      </c>
    </row>
    <row r="31" spans="2:32" ht="23.1" customHeight="1" x14ac:dyDescent="0.25">
      <c r="B31" s="24" t="s">
        <v>58</v>
      </c>
      <c r="C31" s="50">
        <v>53</v>
      </c>
      <c r="D31" s="50">
        <v>6</v>
      </c>
      <c r="E31" s="50">
        <v>5</v>
      </c>
      <c r="F31" s="50">
        <v>50</v>
      </c>
      <c r="G31" s="50">
        <v>1</v>
      </c>
      <c r="H31" s="50">
        <v>1</v>
      </c>
      <c r="I31" s="50">
        <v>9</v>
      </c>
      <c r="J31" s="50">
        <v>4</v>
      </c>
      <c r="K31" s="50">
        <v>4</v>
      </c>
      <c r="L31" s="50">
        <v>7</v>
      </c>
      <c r="M31" s="50">
        <v>6</v>
      </c>
      <c r="N31" s="50">
        <v>0</v>
      </c>
      <c r="O31" s="15">
        <f t="shared" si="0"/>
        <v>140</v>
      </c>
      <c r="P31" s="15">
        <f t="shared" si="1"/>
        <v>146</v>
      </c>
    </row>
    <row r="32" spans="2:32" ht="23.1" customHeight="1" x14ac:dyDescent="0.25">
      <c r="B32" s="24" t="s">
        <v>59</v>
      </c>
      <c r="C32" s="50">
        <v>17</v>
      </c>
      <c r="D32" s="50">
        <v>1</v>
      </c>
      <c r="E32" s="50">
        <v>2</v>
      </c>
      <c r="F32" s="50">
        <v>23</v>
      </c>
      <c r="G32" s="50">
        <v>0</v>
      </c>
      <c r="H32" s="50">
        <v>1</v>
      </c>
      <c r="I32" s="50">
        <v>0</v>
      </c>
      <c r="J32" s="50">
        <v>0</v>
      </c>
      <c r="K32" s="50">
        <v>6</v>
      </c>
      <c r="L32" s="50">
        <v>0</v>
      </c>
      <c r="M32" s="50">
        <v>0</v>
      </c>
      <c r="N32" s="50">
        <v>0</v>
      </c>
      <c r="O32" s="15">
        <f t="shared" si="0"/>
        <v>50</v>
      </c>
      <c r="P32" s="15">
        <f t="shared" si="1"/>
        <v>50</v>
      </c>
    </row>
    <row r="33" spans="2:20" ht="23.1" customHeight="1" x14ac:dyDescent="0.25">
      <c r="B33" s="23" t="s">
        <v>60</v>
      </c>
      <c r="C33" s="50">
        <v>64</v>
      </c>
      <c r="D33" s="50">
        <v>7</v>
      </c>
      <c r="E33" s="50">
        <v>5</v>
      </c>
      <c r="F33" s="50">
        <v>61</v>
      </c>
      <c r="G33" s="50">
        <v>4</v>
      </c>
      <c r="H33" s="50">
        <v>3</v>
      </c>
      <c r="I33" s="50">
        <v>16</v>
      </c>
      <c r="J33" s="50">
        <v>2</v>
      </c>
      <c r="K33" s="50">
        <v>0</v>
      </c>
      <c r="L33" s="50">
        <v>3</v>
      </c>
      <c r="M33" s="50">
        <v>95</v>
      </c>
      <c r="N33" s="50">
        <v>0</v>
      </c>
      <c r="O33" s="15">
        <f t="shared" si="0"/>
        <v>165</v>
      </c>
      <c r="P33" s="15">
        <f t="shared" si="1"/>
        <v>260</v>
      </c>
    </row>
    <row r="34" spans="2:20" ht="23.1" customHeight="1" x14ac:dyDescent="0.25">
      <c r="B34" s="24" t="s">
        <v>61</v>
      </c>
      <c r="C34" s="50">
        <v>104</v>
      </c>
      <c r="D34" s="50">
        <v>10</v>
      </c>
      <c r="E34" s="50">
        <v>11</v>
      </c>
      <c r="F34" s="50">
        <v>93</v>
      </c>
      <c r="G34" s="50">
        <v>5</v>
      </c>
      <c r="H34" s="50">
        <v>0</v>
      </c>
      <c r="I34" s="50">
        <v>10</v>
      </c>
      <c r="J34" s="50">
        <v>4</v>
      </c>
      <c r="K34" s="50">
        <v>0</v>
      </c>
      <c r="L34" s="50">
        <v>12</v>
      </c>
      <c r="M34" s="50">
        <v>120</v>
      </c>
      <c r="N34" s="50">
        <v>0</v>
      </c>
      <c r="O34" s="15">
        <f t="shared" si="0"/>
        <v>249</v>
      </c>
      <c r="P34" s="15">
        <f t="shared" si="1"/>
        <v>369</v>
      </c>
    </row>
    <row r="35" spans="2:20" ht="23.1" customHeight="1" x14ac:dyDescent="0.25">
      <c r="B35" s="24" t="s">
        <v>62</v>
      </c>
      <c r="C35" s="50">
        <v>25</v>
      </c>
      <c r="D35" s="50">
        <v>4</v>
      </c>
      <c r="E35" s="50">
        <v>1</v>
      </c>
      <c r="F35" s="50">
        <v>30</v>
      </c>
      <c r="G35" s="50">
        <v>0</v>
      </c>
      <c r="H35" s="50">
        <v>0</v>
      </c>
      <c r="I35" s="50">
        <v>5</v>
      </c>
      <c r="J35" s="50">
        <v>4</v>
      </c>
      <c r="K35" s="50">
        <v>1</v>
      </c>
      <c r="L35" s="50">
        <v>6</v>
      </c>
      <c r="M35" s="50">
        <v>50</v>
      </c>
      <c r="N35" s="50">
        <v>0</v>
      </c>
      <c r="O35" s="15">
        <f t="shared" si="0"/>
        <v>76</v>
      </c>
      <c r="P35" s="15">
        <f t="shared" si="1"/>
        <v>126</v>
      </c>
    </row>
    <row r="36" spans="2:20" ht="23.1" customHeight="1" x14ac:dyDescent="0.25">
      <c r="B36" s="24" t="s">
        <v>63</v>
      </c>
      <c r="C36" s="50">
        <v>70</v>
      </c>
      <c r="D36" s="50">
        <v>9</v>
      </c>
      <c r="E36" s="50">
        <v>5</v>
      </c>
      <c r="F36" s="50">
        <v>49</v>
      </c>
      <c r="G36" s="50">
        <v>1</v>
      </c>
      <c r="H36" s="50">
        <v>1</v>
      </c>
      <c r="I36" s="50">
        <v>16</v>
      </c>
      <c r="J36" s="50">
        <v>3</v>
      </c>
      <c r="K36" s="50">
        <v>0</v>
      </c>
      <c r="L36" s="50">
        <v>12</v>
      </c>
      <c r="M36" s="50">
        <v>91</v>
      </c>
      <c r="N36" s="50">
        <v>0</v>
      </c>
      <c r="O36" s="15">
        <f t="shared" si="0"/>
        <v>166</v>
      </c>
      <c r="P36" s="15">
        <f t="shared" si="1"/>
        <v>257</v>
      </c>
    </row>
    <row r="37" spans="2:20" ht="23.1" customHeight="1" x14ac:dyDescent="0.25">
      <c r="B37" s="23" t="s">
        <v>64</v>
      </c>
      <c r="C37" s="50">
        <v>72</v>
      </c>
      <c r="D37" s="50">
        <v>6</v>
      </c>
      <c r="E37" s="50">
        <v>8</v>
      </c>
      <c r="F37" s="50">
        <v>39</v>
      </c>
      <c r="G37" s="50">
        <v>1</v>
      </c>
      <c r="H37" s="50">
        <v>0</v>
      </c>
      <c r="I37" s="50">
        <v>11</v>
      </c>
      <c r="J37" s="50">
        <v>4</v>
      </c>
      <c r="K37" s="50">
        <v>2</v>
      </c>
      <c r="L37" s="50">
        <v>14</v>
      </c>
      <c r="M37" s="50">
        <v>94</v>
      </c>
      <c r="N37" s="50">
        <v>0</v>
      </c>
      <c r="O37" s="15">
        <f t="shared" si="0"/>
        <v>157</v>
      </c>
      <c r="P37" s="15">
        <f t="shared" si="1"/>
        <v>251</v>
      </c>
    </row>
    <row r="38" spans="2:20" ht="23.1" customHeight="1" x14ac:dyDescent="0.25">
      <c r="B38" s="24" t="s">
        <v>65</v>
      </c>
      <c r="C38" s="50">
        <v>65</v>
      </c>
      <c r="D38" s="50">
        <v>11</v>
      </c>
      <c r="E38" s="50">
        <v>50</v>
      </c>
      <c r="F38" s="50">
        <v>44</v>
      </c>
      <c r="G38" s="50">
        <v>3</v>
      </c>
      <c r="H38" s="50">
        <v>0</v>
      </c>
      <c r="I38" s="50">
        <v>11</v>
      </c>
      <c r="J38" s="50">
        <v>2</v>
      </c>
      <c r="K38" s="50">
        <v>2</v>
      </c>
      <c r="L38" s="50">
        <v>11</v>
      </c>
      <c r="M38" s="50">
        <v>80</v>
      </c>
      <c r="N38" s="50">
        <v>0</v>
      </c>
      <c r="O38" s="15">
        <f t="shared" si="0"/>
        <v>199</v>
      </c>
      <c r="P38" s="15">
        <f t="shared" si="1"/>
        <v>279</v>
      </c>
    </row>
    <row r="39" spans="2:20" ht="23.1" customHeight="1" x14ac:dyDescent="0.25">
      <c r="B39" s="24" t="s">
        <v>66</v>
      </c>
      <c r="C39" s="50">
        <v>80</v>
      </c>
      <c r="D39" s="50">
        <v>2</v>
      </c>
      <c r="E39" s="50">
        <v>12</v>
      </c>
      <c r="F39" s="50">
        <v>69</v>
      </c>
      <c r="G39" s="50">
        <v>3</v>
      </c>
      <c r="H39" s="50">
        <v>0</v>
      </c>
      <c r="I39" s="50">
        <v>19</v>
      </c>
      <c r="J39" s="50">
        <v>3</v>
      </c>
      <c r="K39" s="50">
        <v>2</v>
      </c>
      <c r="L39" s="50">
        <v>17</v>
      </c>
      <c r="M39" s="50">
        <v>119</v>
      </c>
      <c r="N39" s="50">
        <v>0</v>
      </c>
      <c r="O39" s="15">
        <f t="shared" si="0"/>
        <v>207</v>
      </c>
      <c r="P39" s="15">
        <f t="shared" si="1"/>
        <v>326</v>
      </c>
    </row>
    <row r="40" spans="2:20" ht="23.1" customHeight="1" x14ac:dyDescent="0.25">
      <c r="B40" s="24" t="s">
        <v>67</v>
      </c>
      <c r="C40" s="50">
        <v>92</v>
      </c>
      <c r="D40" s="50">
        <v>13</v>
      </c>
      <c r="E40" s="50">
        <v>14</v>
      </c>
      <c r="F40" s="50">
        <v>54</v>
      </c>
      <c r="G40" s="50">
        <v>3</v>
      </c>
      <c r="H40" s="50">
        <v>0</v>
      </c>
      <c r="I40" s="50">
        <v>21</v>
      </c>
      <c r="J40" s="50">
        <v>1</v>
      </c>
      <c r="K40" s="50">
        <v>0</v>
      </c>
      <c r="L40" s="50">
        <v>14</v>
      </c>
      <c r="M40" s="50">
        <v>101</v>
      </c>
      <c r="N40" s="50">
        <v>0</v>
      </c>
      <c r="O40" s="15">
        <f t="shared" si="0"/>
        <v>212</v>
      </c>
      <c r="P40" s="15">
        <f t="shared" si="1"/>
        <v>313</v>
      </c>
    </row>
    <row r="41" spans="2:20" ht="23.1" customHeight="1" x14ac:dyDescent="0.25">
      <c r="B41" s="23" t="s">
        <v>68</v>
      </c>
      <c r="C41" s="50">
        <v>85</v>
      </c>
      <c r="D41" s="50">
        <v>13</v>
      </c>
      <c r="E41" s="50">
        <v>8</v>
      </c>
      <c r="F41" s="50">
        <v>65</v>
      </c>
      <c r="G41" s="50">
        <v>2</v>
      </c>
      <c r="H41" s="50">
        <v>1</v>
      </c>
      <c r="I41" s="50">
        <v>17</v>
      </c>
      <c r="J41" s="50">
        <v>2</v>
      </c>
      <c r="K41" s="50">
        <v>1</v>
      </c>
      <c r="L41" s="50">
        <v>11</v>
      </c>
      <c r="M41" s="50">
        <v>107</v>
      </c>
      <c r="N41" s="50">
        <v>0</v>
      </c>
      <c r="O41" s="15">
        <f t="shared" si="0"/>
        <v>205</v>
      </c>
      <c r="P41" s="15">
        <f t="shared" si="1"/>
        <v>312</v>
      </c>
    </row>
    <row r="42" spans="2:20" ht="23.1" customHeight="1" x14ac:dyDescent="0.25">
      <c r="B42" s="24" t="s">
        <v>69</v>
      </c>
      <c r="C42" s="50">
        <v>67</v>
      </c>
      <c r="D42" s="50">
        <v>10</v>
      </c>
      <c r="E42" s="50">
        <v>9</v>
      </c>
      <c r="F42" s="50">
        <v>36</v>
      </c>
      <c r="G42" s="50">
        <v>2</v>
      </c>
      <c r="H42" s="50">
        <v>1</v>
      </c>
      <c r="I42" s="50">
        <v>6</v>
      </c>
      <c r="J42" s="50">
        <v>11</v>
      </c>
      <c r="K42" s="50">
        <v>1</v>
      </c>
      <c r="L42" s="50">
        <v>1</v>
      </c>
      <c r="M42" s="50">
        <v>107</v>
      </c>
      <c r="N42" s="50">
        <v>0</v>
      </c>
      <c r="O42" s="15">
        <f t="shared" si="0"/>
        <v>144</v>
      </c>
      <c r="P42" s="15">
        <f t="shared" si="1"/>
        <v>251</v>
      </c>
    </row>
    <row r="43" spans="2:20" ht="23.1" customHeight="1" x14ac:dyDescent="0.25">
      <c r="B43" s="23" t="s">
        <v>70</v>
      </c>
      <c r="C43" s="50">
        <v>53</v>
      </c>
      <c r="D43" s="50">
        <v>5</v>
      </c>
      <c r="E43" s="50">
        <v>6</v>
      </c>
      <c r="F43" s="50">
        <v>51</v>
      </c>
      <c r="G43" s="50">
        <v>5</v>
      </c>
      <c r="H43" s="50">
        <v>1</v>
      </c>
      <c r="I43" s="50">
        <v>8</v>
      </c>
      <c r="J43" s="50">
        <v>2</v>
      </c>
      <c r="K43" s="50">
        <v>1</v>
      </c>
      <c r="L43" s="50">
        <v>9</v>
      </c>
      <c r="M43" s="50">
        <v>37</v>
      </c>
      <c r="N43" s="50">
        <v>0</v>
      </c>
      <c r="O43" s="15">
        <f t="shared" si="0"/>
        <v>141</v>
      </c>
      <c r="P43" s="15">
        <f t="shared" si="1"/>
        <v>178</v>
      </c>
    </row>
    <row r="44" spans="2:20" ht="23.1" customHeight="1" x14ac:dyDescent="0.25">
      <c r="B44" s="25" t="s">
        <v>71</v>
      </c>
      <c r="C44" s="50">
        <v>40</v>
      </c>
      <c r="D44" s="50">
        <v>5</v>
      </c>
      <c r="E44" s="50">
        <v>5</v>
      </c>
      <c r="F44" s="50">
        <v>42</v>
      </c>
      <c r="G44" s="50">
        <v>0</v>
      </c>
      <c r="H44" s="50">
        <v>0</v>
      </c>
      <c r="I44" s="50">
        <v>3</v>
      </c>
      <c r="J44" s="50">
        <v>3</v>
      </c>
      <c r="K44" s="50">
        <v>1</v>
      </c>
      <c r="L44" s="50">
        <v>8</v>
      </c>
      <c r="M44" s="50">
        <v>70</v>
      </c>
      <c r="N44" s="50">
        <v>0</v>
      </c>
      <c r="O44" s="15">
        <f t="shared" si="0"/>
        <v>107</v>
      </c>
      <c r="P44" s="15">
        <f t="shared" si="1"/>
        <v>177</v>
      </c>
    </row>
    <row r="45" spans="2:20" ht="23.1" customHeight="1" x14ac:dyDescent="0.25">
      <c r="B45" s="23" t="s">
        <v>72</v>
      </c>
      <c r="C45" s="50">
        <v>70</v>
      </c>
      <c r="D45" s="50">
        <v>5</v>
      </c>
      <c r="E45" s="50">
        <v>13</v>
      </c>
      <c r="F45" s="50">
        <v>57</v>
      </c>
      <c r="G45" s="50">
        <v>3</v>
      </c>
      <c r="H45" s="50">
        <v>1</v>
      </c>
      <c r="I45" s="50">
        <v>10</v>
      </c>
      <c r="J45" s="50">
        <v>3</v>
      </c>
      <c r="K45" s="50">
        <v>3</v>
      </c>
      <c r="L45" s="50">
        <v>3</v>
      </c>
      <c r="M45" s="50">
        <v>96</v>
      </c>
      <c r="N45" s="50">
        <v>0</v>
      </c>
      <c r="O45" s="15">
        <f t="shared" si="0"/>
        <v>168</v>
      </c>
      <c r="P45" s="15">
        <f t="shared" si="1"/>
        <v>264</v>
      </c>
    </row>
    <row r="46" spans="2:20" ht="23.1" customHeight="1" x14ac:dyDescent="0.25">
      <c r="B46" s="24" t="s">
        <v>73</v>
      </c>
      <c r="C46" s="50">
        <v>65</v>
      </c>
      <c r="D46" s="50">
        <v>8</v>
      </c>
      <c r="E46" s="50">
        <v>3</v>
      </c>
      <c r="F46" s="50">
        <v>58</v>
      </c>
      <c r="G46" s="50">
        <v>3</v>
      </c>
      <c r="H46" s="50">
        <v>0</v>
      </c>
      <c r="I46" s="50">
        <v>7</v>
      </c>
      <c r="J46" s="50">
        <v>0</v>
      </c>
      <c r="K46" s="50">
        <v>4</v>
      </c>
      <c r="L46" s="50">
        <v>15</v>
      </c>
      <c r="M46" s="50">
        <v>80</v>
      </c>
      <c r="N46" s="50">
        <v>0</v>
      </c>
      <c r="O46" s="15">
        <f t="shared" si="0"/>
        <v>163</v>
      </c>
      <c r="P46" s="15">
        <f t="shared" si="1"/>
        <v>243</v>
      </c>
      <c r="R46" s="8"/>
      <c r="T46"/>
    </row>
    <row r="47" spans="2:20" ht="23.1" customHeight="1" x14ac:dyDescent="0.25">
      <c r="B47" s="24" t="s">
        <v>74</v>
      </c>
      <c r="C47" s="50">
        <v>68</v>
      </c>
      <c r="D47" s="50">
        <v>1</v>
      </c>
      <c r="E47" s="50">
        <v>3</v>
      </c>
      <c r="F47" s="50">
        <v>40</v>
      </c>
      <c r="G47" s="50">
        <v>2</v>
      </c>
      <c r="H47" s="50">
        <v>0</v>
      </c>
      <c r="I47" s="50">
        <v>15</v>
      </c>
      <c r="J47" s="50">
        <v>3</v>
      </c>
      <c r="K47" s="50">
        <v>1</v>
      </c>
      <c r="L47" s="50">
        <v>6</v>
      </c>
      <c r="M47" s="50">
        <v>83</v>
      </c>
      <c r="N47" s="50">
        <v>0</v>
      </c>
      <c r="O47" s="15">
        <f t="shared" si="0"/>
        <v>139</v>
      </c>
      <c r="P47" s="15">
        <f t="shared" si="1"/>
        <v>222</v>
      </c>
      <c r="R47" s="8"/>
      <c r="T47"/>
    </row>
    <row r="48" spans="2:20" ht="23.1" customHeight="1" x14ac:dyDescent="0.25">
      <c r="B48" s="24" t="s">
        <v>75</v>
      </c>
      <c r="C48" s="50">
        <v>69</v>
      </c>
      <c r="D48" s="50">
        <v>7</v>
      </c>
      <c r="E48" s="50">
        <v>8</v>
      </c>
      <c r="F48" s="50">
        <v>55</v>
      </c>
      <c r="G48" s="50">
        <v>2</v>
      </c>
      <c r="H48" s="50">
        <v>2</v>
      </c>
      <c r="I48" s="50">
        <v>6</v>
      </c>
      <c r="J48" s="50">
        <v>2</v>
      </c>
      <c r="K48" s="50">
        <v>0</v>
      </c>
      <c r="L48" s="50">
        <v>7</v>
      </c>
      <c r="M48" s="50">
        <v>98</v>
      </c>
      <c r="N48" s="50">
        <v>0</v>
      </c>
      <c r="O48" s="15">
        <f t="shared" si="0"/>
        <v>158</v>
      </c>
      <c r="P48" s="15">
        <f t="shared" si="1"/>
        <v>256</v>
      </c>
      <c r="R48" s="8"/>
      <c r="T48"/>
    </row>
    <row r="49" spans="2:20" ht="23.1" customHeight="1" x14ac:dyDescent="0.25">
      <c r="B49" s="23" t="s">
        <v>76</v>
      </c>
      <c r="C49" s="50">
        <v>46</v>
      </c>
      <c r="D49" s="50">
        <v>5</v>
      </c>
      <c r="E49" s="50">
        <v>9</v>
      </c>
      <c r="F49" s="50">
        <v>58</v>
      </c>
      <c r="G49" s="50">
        <v>3</v>
      </c>
      <c r="H49" s="50">
        <v>1</v>
      </c>
      <c r="I49" s="50">
        <v>11</v>
      </c>
      <c r="J49" s="50">
        <v>0</v>
      </c>
      <c r="K49" s="50">
        <v>1</v>
      </c>
      <c r="L49" s="50">
        <v>6</v>
      </c>
      <c r="M49" s="50">
        <v>82</v>
      </c>
      <c r="N49" s="50">
        <v>0</v>
      </c>
      <c r="O49" s="15">
        <f t="shared" si="0"/>
        <v>140</v>
      </c>
      <c r="P49" s="15">
        <f t="shared" si="1"/>
        <v>222</v>
      </c>
      <c r="R49" s="8"/>
      <c r="T49"/>
    </row>
    <row r="50" spans="2:20" ht="23.1" customHeight="1" x14ac:dyDescent="0.25">
      <c r="B50" s="24" t="s">
        <v>77</v>
      </c>
      <c r="C50" s="50">
        <v>46</v>
      </c>
      <c r="D50" s="50">
        <v>7</v>
      </c>
      <c r="E50" s="50">
        <v>11</v>
      </c>
      <c r="F50" s="50">
        <v>58</v>
      </c>
      <c r="G50" s="50">
        <v>2</v>
      </c>
      <c r="H50" s="50">
        <v>2</v>
      </c>
      <c r="I50" s="50">
        <v>10</v>
      </c>
      <c r="J50" s="50">
        <v>1</v>
      </c>
      <c r="K50" s="50">
        <v>5</v>
      </c>
      <c r="L50" s="50">
        <v>8</v>
      </c>
      <c r="M50" s="50">
        <v>89</v>
      </c>
      <c r="N50" s="50">
        <v>0</v>
      </c>
      <c r="O50" s="15">
        <f t="shared" si="0"/>
        <v>150</v>
      </c>
      <c r="P50" s="15">
        <f t="shared" si="1"/>
        <v>239</v>
      </c>
      <c r="R50" s="8"/>
      <c r="T50"/>
    </row>
    <row r="51" spans="2:20" ht="23.1" customHeight="1" x14ac:dyDescent="0.25">
      <c r="B51" s="24" t="s">
        <v>78</v>
      </c>
      <c r="C51" s="50">
        <v>53</v>
      </c>
      <c r="D51" s="50">
        <v>6</v>
      </c>
      <c r="E51" s="50">
        <v>10</v>
      </c>
      <c r="F51" s="50">
        <v>53</v>
      </c>
      <c r="G51" s="50">
        <v>3</v>
      </c>
      <c r="H51" s="50">
        <v>0</v>
      </c>
      <c r="I51" s="50">
        <v>14</v>
      </c>
      <c r="J51" s="50">
        <v>3</v>
      </c>
      <c r="K51" s="50">
        <v>3</v>
      </c>
      <c r="L51" s="50">
        <v>8</v>
      </c>
      <c r="M51" s="50">
        <v>100</v>
      </c>
      <c r="N51" s="50">
        <v>0</v>
      </c>
      <c r="O51" s="15">
        <f t="shared" si="0"/>
        <v>153</v>
      </c>
      <c r="P51" s="15">
        <f t="shared" si="1"/>
        <v>253</v>
      </c>
      <c r="R51" s="8"/>
      <c r="T51"/>
    </row>
    <row r="52" spans="2:20" ht="23.1" customHeight="1" x14ac:dyDescent="0.25">
      <c r="B52" s="24" t="s">
        <v>79</v>
      </c>
      <c r="C52" s="50">
        <v>53</v>
      </c>
      <c r="D52" s="50">
        <v>11</v>
      </c>
      <c r="E52" s="50">
        <v>5</v>
      </c>
      <c r="F52" s="50">
        <v>49</v>
      </c>
      <c r="G52" s="50">
        <v>3</v>
      </c>
      <c r="H52" s="50">
        <v>1</v>
      </c>
      <c r="I52" s="50">
        <v>13</v>
      </c>
      <c r="J52" s="50">
        <v>1</v>
      </c>
      <c r="K52" s="50">
        <v>3</v>
      </c>
      <c r="L52" s="50">
        <v>9</v>
      </c>
      <c r="M52" s="50">
        <v>112</v>
      </c>
      <c r="N52" s="50">
        <v>0</v>
      </c>
      <c r="O52" s="15">
        <f t="shared" si="0"/>
        <v>148</v>
      </c>
      <c r="P52" s="15">
        <f t="shared" si="1"/>
        <v>260</v>
      </c>
      <c r="R52" s="8"/>
      <c r="T52"/>
    </row>
    <row r="53" spans="2:20" ht="23.1" customHeight="1" x14ac:dyDescent="0.25">
      <c r="B53" s="23" t="s">
        <v>80</v>
      </c>
      <c r="C53" s="50">
        <v>53</v>
      </c>
      <c r="D53" s="50">
        <v>11</v>
      </c>
      <c r="E53" s="50">
        <v>5</v>
      </c>
      <c r="F53" s="50">
        <v>49</v>
      </c>
      <c r="G53" s="50">
        <v>3</v>
      </c>
      <c r="H53" s="50">
        <v>1</v>
      </c>
      <c r="I53" s="50">
        <v>13</v>
      </c>
      <c r="J53" s="50">
        <v>1</v>
      </c>
      <c r="K53" s="50">
        <v>3</v>
      </c>
      <c r="L53" s="50">
        <v>9</v>
      </c>
      <c r="M53" s="50">
        <v>112</v>
      </c>
      <c r="N53" s="50">
        <v>0</v>
      </c>
      <c r="O53" s="15">
        <f t="shared" si="0"/>
        <v>148</v>
      </c>
      <c r="P53" s="15">
        <f t="shared" si="1"/>
        <v>260</v>
      </c>
      <c r="R53" s="8"/>
      <c r="T53"/>
    </row>
    <row r="54" spans="2:20" ht="23.1" customHeight="1" x14ac:dyDescent="0.25">
      <c r="B54" s="23" t="s">
        <v>81</v>
      </c>
      <c r="C54" s="50">
        <v>50</v>
      </c>
      <c r="D54" s="50">
        <v>9</v>
      </c>
      <c r="E54" s="50">
        <v>8</v>
      </c>
      <c r="F54" s="50">
        <v>57</v>
      </c>
      <c r="G54" s="50">
        <v>2</v>
      </c>
      <c r="H54" s="50">
        <v>0</v>
      </c>
      <c r="I54" s="50">
        <v>8</v>
      </c>
      <c r="J54" s="50">
        <v>5</v>
      </c>
      <c r="K54" s="50">
        <v>1</v>
      </c>
      <c r="L54" s="50">
        <v>8</v>
      </c>
      <c r="M54" s="50">
        <v>99</v>
      </c>
      <c r="N54" s="50">
        <v>0</v>
      </c>
      <c r="O54" s="15">
        <f t="shared" si="0"/>
        <v>148</v>
      </c>
      <c r="P54" s="15">
        <f t="shared" si="1"/>
        <v>247</v>
      </c>
      <c r="R54" s="8"/>
      <c r="T54"/>
    </row>
    <row r="55" spans="2:20" ht="23.1" customHeight="1" x14ac:dyDescent="0.25">
      <c r="B55" s="23" t="s">
        <v>82</v>
      </c>
      <c r="C55" s="50">
        <v>60</v>
      </c>
      <c r="D55" s="50">
        <v>4</v>
      </c>
      <c r="E55" s="50">
        <v>2</v>
      </c>
      <c r="F55" s="50">
        <v>54</v>
      </c>
      <c r="G55" s="50">
        <v>4</v>
      </c>
      <c r="H55" s="50">
        <v>2</v>
      </c>
      <c r="I55" s="50">
        <v>5</v>
      </c>
      <c r="J55" s="50">
        <v>2</v>
      </c>
      <c r="K55" s="50">
        <v>2</v>
      </c>
      <c r="L55" s="50">
        <v>7</v>
      </c>
      <c r="M55" s="50">
        <v>129</v>
      </c>
      <c r="N55" s="50">
        <v>0</v>
      </c>
      <c r="O55" s="15">
        <f t="shared" si="0"/>
        <v>142</v>
      </c>
      <c r="P55" s="15">
        <f t="shared" si="1"/>
        <v>271</v>
      </c>
      <c r="R55" s="8"/>
      <c r="T55"/>
    </row>
    <row r="56" spans="2:20" ht="23.1" customHeight="1" x14ac:dyDescent="0.25">
      <c r="B56" s="23" t="s">
        <v>83</v>
      </c>
      <c r="C56" s="50">
        <v>58</v>
      </c>
      <c r="D56" s="50">
        <v>7</v>
      </c>
      <c r="E56" s="50">
        <v>6</v>
      </c>
      <c r="F56" s="50">
        <v>56</v>
      </c>
      <c r="G56" s="50">
        <v>8</v>
      </c>
      <c r="H56" s="50">
        <v>2</v>
      </c>
      <c r="I56" s="50">
        <v>13</v>
      </c>
      <c r="J56" s="50">
        <v>1</v>
      </c>
      <c r="K56" s="50">
        <v>1</v>
      </c>
      <c r="L56" s="50">
        <v>7</v>
      </c>
      <c r="M56" s="50">
        <v>104</v>
      </c>
      <c r="N56" s="50">
        <v>0</v>
      </c>
      <c r="O56" s="15">
        <f t="shared" si="0"/>
        <v>159</v>
      </c>
      <c r="P56" s="15">
        <f t="shared" si="1"/>
        <v>263</v>
      </c>
      <c r="R56" s="8"/>
      <c r="T56"/>
    </row>
    <row r="57" spans="2:20" ht="23.1" customHeight="1" x14ac:dyDescent="0.25">
      <c r="B57" s="23" t="s">
        <v>84</v>
      </c>
      <c r="C57" s="50">
        <v>43</v>
      </c>
      <c r="D57" s="50">
        <v>43</v>
      </c>
      <c r="E57" s="50">
        <v>5</v>
      </c>
      <c r="F57" s="50">
        <v>6</v>
      </c>
      <c r="G57" s="50">
        <v>41</v>
      </c>
      <c r="H57" s="50">
        <v>7</v>
      </c>
      <c r="I57" s="50">
        <v>1</v>
      </c>
      <c r="J57" s="50">
        <v>8</v>
      </c>
      <c r="K57" s="50">
        <v>2</v>
      </c>
      <c r="L57" s="50">
        <v>0</v>
      </c>
      <c r="M57" s="50">
        <v>146</v>
      </c>
      <c r="N57" s="50">
        <v>1</v>
      </c>
      <c r="O57" s="15">
        <f t="shared" si="0"/>
        <v>157</v>
      </c>
      <c r="P57" s="15">
        <f t="shared" si="1"/>
        <v>303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3014</v>
      </c>
      <c r="D58" s="16">
        <f t="shared" si="21"/>
        <v>372</v>
      </c>
      <c r="E58" s="16">
        <f t="shared" si="21"/>
        <v>372</v>
      </c>
      <c r="F58" s="16">
        <f t="shared" si="21"/>
        <v>2292</v>
      </c>
      <c r="G58" s="16">
        <f t="shared" si="21"/>
        <v>155</v>
      </c>
      <c r="H58" s="16">
        <f t="shared" si="21"/>
        <v>50</v>
      </c>
      <c r="I58" s="16">
        <f t="shared" si="21"/>
        <v>561</v>
      </c>
      <c r="J58" s="16">
        <f t="shared" si="21"/>
        <v>134</v>
      </c>
      <c r="K58" s="16">
        <f t="shared" si="21"/>
        <v>88</v>
      </c>
      <c r="L58" s="16">
        <f t="shared" si="21"/>
        <v>321</v>
      </c>
      <c r="M58" s="16">
        <f t="shared" si="21"/>
        <v>4036</v>
      </c>
      <c r="N58" s="16">
        <f t="shared" si="21"/>
        <v>91</v>
      </c>
      <c r="O58" s="16">
        <f t="shared" si="21"/>
        <v>7450</v>
      </c>
      <c r="P58" s="16">
        <f t="shared" si="21"/>
        <v>11486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0.26240640780080099</v>
      </c>
      <c r="D59" s="43">
        <f t="shared" si="22"/>
        <v>3.2387254048406755E-2</v>
      </c>
      <c r="E59" s="43">
        <f t="shared" si="22"/>
        <v>3.2387254048406755E-2</v>
      </c>
      <c r="F59" s="43">
        <f t="shared" si="22"/>
        <v>0.19954727494340938</v>
      </c>
      <c r="G59" s="43">
        <f t="shared" si="22"/>
        <v>1.3494689186836148E-2</v>
      </c>
      <c r="H59" s="43">
        <f t="shared" si="22"/>
        <v>4.3531255441406928E-3</v>
      </c>
      <c r="I59" s="43">
        <f t="shared" si="22"/>
        <v>4.8842068605258575E-2</v>
      </c>
      <c r="J59" s="43">
        <f t="shared" si="22"/>
        <v>1.1666376458297057E-2</v>
      </c>
      <c r="K59" s="43">
        <f t="shared" si="22"/>
        <v>7.6615009576876201E-3</v>
      </c>
      <c r="L59" s="43">
        <f t="shared" si="22"/>
        <v>2.7947065993383251E-2</v>
      </c>
      <c r="M59" s="43">
        <f t="shared" si="22"/>
        <v>0.35138429392303672</v>
      </c>
      <c r="N59" s="43">
        <f t="shared" si="22"/>
        <v>7.9226884903360606E-3</v>
      </c>
      <c r="R59" s="8"/>
      <c r="T59"/>
    </row>
    <row r="60" spans="2:20" ht="23.1" customHeight="1" x14ac:dyDescent="0.25">
      <c r="B60" s="42" t="s">
        <v>94</v>
      </c>
      <c r="C60" s="44">
        <f>C58/$O$58</f>
        <v>0.40456375838926173</v>
      </c>
      <c r="D60" s="44">
        <f t="shared" ref="D60:N60" si="23">D58/$O$58</f>
        <v>4.9932885906040267E-2</v>
      </c>
      <c r="E60" s="44">
        <f t="shared" si="23"/>
        <v>4.9932885906040267E-2</v>
      </c>
      <c r="F60" s="44">
        <f t="shared" si="23"/>
        <v>0.30765100671140938</v>
      </c>
      <c r="G60" s="44">
        <f t="shared" si="23"/>
        <v>2.0805369127516779E-2</v>
      </c>
      <c r="H60" s="44">
        <f t="shared" si="23"/>
        <v>6.7114093959731542E-3</v>
      </c>
      <c r="I60" s="44">
        <f t="shared" si="23"/>
        <v>7.5302013422818795E-2</v>
      </c>
      <c r="J60" s="44">
        <f t="shared" si="23"/>
        <v>1.7986577181208052E-2</v>
      </c>
      <c r="K60" s="44">
        <f t="shared" si="23"/>
        <v>1.1812080536912751E-2</v>
      </c>
      <c r="L60" s="44">
        <f t="shared" si="23"/>
        <v>4.308724832214765E-2</v>
      </c>
      <c r="M60" s="44"/>
      <c r="N60" s="44">
        <f t="shared" si="23"/>
        <v>1.2214765100671141E-2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1:AF126"/>
  <sheetViews>
    <sheetView view="pageBreakPreview" topLeftCell="A7" zoomScale="60" workbookViewId="0">
      <selection activeCell="F50" sqref="F50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2" t="s">
        <v>23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  <c r="AE1" s="62"/>
    </row>
    <row r="2" spans="2:32" ht="20.100000000000001" customHeight="1" x14ac:dyDescent="0.25">
      <c r="B2" s="63" t="s">
        <v>95</v>
      </c>
      <c r="C2" s="63"/>
      <c r="D2" s="63"/>
      <c r="E2" s="63"/>
      <c r="F2" s="63"/>
      <c r="G2" s="63"/>
      <c r="H2" s="63"/>
      <c r="I2" s="63"/>
      <c r="J2" s="63"/>
      <c r="K2" s="63"/>
      <c r="L2" s="63"/>
      <c r="M2" s="63"/>
      <c r="N2" s="63"/>
      <c r="O2" s="63"/>
      <c r="P2" s="63"/>
      <c r="Q2" s="63"/>
      <c r="R2" s="63"/>
      <c r="S2" s="63"/>
      <c r="T2" s="63"/>
      <c r="U2" s="63"/>
      <c r="V2" s="63"/>
      <c r="W2" s="63"/>
      <c r="X2" s="63"/>
      <c r="Y2" s="63"/>
      <c r="Z2" s="63"/>
      <c r="AA2" s="63"/>
      <c r="AB2" s="63"/>
      <c r="AC2" s="63"/>
      <c r="AD2" s="63"/>
      <c r="AE2" s="63"/>
    </row>
    <row r="3" spans="2:32" ht="20.100000000000001" customHeight="1" x14ac:dyDescent="0.25">
      <c r="B3" s="22" t="s">
        <v>96</v>
      </c>
      <c r="C3" s="67" t="str">
        <f>'23.09 Mukono-Seeta'!C3:G3</f>
        <v>MCC - C2 - STN074 - SONDE  ROAD</v>
      </c>
      <c r="D3" s="67"/>
      <c r="E3" s="67"/>
      <c r="F3" s="67"/>
      <c r="G3" s="67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'29.09 Seeta-Mukono'!D5</f>
        <v>29.09.19</v>
      </c>
      <c r="E5" s="3"/>
      <c r="F5" s="41" t="s">
        <v>1</v>
      </c>
      <c r="G5" s="68" t="str">
        <f>'29.09 Seeta-Mukono'!G5:H5</f>
        <v>STATION 74</v>
      </c>
      <c r="H5" s="69"/>
      <c r="I5" s="14"/>
      <c r="J5" s="2" t="s">
        <v>5</v>
      </c>
      <c r="K5" s="68" t="s">
        <v>176</v>
      </c>
      <c r="L5" s="69"/>
      <c r="M5" s="10"/>
      <c r="N5" s="10"/>
      <c r="O5" s="3"/>
      <c r="P5" s="3"/>
    </row>
    <row r="6" spans="2:32" ht="23.25" customHeight="1" x14ac:dyDescent="0.25">
      <c r="C6" s="2" t="s">
        <v>4</v>
      </c>
      <c r="D6" s="68" t="s">
        <v>177</v>
      </c>
      <c r="E6" s="69"/>
      <c r="F6" s="2" t="s">
        <v>2</v>
      </c>
      <c r="G6" s="68" t="s">
        <v>178</v>
      </c>
      <c r="H6" s="69"/>
      <c r="J6" s="2" t="s">
        <v>21</v>
      </c>
      <c r="K6" s="68" t="str">
        <f>'29.09 Seeta-Mukono'!K6:L6</f>
        <v>Tracy</v>
      </c>
      <c r="L6" s="69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1" t="s">
        <v>88</v>
      </c>
      <c r="S8" s="61"/>
      <c r="T8" s="61"/>
      <c r="U8" s="61"/>
      <c r="V8" s="61"/>
      <c r="W8" s="61"/>
      <c r="X8" s="61"/>
      <c r="Y8" s="61"/>
      <c r="Z8" s="61"/>
      <c r="AA8" s="61"/>
      <c r="AB8" s="61"/>
      <c r="AC8" s="61"/>
      <c r="AD8" s="61"/>
      <c r="AE8" s="61"/>
      <c r="AF8" s="61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6</v>
      </c>
      <c r="D10" s="50">
        <v>6</v>
      </c>
      <c r="E10" s="50">
        <v>1</v>
      </c>
      <c r="F10" s="50">
        <v>31</v>
      </c>
      <c r="G10" s="50">
        <v>2</v>
      </c>
      <c r="H10" s="50">
        <v>1</v>
      </c>
      <c r="I10" s="50">
        <v>0</v>
      </c>
      <c r="J10" s="50">
        <v>1</v>
      </c>
      <c r="K10" s="50">
        <v>1</v>
      </c>
      <c r="L10" s="50">
        <v>15</v>
      </c>
      <c r="M10" s="50">
        <v>121</v>
      </c>
      <c r="N10" s="50">
        <v>0</v>
      </c>
      <c r="O10" s="15">
        <f t="shared" ref="O10:O57" si="0">SUM(C10:L10,N10)</f>
        <v>64</v>
      </c>
      <c r="P10" s="15">
        <f t="shared" ref="P10:P57" si="1">SUM(C10:N10)</f>
        <v>185</v>
      </c>
      <c r="R10" s="1" t="s">
        <v>6</v>
      </c>
      <c r="S10" s="17">
        <f t="shared" ref="S10:AF10" si="2">SUM(C10:C13)</f>
        <v>67</v>
      </c>
      <c r="T10" s="17">
        <f t="shared" si="2"/>
        <v>24</v>
      </c>
      <c r="U10" s="17">
        <f t="shared" si="2"/>
        <v>21</v>
      </c>
      <c r="V10" s="17">
        <f t="shared" si="2"/>
        <v>140</v>
      </c>
      <c r="W10" s="17">
        <f t="shared" si="2"/>
        <v>9</v>
      </c>
      <c r="X10" s="17">
        <f t="shared" si="2"/>
        <v>1</v>
      </c>
      <c r="Y10" s="17">
        <f t="shared" si="2"/>
        <v>4</v>
      </c>
      <c r="Z10" s="17">
        <f t="shared" si="2"/>
        <v>3</v>
      </c>
      <c r="AA10" s="17">
        <f t="shared" si="2"/>
        <v>6</v>
      </c>
      <c r="AB10" s="17">
        <f t="shared" si="2"/>
        <v>34</v>
      </c>
      <c r="AC10" s="17">
        <f t="shared" si="2"/>
        <v>399</v>
      </c>
      <c r="AD10" s="17">
        <f t="shared" si="2"/>
        <v>0</v>
      </c>
      <c r="AE10" s="31">
        <f t="shared" si="2"/>
        <v>309</v>
      </c>
      <c r="AF10" s="31">
        <f t="shared" si="2"/>
        <v>708</v>
      </c>
    </row>
    <row r="11" spans="2:32" s="6" customFormat="1" ht="23.1" customHeight="1" x14ac:dyDescent="0.25">
      <c r="B11" s="23" t="s">
        <v>38</v>
      </c>
      <c r="C11" s="50">
        <v>7</v>
      </c>
      <c r="D11" s="50">
        <v>8</v>
      </c>
      <c r="E11" s="50">
        <v>2</v>
      </c>
      <c r="F11" s="50">
        <v>39</v>
      </c>
      <c r="G11" s="50">
        <v>0</v>
      </c>
      <c r="H11" s="50">
        <v>0</v>
      </c>
      <c r="I11" s="50">
        <v>2</v>
      </c>
      <c r="J11" s="50">
        <v>0</v>
      </c>
      <c r="K11" s="50">
        <v>1</v>
      </c>
      <c r="L11" s="50">
        <v>8</v>
      </c>
      <c r="M11" s="50">
        <v>80</v>
      </c>
      <c r="N11" s="50">
        <v>0</v>
      </c>
      <c r="O11" s="15">
        <f t="shared" si="0"/>
        <v>67</v>
      </c>
      <c r="P11" s="15">
        <f t="shared" si="1"/>
        <v>147</v>
      </c>
      <c r="R11" s="1" t="s">
        <v>7</v>
      </c>
      <c r="S11" s="17">
        <f t="shared" ref="S11:AF11" si="3">SUM(C14:C17)</f>
        <v>96</v>
      </c>
      <c r="T11" s="17">
        <f t="shared" si="3"/>
        <v>32</v>
      </c>
      <c r="U11" s="17">
        <f t="shared" si="3"/>
        <v>9</v>
      </c>
      <c r="V11" s="17">
        <f t="shared" si="3"/>
        <v>167</v>
      </c>
      <c r="W11" s="17">
        <f t="shared" si="3"/>
        <v>8</v>
      </c>
      <c r="X11" s="17">
        <f t="shared" si="3"/>
        <v>13</v>
      </c>
      <c r="Y11" s="17">
        <f t="shared" si="3"/>
        <v>13</v>
      </c>
      <c r="Z11" s="17">
        <f t="shared" si="3"/>
        <v>10</v>
      </c>
      <c r="AA11" s="17">
        <f t="shared" si="3"/>
        <v>8</v>
      </c>
      <c r="AB11" s="17">
        <f t="shared" si="3"/>
        <v>55</v>
      </c>
      <c r="AC11" s="17">
        <f t="shared" si="3"/>
        <v>367</v>
      </c>
      <c r="AD11" s="17">
        <f t="shared" si="3"/>
        <v>0</v>
      </c>
      <c r="AE11" s="31">
        <f t="shared" si="3"/>
        <v>411</v>
      </c>
      <c r="AF11" s="31">
        <f t="shared" si="3"/>
        <v>778</v>
      </c>
    </row>
    <row r="12" spans="2:32" ht="23.1" customHeight="1" x14ac:dyDescent="0.25">
      <c r="B12" s="23" t="s">
        <v>39</v>
      </c>
      <c r="C12" s="50">
        <v>31</v>
      </c>
      <c r="D12" s="50">
        <v>7</v>
      </c>
      <c r="E12" s="50">
        <v>6</v>
      </c>
      <c r="F12" s="50">
        <v>39</v>
      </c>
      <c r="G12" s="50">
        <v>5</v>
      </c>
      <c r="H12" s="50">
        <v>0</v>
      </c>
      <c r="I12" s="50">
        <v>1</v>
      </c>
      <c r="J12" s="50">
        <v>0</v>
      </c>
      <c r="K12" s="50">
        <v>3</v>
      </c>
      <c r="L12" s="50">
        <v>7</v>
      </c>
      <c r="M12" s="50">
        <v>95</v>
      </c>
      <c r="N12" s="50">
        <v>0</v>
      </c>
      <c r="O12" s="15">
        <f t="shared" si="0"/>
        <v>99</v>
      </c>
      <c r="P12" s="15">
        <f t="shared" si="1"/>
        <v>194</v>
      </c>
      <c r="R12" s="1" t="s">
        <v>8</v>
      </c>
      <c r="S12" s="17">
        <f t="shared" ref="S12:AF12" si="4">SUM(C18:C21)</f>
        <v>33</v>
      </c>
      <c r="T12" s="17">
        <f t="shared" si="4"/>
        <v>27</v>
      </c>
      <c r="U12" s="17">
        <f t="shared" si="4"/>
        <v>10</v>
      </c>
      <c r="V12" s="17">
        <f t="shared" si="4"/>
        <v>68</v>
      </c>
      <c r="W12" s="17">
        <f t="shared" si="4"/>
        <v>4</v>
      </c>
      <c r="X12" s="17">
        <f t="shared" si="4"/>
        <v>1</v>
      </c>
      <c r="Y12" s="17">
        <f t="shared" si="4"/>
        <v>8</v>
      </c>
      <c r="Z12" s="17">
        <f t="shared" si="4"/>
        <v>14</v>
      </c>
      <c r="AA12" s="17">
        <f t="shared" si="4"/>
        <v>8</v>
      </c>
      <c r="AB12" s="17">
        <f t="shared" si="4"/>
        <v>30</v>
      </c>
      <c r="AC12" s="17">
        <f t="shared" si="4"/>
        <v>425</v>
      </c>
      <c r="AD12" s="17">
        <f t="shared" si="4"/>
        <v>0</v>
      </c>
      <c r="AE12" s="31">
        <f t="shared" si="4"/>
        <v>203</v>
      </c>
      <c r="AF12" s="31">
        <f t="shared" si="4"/>
        <v>628</v>
      </c>
    </row>
    <row r="13" spans="2:32" ht="23.1" customHeight="1" x14ac:dyDescent="0.25">
      <c r="B13" s="23" t="s">
        <v>40</v>
      </c>
      <c r="C13" s="50">
        <v>23</v>
      </c>
      <c r="D13" s="50">
        <v>3</v>
      </c>
      <c r="E13" s="50">
        <v>12</v>
      </c>
      <c r="F13" s="50">
        <v>31</v>
      </c>
      <c r="G13" s="50">
        <v>2</v>
      </c>
      <c r="H13" s="50">
        <v>0</v>
      </c>
      <c r="I13" s="50">
        <v>1</v>
      </c>
      <c r="J13" s="50">
        <v>2</v>
      </c>
      <c r="K13" s="50">
        <v>1</v>
      </c>
      <c r="L13" s="50">
        <v>4</v>
      </c>
      <c r="M13" s="50">
        <v>103</v>
      </c>
      <c r="N13" s="50">
        <v>0</v>
      </c>
      <c r="O13" s="15">
        <f t="shared" si="0"/>
        <v>79</v>
      </c>
      <c r="P13" s="15">
        <f t="shared" si="1"/>
        <v>182</v>
      </c>
      <c r="R13" s="1" t="s">
        <v>9</v>
      </c>
      <c r="S13" s="17">
        <f t="shared" ref="S13:AF13" si="5">SUM(C22:C25)</f>
        <v>89</v>
      </c>
      <c r="T13" s="17">
        <f t="shared" si="5"/>
        <v>50</v>
      </c>
      <c r="U13" s="17">
        <f t="shared" si="5"/>
        <v>16</v>
      </c>
      <c r="V13" s="17">
        <f t="shared" si="5"/>
        <v>179</v>
      </c>
      <c r="W13" s="17">
        <f t="shared" si="5"/>
        <v>12</v>
      </c>
      <c r="X13" s="17">
        <f t="shared" si="5"/>
        <v>1</v>
      </c>
      <c r="Y13" s="17">
        <f t="shared" si="5"/>
        <v>11</v>
      </c>
      <c r="Z13" s="17">
        <f t="shared" si="5"/>
        <v>14</v>
      </c>
      <c r="AA13" s="17">
        <f t="shared" si="5"/>
        <v>4</v>
      </c>
      <c r="AB13" s="17">
        <f t="shared" si="5"/>
        <v>70</v>
      </c>
      <c r="AC13" s="17">
        <f t="shared" si="5"/>
        <v>437</v>
      </c>
      <c r="AD13" s="17">
        <f t="shared" si="5"/>
        <v>0</v>
      </c>
      <c r="AE13" s="31">
        <f t="shared" si="5"/>
        <v>446</v>
      </c>
      <c r="AF13" s="31">
        <f t="shared" si="5"/>
        <v>883</v>
      </c>
    </row>
    <row r="14" spans="2:32" ht="23.1" customHeight="1" x14ac:dyDescent="0.25">
      <c r="B14" s="23" t="s">
        <v>41</v>
      </c>
      <c r="C14" s="50">
        <v>21</v>
      </c>
      <c r="D14" s="50">
        <v>7</v>
      </c>
      <c r="E14" s="50">
        <v>1</v>
      </c>
      <c r="F14" s="50">
        <v>52</v>
      </c>
      <c r="G14" s="50">
        <v>5</v>
      </c>
      <c r="H14" s="50">
        <v>6</v>
      </c>
      <c r="I14" s="50">
        <v>3</v>
      </c>
      <c r="J14" s="50">
        <v>2</v>
      </c>
      <c r="K14" s="50">
        <v>2</v>
      </c>
      <c r="L14" s="50">
        <v>23</v>
      </c>
      <c r="M14" s="50">
        <v>92</v>
      </c>
      <c r="N14" s="50">
        <v>0</v>
      </c>
      <c r="O14" s="15">
        <f t="shared" si="0"/>
        <v>122</v>
      </c>
      <c r="P14" s="15">
        <f t="shared" si="1"/>
        <v>214</v>
      </c>
      <c r="R14" s="1" t="s">
        <v>10</v>
      </c>
      <c r="S14" s="17">
        <f t="shared" ref="S14:AF14" si="6">SUM(C26:C29)</f>
        <v>87</v>
      </c>
      <c r="T14" s="17">
        <f t="shared" si="6"/>
        <v>39</v>
      </c>
      <c r="U14" s="17">
        <f t="shared" si="6"/>
        <v>23</v>
      </c>
      <c r="V14" s="17">
        <f t="shared" si="6"/>
        <v>218</v>
      </c>
      <c r="W14" s="17">
        <f t="shared" si="6"/>
        <v>5</v>
      </c>
      <c r="X14" s="17">
        <f t="shared" si="6"/>
        <v>0</v>
      </c>
      <c r="Y14" s="17">
        <f t="shared" si="6"/>
        <v>19</v>
      </c>
      <c r="Z14" s="17">
        <f t="shared" si="6"/>
        <v>16</v>
      </c>
      <c r="AA14" s="17">
        <f t="shared" si="6"/>
        <v>5</v>
      </c>
      <c r="AB14" s="17">
        <f t="shared" si="6"/>
        <v>36</v>
      </c>
      <c r="AC14" s="17">
        <f t="shared" si="6"/>
        <v>244</v>
      </c>
      <c r="AD14" s="17">
        <f t="shared" si="6"/>
        <v>0</v>
      </c>
      <c r="AE14" s="31">
        <f t="shared" si="6"/>
        <v>448</v>
      </c>
      <c r="AF14" s="31">
        <f t="shared" si="6"/>
        <v>692</v>
      </c>
    </row>
    <row r="15" spans="2:32" ht="23.1" customHeight="1" x14ac:dyDescent="0.25">
      <c r="B15" s="23" t="s">
        <v>42</v>
      </c>
      <c r="C15" s="50">
        <v>43</v>
      </c>
      <c r="D15" s="50">
        <v>6</v>
      </c>
      <c r="E15" s="50">
        <v>0</v>
      </c>
      <c r="F15" s="50">
        <v>43</v>
      </c>
      <c r="G15" s="50">
        <v>0</v>
      </c>
      <c r="H15" s="50">
        <v>4</v>
      </c>
      <c r="I15" s="50">
        <v>3</v>
      </c>
      <c r="J15" s="50">
        <v>1</v>
      </c>
      <c r="K15" s="50">
        <v>1</v>
      </c>
      <c r="L15" s="50">
        <v>19</v>
      </c>
      <c r="M15" s="50">
        <v>103</v>
      </c>
      <c r="N15" s="50">
        <v>0</v>
      </c>
      <c r="O15" s="15">
        <f t="shared" si="0"/>
        <v>120</v>
      </c>
      <c r="P15" s="15">
        <f t="shared" si="1"/>
        <v>223</v>
      </c>
      <c r="R15" s="1" t="s">
        <v>11</v>
      </c>
      <c r="S15" s="17">
        <f t="shared" ref="S15:AF15" si="7">SUM(C30:C33)</f>
        <v>51</v>
      </c>
      <c r="T15" s="17">
        <f t="shared" si="7"/>
        <v>28</v>
      </c>
      <c r="U15" s="17">
        <f t="shared" si="7"/>
        <v>27</v>
      </c>
      <c r="V15" s="17">
        <f t="shared" si="7"/>
        <v>76</v>
      </c>
      <c r="W15" s="17">
        <f t="shared" si="7"/>
        <v>5</v>
      </c>
      <c r="X15" s="17">
        <f t="shared" si="7"/>
        <v>8</v>
      </c>
      <c r="Y15" s="17">
        <f t="shared" si="7"/>
        <v>20</v>
      </c>
      <c r="Z15" s="17">
        <f t="shared" si="7"/>
        <v>14</v>
      </c>
      <c r="AA15" s="17">
        <f t="shared" si="7"/>
        <v>16</v>
      </c>
      <c r="AB15" s="17">
        <f t="shared" si="7"/>
        <v>57</v>
      </c>
      <c r="AC15" s="17">
        <f t="shared" si="7"/>
        <v>162</v>
      </c>
      <c r="AD15" s="17">
        <f t="shared" si="7"/>
        <v>0</v>
      </c>
      <c r="AE15" s="31">
        <f t="shared" si="7"/>
        <v>302</v>
      </c>
      <c r="AF15" s="31">
        <f t="shared" si="7"/>
        <v>464</v>
      </c>
    </row>
    <row r="16" spans="2:32" ht="23.1" customHeight="1" x14ac:dyDescent="0.25">
      <c r="B16" s="23" t="s">
        <v>43</v>
      </c>
      <c r="C16" s="50">
        <v>24</v>
      </c>
      <c r="D16" s="50">
        <v>14</v>
      </c>
      <c r="E16" s="50">
        <v>5</v>
      </c>
      <c r="F16" s="50">
        <v>41</v>
      </c>
      <c r="G16" s="50">
        <v>3</v>
      </c>
      <c r="H16" s="50">
        <v>1</v>
      </c>
      <c r="I16" s="50">
        <v>4</v>
      </c>
      <c r="J16" s="50">
        <v>5</v>
      </c>
      <c r="K16" s="50">
        <v>1</v>
      </c>
      <c r="L16" s="50">
        <v>4</v>
      </c>
      <c r="M16" s="50">
        <v>85</v>
      </c>
      <c r="N16" s="50">
        <v>0</v>
      </c>
      <c r="O16" s="15">
        <f t="shared" si="0"/>
        <v>102</v>
      </c>
      <c r="P16" s="15">
        <f t="shared" si="1"/>
        <v>187</v>
      </c>
      <c r="R16" s="1" t="s">
        <v>12</v>
      </c>
      <c r="S16" s="17">
        <f t="shared" ref="S16:AF16" si="8">SUM(C34:C37)</f>
        <v>69</v>
      </c>
      <c r="T16" s="17">
        <f t="shared" si="8"/>
        <v>43</v>
      </c>
      <c r="U16" s="17">
        <f t="shared" si="8"/>
        <v>18</v>
      </c>
      <c r="V16" s="17">
        <f t="shared" si="8"/>
        <v>96</v>
      </c>
      <c r="W16" s="17">
        <f t="shared" si="8"/>
        <v>2</v>
      </c>
      <c r="X16" s="17">
        <f t="shared" si="8"/>
        <v>2</v>
      </c>
      <c r="Y16" s="17">
        <f t="shared" si="8"/>
        <v>13</v>
      </c>
      <c r="Z16" s="17">
        <f t="shared" si="8"/>
        <v>18</v>
      </c>
      <c r="AA16" s="17">
        <f t="shared" si="8"/>
        <v>9</v>
      </c>
      <c r="AB16" s="17">
        <f t="shared" si="8"/>
        <v>31</v>
      </c>
      <c r="AC16" s="17">
        <f t="shared" si="8"/>
        <v>337</v>
      </c>
      <c r="AD16" s="17">
        <f t="shared" si="8"/>
        <v>0</v>
      </c>
      <c r="AE16" s="31">
        <f t="shared" si="8"/>
        <v>301</v>
      </c>
      <c r="AF16" s="31">
        <f t="shared" si="8"/>
        <v>638</v>
      </c>
    </row>
    <row r="17" spans="2:32" ht="23.1" customHeight="1" x14ac:dyDescent="0.25">
      <c r="B17" s="23" t="s">
        <v>44</v>
      </c>
      <c r="C17" s="50">
        <v>8</v>
      </c>
      <c r="D17" s="50">
        <v>5</v>
      </c>
      <c r="E17" s="50">
        <v>3</v>
      </c>
      <c r="F17" s="50">
        <v>31</v>
      </c>
      <c r="G17" s="50">
        <v>0</v>
      </c>
      <c r="H17" s="50">
        <v>2</v>
      </c>
      <c r="I17" s="50">
        <v>3</v>
      </c>
      <c r="J17" s="50">
        <v>2</v>
      </c>
      <c r="K17" s="50">
        <v>4</v>
      </c>
      <c r="L17" s="50">
        <v>9</v>
      </c>
      <c r="M17" s="50">
        <v>87</v>
      </c>
      <c r="N17" s="50">
        <v>0</v>
      </c>
      <c r="O17" s="15">
        <f t="shared" si="0"/>
        <v>67</v>
      </c>
      <c r="P17" s="15">
        <f t="shared" si="1"/>
        <v>154</v>
      </c>
      <c r="R17" s="1" t="s">
        <v>13</v>
      </c>
      <c r="S17" s="17">
        <f t="shared" ref="S17:AF17" si="9">SUM(C38:C41)</f>
        <v>123</v>
      </c>
      <c r="T17" s="17">
        <f t="shared" si="9"/>
        <v>46</v>
      </c>
      <c r="U17" s="17">
        <f t="shared" si="9"/>
        <v>29</v>
      </c>
      <c r="V17" s="17">
        <f t="shared" si="9"/>
        <v>200</v>
      </c>
      <c r="W17" s="17">
        <f t="shared" si="9"/>
        <v>5</v>
      </c>
      <c r="X17" s="17">
        <f t="shared" si="9"/>
        <v>1</v>
      </c>
      <c r="Y17" s="17">
        <f t="shared" si="9"/>
        <v>21</v>
      </c>
      <c r="Z17" s="17">
        <f t="shared" si="9"/>
        <v>11</v>
      </c>
      <c r="AA17" s="17">
        <f t="shared" si="9"/>
        <v>11</v>
      </c>
      <c r="AB17" s="17">
        <f t="shared" si="9"/>
        <v>33</v>
      </c>
      <c r="AC17" s="17">
        <f t="shared" si="9"/>
        <v>344</v>
      </c>
      <c r="AD17" s="17">
        <f t="shared" si="9"/>
        <v>0</v>
      </c>
      <c r="AE17" s="31">
        <f t="shared" si="9"/>
        <v>480</v>
      </c>
      <c r="AF17" s="31">
        <f t="shared" si="9"/>
        <v>824</v>
      </c>
    </row>
    <row r="18" spans="2:32" ht="23.1" customHeight="1" x14ac:dyDescent="0.25">
      <c r="B18" s="23" t="s">
        <v>45</v>
      </c>
      <c r="C18" s="50">
        <v>8</v>
      </c>
      <c r="D18" s="50">
        <v>3</v>
      </c>
      <c r="E18" s="50">
        <v>4</v>
      </c>
      <c r="F18" s="50">
        <v>15</v>
      </c>
      <c r="G18" s="50">
        <v>1</v>
      </c>
      <c r="H18" s="50">
        <v>0</v>
      </c>
      <c r="I18" s="50">
        <v>2</v>
      </c>
      <c r="J18" s="50">
        <v>1</v>
      </c>
      <c r="K18" s="50">
        <v>0</v>
      </c>
      <c r="L18" s="50">
        <v>5</v>
      </c>
      <c r="M18" s="50">
        <v>58</v>
      </c>
      <c r="N18" s="50">
        <v>0</v>
      </c>
      <c r="O18" s="15">
        <f t="shared" si="0"/>
        <v>39</v>
      </c>
      <c r="P18" s="15">
        <f t="shared" si="1"/>
        <v>97</v>
      </c>
      <c r="R18" s="1" t="s">
        <v>14</v>
      </c>
      <c r="S18" s="17">
        <f t="shared" ref="S18:AF18" si="10">SUM(C42:C45)</f>
        <v>136</v>
      </c>
      <c r="T18" s="17">
        <f t="shared" si="10"/>
        <v>70</v>
      </c>
      <c r="U18" s="17">
        <f t="shared" si="10"/>
        <v>34</v>
      </c>
      <c r="V18" s="17">
        <f t="shared" si="10"/>
        <v>191</v>
      </c>
      <c r="W18" s="17">
        <f t="shared" si="10"/>
        <v>7</v>
      </c>
      <c r="X18" s="17">
        <f t="shared" si="10"/>
        <v>1</v>
      </c>
      <c r="Y18" s="17">
        <f t="shared" si="10"/>
        <v>18</v>
      </c>
      <c r="Z18" s="17">
        <f t="shared" si="10"/>
        <v>18</v>
      </c>
      <c r="AA18" s="17">
        <f t="shared" si="10"/>
        <v>10</v>
      </c>
      <c r="AB18" s="17">
        <f t="shared" si="10"/>
        <v>48</v>
      </c>
      <c r="AC18" s="17">
        <f t="shared" si="10"/>
        <v>342</v>
      </c>
      <c r="AD18" s="17">
        <f t="shared" si="10"/>
        <v>0</v>
      </c>
      <c r="AE18" s="31">
        <f t="shared" si="10"/>
        <v>533</v>
      </c>
      <c r="AF18" s="31">
        <f t="shared" si="10"/>
        <v>875</v>
      </c>
    </row>
    <row r="19" spans="2:32" ht="23.1" customHeight="1" x14ac:dyDescent="0.25">
      <c r="B19" s="23" t="s">
        <v>46</v>
      </c>
      <c r="C19" s="50">
        <v>6</v>
      </c>
      <c r="D19" s="50">
        <v>3</v>
      </c>
      <c r="E19" s="50">
        <v>2</v>
      </c>
      <c r="F19" s="50">
        <v>3</v>
      </c>
      <c r="G19" s="50">
        <v>0</v>
      </c>
      <c r="H19" s="50">
        <v>0</v>
      </c>
      <c r="I19" s="50">
        <v>0</v>
      </c>
      <c r="J19" s="50">
        <v>2</v>
      </c>
      <c r="K19" s="50">
        <v>2</v>
      </c>
      <c r="L19" s="50">
        <v>0</v>
      </c>
      <c r="M19" s="50">
        <v>143</v>
      </c>
      <c r="N19" s="50">
        <v>0</v>
      </c>
      <c r="O19" s="15">
        <f t="shared" si="0"/>
        <v>18</v>
      </c>
      <c r="P19" s="15">
        <f t="shared" si="1"/>
        <v>161</v>
      </c>
      <c r="R19" s="1" t="s">
        <v>15</v>
      </c>
      <c r="S19" s="17">
        <f t="shared" ref="S19:AF19" si="11">SUM(C46:C49)</f>
        <v>162</v>
      </c>
      <c r="T19" s="17">
        <f t="shared" si="11"/>
        <v>89</v>
      </c>
      <c r="U19" s="17">
        <f t="shared" si="11"/>
        <v>30</v>
      </c>
      <c r="V19" s="17">
        <f t="shared" si="11"/>
        <v>197</v>
      </c>
      <c r="W19" s="17">
        <f t="shared" si="11"/>
        <v>7</v>
      </c>
      <c r="X19" s="17">
        <f t="shared" si="11"/>
        <v>2</v>
      </c>
      <c r="Y19" s="17">
        <f t="shared" si="11"/>
        <v>19</v>
      </c>
      <c r="Z19" s="17">
        <f t="shared" si="11"/>
        <v>21</v>
      </c>
      <c r="AA19" s="17">
        <f t="shared" si="11"/>
        <v>7</v>
      </c>
      <c r="AB19" s="17">
        <f t="shared" si="11"/>
        <v>40</v>
      </c>
      <c r="AC19" s="17">
        <f t="shared" si="11"/>
        <v>409</v>
      </c>
      <c r="AD19" s="17">
        <f t="shared" si="11"/>
        <v>0</v>
      </c>
      <c r="AE19" s="31">
        <f t="shared" si="11"/>
        <v>574</v>
      </c>
      <c r="AF19" s="31">
        <f t="shared" si="11"/>
        <v>983</v>
      </c>
    </row>
    <row r="20" spans="2:32" ht="23.1" customHeight="1" x14ac:dyDescent="0.25">
      <c r="B20" s="23" t="s">
        <v>47</v>
      </c>
      <c r="C20" s="50">
        <v>3</v>
      </c>
      <c r="D20" s="50">
        <v>9</v>
      </c>
      <c r="E20" s="50">
        <v>0</v>
      </c>
      <c r="F20" s="50">
        <v>18</v>
      </c>
      <c r="G20" s="50">
        <v>1</v>
      </c>
      <c r="H20" s="50">
        <v>1</v>
      </c>
      <c r="I20" s="50">
        <v>2</v>
      </c>
      <c r="J20" s="50">
        <v>5</v>
      </c>
      <c r="K20" s="50">
        <v>3</v>
      </c>
      <c r="L20" s="50">
        <v>17</v>
      </c>
      <c r="M20" s="50">
        <v>118</v>
      </c>
      <c r="N20" s="50">
        <v>0</v>
      </c>
      <c r="O20" s="15">
        <f t="shared" si="0"/>
        <v>59</v>
      </c>
      <c r="P20" s="15">
        <f t="shared" si="1"/>
        <v>177</v>
      </c>
      <c r="R20" s="1" t="s">
        <v>16</v>
      </c>
      <c r="S20" s="17">
        <f t="shared" ref="S20:AF20" si="12">SUM(C50:C53)</f>
        <v>183</v>
      </c>
      <c r="T20" s="17">
        <f t="shared" si="12"/>
        <v>90</v>
      </c>
      <c r="U20" s="17">
        <f t="shared" si="12"/>
        <v>30</v>
      </c>
      <c r="V20" s="17">
        <f t="shared" si="12"/>
        <v>238</v>
      </c>
      <c r="W20" s="17">
        <f t="shared" si="12"/>
        <v>11</v>
      </c>
      <c r="X20" s="17">
        <f t="shared" si="12"/>
        <v>4</v>
      </c>
      <c r="Y20" s="17">
        <f t="shared" si="12"/>
        <v>22</v>
      </c>
      <c r="Z20" s="17">
        <f t="shared" si="12"/>
        <v>15</v>
      </c>
      <c r="AA20" s="17">
        <f t="shared" si="12"/>
        <v>5</v>
      </c>
      <c r="AB20" s="17">
        <f t="shared" si="12"/>
        <v>48</v>
      </c>
      <c r="AC20" s="17">
        <f t="shared" si="12"/>
        <v>492</v>
      </c>
      <c r="AD20" s="17">
        <f t="shared" si="12"/>
        <v>0</v>
      </c>
      <c r="AE20" s="31">
        <f t="shared" si="12"/>
        <v>646</v>
      </c>
      <c r="AF20" s="31">
        <f t="shared" si="12"/>
        <v>1138</v>
      </c>
    </row>
    <row r="21" spans="2:32" ht="23.1" customHeight="1" x14ac:dyDescent="0.25">
      <c r="B21" s="23" t="s">
        <v>48</v>
      </c>
      <c r="C21" s="50">
        <v>16</v>
      </c>
      <c r="D21" s="50">
        <v>12</v>
      </c>
      <c r="E21" s="50">
        <v>4</v>
      </c>
      <c r="F21" s="50">
        <v>32</v>
      </c>
      <c r="G21" s="50">
        <v>2</v>
      </c>
      <c r="H21" s="50">
        <v>0</v>
      </c>
      <c r="I21" s="50">
        <v>4</v>
      </c>
      <c r="J21" s="50">
        <v>6</v>
      </c>
      <c r="K21" s="50">
        <v>3</v>
      </c>
      <c r="L21" s="50">
        <v>8</v>
      </c>
      <c r="M21" s="50">
        <v>106</v>
      </c>
      <c r="N21" s="50">
        <v>0</v>
      </c>
      <c r="O21" s="15">
        <f t="shared" si="0"/>
        <v>87</v>
      </c>
      <c r="P21" s="15">
        <f t="shared" si="1"/>
        <v>193</v>
      </c>
      <c r="R21" s="36" t="s">
        <v>20</v>
      </c>
      <c r="S21" s="34">
        <f t="shared" ref="S21:AF21" si="13">SUM(C54:C57)</f>
        <v>129</v>
      </c>
      <c r="T21" s="17">
        <f t="shared" si="13"/>
        <v>49</v>
      </c>
      <c r="U21" s="17">
        <f t="shared" si="13"/>
        <v>83</v>
      </c>
      <c r="V21" s="17">
        <f t="shared" si="13"/>
        <v>165</v>
      </c>
      <c r="W21" s="17">
        <f t="shared" si="13"/>
        <v>12</v>
      </c>
      <c r="X21" s="17">
        <f t="shared" si="13"/>
        <v>12</v>
      </c>
      <c r="Y21" s="17">
        <f t="shared" si="13"/>
        <v>29</v>
      </c>
      <c r="Z21" s="17">
        <f t="shared" si="13"/>
        <v>16</v>
      </c>
      <c r="AA21" s="17">
        <f t="shared" si="13"/>
        <v>13</v>
      </c>
      <c r="AB21" s="17">
        <f t="shared" si="13"/>
        <v>24</v>
      </c>
      <c r="AC21" s="17">
        <f t="shared" si="13"/>
        <v>483</v>
      </c>
      <c r="AD21" s="17">
        <f t="shared" si="13"/>
        <v>0</v>
      </c>
      <c r="AE21" s="31">
        <f t="shared" si="13"/>
        <v>532</v>
      </c>
      <c r="AF21" s="31">
        <f t="shared" si="13"/>
        <v>1015</v>
      </c>
    </row>
    <row r="22" spans="2:32" ht="23.1" customHeight="1" x14ac:dyDescent="0.25">
      <c r="B22" s="23" t="s">
        <v>49</v>
      </c>
      <c r="C22" s="50">
        <v>19</v>
      </c>
      <c r="D22" s="50">
        <v>12</v>
      </c>
      <c r="E22" s="50">
        <v>2</v>
      </c>
      <c r="F22" s="50">
        <v>32</v>
      </c>
      <c r="G22" s="50">
        <v>2</v>
      </c>
      <c r="H22" s="50">
        <v>0</v>
      </c>
      <c r="I22" s="50">
        <v>2</v>
      </c>
      <c r="J22" s="50">
        <v>6</v>
      </c>
      <c r="K22" s="50">
        <v>1</v>
      </c>
      <c r="L22" s="50">
        <v>11</v>
      </c>
      <c r="M22" s="50">
        <v>76</v>
      </c>
      <c r="N22" s="50">
        <v>0</v>
      </c>
      <c r="O22" s="15">
        <f t="shared" si="0"/>
        <v>87</v>
      </c>
      <c r="P22" s="15">
        <f t="shared" si="1"/>
        <v>163</v>
      </c>
      <c r="R22" s="38" t="s">
        <v>90</v>
      </c>
      <c r="S22" s="39">
        <f>MAX(S10:S12)</f>
        <v>96</v>
      </c>
      <c r="T22" s="39">
        <f t="shared" ref="T22:AF22" si="14">MAX(T10:T12)</f>
        <v>32</v>
      </c>
      <c r="U22" s="39">
        <f t="shared" si="14"/>
        <v>21</v>
      </c>
      <c r="V22" s="39">
        <f t="shared" si="14"/>
        <v>167</v>
      </c>
      <c r="W22" s="39">
        <f t="shared" si="14"/>
        <v>9</v>
      </c>
      <c r="X22" s="39">
        <f t="shared" si="14"/>
        <v>13</v>
      </c>
      <c r="Y22" s="39">
        <f t="shared" si="14"/>
        <v>13</v>
      </c>
      <c r="Z22" s="39">
        <f t="shared" si="14"/>
        <v>14</v>
      </c>
      <c r="AA22" s="39">
        <f t="shared" si="14"/>
        <v>8</v>
      </c>
      <c r="AB22" s="39">
        <f t="shared" si="14"/>
        <v>55</v>
      </c>
      <c r="AC22" s="39">
        <f t="shared" si="14"/>
        <v>425</v>
      </c>
      <c r="AD22" s="39">
        <f t="shared" si="14"/>
        <v>0</v>
      </c>
      <c r="AE22" s="40">
        <f t="shared" si="14"/>
        <v>411</v>
      </c>
      <c r="AF22" s="40">
        <f t="shared" si="14"/>
        <v>778</v>
      </c>
    </row>
    <row r="23" spans="2:32" ht="23.1" customHeight="1" x14ac:dyDescent="0.25">
      <c r="B23" s="23" t="s">
        <v>50</v>
      </c>
      <c r="C23" s="50">
        <v>27</v>
      </c>
      <c r="D23" s="50">
        <v>16</v>
      </c>
      <c r="E23" s="50">
        <v>4</v>
      </c>
      <c r="F23" s="50">
        <v>68</v>
      </c>
      <c r="G23" s="50">
        <v>3</v>
      </c>
      <c r="H23" s="50">
        <v>0</v>
      </c>
      <c r="I23" s="50">
        <v>4</v>
      </c>
      <c r="J23" s="50">
        <v>3</v>
      </c>
      <c r="K23" s="50">
        <v>1</v>
      </c>
      <c r="L23" s="50">
        <v>13</v>
      </c>
      <c r="M23" s="50">
        <v>138</v>
      </c>
      <c r="N23" s="50">
        <v>0</v>
      </c>
      <c r="O23" s="15">
        <f t="shared" si="0"/>
        <v>139</v>
      </c>
      <c r="P23" s="15">
        <f t="shared" si="1"/>
        <v>277</v>
      </c>
      <c r="R23" s="38" t="s">
        <v>91</v>
      </c>
      <c r="S23" s="39">
        <f>MAX(S13:S18)</f>
        <v>136</v>
      </c>
      <c r="T23" s="39">
        <f t="shared" ref="T23:AF23" si="15">MAX(T13:T18)</f>
        <v>70</v>
      </c>
      <c r="U23" s="39">
        <f t="shared" si="15"/>
        <v>34</v>
      </c>
      <c r="V23" s="39">
        <f t="shared" si="15"/>
        <v>218</v>
      </c>
      <c r="W23" s="39">
        <f t="shared" si="15"/>
        <v>12</v>
      </c>
      <c r="X23" s="39">
        <f t="shared" si="15"/>
        <v>8</v>
      </c>
      <c r="Y23" s="39">
        <f t="shared" si="15"/>
        <v>21</v>
      </c>
      <c r="Z23" s="39">
        <f t="shared" si="15"/>
        <v>18</v>
      </c>
      <c r="AA23" s="39">
        <f t="shared" si="15"/>
        <v>16</v>
      </c>
      <c r="AB23" s="39">
        <f t="shared" si="15"/>
        <v>70</v>
      </c>
      <c r="AC23" s="39">
        <f t="shared" si="15"/>
        <v>437</v>
      </c>
      <c r="AD23" s="39">
        <f t="shared" si="15"/>
        <v>0</v>
      </c>
      <c r="AE23" s="40">
        <f t="shared" si="15"/>
        <v>533</v>
      </c>
      <c r="AF23" s="40">
        <f t="shared" si="15"/>
        <v>883</v>
      </c>
    </row>
    <row r="24" spans="2:32" ht="23.1" customHeight="1" x14ac:dyDescent="0.25">
      <c r="B24" s="23" t="s">
        <v>51</v>
      </c>
      <c r="C24" s="50">
        <v>25</v>
      </c>
      <c r="D24" s="50">
        <v>12</v>
      </c>
      <c r="E24" s="50">
        <v>7</v>
      </c>
      <c r="F24" s="50">
        <v>45</v>
      </c>
      <c r="G24" s="50">
        <v>2</v>
      </c>
      <c r="H24" s="50">
        <v>1</v>
      </c>
      <c r="I24" s="50">
        <v>4</v>
      </c>
      <c r="J24" s="50">
        <v>2</v>
      </c>
      <c r="K24" s="50">
        <v>2</v>
      </c>
      <c r="L24" s="50">
        <v>18</v>
      </c>
      <c r="M24" s="50">
        <v>119</v>
      </c>
      <c r="N24" s="50">
        <v>0</v>
      </c>
      <c r="O24" s="15">
        <f t="shared" si="0"/>
        <v>118</v>
      </c>
      <c r="P24" s="15">
        <f t="shared" si="1"/>
        <v>237</v>
      </c>
      <c r="R24" s="38" t="s">
        <v>92</v>
      </c>
      <c r="S24" s="39">
        <f>MAX(S19:S21)</f>
        <v>183</v>
      </c>
      <c r="T24" s="39">
        <f t="shared" ref="T24:AF24" si="16">MAX(T19:T21)</f>
        <v>90</v>
      </c>
      <c r="U24" s="39">
        <f t="shared" si="16"/>
        <v>83</v>
      </c>
      <c r="V24" s="39">
        <f t="shared" si="16"/>
        <v>238</v>
      </c>
      <c r="W24" s="39">
        <f t="shared" si="16"/>
        <v>12</v>
      </c>
      <c r="X24" s="39">
        <f t="shared" si="16"/>
        <v>12</v>
      </c>
      <c r="Y24" s="39">
        <f t="shared" si="16"/>
        <v>29</v>
      </c>
      <c r="Z24" s="39">
        <f t="shared" si="16"/>
        <v>21</v>
      </c>
      <c r="AA24" s="39">
        <f t="shared" si="16"/>
        <v>13</v>
      </c>
      <c r="AB24" s="39">
        <f t="shared" si="16"/>
        <v>48</v>
      </c>
      <c r="AC24" s="39">
        <f t="shared" si="16"/>
        <v>492</v>
      </c>
      <c r="AD24" s="39">
        <f t="shared" si="16"/>
        <v>0</v>
      </c>
      <c r="AE24" s="40">
        <f t="shared" si="16"/>
        <v>646</v>
      </c>
      <c r="AF24" s="40">
        <f t="shared" si="16"/>
        <v>1138</v>
      </c>
    </row>
    <row r="25" spans="2:32" ht="23.1" customHeight="1" x14ac:dyDescent="0.25">
      <c r="B25" s="23" t="s">
        <v>52</v>
      </c>
      <c r="C25" s="50">
        <v>18</v>
      </c>
      <c r="D25" s="50">
        <v>10</v>
      </c>
      <c r="E25" s="50">
        <v>3</v>
      </c>
      <c r="F25" s="50">
        <v>34</v>
      </c>
      <c r="G25" s="50">
        <v>5</v>
      </c>
      <c r="H25" s="50">
        <v>0</v>
      </c>
      <c r="I25" s="50">
        <v>1</v>
      </c>
      <c r="J25" s="50">
        <v>3</v>
      </c>
      <c r="K25" s="50">
        <v>0</v>
      </c>
      <c r="L25" s="50">
        <v>28</v>
      </c>
      <c r="M25" s="50">
        <v>104</v>
      </c>
      <c r="N25" s="50">
        <v>0</v>
      </c>
      <c r="O25" s="15">
        <f t="shared" si="0"/>
        <v>102</v>
      </c>
      <c r="P25" s="15">
        <f t="shared" si="1"/>
        <v>206</v>
      </c>
      <c r="R25" s="37" t="s">
        <v>85</v>
      </c>
      <c r="S25" s="35">
        <f t="shared" ref="S25:AF25" si="17">SUM(S10:S12)</f>
        <v>196</v>
      </c>
      <c r="T25" s="16">
        <f t="shared" si="17"/>
        <v>83</v>
      </c>
      <c r="U25" s="16">
        <f t="shared" si="17"/>
        <v>40</v>
      </c>
      <c r="V25" s="16">
        <f t="shared" si="17"/>
        <v>375</v>
      </c>
      <c r="W25" s="16">
        <f t="shared" si="17"/>
        <v>21</v>
      </c>
      <c r="X25" s="16">
        <f t="shared" si="17"/>
        <v>15</v>
      </c>
      <c r="Y25" s="16">
        <f t="shared" si="17"/>
        <v>25</v>
      </c>
      <c r="Z25" s="16">
        <f t="shared" si="17"/>
        <v>27</v>
      </c>
      <c r="AA25" s="16">
        <f t="shared" si="17"/>
        <v>22</v>
      </c>
      <c r="AB25" s="16">
        <f t="shared" si="17"/>
        <v>119</v>
      </c>
      <c r="AC25" s="16">
        <f t="shared" si="17"/>
        <v>1191</v>
      </c>
      <c r="AD25" s="16">
        <f t="shared" si="17"/>
        <v>0</v>
      </c>
      <c r="AE25" s="32">
        <f t="shared" si="17"/>
        <v>923</v>
      </c>
      <c r="AF25" s="32">
        <f t="shared" si="17"/>
        <v>2114</v>
      </c>
    </row>
    <row r="26" spans="2:32" ht="23.1" customHeight="1" x14ac:dyDescent="0.25">
      <c r="B26" s="23" t="s">
        <v>53</v>
      </c>
      <c r="C26" s="50">
        <v>18</v>
      </c>
      <c r="D26" s="50">
        <v>9</v>
      </c>
      <c r="E26" s="50">
        <v>2</v>
      </c>
      <c r="F26" s="50">
        <v>69</v>
      </c>
      <c r="G26" s="50">
        <v>1</v>
      </c>
      <c r="H26" s="50">
        <v>0</v>
      </c>
      <c r="I26" s="50">
        <v>3</v>
      </c>
      <c r="J26" s="50">
        <v>4</v>
      </c>
      <c r="K26" s="50">
        <v>1</v>
      </c>
      <c r="L26" s="50">
        <v>9</v>
      </c>
      <c r="M26" s="50">
        <v>81</v>
      </c>
      <c r="N26" s="50">
        <v>0</v>
      </c>
      <c r="O26" s="15">
        <f t="shared" si="0"/>
        <v>116</v>
      </c>
      <c r="P26" s="15">
        <f t="shared" si="1"/>
        <v>197</v>
      </c>
      <c r="R26" s="28" t="s">
        <v>86</v>
      </c>
      <c r="S26" s="16">
        <f t="shared" ref="S26:AF26" si="18">SUM(S13:S18)</f>
        <v>555</v>
      </c>
      <c r="T26" s="16">
        <f t="shared" si="18"/>
        <v>276</v>
      </c>
      <c r="U26" s="16">
        <f t="shared" si="18"/>
        <v>147</v>
      </c>
      <c r="V26" s="16">
        <f t="shared" si="18"/>
        <v>960</v>
      </c>
      <c r="W26" s="16">
        <f t="shared" si="18"/>
        <v>36</v>
      </c>
      <c r="X26" s="16">
        <f t="shared" si="18"/>
        <v>13</v>
      </c>
      <c r="Y26" s="16">
        <f t="shared" si="18"/>
        <v>102</v>
      </c>
      <c r="Z26" s="16">
        <f t="shared" si="18"/>
        <v>91</v>
      </c>
      <c r="AA26" s="16">
        <f t="shared" si="18"/>
        <v>55</v>
      </c>
      <c r="AB26" s="16">
        <f t="shared" si="18"/>
        <v>275</v>
      </c>
      <c r="AC26" s="16">
        <f t="shared" si="18"/>
        <v>1866</v>
      </c>
      <c r="AD26" s="16">
        <f t="shared" si="18"/>
        <v>0</v>
      </c>
      <c r="AE26" s="32">
        <f t="shared" si="18"/>
        <v>2510</v>
      </c>
      <c r="AF26" s="32">
        <f t="shared" si="18"/>
        <v>4376</v>
      </c>
    </row>
    <row r="27" spans="2:32" ht="23.1" customHeight="1" x14ac:dyDescent="0.25">
      <c r="B27" s="23" t="s">
        <v>54</v>
      </c>
      <c r="C27" s="50">
        <v>42</v>
      </c>
      <c r="D27" s="50">
        <v>7</v>
      </c>
      <c r="E27" s="50">
        <v>8</v>
      </c>
      <c r="F27" s="50">
        <v>41</v>
      </c>
      <c r="G27" s="50">
        <v>2</v>
      </c>
      <c r="H27" s="50">
        <v>0</v>
      </c>
      <c r="I27" s="50">
        <v>8</v>
      </c>
      <c r="J27" s="50">
        <v>4</v>
      </c>
      <c r="K27" s="50">
        <v>2</v>
      </c>
      <c r="L27" s="50">
        <v>11</v>
      </c>
      <c r="M27" s="50">
        <v>96</v>
      </c>
      <c r="N27" s="50">
        <v>0</v>
      </c>
      <c r="O27" s="15">
        <f t="shared" si="0"/>
        <v>125</v>
      </c>
      <c r="P27" s="15">
        <f t="shared" si="1"/>
        <v>221</v>
      </c>
      <c r="R27" s="29" t="s">
        <v>87</v>
      </c>
      <c r="S27" s="16">
        <f t="shared" ref="S27:AF27" si="19">SUM(S19:S21)</f>
        <v>474</v>
      </c>
      <c r="T27" s="16">
        <f t="shared" si="19"/>
        <v>228</v>
      </c>
      <c r="U27" s="16">
        <f t="shared" si="19"/>
        <v>143</v>
      </c>
      <c r="V27" s="16">
        <f t="shared" si="19"/>
        <v>600</v>
      </c>
      <c r="W27" s="16">
        <f t="shared" si="19"/>
        <v>30</v>
      </c>
      <c r="X27" s="16">
        <f t="shared" si="19"/>
        <v>18</v>
      </c>
      <c r="Y27" s="16">
        <f t="shared" si="19"/>
        <v>70</v>
      </c>
      <c r="Z27" s="16">
        <f t="shared" si="19"/>
        <v>52</v>
      </c>
      <c r="AA27" s="16">
        <f t="shared" si="19"/>
        <v>25</v>
      </c>
      <c r="AB27" s="16">
        <f t="shared" si="19"/>
        <v>112</v>
      </c>
      <c r="AC27" s="16">
        <f t="shared" si="19"/>
        <v>1384</v>
      </c>
      <c r="AD27" s="16">
        <f t="shared" si="19"/>
        <v>0</v>
      </c>
      <c r="AE27" s="32">
        <f t="shared" si="19"/>
        <v>1752</v>
      </c>
      <c r="AF27" s="32">
        <f t="shared" si="19"/>
        <v>3136</v>
      </c>
    </row>
    <row r="28" spans="2:32" ht="23.1" customHeight="1" x14ac:dyDescent="0.25">
      <c r="B28" s="23" t="s">
        <v>55</v>
      </c>
      <c r="C28" s="50">
        <v>17</v>
      </c>
      <c r="D28" s="50">
        <v>15</v>
      </c>
      <c r="E28" s="50">
        <v>6</v>
      </c>
      <c r="F28" s="50">
        <v>62</v>
      </c>
      <c r="G28" s="50">
        <v>0</v>
      </c>
      <c r="H28" s="50">
        <v>0</v>
      </c>
      <c r="I28" s="50">
        <v>2</v>
      </c>
      <c r="J28" s="50">
        <v>3</v>
      </c>
      <c r="K28" s="50">
        <v>1</v>
      </c>
      <c r="L28" s="50">
        <v>8</v>
      </c>
      <c r="M28" s="50">
        <v>66</v>
      </c>
      <c r="N28" s="50">
        <v>0</v>
      </c>
      <c r="O28" s="15">
        <f t="shared" si="0"/>
        <v>114</v>
      </c>
      <c r="P28" s="15">
        <f t="shared" si="1"/>
        <v>180</v>
      </c>
      <c r="R28" s="5" t="s">
        <v>17</v>
      </c>
      <c r="S28" s="16">
        <f t="shared" ref="S28:AF28" si="20">SUM(S10:S21)</f>
        <v>1225</v>
      </c>
      <c r="T28" s="16">
        <f t="shared" si="20"/>
        <v>587</v>
      </c>
      <c r="U28" s="16">
        <f t="shared" si="20"/>
        <v>330</v>
      </c>
      <c r="V28" s="16">
        <f t="shared" si="20"/>
        <v>1935</v>
      </c>
      <c r="W28" s="16">
        <f t="shared" si="20"/>
        <v>87</v>
      </c>
      <c r="X28" s="16">
        <f t="shared" si="20"/>
        <v>46</v>
      </c>
      <c r="Y28" s="16">
        <f t="shared" si="20"/>
        <v>197</v>
      </c>
      <c r="Z28" s="16">
        <f t="shared" si="20"/>
        <v>170</v>
      </c>
      <c r="AA28" s="16">
        <f t="shared" si="20"/>
        <v>102</v>
      </c>
      <c r="AB28" s="16">
        <f t="shared" si="20"/>
        <v>506</v>
      </c>
      <c r="AC28" s="16">
        <f t="shared" si="20"/>
        <v>4441</v>
      </c>
      <c r="AD28" s="16">
        <f t="shared" si="20"/>
        <v>0</v>
      </c>
      <c r="AE28" s="32">
        <f t="shared" si="20"/>
        <v>5185</v>
      </c>
      <c r="AF28" s="32">
        <f t="shared" si="20"/>
        <v>9626</v>
      </c>
    </row>
    <row r="29" spans="2:32" ht="23.1" customHeight="1" x14ac:dyDescent="0.25">
      <c r="B29" s="23" t="s">
        <v>56</v>
      </c>
      <c r="C29" s="50">
        <v>10</v>
      </c>
      <c r="D29" s="50">
        <v>8</v>
      </c>
      <c r="E29" s="50">
        <v>7</v>
      </c>
      <c r="F29" s="50">
        <v>46</v>
      </c>
      <c r="G29" s="50">
        <v>2</v>
      </c>
      <c r="H29" s="50">
        <v>0</v>
      </c>
      <c r="I29" s="50">
        <v>6</v>
      </c>
      <c r="J29" s="50">
        <v>5</v>
      </c>
      <c r="K29" s="50">
        <v>1</v>
      </c>
      <c r="L29" s="50">
        <v>8</v>
      </c>
      <c r="M29" s="50">
        <v>1</v>
      </c>
      <c r="N29" s="50">
        <v>0</v>
      </c>
      <c r="O29" s="15">
        <f t="shared" si="0"/>
        <v>93</v>
      </c>
      <c r="P29" s="15">
        <f t="shared" si="1"/>
        <v>94</v>
      </c>
      <c r="R29"/>
      <c r="S29" s="20"/>
      <c r="T29" s="19"/>
    </row>
    <row r="30" spans="2:32" ht="23.1" customHeight="1" x14ac:dyDescent="0.25">
      <c r="B30" s="23" t="s">
        <v>57</v>
      </c>
      <c r="C30" s="50">
        <v>13</v>
      </c>
      <c r="D30" s="50">
        <v>5</v>
      </c>
      <c r="E30" s="50">
        <v>13</v>
      </c>
      <c r="F30" s="50">
        <v>1</v>
      </c>
      <c r="G30" s="50">
        <v>1</v>
      </c>
      <c r="H30" s="50">
        <v>2</v>
      </c>
      <c r="I30" s="50">
        <v>3</v>
      </c>
      <c r="J30" s="50">
        <v>2</v>
      </c>
      <c r="K30" s="50">
        <v>10</v>
      </c>
      <c r="L30" s="50">
        <v>10</v>
      </c>
      <c r="M30" s="50">
        <v>81</v>
      </c>
      <c r="N30" s="50">
        <v>0</v>
      </c>
      <c r="O30" s="15">
        <f t="shared" si="0"/>
        <v>60</v>
      </c>
      <c r="P30" s="15">
        <f t="shared" si="1"/>
        <v>141</v>
      </c>
    </row>
    <row r="31" spans="2:32" ht="23.1" customHeight="1" x14ac:dyDescent="0.25">
      <c r="B31" s="24" t="s">
        <v>58</v>
      </c>
      <c r="C31" s="50">
        <v>13</v>
      </c>
      <c r="D31" s="50">
        <v>6</v>
      </c>
      <c r="E31" s="50">
        <v>6</v>
      </c>
      <c r="F31" s="50">
        <v>37</v>
      </c>
      <c r="G31" s="50">
        <v>3</v>
      </c>
      <c r="H31" s="50">
        <v>5</v>
      </c>
      <c r="I31" s="50">
        <v>11</v>
      </c>
      <c r="J31" s="50">
        <v>6</v>
      </c>
      <c r="K31" s="50">
        <v>1</v>
      </c>
      <c r="L31" s="50">
        <v>12</v>
      </c>
      <c r="M31" s="50">
        <v>0</v>
      </c>
      <c r="N31" s="50">
        <v>0</v>
      </c>
      <c r="O31" s="15">
        <f t="shared" si="0"/>
        <v>100</v>
      </c>
      <c r="P31" s="15">
        <f t="shared" si="1"/>
        <v>100</v>
      </c>
    </row>
    <row r="32" spans="2:32" ht="23.1" customHeight="1" x14ac:dyDescent="0.25">
      <c r="B32" s="24" t="s">
        <v>59</v>
      </c>
      <c r="C32" s="50">
        <v>17</v>
      </c>
      <c r="D32" s="50">
        <v>11</v>
      </c>
      <c r="E32" s="50">
        <v>8</v>
      </c>
      <c r="F32" s="50">
        <v>31</v>
      </c>
      <c r="G32" s="50">
        <v>1</v>
      </c>
      <c r="H32" s="50">
        <v>1</v>
      </c>
      <c r="I32" s="50">
        <v>3</v>
      </c>
      <c r="J32" s="50">
        <v>5</v>
      </c>
      <c r="K32" s="50">
        <v>4</v>
      </c>
      <c r="L32" s="50">
        <v>32</v>
      </c>
      <c r="M32" s="50">
        <v>0</v>
      </c>
      <c r="N32" s="50">
        <v>0</v>
      </c>
      <c r="O32" s="15">
        <f t="shared" si="0"/>
        <v>113</v>
      </c>
      <c r="P32" s="15">
        <f t="shared" si="1"/>
        <v>113</v>
      </c>
    </row>
    <row r="33" spans="2:20" ht="23.1" customHeight="1" x14ac:dyDescent="0.25">
      <c r="B33" s="23" t="s">
        <v>60</v>
      </c>
      <c r="C33" s="50">
        <v>8</v>
      </c>
      <c r="D33" s="50">
        <v>6</v>
      </c>
      <c r="E33" s="50">
        <v>0</v>
      </c>
      <c r="F33" s="50">
        <v>7</v>
      </c>
      <c r="G33" s="50">
        <v>0</v>
      </c>
      <c r="H33" s="50">
        <v>0</v>
      </c>
      <c r="I33" s="50">
        <v>3</v>
      </c>
      <c r="J33" s="50">
        <v>1</v>
      </c>
      <c r="K33" s="50">
        <v>1</v>
      </c>
      <c r="L33" s="50">
        <v>3</v>
      </c>
      <c r="M33" s="50">
        <v>81</v>
      </c>
      <c r="N33" s="50">
        <v>0</v>
      </c>
      <c r="O33" s="15">
        <f t="shared" si="0"/>
        <v>29</v>
      </c>
      <c r="P33" s="15">
        <f t="shared" si="1"/>
        <v>110</v>
      </c>
    </row>
    <row r="34" spans="2:20" ht="23.1" customHeight="1" x14ac:dyDescent="0.25">
      <c r="B34" s="24" t="s">
        <v>61</v>
      </c>
      <c r="C34" s="50">
        <v>13</v>
      </c>
      <c r="D34" s="50">
        <v>10</v>
      </c>
      <c r="E34" s="50">
        <v>4</v>
      </c>
      <c r="F34" s="50">
        <v>11</v>
      </c>
      <c r="G34" s="50">
        <v>2</v>
      </c>
      <c r="H34" s="50">
        <v>0</v>
      </c>
      <c r="I34" s="50">
        <v>2</v>
      </c>
      <c r="J34" s="50">
        <v>4</v>
      </c>
      <c r="K34" s="50">
        <v>1</v>
      </c>
      <c r="L34" s="50">
        <v>3</v>
      </c>
      <c r="M34" s="50">
        <v>91</v>
      </c>
      <c r="N34" s="50">
        <v>0</v>
      </c>
      <c r="O34" s="15">
        <f t="shared" si="0"/>
        <v>50</v>
      </c>
      <c r="P34" s="15">
        <f t="shared" si="1"/>
        <v>141</v>
      </c>
    </row>
    <row r="35" spans="2:20" ht="23.1" customHeight="1" x14ac:dyDescent="0.25">
      <c r="B35" s="24" t="s">
        <v>62</v>
      </c>
      <c r="C35" s="50">
        <v>9</v>
      </c>
      <c r="D35" s="50">
        <v>7</v>
      </c>
      <c r="E35" s="50">
        <v>2</v>
      </c>
      <c r="F35" s="50">
        <v>22</v>
      </c>
      <c r="G35" s="50">
        <v>0</v>
      </c>
      <c r="H35" s="50">
        <v>2</v>
      </c>
      <c r="I35" s="50">
        <v>1</v>
      </c>
      <c r="J35" s="50">
        <v>6</v>
      </c>
      <c r="K35" s="50">
        <v>2</v>
      </c>
      <c r="L35" s="50">
        <v>8</v>
      </c>
      <c r="M35" s="50">
        <v>77</v>
      </c>
      <c r="N35" s="50">
        <v>0</v>
      </c>
      <c r="O35" s="15">
        <f t="shared" si="0"/>
        <v>59</v>
      </c>
      <c r="P35" s="15">
        <f t="shared" si="1"/>
        <v>136</v>
      </c>
    </row>
    <row r="36" spans="2:20" ht="23.1" customHeight="1" x14ac:dyDescent="0.25">
      <c r="B36" s="24" t="s">
        <v>63</v>
      </c>
      <c r="C36" s="50">
        <v>16</v>
      </c>
      <c r="D36" s="50">
        <v>18</v>
      </c>
      <c r="E36" s="50">
        <v>6</v>
      </c>
      <c r="F36" s="50">
        <v>34</v>
      </c>
      <c r="G36" s="50">
        <v>0</v>
      </c>
      <c r="H36" s="50">
        <v>0</v>
      </c>
      <c r="I36" s="50">
        <v>5</v>
      </c>
      <c r="J36" s="50">
        <v>6</v>
      </c>
      <c r="K36" s="50">
        <v>2</v>
      </c>
      <c r="L36" s="50">
        <v>10</v>
      </c>
      <c r="M36" s="50">
        <v>93</v>
      </c>
      <c r="N36" s="50">
        <v>0</v>
      </c>
      <c r="O36" s="15">
        <f t="shared" si="0"/>
        <v>97</v>
      </c>
      <c r="P36" s="15">
        <f t="shared" si="1"/>
        <v>190</v>
      </c>
    </row>
    <row r="37" spans="2:20" ht="23.1" customHeight="1" x14ac:dyDescent="0.25">
      <c r="B37" s="23" t="s">
        <v>64</v>
      </c>
      <c r="C37" s="50">
        <v>31</v>
      </c>
      <c r="D37" s="50">
        <v>8</v>
      </c>
      <c r="E37" s="50">
        <v>6</v>
      </c>
      <c r="F37" s="50">
        <v>29</v>
      </c>
      <c r="G37" s="50">
        <v>0</v>
      </c>
      <c r="H37" s="50">
        <v>0</v>
      </c>
      <c r="I37" s="50">
        <v>5</v>
      </c>
      <c r="J37" s="50">
        <v>2</v>
      </c>
      <c r="K37" s="50">
        <v>4</v>
      </c>
      <c r="L37" s="50">
        <v>10</v>
      </c>
      <c r="M37" s="50">
        <v>76</v>
      </c>
      <c r="N37" s="50">
        <v>0</v>
      </c>
      <c r="O37" s="15">
        <f t="shared" si="0"/>
        <v>95</v>
      </c>
      <c r="P37" s="15">
        <f t="shared" si="1"/>
        <v>171</v>
      </c>
    </row>
    <row r="38" spans="2:20" ht="23.1" customHeight="1" x14ac:dyDescent="0.25">
      <c r="B38" s="24" t="s">
        <v>65</v>
      </c>
      <c r="C38" s="50">
        <v>34</v>
      </c>
      <c r="D38" s="50">
        <v>11</v>
      </c>
      <c r="E38" s="50">
        <v>4</v>
      </c>
      <c r="F38" s="50">
        <v>33</v>
      </c>
      <c r="G38" s="50">
        <v>1</v>
      </c>
      <c r="H38" s="50">
        <v>0</v>
      </c>
      <c r="I38" s="50">
        <v>7</v>
      </c>
      <c r="J38" s="50">
        <v>4</v>
      </c>
      <c r="K38" s="50">
        <v>3</v>
      </c>
      <c r="L38" s="50">
        <v>13</v>
      </c>
      <c r="M38" s="50">
        <v>63</v>
      </c>
      <c r="N38" s="50">
        <v>0</v>
      </c>
      <c r="O38" s="15">
        <f t="shared" si="0"/>
        <v>110</v>
      </c>
      <c r="P38" s="15">
        <f t="shared" si="1"/>
        <v>173</v>
      </c>
    </row>
    <row r="39" spans="2:20" ht="23.1" customHeight="1" x14ac:dyDescent="0.25">
      <c r="B39" s="24" t="s">
        <v>66</v>
      </c>
      <c r="C39" s="50">
        <v>21</v>
      </c>
      <c r="D39" s="50">
        <v>14</v>
      </c>
      <c r="E39" s="50">
        <v>9</v>
      </c>
      <c r="F39" s="50">
        <v>40</v>
      </c>
      <c r="G39" s="50">
        <v>1</v>
      </c>
      <c r="H39" s="50">
        <v>0</v>
      </c>
      <c r="I39" s="50">
        <v>4</v>
      </c>
      <c r="J39" s="50">
        <v>1</v>
      </c>
      <c r="K39" s="50">
        <v>0</v>
      </c>
      <c r="L39" s="50">
        <v>8</v>
      </c>
      <c r="M39" s="50">
        <v>84</v>
      </c>
      <c r="N39" s="50">
        <v>0</v>
      </c>
      <c r="O39" s="15">
        <f t="shared" si="0"/>
        <v>98</v>
      </c>
      <c r="P39" s="15">
        <f t="shared" si="1"/>
        <v>182</v>
      </c>
    </row>
    <row r="40" spans="2:20" ht="23.1" customHeight="1" x14ac:dyDescent="0.25">
      <c r="B40" s="24" t="s">
        <v>67</v>
      </c>
      <c r="C40" s="50">
        <v>26</v>
      </c>
      <c r="D40" s="50">
        <v>5</v>
      </c>
      <c r="E40" s="50">
        <v>8</v>
      </c>
      <c r="F40" s="50">
        <v>35</v>
      </c>
      <c r="G40" s="50">
        <v>1</v>
      </c>
      <c r="H40" s="50">
        <v>0</v>
      </c>
      <c r="I40" s="50">
        <v>8</v>
      </c>
      <c r="J40" s="50">
        <v>3</v>
      </c>
      <c r="K40" s="50">
        <v>4</v>
      </c>
      <c r="L40" s="50">
        <v>2</v>
      </c>
      <c r="M40" s="50">
        <v>41</v>
      </c>
      <c r="N40" s="50">
        <v>0</v>
      </c>
      <c r="O40" s="15">
        <f t="shared" si="0"/>
        <v>92</v>
      </c>
      <c r="P40" s="15">
        <f t="shared" si="1"/>
        <v>133</v>
      </c>
    </row>
    <row r="41" spans="2:20" ht="23.1" customHeight="1" x14ac:dyDescent="0.25">
      <c r="B41" s="23" t="s">
        <v>68</v>
      </c>
      <c r="C41" s="50">
        <v>42</v>
      </c>
      <c r="D41" s="50">
        <v>16</v>
      </c>
      <c r="E41" s="50">
        <v>8</v>
      </c>
      <c r="F41" s="50">
        <v>92</v>
      </c>
      <c r="G41" s="50">
        <v>2</v>
      </c>
      <c r="H41" s="50">
        <v>1</v>
      </c>
      <c r="I41" s="50">
        <v>2</v>
      </c>
      <c r="J41" s="50">
        <v>3</v>
      </c>
      <c r="K41" s="50">
        <v>4</v>
      </c>
      <c r="L41" s="50">
        <v>10</v>
      </c>
      <c r="M41" s="50">
        <v>156</v>
      </c>
      <c r="N41" s="50">
        <v>0</v>
      </c>
      <c r="O41" s="15">
        <f t="shared" si="0"/>
        <v>180</v>
      </c>
      <c r="P41" s="15">
        <f t="shared" si="1"/>
        <v>336</v>
      </c>
    </row>
    <row r="42" spans="2:20" ht="23.1" customHeight="1" x14ac:dyDescent="0.25">
      <c r="B42" s="24" t="s">
        <v>69</v>
      </c>
      <c r="C42" s="50">
        <v>32</v>
      </c>
      <c r="D42" s="50">
        <v>13</v>
      </c>
      <c r="E42" s="50">
        <v>8</v>
      </c>
      <c r="F42" s="50">
        <v>53</v>
      </c>
      <c r="G42" s="50">
        <v>4</v>
      </c>
      <c r="H42" s="50">
        <v>0</v>
      </c>
      <c r="I42" s="50">
        <v>7</v>
      </c>
      <c r="J42" s="50">
        <v>4</v>
      </c>
      <c r="K42" s="50">
        <v>3</v>
      </c>
      <c r="L42" s="50">
        <v>17</v>
      </c>
      <c r="M42" s="50">
        <v>83</v>
      </c>
      <c r="N42" s="50">
        <v>0</v>
      </c>
      <c r="O42" s="15">
        <f t="shared" si="0"/>
        <v>141</v>
      </c>
      <c r="P42" s="15">
        <f t="shared" si="1"/>
        <v>224</v>
      </c>
    </row>
    <row r="43" spans="2:20" ht="23.1" customHeight="1" x14ac:dyDescent="0.25">
      <c r="B43" s="23" t="s">
        <v>70</v>
      </c>
      <c r="C43" s="50">
        <v>40</v>
      </c>
      <c r="D43" s="50">
        <v>26</v>
      </c>
      <c r="E43" s="50">
        <v>15</v>
      </c>
      <c r="F43" s="50">
        <v>57</v>
      </c>
      <c r="G43" s="50">
        <v>2</v>
      </c>
      <c r="H43" s="50">
        <v>1</v>
      </c>
      <c r="I43" s="50">
        <v>6</v>
      </c>
      <c r="J43" s="50">
        <v>9</v>
      </c>
      <c r="K43" s="50">
        <v>4</v>
      </c>
      <c r="L43" s="50">
        <v>16</v>
      </c>
      <c r="M43" s="50">
        <v>90</v>
      </c>
      <c r="N43" s="50">
        <v>0</v>
      </c>
      <c r="O43" s="15">
        <f t="shared" si="0"/>
        <v>176</v>
      </c>
      <c r="P43" s="15">
        <f t="shared" si="1"/>
        <v>266</v>
      </c>
    </row>
    <row r="44" spans="2:20" ht="23.1" customHeight="1" x14ac:dyDescent="0.25">
      <c r="B44" s="25" t="s">
        <v>71</v>
      </c>
      <c r="C44" s="50">
        <v>28</v>
      </c>
      <c r="D44" s="50">
        <v>19</v>
      </c>
      <c r="E44" s="50">
        <v>6</v>
      </c>
      <c r="F44" s="50">
        <v>64</v>
      </c>
      <c r="G44" s="50">
        <v>0</v>
      </c>
      <c r="H44" s="50">
        <v>0</v>
      </c>
      <c r="I44" s="50">
        <v>3</v>
      </c>
      <c r="J44" s="50">
        <v>2</v>
      </c>
      <c r="K44" s="50">
        <v>1</v>
      </c>
      <c r="L44" s="50">
        <v>9</v>
      </c>
      <c r="M44" s="50">
        <v>85</v>
      </c>
      <c r="N44" s="50">
        <v>0</v>
      </c>
      <c r="O44" s="15">
        <f t="shared" si="0"/>
        <v>132</v>
      </c>
      <c r="P44" s="15">
        <f t="shared" si="1"/>
        <v>217</v>
      </c>
    </row>
    <row r="45" spans="2:20" ht="23.1" customHeight="1" x14ac:dyDescent="0.25">
      <c r="B45" s="23" t="s">
        <v>72</v>
      </c>
      <c r="C45" s="50">
        <v>36</v>
      </c>
      <c r="D45" s="50">
        <v>12</v>
      </c>
      <c r="E45" s="50">
        <v>5</v>
      </c>
      <c r="F45" s="50">
        <v>17</v>
      </c>
      <c r="G45" s="50">
        <v>1</v>
      </c>
      <c r="H45" s="50">
        <v>0</v>
      </c>
      <c r="I45" s="50">
        <v>2</v>
      </c>
      <c r="J45" s="50">
        <v>3</v>
      </c>
      <c r="K45" s="50">
        <v>2</v>
      </c>
      <c r="L45" s="50">
        <v>6</v>
      </c>
      <c r="M45" s="50">
        <v>84</v>
      </c>
      <c r="N45" s="50">
        <v>0</v>
      </c>
      <c r="O45" s="15">
        <f t="shared" si="0"/>
        <v>84</v>
      </c>
      <c r="P45" s="15">
        <f t="shared" si="1"/>
        <v>168</v>
      </c>
    </row>
    <row r="46" spans="2:20" ht="23.1" customHeight="1" x14ac:dyDescent="0.25">
      <c r="B46" s="24" t="s">
        <v>73</v>
      </c>
      <c r="C46" s="50">
        <v>32</v>
      </c>
      <c r="D46" s="50">
        <v>22</v>
      </c>
      <c r="E46" s="50">
        <v>7</v>
      </c>
      <c r="F46" s="50">
        <v>61</v>
      </c>
      <c r="G46" s="50">
        <v>1</v>
      </c>
      <c r="H46" s="50">
        <v>0</v>
      </c>
      <c r="I46" s="50">
        <v>1</v>
      </c>
      <c r="J46" s="50">
        <v>7</v>
      </c>
      <c r="K46" s="50">
        <v>4</v>
      </c>
      <c r="L46" s="50">
        <v>9</v>
      </c>
      <c r="M46" s="50">
        <v>107</v>
      </c>
      <c r="N46" s="50">
        <v>0</v>
      </c>
      <c r="O46" s="15">
        <f t="shared" si="0"/>
        <v>144</v>
      </c>
      <c r="P46" s="15">
        <f t="shared" si="1"/>
        <v>251</v>
      </c>
      <c r="R46" s="8"/>
      <c r="T46"/>
    </row>
    <row r="47" spans="2:20" ht="23.1" customHeight="1" x14ac:dyDescent="0.25">
      <c r="B47" s="24" t="s">
        <v>74</v>
      </c>
      <c r="C47" s="50">
        <v>50</v>
      </c>
      <c r="D47" s="50">
        <v>28</v>
      </c>
      <c r="E47" s="50">
        <v>11</v>
      </c>
      <c r="F47" s="50">
        <v>48</v>
      </c>
      <c r="G47" s="50">
        <v>1</v>
      </c>
      <c r="H47" s="50">
        <v>2</v>
      </c>
      <c r="I47" s="50">
        <v>10</v>
      </c>
      <c r="J47" s="50">
        <v>3</v>
      </c>
      <c r="K47" s="50">
        <v>1</v>
      </c>
      <c r="L47" s="50">
        <v>13</v>
      </c>
      <c r="M47" s="50">
        <v>131</v>
      </c>
      <c r="N47" s="50">
        <v>0</v>
      </c>
      <c r="O47" s="15">
        <f t="shared" si="0"/>
        <v>167</v>
      </c>
      <c r="P47" s="15">
        <f t="shared" si="1"/>
        <v>298</v>
      </c>
      <c r="R47" s="8"/>
      <c r="T47"/>
    </row>
    <row r="48" spans="2:20" ht="23.1" customHeight="1" x14ac:dyDescent="0.25">
      <c r="B48" s="24" t="s">
        <v>75</v>
      </c>
      <c r="C48" s="50">
        <v>43</v>
      </c>
      <c r="D48" s="50">
        <v>19</v>
      </c>
      <c r="E48" s="50">
        <v>4</v>
      </c>
      <c r="F48" s="50">
        <v>49</v>
      </c>
      <c r="G48" s="50">
        <v>1</v>
      </c>
      <c r="H48" s="50">
        <v>0</v>
      </c>
      <c r="I48" s="50">
        <v>4</v>
      </c>
      <c r="J48" s="50">
        <v>7</v>
      </c>
      <c r="K48" s="50">
        <v>1</v>
      </c>
      <c r="L48" s="50">
        <v>11</v>
      </c>
      <c r="M48" s="50">
        <v>101</v>
      </c>
      <c r="N48" s="50">
        <v>0</v>
      </c>
      <c r="O48" s="15">
        <f t="shared" si="0"/>
        <v>139</v>
      </c>
      <c r="P48" s="15">
        <f t="shared" si="1"/>
        <v>240</v>
      </c>
      <c r="R48" s="8"/>
      <c r="T48"/>
    </row>
    <row r="49" spans="2:20" ht="23.1" customHeight="1" x14ac:dyDescent="0.25">
      <c r="B49" s="23" t="s">
        <v>76</v>
      </c>
      <c r="C49" s="50">
        <v>37</v>
      </c>
      <c r="D49" s="50">
        <v>20</v>
      </c>
      <c r="E49" s="50">
        <v>8</v>
      </c>
      <c r="F49" s="50">
        <v>39</v>
      </c>
      <c r="G49" s="50">
        <v>4</v>
      </c>
      <c r="H49" s="50">
        <v>0</v>
      </c>
      <c r="I49" s="50">
        <v>4</v>
      </c>
      <c r="J49" s="50">
        <v>4</v>
      </c>
      <c r="K49" s="50">
        <v>1</v>
      </c>
      <c r="L49" s="50">
        <v>7</v>
      </c>
      <c r="M49" s="50">
        <v>70</v>
      </c>
      <c r="N49" s="50">
        <v>0</v>
      </c>
      <c r="O49" s="15">
        <f t="shared" si="0"/>
        <v>124</v>
      </c>
      <c r="P49" s="15">
        <f t="shared" si="1"/>
        <v>194</v>
      </c>
      <c r="R49" s="8"/>
      <c r="T49"/>
    </row>
    <row r="50" spans="2:20" ht="23.1" customHeight="1" x14ac:dyDescent="0.25">
      <c r="B50" s="24" t="s">
        <v>77</v>
      </c>
      <c r="C50" s="50">
        <v>33</v>
      </c>
      <c r="D50" s="50">
        <v>21</v>
      </c>
      <c r="E50" s="50">
        <v>6</v>
      </c>
      <c r="F50" s="50">
        <v>51</v>
      </c>
      <c r="G50" s="50">
        <v>3</v>
      </c>
      <c r="H50" s="50">
        <v>2</v>
      </c>
      <c r="I50" s="50">
        <v>4</v>
      </c>
      <c r="J50" s="50">
        <v>3</v>
      </c>
      <c r="K50" s="50">
        <v>1</v>
      </c>
      <c r="L50" s="50">
        <v>7</v>
      </c>
      <c r="M50" s="50">
        <v>169</v>
      </c>
      <c r="N50" s="50">
        <v>0</v>
      </c>
      <c r="O50" s="15">
        <f t="shared" si="0"/>
        <v>131</v>
      </c>
      <c r="P50" s="15">
        <f t="shared" si="1"/>
        <v>300</v>
      </c>
      <c r="R50" s="8"/>
      <c r="T50"/>
    </row>
    <row r="51" spans="2:20" ht="23.1" customHeight="1" x14ac:dyDescent="0.25">
      <c r="B51" s="24" t="s">
        <v>78</v>
      </c>
      <c r="C51" s="50">
        <v>46</v>
      </c>
      <c r="D51" s="50">
        <v>28</v>
      </c>
      <c r="E51" s="50">
        <v>8</v>
      </c>
      <c r="F51" s="50">
        <v>73</v>
      </c>
      <c r="G51" s="50">
        <v>2</v>
      </c>
      <c r="H51" s="50">
        <v>0</v>
      </c>
      <c r="I51" s="50">
        <v>8</v>
      </c>
      <c r="J51" s="50">
        <v>2</v>
      </c>
      <c r="K51" s="50">
        <v>3</v>
      </c>
      <c r="L51" s="50">
        <v>17</v>
      </c>
      <c r="M51" s="50">
        <v>138</v>
      </c>
      <c r="N51" s="50">
        <v>0</v>
      </c>
      <c r="O51" s="15">
        <f t="shared" si="0"/>
        <v>187</v>
      </c>
      <c r="P51" s="15">
        <f t="shared" si="1"/>
        <v>325</v>
      </c>
      <c r="R51" s="8"/>
      <c r="T51"/>
    </row>
    <row r="52" spans="2:20" ht="23.1" customHeight="1" x14ac:dyDescent="0.25">
      <c r="B52" s="24" t="s">
        <v>79</v>
      </c>
      <c r="C52" s="50">
        <v>55</v>
      </c>
      <c r="D52" s="50">
        <v>26</v>
      </c>
      <c r="E52" s="50">
        <v>6</v>
      </c>
      <c r="F52" s="50">
        <v>54</v>
      </c>
      <c r="G52" s="50">
        <v>2</v>
      </c>
      <c r="H52" s="50">
        <v>1</v>
      </c>
      <c r="I52" s="50">
        <v>5</v>
      </c>
      <c r="J52" s="50">
        <v>4</v>
      </c>
      <c r="K52" s="50">
        <v>1</v>
      </c>
      <c r="L52" s="50">
        <v>16</v>
      </c>
      <c r="M52" s="50">
        <v>91</v>
      </c>
      <c r="N52" s="50">
        <v>0</v>
      </c>
      <c r="O52" s="15">
        <f t="shared" si="0"/>
        <v>170</v>
      </c>
      <c r="P52" s="15">
        <f t="shared" si="1"/>
        <v>261</v>
      </c>
      <c r="R52" s="8"/>
      <c r="T52"/>
    </row>
    <row r="53" spans="2:20" ht="23.1" customHeight="1" x14ac:dyDescent="0.25">
      <c r="B53" s="23" t="s">
        <v>80</v>
      </c>
      <c r="C53" s="50">
        <v>49</v>
      </c>
      <c r="D53" s="50">
        <v>15</v>
      </c>
      <c r="E53" s="50">
        <v>10</v>
      </c>
      <c r="F53" s="50">
        <v>60</v>
      </c>
      <c r="G53" s="50">
        <v>4</v>
      </c>
      <c r="H53" s="50">
        <v>1</v>
      </c>
      <c r="I53" s="50">
        <v>5</v>
      </c>
      <c r="J53" s="50">
        <v>6</v>
      </c>
      <c r="K53" s="50">
        <v>0</v>
      </c>
      <c r="L53" s="50">
        <v>8</v>
      </c>
      <c r="M53" s="50">
        <v>94</v>
      </c>
      <c r="N53" s="50">
        <v>0</v>
      </c>
      <c r="O53" s="15">
        <f t="shared" si="0"/>
        <v>158</v>
      </c>
      <c r="P53" s="15">
        <f t="shared" si="1"/>
        <v>252</v>
      </c>
      <c r="R53" s="8"/>
      <c r="T53"/>
    </row>
    <row r="54" spans="2:20" ht="23.1" customHeight="1" x14ac:dyDescent="0.25">
      <c r="B54" s="23" t="s">
        <v>81</v>
      </c>
      <c r="C54" s="50">
        <v>20</v>
      </c>
      <c r="D54" s="50">
        <v>5</v>
      </c>
      <c r="E54" s="50">
        <v>66</v>
      </c>
      <c r="F54" s="50">
        <v>5</v>
      </c>
      <c r="G54" s="50">
        <v>2</v>
      </c>
      <c r="H54" s="50">
        <v>4</v>
      </c>
      <c r="I54" s="50">
        <v>8</v>
      </c>
      <c r="J54" s="50">
        <v>1</v>
      </c>
      <c r="K54" s="50">
        <v>7</v>
      </c>
      <c r="L54" s="50">
        <v>7</v>
      </c>
      <c r="M54" s="50">
        <v>80</v>
      </c>
      <c r="N54" s="50">
        <v>0</v>
      </c>
      <c r="O54" s="15">
        <f t="shared" si="0"/>
        <v>125</v>
      </c>
      <c r="P54" s="15">
        <f t="shared" si="1"/>
        <v>205</v>
      </c>
      <c r="R54" s="8"/>
      <c r="T54"/>
    </row>
    <row r="55" spans="2:20" ht="23.1" customHeight="1" x14ac:dyDescent="0.25">
      <c r="B55" s="23" t="s">
        <v>82</v>
      </c>
      <c r="C55" s="50">
        <v>49</v>
      </c>
      <c r="D55" s="50">
        <v>20</v>
      </c>
      <c r="E55" s="50">
        <v>7</v>
      </c>
      <c r="F55" s="50">
        <v>58</v>
      </c>
      <c r="G55" s="50">
        <v>3</v>
      </c>
      <c r="H55" s="50">
        <v>1</v>
      </c>
      <c r="I55" s="50">
        <v>6</v>
      </c>
      <c r="J55" s="50">
        <v>7</v>
      </c>
      <c r="K55" s="50">
        <v>1</v>
      </c>
      <c r="L55" s="50">
        <v>7</v>
      </c>
      <c r="M55" s="50">
        <v>99</v>
      </c>
      <c r="N55" s="50">
        <v>0</v>
      </c>
      <c r="O55" s="15">
        <f t="shared" si="0"/>
        <v>159</v>
      </c>
      <c r="P55" s="15">
        <f t="shared" si="1"/>
        <v>258</v>
      </c>
      <c r="R55" s="8"/>
      <c r="T55"/>
    </row>
    <row r="56" spans="2:20" ht="23.1" customHeight="1" x14ac:dyDescent="0.25">
      <c r="B56" s="23" t="s">
        <v>83</v>
      </c>
      <c r="C56" s="50">
        <v>33</v>
      </c>
      <c r="D56" s="50">
        <v>16</v>
      </c>
      <c r="E56" s="50">
        <v>6</v>
      </c>
      <c r="F56" s="50">
        <v>54</v>
      </c>
      <c r="G56" s="50">
        <v>1</v>
      </c>
      <c r="H56" s="50">
        <v>4</v>
      </c>
      <c r="I56" s="50">
        <v>5</v>
      </c>
      <c r="J56" s="50">
        <v>2</v>
      </c>
      <c r="K56" s="50">
        <v>2</v>
      </c>
      <c r="L56" s="50">
        <v>6</v>
      </c>
      <c r="M56" s="50">
        <v>141</v>
      </c>
      <c r="N56" s="50">
        <v>0</v>
      </c>
      <c r="O56" s="15">
        <f t="shared" si="0"/>
        <v>129</v>
      </c>
      <c r="P56" s="15">
        <f t="shared" si="1"/>
        <v>270</v>
      </c>
      <c r="R56" s="8"/>
      <c r="T56"/>
    </row>
    <row r="57" spans="2:20" ht="23.1" customHeight="1" x14ac:dyDescent="0.25">
      <c r="B57" s="23" t="s">
        <v>84</v>
      </c>
      <c r="C57" s="50">
        <v>27</v>
      </c>
      <c r="D57" s="50">
        <v>8</v>
      </c>
      <c r="E57" s="50">
        <v>4</v>
      </c>
      <c r="F57" s="50">
        <v>48</v>
      </c>
      <c r="G57" s="50">
        <v>6</v>
      </c>
      <c r="H57" s="50">
        <v>3</v>
      </c>
      <c r="I57" s="50">
        <v>10</v>
      </c>
      <c r="J57" s="50">
        <v>6</v>
      </c>
      <c r="K57" s="50">
        <v>3</v>
      </c>
      <c r="L57" s="50">
        <v>4</v>
      </c>
      <c r="M57" s="50">
        <v>163</v>
      </c>
      <c r="N57" s="50">
        <v>0</v>
      </c>
      <c r="O57" s="15">
        <f t="shared" si="0"/>
        <v>119</v>
      </c>
      <c r="P57" s="15">
        <f t="shared" si="1"/>
        <v>282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1225</v>
      </c>
      <c r="D58" s="16">
        <f t="shared" si="21"/>
        <v>587</v>
      </c>
      <c r="E58" s="16">
        <f t="shared" si="21"/>
        <v>330</v>
      </c>
      <c r="F58" s="16">
        <f t="shared" si="21"/>
        <v>1935</v>
      </c>
      <c r="G58" s="16">
        <f t="shared" si="21"/>
        <v>87</v>
      </c>
      <c r="H58" s="16">
        <f t="shared" si="21"/>
        <v>46</v>
      </c>
      <c r="I58" s="16">
        <f t="shared" si="21"/>
        <v>197</v>
      </c>
      <c r="J58" s="16">
        <f t="shared" si="21"/>
        <v>170</v>
      </c>
      <c r="K58" s="16">
        <f t="shared" si="21"/>
        <v>102</v>
      </c>
      <c r="L58" s="16">
        <f t="shared" si="21"/>
        <v>506</v>
      </c>
      <c r="M58" s="16">
        <f t="shared" si="21"/>
        <v>4441</v>
      </c>
      <c r="N58" s="16">
        <f t="shared" si="21"/>
        <v>0</v>
      </c>
      <c r="O58" s="16">
        <f t="shared" si="21"/>
        <v>5185</v>
      </c>
      <c r="P58" s="16">
        <f t="shared" si="21"/>
        <v>9626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0.12725950550592147</v>
      </c>
      <c r="D59" s="43">
        <f t="shared" si="22"/>
        <v>6.0980677332225224E-2</v>
      </c>
      <c r="E59" s="43">
        <f t="shared" si="22"/>
        <v>3.4282152503635983E-2</v>
      </c>
      <c r="F59" s="43">
        <f t="shared" si="22"/>
        <v>0.20101807604404737</v>
      </c>
      <c r="G59" s="43">
        <f t="shared" si="22"/>
        <v>9.0380220236858516E-3</v>
      </c>
      <c r="H59" s="43">
        <f t="shared" si="22"/>
        <v>4.7787242883856225E-3</v>
      </c>
      <c r="I59" s="43">
        <f t="shared" si="22"/>
        <v>2.0465406191564513E-2</v>
      </c>
      <c r="J59" s="43">
        <f t="shared" si="22"/>
        <v>1.7660502804903385E-2</v>
      </c>
      <c r="K59" s="43">
        <f t="shared" si="22"/>
        <v>1.0596301682942032E-2</v>
      </c>
      <c r="L59" s="43">
        <f t="shared" si="22"/>
        <v>5.2565967172241844E-2</v>
      </c>
      <c r="M59" s="43">
        <f t="shared" si="22"/>
        <v>0.46135466445044671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0.23625843780135006</v>
      </c>
      <c r="D60" s="44">
        <f t="shared" ref="D60:N60" si="23">D58/$O$58</f>
        <v>0.11321118611378977</v>
      </c>
      <c r="E60" s="44">
        <f t="shared" si="23"/>
        <v>6.3645130183220835E-2</v>
      </c>
      <c r="F60" s="44">
        <f t="shared" si="23"/>
        <v>0.37319189971070393</v>
      </c>
      <c r="G60" s="44">
        <f t="shared" si="23"/>
        <v>1.6779170684667308E-2</v>
      </c>
      <c r="H60" s="44">
        <f t="shared" si="23"/>
        <v>8.8717454194792676E-3</v>
      </c>
      <c r="I60" s="44">
        <f t="shared" si="23"/>
        <v>3.7994214079074252E-2</v>
      </c>
      <c r="J60" s="44">
        <f t="shared" si="23"/>
        <v>3.2786885245901641E-2</v>
      </c>
      <c r="K60" s="44">
        <f t="shared" si="23"/>
        <v>1.9672131147540985E-2</v>
      </c>
      <c r="L60" s="44">
        <f t="shared" si="23"/>
        <v>9.758919961427194E-2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6:L6"/>
    <mergeCell ref="K5:L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9" tint="-0.249977111117893"/>
  </sheetPr>
  <dimension ref="B1:AF174"/>
  <sheetViews>
    <sheetView view="pageBreakPreview" topLeftCell="S52" zoomScale="60" workbookViewId="0">
      <selection activeCell="H60" sqref="H60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2" t="s">
        <v>23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  <c r="AE1" s="62"/>
    </row>
    <row r="2" spans="2:32" ht="20.100000000000001" customHeight="1" x14ac:dyDescent="0.25">
      <c r="B2" s="63" t="s">
        <v>95</v>
      </c>
      <c r="C2" s="63"/>
      <c r="D2" s="63"/>
      <c r="E2" s="63"/>
      <c r="F2" s="63"/>
      <c r="G2" s="63"/>
      <c r="H2" s="63"/>
      <c r="I2" s="63"/>
      <c r="J2" s="63"/>
      <c r="K2" s="63"/>
      <c r="L2" s="63"/>
      <c r="M2" s="63"/>
      <c r="N2" s="63"/>
      <c r="O2" s="63"/>
      <c r="P2" s="63"/>
      <c r="Q2" s="63"/>
      <c r="R2" s="63"/>
      <c r="S2" s="63"/>
      <c r="T2" s="63"/>
      <c r="U2" s="63"/>
      <c r="V2" s="63"/>
      <c r="W2" s="63"/>
      <c r="X2" s="63"/>
      <c r="Y2" s="63"/>
      <c r="Z2" s="63"/>
      <c r="AA2" s="63"/>
      <c r="AB2" s="63"/>
      <c r="AC2" s="63"/>
      <c r="AD2" s="63"/>
      <c r="AE2" s="63"/>
    </row>
    <row r="3" spans="2:32" ht="20.100000000000001" customHeight="1" x14ac:dyDescent="0.25">
      <c r="B3" s="22" t="s">
        <v>96</v>
      </c>
      <c r="C3" s="67" t="str">
        <f>'29.09 Mukono-Seeta'!C3:G3</f>
        <v>MCC - C2 - STN074 - SONDE  ROAD</v>
      </c>
      <c r="D3" s="67"/>
      <c r="E3" s="67"/>
      <c r="F3" s="67"/>
      <c r="G3" s="67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72" t="s">
        <v>164</v>
      </c>
      <c r="E5" s="73"/>
      <c r="F5" s="41" t="s">
        <v>1</v>
      </c>
      <c r="G5" s="68" t="str">
        <f>'29.09 Seeta-Mukono'!G5:H5</f>
        <v>STATION 74</v>
      </c>
      <c r="H5" s="69"/>
      <c r="I5" s="14"/>
      <c r="J5" s="2" t="s">
        <v>5</v>
      </c>
      <c r="K5" s="68" t="str">
        <f>'29.09 Seeta-Mukono'!K5:L5</f>
        <v>NAMUDDU MARIAM</v>
      </c>
      <c r="L5" s="69"/>
      <c r="M5" s="10"/>
      <c r="N5" s="10"/>
      <c r="O5" s="3"/>
      <c r="P5" s="3"/>
    </row>
    <row r="6" spans="2:32" ht="23.25" customHeight="1" x14ac:dyDescent="0.25">
      <c r="C6" s="2" t="s">
        <v>4</v>
      </c>
      <c r="D6" s="68" t="str">
        <f>'29.09 Seeta-Mukono'!D6:E6</f>
        <v>Seeta</v>
      </c>
      <c r="E6" s="69"/>
      <c r="F6" s="2" t="s">
        <v>2</v>
      </c>
      <c r="G6" s="68" t="str">
        <f>'29.09 Seeta-Mukono'!G6:H6</f>
        <v>Mukono</v>
      </c>
      <c r="H6" s="69"/>
      <c r="J6" s="2" t="s">
        <v>21</v>
      </c>
      <c r="K6" s="68" t="str">
        <f>'29.09 Seeta-Mukono'!K6:L6</f>
        <v>Tracy</v>
      </c>
      <c r="L6" s="69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1" t="s">
        <v>88</v>
      </c>
      <c r="S8" s="61"/>
      <c r="T8" s="61"/>
      <c r="U8" s="61"/>
      <c r="V8" s="61"/>
      <c r="W8" s="61"/>
      <c r="X8" s="61"/>
      <c r="Y8" s="61"/>
      <c r="Z8" s="61"/>
      <c r="AA8" s="61"/>
      <c r="AB8" s="61"/>
      <c r="AC8" s="61"/>
      <c r="AD8" s="61"/>
      <c r="AE8" s="61"/>
      <c r="AF8" s="61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49">
        <f>AVERAGE('23.09 Seeta-Mukono'!C10,'24.09 Seeta-Mukono'!C10,'25.09 Seeta-Mukono'!C10,'27.09 Seeta-Mukono'!C10,'26.09 Seeta-Mukono-24h'!C10,'28.09 Seeta-Mukono-24h'!C10,'29.09 Seeta-Mukono'!C10)</f>
        <v>55.714285714285715</v>
      </c>
      <c r="D10" s="49">
        <f>AVERAGE('23.09 Seeta-Mukono'!D10,'24.09 Seeta-Mukono'!D10,'25.09 Seeta-Mukono'!D10,'27.09 Seeta-Mukono'!D10,'26.09 Seeta-Mukono-24h'!D10,'28.09 Seeta-Mukono-24h'!D10,'29.09 Seeta-Mukono'!D10)</f>
        <v>5.7142857142857144</v>
      </c>
      <c r="E10" s="49">
        <f>AVERAGE('23.09 Seeta-Mukono'!E10,'24.09 Seeta-Mukono'!E10,'25.09 Seeta-Mukono'!E10,'27.09 Seeta-Mukono'!E10,'26.09 Seeta-Mukono-24h'!E10,'28.09 Seeta-Mukono-24h'!E10,'29.09 Seeta-Mukono'!E10)</f>
        <v>7.2857142857142856</v>
      </c>
      <c r="F10" s="49">
        <f>AVERAGE('23.09 Seeta-Mukono'!F10,'24.09 Seeta-Mukono'!F10,'25.09 Seeta-Mukono'!F10,'27.09 Seeta-Mukono'!F10,'26.09 Seeta-Mukono-24h'!F10,'28.09 Seeta-Mukono-24h'!F10,'29.09 Seeta-Mukono'!F10)</f>
        <v>34.142857142857146</v>
      </c>
      <c r="G10" s="49">
        <f>AVERAGE('23.09 Seeta-Mukono'!G10,'24.09 Seeta-Mukono'!G10,'25.09 Seeta-Mukono'!G10,'27.09 Seeta-Mukono'!G10,'26.09 Seeta-Mukono-24h'!G10,'28.09 Seeta-Mukono-24h'!G10,'29.09 Seeta-Mukono'!G10)</f>
        <v>1.8571428571428572</v>
      </c>
      <c r="H10" s="49">
        <f>AVERAGE('23.09 Seeta-Mukono'!H10,'24.09 Seeta-Mukono'!H10,'25.09 Seeta-Mukono'!H10,'27.09 Seeta-Mukono'!H10,'26.09 Seeta-Mukono-24h'!H10,'28.09 Seeta-Mukono-24h'!H10,'29.09 Seeta-Mukono'!H10)</f>
        <v>4</v>
      </c>
      <c r="I10" s="49">
        <f>AVERAGE('23.09 Seeta-Mukono'!I10,'24.09 Seeta-Mukono'!I10,'25.09 Seeta-Mukono'!I10,'27.09 Seeta-Mukono'!I10,'26.09 Seeta-Mukono-24h'!I10,'28.09 Seeta-Mukono-24h'!I10,'29.09 Seeta-Mukono'!I10)</f>
        <v>5.5714285714285712</v>
      </c>
      <c r="J10" s="49">
        <f>AVERAGE('23.09 Seeta-Mukono'!J10,'24.09 Seeta-Mukono'!J10,'25.09 Seeta-Mukono'!J10,'27.09 Seeta-Mukono'!J10,'26.09 Seeta-Mukono-24h'!J10,'28.09 Seeta-Mukono-24h'!J10,'29.09 Seeta-Mukono'!J10)</f>
        <v>2.8571428571428572</v>
      </c>
      <c r="K10" s="49">
        <f>AVERAGE('23.09 Seeta-Mukono'!K10,'24.09 Seeta-Mukono'!K10,'25.09 Seeta-Mukono'!K10,'27.09 Seeta-Mukono'!K10,'26.09 Seeta-Mukono-24h'!K10,'28.09 Seeta-Mukono-24h'!K10,'29.09 Seeta-Mukono'!K10)</f>
        <v>1.4285714285714286</v>
      </c>
      <c r="L10" s="49">
        <f>AVERAGE('23.09 Seeta-Mukono'!L10,'24.09 Seeta-Mukono'!L10,'25.09 Seeta-Mukono'!L10,'27.09 Seeta-Mukono'!L10,'26.09 Seeta-Mukono-24h'!L10,'28.09 Seeta-Mukono-24h'!L10,'29.09 Seeta-Mukono'!L10)</f>
        <v>4.1428571428571432</v>
      </c>
      <c r="M10" s="49">
        <f>AVERAGE('23.09 Seeta-Mukono'!M10,'24.09 Seeta-Mukono'!M10,'25.09 Seeta-Mukono'!M10,'27.09 Seeta-Mukono'!M10,'26.09 Seeta-Mukono-24h'!M10,'28.09 Seeta-Mukono-24h'!M10,'29.09 Seeta-Mukono'!M10)</f>
        <v>66.428571428571431</v>
      </c>
      <c r="N10" s="49">
        <f>AVERAGE('23.09 Seeta-Mukono'!N10,'24.09 Seeta-Mukono'!N10,'25.09 Seeta-Mukono'!N10,'27.09 Seeta-Mukono'!N10,'26.09 Seeta-Mukono-24h'!N10,'28.09 Seeta-Mukono-24h'!N10,'29.09 Seeta-Mukono'!N10)</f>
        <v>0</v>
      </c>
      <c r="O10" s="15">
        <f t="shared" ref="O10:O73" si="0">SUM(C10:L10,N10)</f>
        <v>122.71428571428572</v>
      </c>
      <c r="P10" s="15">
        <f t="shared" ref="P10:P73" si="1">SUM(C10:N10)</f>
        <v>189.14285714285717</v>
      </c>
      <c r="R10" s="1" t="s">
        <v>6</v>
      </c>
      <c r="S10" s="17">
        <f t="shared" ref="S10:AF10" si="2">SUM(C10:C13)</f>
        <v>229.14285714285717</v>
      </c>
      <c r="T10" s="17">
        <f t="shared" si="2"/>
        <v>24.857142857142854</v>
      </c>
      <c r="U10" s="17">
        <f t="shared" si="2"/>
        <v>31.428571428571431</v>
      </c>
      <c r="V10" s="17">
        <f t="shared" si="2"/>
        <v>156.71428571428572</v>
      </c>
      <c r="W10" s="17">
        <f t="shared" si="2"/>
        <v>6.4285714285714288</v>
      </c>
      <c r="X10" s="17">
        <f t="shared" si="2"/>
        <v>6.1428571428571423</v>
      </c>
      <c r="Y10" s="17">
        <f t="shared" si="2"/>
        <v>29.285714285714285</v>
      </c>
      <c r="Z10" s="17">
        <f t="shared" si="2"/>
        <v>12.428571428571429</v>
      </c>
      <c r="AA10" s="17">
        <f t="shared" si="2"/>
        <v>8.2857142857142847</v>
      </c>
      <c r="AB10" s="17">
        <f t="shared" si="2"/>
        <v>14.428571428571429</v>
      </c>
      <c r="AC10" s="17">
        <f t="shared" si="2"/>
        <v>298.71428571428572</v>
      </c>
      <c r="AD10" s="17">
        <f t="shared" si="2"/>
        <v>0.14285714285714285</v>
      </c>
      <c r="AE10" s="31">
        <f t="shared" si="2"/>
        <v>519.28571428571422</v>
      </c>
      <c r="AF10" s="31">
        <f t="shared" si="2"/>
        <v>818</v>
      </c>
    </row>
    <row r="11" spans="2:32" s="6" customFormat="1" ht="23.1" customHeight="1" x14ac:dyDescent="0.25">
      <c r="B11" s="23" t="s">
        <v>38</v>
      </c>
      <c r="C11" s="49">
        <f>AVERAGE('23.09 Seeta-Mukono'!C11,'24.09 Seeta-Mukono'!C11,'25.09 Seeta-Mukono'!C11,'27.09 Seeta-Mukono'!C11,'26.09 Seeta-Mukono-24h'!C11,'28.09 Seeta-Mukono-24h'!C11,'29.09 Seeta-Mukono'!C11)</f>
        <v>45.857142857142854</v>
      </c>
      <c r="D11" s="49">
        <f>AVERAGE('23.09 Seeta-Mukono'!D11,'24.09 Seeta-Mukono'!D11,'25.09 Seeta-Mukono'!D11,'27.09 Seeta-Mukono'!D11,'26.09 Seeta-Mukono-24h'!D11,'28.09 Seeta-Mukono-24h'!D11,'29.09 Seeta-Mukono'!D11)</f>
        <v>5.5714285714285712</v>
      </c>
      <c r="E11" s="49">
        <f>AVERAGE('23.09 Seeta-Mukono'!E11,'24.09 Seeta-Mukono'!E11,'25.09 Seeta-Mukono'!E11,'27.09 Seeta-Mukono'!E11,'26.09 Seeta-Mukono-24h'!E11,'28.09 Seeta-Mukono-24h'!E11,'29.09 Seeta-Mukono'!E11)</f>
        <v>4.7142857142857144</v>
      </c>
      <c r="F11" s="49">
        <f>AVERAGE('23.09 Seeta-Mukono'!F11,'24.09 Seeta-Mukono'!F11,'25.09 Seeta-Mukono'!F11,'27.09 Seeta-Mukono'!F11,'26.09 Seeta-Mukono-24h'!F11,'28.09 Seeta-Mukono-24h'!F11,'29.09 Seeta-Mukono'!F11)</f>
        <v>34.714285714285715</v>
      </c>
      <c r="G11" s="49">
        <f>AVERAGE('23.09 Seeta-Mukono'!G11,'24.09 Seeta-Mukono'!G11,'25.09 Seeta-Mukono'!G11,'27.09 Seeta-Mukono'!G11,'26.09 Seeta-Mukono-24h'!G11,'28.09 Seeta-Mukono-24h'!G11,'29.09 Seeta-Mukono'!G11)</f>
        <v>0.8571428571428571</v>
      </c>
      <c r="H11" s="49">
        <f>AVERAGE('23.09 Seeta-Mukono'!H11,'24.09 Seeta-Mukono'!H11,'25.09 Seeta-Mukono'!H11,'27.09 Seeta-Mukono'!H11,'26.09 Seeta-Mukono-24h'!H11,'28.09 Seeta-Mukono-24h'!H11,'29.09 Seeta-Mukono'!H11)</f>
        <v>0.5714285714285714</v>
      </c>
      <c r="I11" s="49">
        <f>AVERAGE('23.09 Seeta-Mukono'!I11,'24.09 Seeta-Mukono'!I11,'25.09 Seeta-Mukono'!I11,'27.09 Seeta-Mukono'!I11,'26.09 Seeta-Mukono-24h'!I11,'28.09 Seeta-Mukono-24h'!I11,'29.09 Seeta-Mukono'!I11)</f>
        <v>7</v>
      </c>
      <c r="J11" s="49">
        <f>AVERAGE('23.09 Seeta-Mukono'!J11,'24.09 Seeta-Mukono'!J11,'25.09 Seeta-Mukono'!J11,'27.09 Seeta-Mukono'!J11,'26.09 Seeta-Mukono-24h'!J11,'28.09 Seeta-Mukono-24h'!J11,'29.09 Seeta-Mukono'!J11)</f>
        <v>3</v>
      </c>
      <c r="K11" s="49">
        <f>AVERAGE('23.09 Seeta-Mukono'!K11,'24.09 Seeta-Mukono'!K11,'25.09 Seeta-Mukono'!K11,'27.09 Seeta-Mukono'!K11,'26.09 Seeta-Mukono-24h'!K11,'28.09 Seeta-Mukono-24h'!K11,'29.09 Seeta-Mukono'!K11)</f>
        <v>2.4285714285714284</v>
      </c>
      <c r="L11" s="49">
        <f>AVERAGE('23.09 Seeta-Mukono'!L11,'24.09 Seeta-Mukono'!L11,'25.09 Seeta-Mukono'!L11,'27.09 Seeta-Mukono'!L11,'26.09 Seeta-Mukono-24h'!L11,'28.09 Seeta-Mukono-24h'!L11,'29.09 Seeta-Mukono'!L11)</f>
        <v>3.2857142857142856</v>
      </c>
      <c r="M11" s="49">
        <f>AVERAGE('23.09 Seeta-Mukono'!M11,'24.09 Seeta-Mukono'!M11,'25.09 Seeta-Mukono'!M11,'27.09 Seeta-Mukono'!M11,'26.09 Seeta-Mukono-24h'!M11,'28.09 Seeta-Mukono-24h'!M11,'29.09 Seeta-Mukono'!M11)</f>
        <v>64.571428571428569</v>
      </c>
      <c r="N11" s="49">
        <f>AVERAGE('23.09 Seeta-Mukono'!N11,'24.09 Seeta-Mukono'!N11,'25.09 Seeta-Mukono'!N11,'27.09 Seeta-Mukono'!N11,'26.09 Seeta-Mukono-24h'!N11,'28.09 Seeta-Mukono-24h'!N11,'29.09 Seeta-Mukono'!N11)</f>
        <v>0</v>
      </c>
      <c r="O11" s="15">
        <f t="shared" si="0"/>
        <v>108.00000000000001</v>
      </c>
      <c r="P11" s="15">
        <f t="shared" si="1"/>
        <v>172.57142857142858</v>
      </c>
      <c r="R11" s="1" t="s">
        <v>7</v>
      </c>
      <c r="S11" s="17">
        <f t="shared" ref="S11:AF11" si="3">SUM(C14:C17)</f>
        <v>284.85714285714283</v>
      </c>
      <c r="T11" s="17">
        <f t="shared" si="3"/>
        <v>36.142857142857146</v>
      </c>
      <c r="U11" s="17">
        <f t="shared" si="3"/>
        <v>43.857142857142861</v>
      </c>
      <c r="V11" s="17">
        <f t="shared" si="3"/>
        <v>184.71428571428572</v>
      </c>
      <c r="W11" s="17">
        <f t="shared" si="3"/>
        <v>8</v>
      </c>
      <c r="X11" s="17">
        <f t="shared" si="3"/>
        <v>6.1428571428571432</v>
      </c>
      <c r="Y11" s="17">
        <f t="shared" si="3"/>
        <v>51.857142857142854</v>
      </c>
      <c r="Z11" s="17">
        <f t="shared" si="3"/>
        <v>17.714285714285715</v>
      </c>
      <c r="AA11" s="17">
        <f t="shared" si="3"/>
        <v>9.8571428571428577</v>
      </c>
      <c r="AB11" s="17">
        <f t="shared" si="3"/>
        <v>15.857142857142858</v>
      </c>
      <c r="AC11" s="17">
        <f t="shared" si="3"/>
        <v>419.42857142857144</v>
      </c>
      <c r="AD11" s="17">
        <f t="shared" si="3"/>
        <v>12.857142857142858</v>
      </c>
      <c r="AE11" s="31">
        <f t="shared" si="3"/>
        <v>671.85714285714289</v>
      </c>
      <c r="AF11" s="31">
        <f t="shared" si="3"/>
        <v>1091.2857142857142</v>
      </c>
    </row>
    <row r="12" spans="2:32" ht="23.1" customHeight="1" x14ac:dyDescent="0.25">
      <c r="B12" s="23" t="s">
        <v>39</v>
      </c>
      <c r="C12" s="49">
        <f>AVERAGE('23.09 Seeta-Mukono'!C12,'24.09 Seeta-Mukono'!C12,'25.09 Seeta-Mukono'!C12,'27.09 Seeta-Mukono'!C12,'26.09 Seeta-Mukono-24h'!C12,'28.09 Seeta-Mukono-24h'!C12,'29.09 Seeta-Mukono'!C12)</f>
        <v>66.142857142857139</v>
      </c>
      <c r="D12" s="49">
        <f>AVERAGE('23.09 Seeta-Mukono'!D12,'24.09 Seeta-Mukono'!D12,'25.09 Seeta-Mukono'!D12,'27.09 Seeta-Mukono'!D12,'26.09 Seeta-Mukono-24h'!D12,'28.09 Seeta-Mukono-24h'!D12,'29.09 Seeta-Mukono'!D12)</f>
        <v>7.2857142857142856</v>
      </c>
      <c r="E12" s="49">
        <f>AVERAGE('23.09 Seeta-Mukono'!E12,'24.09 Seeta-Mukono'!E12,'25.09 Seeta-Mukono'!E12,'27.09 Seeta-Mukono'!E12,'26.09 Seeta-Mukono-24h'!E12,'28.09 Seeta-Mukono-24h'!E12,'29.09 Seeta-Mukono'!E12)</f>
        <v>9</v>
      </c>
      <c r="F12" s="49">
        <f>AVERAGE('23.09 Seeta-Mukono'!F12,'24.09 Seeta-Mukono'!F12,'25.09 Seeta-Mukono'!F12,'27.09 Seeta-Mukono'!F12,'26.09 Seeta-Mukono-24h'!F12,'28.09 Seeta-Mukono-24h'!F12,'29.09 Seeta-Mukono'!F12)</f>
        <v>47.285714285714285</v>
      </c>
      <c r="G12" s="49">
        <f>AVERAGE('23.09 Seeta-Mukono'!G12,'24.09 Seeta-Mukono'!G12,'25.09 Seeta-Mukono'!G12,'27.09 Seeta-Mukono'!G12,'26.09 Seeta-Mukono-24h'!G12,'28.09 Seeta-Mukono-24h'!G12,'29.09 Seeta-Mukono'!G12)</f>
        <v>2.1428571428571428</v>
      </c>
      <c r="H12" s="49">
        <f>AVERAGE('23.09 Seeta-Mukono'!H12,'24.09 Seeta-Mukono'!H12,'25.09 Seeta-Mukono'!H12,'27.09 Seeta-Mukono'!H12,'26.09 Seeta-Mukono-24h'!H12,'28.09 Seeta-Mukono-24h'!H12,'29.09 Seeta-Mukono'!H12)</f>
        <v>0.8571428571428571</v>
      </c>
      <c r="I12" s="49">
        <f>AVERAGE('23.09 Seeta-Mukono'!I12,'24.09 Seeta-Mukono'!I12,'25.09 Seeta-Mukono'!I12,'27.09 Seeta-Mukono'!I12,'26.09 Seeta-Mukono-24h'!I12,'28.09 Seeta-Mukono-24h'!I12,'29.09 Seeta-Mukono'!I12)</f>
        <v>8.5714285714285712</v>
      </c>
      <c r="J12" s="49">
        <f>AVERAGE('23.09 Seeta-Mukono'!J12,'24.09 Seeta-Mukono'!J12,'25.09 Seeta-Mukono'!J12,'27.09 Seeta-Mukono'!J12,'26.09 Seeta-Mukono-24h'!J12,'28.09 Seeta-Mukono-24h'!J12,'29.09 Seeta-Mukono'!J12)</f>
        <v>4</v>
      </c>
      <c r="K12" s="49">
        <f>AVERAGE('23.09 Seeta-Mukono'!K12,'24.09 Seeta-Mukono'!K12,'25.09 Seeta-Mukono'!K12,'27.09 Seeta-Mukono'!K12,'26.09 Seeta-Mukono-24h'!K12,'28.09 Seeta-Mukono-24h'!K12,'29.09 Seeta-Mukono'!K12)</f>
        <v>2</v>
      </c>
      <c r="L12" s="49">
        <f>AVERAGE('23.09 Seeta-Mukono'!L12,'24.09 Seeta-Mukono'!L12,'25.09 Seeta-Mukono'!L12,'27.09 Seeta-Mukono'!L12,'26.09 Seeta-Mukono-24h'!L12,'28.09 Seeta-Mukono-24h'!L12,'29.09 Seeta-Mukono'!L12)</f>
        <v>3.8571428571428572</v>
      </c>
      <c r="M12" s="49">
        <f>AVERAGE('23.09 Seeta-Mukono'!M12,'24.09 Seeta-Mukono'!M12,'25.09 Seeta-Mukono'!M12,'27.09 Seeta-Mukono'!M12,'26.09 Seeta-Mukono-24h'!M12,'28.09 Seeta-Mukono-24h'!M12,'29.09 Seeta-Mukono'!M12)</f>
        <v>79.714285714285708</v>
      </c>
      <c r="N12" s="49">
        <f>AVERAGE('23.09 Seeta-Mukono'!N12,'24.09 Seeta-Mukono'!N12,'25.09 Seeta-Mukono'!N12,'27.09 Seeta-Mukono'!N12,'26.09 Seeta-Mukono-24h'!N12,'28.09 Seeta-Mukono-24h'!N12,'29.09 Seeta-Mukono'!N12)</f>
        <v>0.14285714285714285</v>
      </c>
      <c r="O12" s="15">
        <f t="shared" si="0"/>
        <v>151.28571428571431</v>
      </c>
      <c r="P12" s="15">
        <f t="shared" si="1"/>
        <v>231.00000000000003</v>
      </c>
      <c r="R12" s="1" t="s">
        <v>8</v>
      </c>
      <c r="S12" s="17">
        <f t="shared" ref="S12:AF12" si="4">SUM(C18:C21)</f>
        <v>262.42857142857144</v>
      </c>
      <c r="T12" s="17">
        <f t="shared" si="4"/>
        <v>36.142857142857139</v>
      </c>
      <c r="U12" s="17">
        <f t="shared" si="4"/>
        <v>42.428571428571423</v>
      </c>
      <c r="V12" s="17">
        <f t="shared" si="4"/>
        <v>205.85714285714283</v>
      </c>
      <c r="W12" s="17">
        <f t="shared" si="4"/>
        <v>11.571428571428571</v>
      </c>
      <c r="X12" s="17">
        <f t="shared" si="4"/>
        <v>3.4285714285714284</v>
      </c>
      <c r="Y12" s="17">
        <f t="shared" si="4"/>
        <v>64.714285714285722</v>
      </c>
      <c r="Z12" s="17">
        <f t="shared" si="4"/>
        <v>20</v>
      </c>
      <c r="AA12" s="17">
        <f t="shared" si="4"/>
        <v>11.142857142857142</v>
      </c>
      <c r="AB12" s="17">
        <f t="shared" si="4"/>
        <v>18.714285714285715</v>
      </c>
      <c r="AC12" s="17">
        <f t="shared" si="4"/>
        <v>491.42857142857139</v>
      </c>
      <c r="AD12" s="17">
        <f t="shared" si="4"/>
        <v>0</v>
      </c>
      <c r="AE12" s="31">
        <f t="shared" si="4"/>
        <v>676.42857142857144</v>
      </c>
      <c r="AF12" s="31">
        <f t="shared" si="4"/>
        <v>1167.8571428571429</v>
      </c>
    </row>
    <row r="13" spans="2:32" ht="23.1" customHeight="1" x14ac:dyDescent="0.25">
      <c r="B13" s="23" t="s">
        <v>40</v>
      </c>
      <c r="C13" s="49">
        <f>AVERAGE('23.09 Seeta-Mukono'!C13,'24.09 Seeta-Mukono'!C13,'25.09 Seeta-Mukono'!C13,'27.09 Seeta-Mukono'!C13,'26.09 Seeta-Mukono-24h'!C13,'28.09 Seeta-Mukono-24h'!C13,'29.09 Seeta-Mukono'!C13)</f>
        <v>61.428571428571431</v>
      </c>
      <c r="D13" s="49">
        <f>AVERAGE('23.09 Seeta-Mukono'!D13,'24.09 Seeta-Mukono'!D13,'25.09 Seeta-Mukono'!D13,'27.09 Seeta-Mukono'!D13,'26.09 Seeta-Mukono-24h'!D13,'28.09 Seeta-Mukono-24h'!D13,'29.09 Seeta-Mukono'!D13)</f>
        <v>6.2857142857142856</v>
      </c>
      <c r="E13" s="49">
        <f>AVERAGE('23.09 Seeta-Mukono'!E13,'24.09 Seeta-Mukono'!E13,'25.09 Seeta-Mukono'!E13,'27.09 Seeta-Mukono'!E13,'26.09 Seeta-Mukono-24h'!E13,'28.09 Seeta-Mukono-24h'!E13,'29.09 Seeta-Mukono'!E13)</f>
        <v>10.428571428571429</v>
      </c>
      <c r="F13" s="49">
        <f>AVERAGE('23.09 Seeta-Mukono'!F13,'24.09 Seeta-Mukono'!F13,'25.09 Seeta-Mukono'!F13,'27.09 Seeta-Mukono'!F13,'26.09 Seeta-Mukono-24h'!F13,'28.09 Seeta-Mukono-24h'!F13,'29.09 Seeta-Mukono'!F13)</f>
        <v>40.571428571428569</v>
      </c>
      <c r="G13" s="49">
        <f>AVERAGE('23.09 Seeta-Mukono'!G13,'24.09 Seeta-Mukono'!G13,'25.09 Seeta-Mukono'!G13,'27.09 Seeta-Mukono'!G13,'26.09 Seeta-Mukono-24h'!G13,'28.09 Seeta-Mukono-24h'!G13,'29.09 Seeta-Mukono'!G13)</f>
        <v>1.5714285714285714</v>
      </c>
      <c r="H13" s="49">
        <f>AVERAGE('23.09 Seeta-Mukono'!H13,'24.09 Seeta-Mukono'!H13,'25.09 Seeta-Mukono'!H13,'27.09 Seeta-Mukono'!H13,'26.09 Seeta-Mukono-24h'!H13,'28.09 Seeta-Mukono-24h'!H13,'29.09 Seeta-Mukono'!H13)</f>
        <v>0.7142857142857143</v>
      </c>
      <c r="I13" s="49">
        <f>AVERAGE('23.09 Seeta-Mukono'!I13,'24.09 Seeta-Mukono'!I13,'25.09 Seeta-Mukono'!I13,'27.09 Seeta-Mukono'!I13,'26.09 Seeta-Mukono-24h'!I13,'28.09 Seeta-Mukono-24h'!I13,'29.09 Seeta-Mukono'!I13)</f>
        <v>8.1428571428571423</v>
      </c>
      <c r="J13" s="49">
        <f>AVERAGE('23.09 Seeta-Mukono'!J13,'24.09 Seeta-Mukono'!J13,'25.09 Seeta-Mukono'!J13,'27.09 Seeta-Mukono'!J13,'26.09 Seeta-Mukono-24h'!J13,'28.09 Seeta-Mukono-24h'!J13,'29.09 Seeta-Mukono'!J13)</f>
        <v>2.5714285714285716</v>
      </c>
      <c r="K13" s="49">
        <f>AVERAGE('23.09 Seeta-Mukono'!K13,'24.09 Seeta-Mukono'!K13,'25.09 Seeta-Mukono'!K13,'27.09 Seeta-Mukono'!K13,'26.09 Seeta-Mukono-24h'!K13,'28.09 Seeta-Mukono-24h'!K13,'29.09 Seeta-Mukono'!K13)</f>
        <v>2.4285714285714284</v>
      </c>
      <c r="L13" s="49">
        <f>AVERAGE('23.09 Seeta-Mukono'!L13,'24.09 Seeta-Mukono'!L13,'25.09 Seeta-Mukono'!L13,'27.09 Seeta-Mukono'!L13,'26.09 Seeta-Mukono-24h'!L13,'28.09 Seeta-Mukono-24h'!L13,'29.09 Seeta-Mukono'!L13)</f>
        <v>3.1428571428571428</v>
      </c>
      <c r="M13" s="49">
        <f>AVERAGE('23.09 Seeta-Mukono'!M13,'24.09 Seeta-Mukono'!M13,'25.09 Seeta-Mukono'!M13,'27.09 Seeta-Mukono'!M13,'26.09 Seeta-Mukono-24h'!M13,'28.09 Seeta-Mukono-24h'!M13,'29.09 Seeta-Mukono'!M13)</f>
        <v>88</v>
      </c>
      <c r="N13" s="49">
        <f>AVERAGE('23.09 Seeta-Mukono'!N13,'24.09 Seeta-Mukono'!N13,'25.09 Seeta-Mukono'!N13,'27.09 Seeta-Mukono'!N13,'26.09 Seeta-Mukono-24h'!N13,'28.09 Seeta-Mukono-24h'!N13,'29.09 Seeta-Mukono'!N13)</f>
        <v>0</v>
      </c>
      <c r="O13" s="15">
        <f t="shared" si="0"/>
        <v>137.28571428571428</v>
      </c>
      <c r="P13" s="15">
        <f t="shared" si="1"/>
        <v>225.28571428571428</v>
      </c>
      <c r="R13" s="1" t="s">
        <v>9</v>
      </c>
      <c r="S13" s="17">
        <f t="shared" ref="S13:AF13" si="5">SUM(C22:C25)</f>
        <v>252.42857142857144</v>
      </c>
      <c r="T13" s="17">
        <f t="shared" si="5"/>
        <v>32.714285714285715</v>
      </c>
      <c r="U13" s="17">
        <f t="shared" si="5"/>
        <v>39.571428571428577</v>
      </c>
      <c r="V13" s="17">
        <f t="shared" si="5"/>
        <v>189.57142857142856</v>
      </c>
      <c r="W13" s="17">
        <f t="shared" si="5"/>
        <v>10.857142857142858</v>
      </c>
      <c r="X13" s="17">
        <f t="shared" si="5"/>
        <v>6.7142857142857153</v>
      </c>
      <c r="Y13" s="17">
        <f t="shared" si="5"/>
        <v>55.857142857142861</v>
      </c>
      <c r="Z13" s="17">
        <f t="shared" si="5"/>
        <v>23.285714285714285</v>
      </c>
      <c r="AA13" s="17">
        <f t="shared" si="5"/>
        <v>10.857142857142858</v>
      </c>
      <c r="AB13" s="17">
        <f t="shared" si="5"/>
        <v>33.714285714285708</v>
      </c>
      <c r="AC13" s="17">
        <f t="shared" si="5"/>
        <v>479.42857142857144</v>
      </c>
      <c r="AD13" s="17">
        <f t="shared" si="5"/>
        <v>0</v>
      </c>
      <c r="AE13" s="31">
        <f t="shared" si="5"/>
        <v>655.57142857142856</v>
      </c>
      <c r="AF13" s="31">
        <f t="shared" si="5"/>
        <v>1135</v>
      </c>
    </row>
    <row r="14" spans="2:32" ht="23.1" customHeight="1" x14ac:dyDescent="0.25">
      <c r="B14" s="23" t="s">
        <v>41</v>
      </c>
      <c r="C14" s="49">
        <f>AVERAGE('23.09 Seeta-Mukono'!C14,'24.09 Seeta-Mukono'!C14,'25.09 Seeta-Mukono'!C14,'27.09 Seeta-Mukono'!C14,'26.09 Seeta-Mukono-24h'!C14,'28.09 Seeta-Mukono-24h'!C14,'29.09 Seeta-Mukono'!C14)</f>
        <v>71.714285714285708</v>
      </c>
      <c r="D14" s="49">
        <f>AVERAGE('23.09 Seeta-Mukono'!D14,'24.09 Seeta-Mukono'!D14,'25.09 Seeta-Mukono'!D14,'27.09 Seeta-Mukono'!D14,'26.09 Seeta-Mukono-24h'!D14,'28.09 Seeta-Mukono-24h'!D14,'29.09 Seeta-Mukono'!D14)</f>
        <v>10.285714285714286</v>
      </c>
      <c r="E14" s="49">
        <f>AVERAGE('23.09 Seeta-Mukono'!E14,'24.09 Seeta-Mukono'!E14,'25.09 Seeta-Mukono'!E14,'27.09 Seeta-Mukono'!E14,'26.09 Seeta-Mukono-24h'!E14,'28.09 Seeta-Mukono-24h'!E14,'29.09 Seeta-Mukono'!E14)</f>
        <v>12</v>
      </c>
      <c r="F14" s="49">
        <f>AVERAGE('23.09 Seeta-Mukono'!F14,'24.09 Seeta-Mukono'!F14,'25.09 Seeta-Mukono'!F14,'27.09 Seeta-Mukono'!F14,'26.09 Seeta-Mukono-24h'!F14,'28.09 Seeta-Mukono-24h'!F14,'29.09 Seeta-Mukono'!F14)</f>
        <v>46.428571428571431</v>
      </c>
      <c r="G14" s="49">
        <f>AVERAGE('23.09 Seeta-Mukono'!G14,'24.09 Seeta-Mukono'!G14,'25.09 Seeta-Mukono'!G14,'27.09 Seeta-Mukono'!G14,'26.09 Seeta-Mukono-24h'!G14,'28.09 Seeta-Mukono-24h'!G14,'29.09 Seeta-Mukono'!G14)</f>
        <v>2.8571428571428572</v>
      </c>
      <c r="H14" s="49">
        <f>AVERAGE('23.09 Seeta-Mukono'!H14,'24.09 Seeta-Mukono'!H14,'25.09 Seeta-Mukono'!H14,'27.09 Seeta-Mukono'!H14,'26.09 Seeta-Mukono-24h'!H14,'28.09 Seeta-Mukono-24h'!H14,'29.09 Seeta-Mukono'!H14)</f>
        <v>2.1428571428571428</v>
      </c>
      <c r="I14" s="49">
        <f>AVERAGE('23.09 Seeta-Mukono'!I14,'24.09 Seeta-Mukono'!I14,'25.09 Seeta-Mukono'!I14,'27.09 Seeta-Mukono'!I14,'26.09 Seeta-Mukono-24h'!I14,'28.09 Seeta-Mukono-24h'!I14,'29.09 Seeta-Mukono'!I14)</f>
        <v>12.428571428571429</v>
      </c>
      <c r="J14" s="49">
        <f>AVERAGE('23.09 Seeta-Mukono'!J14,'24.09 Seeta-Mukono'!J14,'25.09 Seeta-Mukono'!J14,'27.09 Seeta-Mukono'!J14,'26.09 Seeta-Mukono-24h'!J14,'28.09 Seeta-Mukono-24h'!J14,'29.09 Seeta-Mukono'!J14)</f>
        <v>4</v>
      </c>
      <c r="K14" s="49">
        <f>AVERAGE('23.09 Seeta-Mukono'!K14,'24.09 Seeta-Mukono'!K14,'25.09 Seeta-Mukono'!K14,'27.09 Seeta-Mukono'!K14,'26.09 Seeta-Mukono-24h'!K14,'28.09 Seeta-Mukono-24h'!K14,'29.09 Seeta-Mukono'!K14)</f>
        <v>2.7142857142857144</v>
      </c>
      <c r="L14" s="49">
        <f>AVERAGE('23.09 Seeta-Mukono'!L14,'24.09 Seeta-Mukono'!L14,'25.09 Seeta-Mukono'!L14,'27.09 Seeta-Mukono'!L14,'26.09 Seeta-Mukono-24h'!L14,'28.09 Seeta-Mukono-24h'!L14,'29.09 Seeta-Mukono'!L14)</f>
        <v>3.8571428571428572</v>
      </c>
      <c r="M14" s="49">
        <f>AVERAGE('23.09 Seeta-Mukono'!M14,'24.09 Seeta-Mukono'!M14,'25.09 Seeta-Mukono'!M14,'27.09 Seeta-Mukono'!M14,'26.09 Seeta-Mukono-24h'!M14,'28.09 Seeta-Mukono-24h'!M14,'29.09 Seeta-Mukono'!M14)</f>
        <v>106.85714285714286</v>
      </c>
      <c r="N14" s="49">
        <f>AVERAGE('23.09 Seeta-Mukono'!N14,'24.09 Seeta-Mukono'!N14,'25.09 Seeta-Mukono'!N14,'27.09 Seeta-Mukono'!N14,'26.09 Seeta-Mukono-24h'!N14,'28.09 Seeta-Mukono-24h'!N14,'29.09 Seeta-Mukono'!N14)</f>
        <v>0</v>
      </c>
      <c r="O14" s="15">
        <f t="shared" si="0"/>
        <v>168.42857142857144</v>
      </c>
      <c r="P14" s="15">
        <f t="shared" si="1"/>
        <v>275.28571428571433</v>
      </c>
      <c r="R14" s="1" t="s">
        <v>10</v>
      </c>
      <c r="S14" s="17">
        <f t="shared" ref="S14:AF14" si="6">SUM(C26:C29)</f>
        <v>226.71428571428569</v>
      </c>
      <c r="T14" s="17">
        <f t="shared" si="6"/>
        <v>33.285714285714285</v>
      </c>
      <c r="U14" s="17">
        <f t="shared" si="6"/>
        <v>33.428571428571431</v>
      </c>
      <c r="V14" s="17">
        <f t="shared" si="6"/>
        <v>191.71428571428572</v>
      </c>
      <c r="W14" s="17">
        <f t="shared" si="6"/>
        <v>9</v>
      </c>
      <c r="X14" s="17">
        <f t="shared" si="6"/>
        <v>1.1428571428571428</v>
      </c>
      <c r="Y14" s="17">
        <f t="shared" si="6"/>
        <v>62.142857142857139</v>
      </c>
      <c r="Z14" s="17">
        <f t="shared" si="6"/>
        <v>25.571428571428569</v>
      </c>
      <c r="AA14" s="17">
        <f t="shared" si="6"/>
        <v>16</v>
      </c>
      <c r="AB14" s="17">
        <f t="shared" si="6"/>
        <v>44.428571428571431</v>
      </c>
      <c r="AC14" s="17">
        <f t="shared" si="6"/>
        <v>472.14285714285711</v>
      </c>
      <c r="AD14" s="17">
        <f t="shared" si="6"/>
        <v>0</v>
      </c>
      <c r="AE14" s="31">
        <f t="shared" si="6"/>
        <v>643.42857142857156</v>
      </c>
      <c r="AF14" s="31">
        <f t="shared" si="6"/>
        <v>1115.5714285714284</v>
      </c>
    </row>
    <row r="15" spans="2:32" ht="23.1" customHeight="1" x14ac:dyDescent="0.25">
      <c r="B15" s="23" t="s">
        <v>42</v>
      </c>
      <c r="C15" s="49">
        <f>AVERAGE('23.09 Seeta-Mukono'!C15,'24.09 Seeta-Mukono'!C15,'25.09 Seeta-Mukono'!C15,'27.09 Seeta-Mukono'!C15,'26.09 Seeta-Mukono-24h'!C15,'28.09 Seeta-Mukono-24h'!C15,'29.09 Seeta-Mukono'!C15)</f>
        <v>70.142857142857139</v>
      </c>
      <c r="D15" s="49">
        <f>AVERAGE('23.09 Seeta-Mukono'!D15,'24.09 Seeta-Mukono'!D15,'25.09 Seeta-Mukono'!D15,'27.09 Seeta-Mukono'!D15,'26.09 Seeta-Mukono-24h'!D15,'28.09 Seeta-Mukono-24h'!D15,'29.09 Seeta-Mukono'!D15)</f>
        <v>8.1428571428571423</v>
      </c>
      <c r="E15" s="49">
        <f>AVERAGE('23.09 Seeta-Mukono'!E15,'24.09 Seeta-Mukono'!E15,'25.09 Seeta-Mukono'!E15,'27.09 Seeta-Mukono'!E15,'26.09 Seeta-Mukono-24h'!E15,'28.09 Seeta-Mukono-24h'!E15,'29.09 Seeta-Mukono'!E15)</f>
        <v>10.142857142857142</v>
      </c>
      <c r="F15" s="49">
        <f>AVERAGE('23.09 Seeta-Mukono'!F15,'24.09 Seeta-Mukono'!F15,'25.09 Seeta-Mukono'!F15,'27.09 Seeta-Mukono'!F15,'26.09 Seeta-Mukono-24h'!F15,'28.09 Seeta-Mukono-24h'!F15,'29.09 Seeta-Mukono'!F15)</f>
        <v>50.285714285714285</v>
      </c>
      <c r="G15" s="49">
        <f>AVERAGE('23.09 Seeta-Mukono'!G15,'24.09 Seeta-Mukono'!G15,'25.09 Seeta-Mukono'!G15,'27.09 Seeta-Mukono'!G15,'26.09 Seeta-Mukono-24h'!G15,'28.09 Seeta-Mukono-24h'!G15,'29.09 Seeta-Mukono'!G15)</f>
        <v>1.2857142857142858</v>
      </c>
      <c r="H15" s="49">
        <f>AVERAGE('23.09 Seeta-Mukono'!H15,'24.09 Seeta-Mukono'!H15,'25.09 Seeta-Mukono'!H15,'27.09 Seeta-Mukono'!H15,'26.09 Seeta-Mukono-24h'!H15,'28.09 Seeta-Mukono-24h'!H15,'29.09 Seeta-Mukono'!H15)</f>
        <v>0.5714285714285714</v>
      </c>
      <c r="I15" s="49">
        <f>AVERAGE('23.09 Seeta-Mukono'!I15,'24.09 Seeta-Mukono'!I15,'25.09 Seeta-Mukono'!I15,'27.09 Seeta-Mukono'!I15,'26.09 Seeta-Mukono-24h'!I15,'28.09 Seeta-Mukono-24h'!I15,'29.09 Seeta-Mukono'!I15)</f>
        <v>12.571428571428571</v>
      </c>
      <c r="J15" s="49">
        <f>AVERAGE('23.09 Seeta-Mukono'!J15,'24.09 Seeta-Mukono'!J15,'25.09 Seeta-Mukono'!J15,'27.09 Seeta-Mukono'!J15,'26.09 Seeta-Mukono-24h'!J15,'28.09 Seeta-Mukono-24h'!J15,'29.09 Seeta-Mukono'!J15)</f>
        <v>4.1428571428571432</v>
      </c>
      <c r="K15" s="49">
        <f>AVERAGE('23.09 Seeta-Mukono'!K15,'24.09 Seeta-Mukono'!K15,'25.09 Seeta-Mukono'!K15,'27.09 Seeta-Mukono'!K15,'26.09 Seeta-Mukono-24h'!K15,'28.09 Seeta-Mukono-24h'!K15,'29.09 Seeta-Mukono'!K15)</f>
        <v>1.7142857142857142</v>
      </c>
      <c r="L15" s="49">
        <f>AVERAGE('23.09 Seeta-Mukono'!L15,'24.09 Seeta-Mukono'!L15,'25.09 Seeta-Mukono'!L15,'27.09 Seeta-Mukono'!L15,'26.09 Seeta-Mukono-24h'!L15,'28.09 Seeta-Mukono-24h'!L15,'29.09 Seeta-Mukono'!L15)</f>
        <v>5.7142857142857144</v>
      </c>
      <c r="M15" s="49">
        <f>AVERAGE('23.09 Seeta-Mukono'!M15,'24.09 Seeta-Mukono'!M15,'25.09 Seeta-Mukono'!M15,'27.09 Seeta-Mukono'!M15,'26.09 Seeta-Mukono-24h'!M15,'28.09 Seeta-Mukono-24h'!M15,'29.09 Seeta-Mukono'!M15)</f>
        <v>109.85714285714286</v>
      </c>
      <c r="N15" s="49">
        <f>AVERAGE('23.09 Seeta-Mukono'!N15,'24.09 Seeta-Mukono'!N15,'25.09 Seeta-Mukono'!N15,'27.09 Seeta-Mukono'!N15,'26.09 Seeta-Mukono-24h'!N15,'28.09 Seeta-Mukono-24h'!N15,'29.09 Seeta-Mukono'!N15)</f>
        <v>0</v>
      </c>
      <c r="O15" s="15">
        <f t="shared" si="0"/>
        <v>164.71428571428572</v>
      </c>
      <c r="P15" s="15">
        <f t="shared" si="1"/>
        <v>274.57142857142856</v>
      </c>
      <c r="R15" s="1" t="s">
        <v>11</v>
      </c>
      <c r="S15" s="17">
        <f t="shared" ref="S15:AF15" si="7">SUM(C30:C33)</f>
        <v>209.71428571428572</v>
      </c>
      <c r="T15" s="17">
        <f t="shared" si="7"/>
        <v>25.142857142857142</v>
      </c>
      <c r="U15" s="17">
        <f t="shared" si="7"/>
        <v>31.285714285714285</v>
      </c>
      <c r="V15" s="17">
        <f t="shared" si="7"/>
        <v>187.42857142857144</v>
      </c>
      <c r="W15" s="17">
        <f t="shared" si="7"/>
        <v>8.8571428571428577</v>
      </c>
      <c r="X15" s="17">
        <f t="shared" si="7"/>
        <v>7.7142857142857135</v>
      </c>
      <c r="Y15" s="17">
        <f t="shared" si="7"/>
        <v>60.142857142857146</v>
      </c>
      <c r="Z15" s="17">
        <f t="shared" si="7"/>
        <v>22.142857142857142</v>
      </c>
      <c r="AA15" s="17">
        <f t="shared" si="7"/>
        <v>17.571428571428569</v>
      </c>
      <c r="AB15" s="17">
        <f t="shared" si="7"/>
        <v>43.571428571428569</v>
      </c>
      <c r="AC15" s="17">
        <f t="shared" si="7"/>
        <v>443.42857142857144</v>
      </c>
      <c r="AD15" s="17">
        <f t="shared" si="7"/>
        <v>2.5714285714285712</v>
      </c>
      <c r="AE15" s="31">
        <f t="shared" si="7"/>
        <v>616.14285714285711</v>
      </c>
      <c r="AF15" s="31">
        <f t="shared" si="7"/>
        <v>1059.5714285714284</v>
      </c>
    </row>
    <row r="16" spans="2:32" ht="23.1" customHeight="1" x14ac:dyDescent="0.25">
      <c r="B16" s="23" t="s">
        <v>43</v>
      </c>
      <c r="C16" s="49">
        <f>AVERAGE('23.09 Seeta-Mukono'!C16,'24.09 Seeta-Mukono'!C16,'25.09 Seeta-Mukono'!C16,'27.09 Seeta-Mukono'!C16,'26.09 Seeta-Mukono-24h'!C16,'28.09 Seeta-Mukono-24h'!C16,'29.09 Seeta-Mukono'!C16)</f>
        <v>73.142857142857139</v>
      </c>
      <c r="D16" s="49">
        <f>AVERAGE('23.09 Seeta-Mukono'!D16,'24.09 Seeta-Mukono'!D16,'25.09 Seeta-Mukono'!D16,'27.09 Seeta-Mukono'!D16,'26.09 Seeta-Mukono-24h'!D16,'28.09 Seeta-Mukono-24h'!D16,'29.09 Seeta-Mukono'!D16)</f>
        <v>8.4285714285714288</v>
      </c>
      <c r="E16" s="49">
        <f>AVERAGE('23.09 Seeta-Mukono'!E16,'24.09 Seeta-Mukono'!E16,'25.09 Seeta-Mukono'!E16,'27.09 Seeta-Mukono'!E16,'26.09 Seeta-Mukono-24h'!E16,'28.09 Seeta-Mukono-24h'!E16,'29.09 Seeta-Mukono'!E16)</f>
        <v>10.571428571428571</v>
      </c>
      <c r="F16" s="49">
        <f>AVERAGE('23.09 Seeta-Mukono'!F16,'24.09 Seeta-Mukono'!F16,'25.09 Seeta-Mukono'!F16,'27.09 Seeta-Mukono'!F16,'26.09 Seeta-Mukono-24h'!F16,'28.09 Seeta-Mukono-24h'!F16,'29.09 Seeta-Mukono'!F16)</f>
        <v>40.714285714285715</v>
      </c>
      <c r="G16" s="49">
        <f>AVERAGE('23.09 Seeta-Mukono'!G16,'24.09 Seeta-Mukono'!G16,'25.09 Seeta-Mukono'!G16,'27.09 Seeta-Mukono'!G16,'26.09 Seeta-Mukono-24h'!G16,'28.09 Seeta-Mukono-24h'!G16,'29.09 Seeta-Mukono'!G16)</f>
        <v>1.8571428571428572</v>
      </c>
      <c r="H16" s="49">
        <f>AVERAGE('23.09 Seeta-Mukono'!H16,'24.09 Seeta-Mukono'!H16,'25.09 Seeta-Mukono'!H16,'27.09 Seeta-Mukono'!H16,'26.09 Seeta-Mukono-24h'!H16,'28.09 Seeta-Mukono-24h'!H16,'29.09 Seeta-Mukono'!H16)</f>
        <v>3.2857142857142856</v>
      </c>
      <c r="I16" s="49">
        <f>AVERAGE('23.09 Seeta-Mukono'!I16,'24.09 Seeta-Mukono'!I16,'25.09 Seeta-Mukono'!I16,'27.09 Seeta-Mukono'!I16,'26.09 Seeta-Mukono-24h'!I16,'28.09 Seeta-Mukono-24h'!I16,'29.09 Seeta-Mukono'!I16)</f>
        <v>13.142857142857142</v>
      </c>
      <c r="J16" s="49">
        <f>AVERAGE('23.09 Seeta-Mukono'!J16,'24.09 Seeta-Mukono'!J16,'25.09 Seeta-Mukono'!J16,'27.09 Seeta-Mukono'!J16,'26.09 Seeta-Mukono-24h'!J16,'28.09 Seeta-Mukono-24h'!J16,'29.09 Seeta-Mukono'!J16)</f>
        <v>5</v>
      </c>
      <c r="K16" s="49">
        <f>AVERAGE('23.09 Seeta-Mukono'!K16,'24.09 Seeta-Mukono'!K16,'25.09 Seeta-Mukono'!K16,'27.09 Seeta-Mukono'!K16,'26.09 Seeta-Mukono-24h'!K16,'28.09 Seeta-Mukono-24h'!K16,'29.09 Seeta-Mukono'!K16)</f>
        <v>1.8571428571428572</v>
      </c>
      <c r="L16" s="49">
        <f>AVERAGE('23.09 Seeta-Mukono'!L16,'24.09 Seeta-Mukono'!L16,'25.09 Seeta-Mukono'!L16,'27.09 Seeta-Mukono'!L16,'26.09 Seeta-Mukono-24h'!L16,'28.09 Seeta-Mukono-24h'!L16,'29.09 Seeta-Mukono'!L16)</f>
        <v>2.1428571428571428</v>
      </c>
      <c r="M16" s="49">
        <f>AVERAGE('23.09 Seeta-Mukono'!M16,'24.09 Seeta-Mukono'!M16,'25.09 Seeta-Mukono'!M16,'27.09 Seeta-Mukono'!M16,'26.09 Seeta-Mukono-24h'!M16,'28.09 Seeta-Mukono-24h'!M16,'29.09 Seeta-Mukono'!M16)</f>
        <v>104.28571428571429</v>
      </c>
      <c r="N16" s="49">
        <f>AVERAGE('23.09 Seeta-Mukono'!N16,'24.09 Seeta-Mukono'!N16,'25.09 Seeta-Mukono'!N16,'27.09 Seeta-Mukono'!N16,'26.09 Seeta-Mukono-24h'!N16,'28.09 Seeta-Mukono-24h'!N16,'29.09 Seeta-Mukono'!N16)</f>
        <v>0</v>
      </c>
      <c r="O16" s="15">
        <f t="shared" si="0"/>
        <v>160.14285714285714</v>
      </c>
      <c r="P16" s="15">
        <f t="shared" si="1"/>
        <v>264.42857142857144</v>
      </c>
      <c r="R16" s="1" t="s">
        <v>12</v>
      </c>
      <c r="S16" s="17">
        <f t="shared" ref="S16:AF16" si="8">SUM(C34:C37)</f>
        <v>197</v>
      </c>
      <c r="T16" s="17">
        <f t="shared" si="8"/>
        <v>28</v>
      </c>
      <c r="U16" s="17">
        <f t="shared" si="8"/>
        <v>24.571428571428573</v>
      </c>
      <c r="V16" s="17">
        <f t="shared" si="8"/>
        <v>207.42857142857144</v>
      </c>
      <c r="W16" s="17">
        <f t="shared" si="8"/>
        <v>9.5714285714285712</v>
      </c>
      <c r="X16" s="17">
        <f t="shared" si="8"/>
        <v>1.9999999999999998</v>
      </c>
      <c r="Y16" s="17">
        <f t="shared" si="8"/>
        <v>64.285714285714278</v>
      </c>
      <c r="Z16" s="17">
        <f t="shared" si="8"/>
        <v>27.571428571428573</v>
      </c>
      <c r="AA16" s="17">
        <f t="shared" si="8"/>
        <v>17.571428571428573</v>
      </c>
      <c r="AB16" s="17">
        <f t="shared" si="8"/>
        <v>78.142857142857139</v>
      </c>
      <c r="AC16" s="17">
        <f t="shared" si="8"/>
        <v>399.42857142857144</v>
      </c>
      <c r="AD16" s="17">
        <f t="shared" si="8"/>
        <v>0</v>
      </c>
      <c r="AE16" s="31">
        <f t="shared" si="8"/>
        <v>656.14285714285711</v>
      </c>
      <c r="AF16" s="31">
        <f t="shared" si="8"/>
        <v>1055.5714285714284</v>
      </c>
    </row>
    <row r="17" spans="2:32" ht="23.1" customHeight="1" x14ac:dyDescent="0.25">
      <c r="B17" s="23" t="s">
        <v>44</v>
      </c>
      <c r="C17" s="49">
        <f>AVERAGE('23.09 Seeta-Mukono'!C17,'24.09 Seeta-Mukono'!C17,'25.09 Seeta-Mukono'!C17,'27.09 Seeta-Mukono'!C17,'26.09 Seeta-Mukono-24h'!C17,'28.09 Seeta-Mukono-24h'!C17,'29.09 Seeta-Mukono'!C17)</f>
        <v>69.857142857142861</v>
      </c>
      <c r="D17" s="49">
        <f>AVERAGE('23.09 Seeta-Mukono'!D17,'24.09 Seeta-Mukono'!D17,'25.09 Seeta-Mukono'!D17,'27.09 Seeta-Mukono'!D17,'26.09 Seeta-Mukono-24h'!D17,'28.09 Seeta-Mukono-24h'!D17,'29.09 Seeta-Mukono'!D17)</f>
        <v>9.2857142857142865</v>
      </c>
      <c r="E17" s="49">
        <f>AVERAGE('23.09 Seeta-Mukono'!E17,'24.09 Seeta-Mukono'!E17,'25.09 Seeta-Mukono'!E17,'27.09 Seeta-Mukono'!E17,'26.09 Seeta-Mukono-24h'!E17,'28.09 Seeta-Mukono-24h'!E17,'29.09 Seeta-Mukono'!E17)</f>
        <v>11.142857142857142</v>
      </c>
      <c r="F17" s="49">
        <f>AVERAGE('23.09 Seeta-Mukono'!F17,'24.09 Seeta-Mukono'!F17,'25.09 Seeta-Mukono'!F17,'27.09 Seeta-Mukono'!F17,'26.09 Seeta-Mukono-24h'!F17,'28.09 Seeta-Mukono-24h'!F17,'29.09 Seeta-Mukono'!F17)</f>
        <v>47.285714285714285</v>
      </c>
      <c r="G17" s="49">
        <f>AVERAGE('23.09 Seeta-Mukono'!G17,'24.09 Seeta-Mukono'!G17,'25.09 Seeta-Mukono'!G17,'27.09 Seeta-Mukono'!G17,'26.09 Seeta-Mukono-24h'!G17,'28.09 Seeta-Mukono-24h'!G17,'29.09 Seeta-Mukono'!G17)</f>
        <v>2</v>
      </c>
      <c r="H17" s="49">
        <f>AVERAGE('23.09 Seeta-Mukono'!H17,'24.09 Seeta-Mukono'!H17,'25.09 Seeta-Mukono'!H17,'27.09 Seeta-Mukono'!H17,'26.09 Seeta-Mukono-24h'!H17,'28.09 Seeta-Mukono-24h'!H17,'29.09 Seeta-Mukono'!H17)</f>
        <v>0.14285714285714285</v>
      </c>
      <c r="I17" s="49">
        <f>AVERAGE('23.09 Seeta-Mukono'!I17,'24.09 Seeta-Mukono'!I17,'25.09 Seeta-Mukono'!I17,'27.09 Seeta-Mukono'!I17,'26.09 Seeta-Mukono-24h'!I17,'28.09 Seeta-Mukono-24h'!I17,'29.09 Seeta-Mukono'!I17)</f>
        <v>13.714285714285714</v>
      </c>
      <c r="J17" s="49">
        <f>AVERAGE('23.09 Seeta-Mukono'!J17,'24.09 Seeta-Mukono'!J17,'25.09 Seeta-Mukono'!J17,'27.09 Seeta-Mukono'!J17,'26.09 Seeta-Mukono-24h'!J17,'28.09 Seeta-Mukono-24h'!J17,'29.09 Seeta-Mukono'!J17)</f>
        <v>4.5714285714285712</v>
      </c>
      <c r="K17" s="49">
        <f>AVERAGE('23.09 Seeta-Mukono'!K17,'24.09 Seeta-Mukono'!K17,'25.09 Seeta-Mukono'!K17,'27.09 Seeta-Mukono'!K17,'26.09 Seeta-Mukono-24h'!K17,'28.09 Seeta-Mukono-24h'!K17,'29.09 Seeta-Mukono'!K17)</f>
        <v>3.5714285714285716</v>
      </c>
      <c r="L17" s="49">
        <f>AVERAGE('23.09 Seeta-Mukono'!L17,'24.09 Seeta-Mukono'!L17,'25.09 Seeta-Mukono'!L17,'27.09 Seeta-Mukono'!L17,'26.09 Seeta-Mukono-24h'!L17,'28.09 Seeta-Mukono-24h'!L17,'29.09 Seeta-Mukono'!L17)</f>
        <v>4.1428571428571432</v>
      </c>
      <c r="M17" s="49">
        <f>AVERAGE('23.09 Seeta-Mukono'!M17,'24.09 Seeta-Mukono'!M17,'25.09 Seeta-Mukono'!M17,'27.09 Seeta-Mukono'!M17,'26.09 Seeta-Mukono-24h'!M17,'28.09 Seeta-Mukono-24h'!M17,'29.09 Seeta-Mukono'!M17)</f>
        <v>98.428571428571431</v>
      </c>
      <c r="N17" s="49">
        <f>AVERAGE('23.09 Seeta-Mukono'!N17,'24.09 Seeta-Mukono'!N17,'25.09 Seeta-Mukono'!N17,'27.09 Seeta-Mukono'!N17,'26.09 Seeta-Mukono-24h'!N17,'28.09 Seeta-Mukono-24h'!N17,'29.09 Seeta-Mukono'!N17)</f>
        <v>12.857142857142858</v>
      </c>
      <c r="O17" s="15">
        <f t="shared" si="0"/>
        <v>178.57142857142861</v>
      </c>
      <c r="P17" s="15">
        <f t="shared" si="1"/>
        <v>277</v>
      </c>
      <c r="R17" s="1" t="s">
        <v>13</v>
      </c>
      <c r="S17" s="17">
        <f t="shared" ref="S17:AF17" si="9">SUM(C38:C41)</f>
        <v>195.28571428571428</v>
      </c>
      <c r="T17" s="17">
        <f t="shared" si="9"/>
        <v>27.857142857142854</v>
      </c>
      <c r="U17" s="17">
        <f t="shared" si="9"/>
        <v>36</v>
      </c>
      <c r="V17" s="17">
        <f t="shared" si="9"/>
        <v>190.42857142857144</v>
      </c>
      <c r="W17" s="17">
        <f t="shared" si="9"/>
        <v>10.714285714285715</v>
      </c>
      <c r="X17" s="17">
        <f t="shared" si="9"/>
        <v>1.4285714285714284</v>
      </c>
      <c r="Y17" s="17">
        <f t="shared" si="9"/>
        <v>74</v>
      </c>
      <c r="Z17" s="17">
        <f t="shared" si="9"/>
        <v>22.571428571428569</v>
      </c>
      <c r="AA17" s="17">
        <f t="shared" si="9"/>
        <v>14.285714285714285</v>
      </c>
      <c r="AB17" s="17">
        <f t="shared" si="9"/>
        <v>70.714285714285722</v>
      </c>
      <c r="AC17" s="17">
        <f t="shared" si="9"/>
        <v>397.28571428571422</v>
      </c>
      <c r="AD17" s="17">
        <f t="shared" si="9"/>
        <v>0</v>
      </c>
      <c r="AE17" s="31">
        <f t="shared" si="9"/>
        <v>643.28571428571422</v>
      </c>
      <c r="AF17" s="31">
        <f t="shared" si="9"/>
        <v>1040.5714285714284</v>
      </c>
    </row>
    <row r="18" spans="2:32" ht="23.1" customHeight="1" x14ac:dyDescent="0.25">
      <c r="B18" s="23" t="s">
        <v>45</v>
      </c>
      <c r="C18" s="49">
        <f>AVERAGE('23.09 Seeta-Mukono'!C18,'24.09 Seeta-Mukono'!C18,'25.09 Seeta-Mukono'!C18,'27.09 Seeta-Mukono'!C18,'26.09 Seeta-Mukono-24h'!C18,'28.09 Seeta-Mukono-24h'!C18,'29.09 Seeta-Mukono'!C18)</f>
        <v>71</v>
      </c>
      <c r="D18" s="49">
        <f>AVERAGE('23.09 Seeta-Mukono'!D18,'24.09 Seeta-Mukono'!D18,'25.09 Seeta-Mukono'!D18,'27.09 Seeta-Mukono'!D18,'26.09 Seeta-Mukono-24h'!D18,'28.09 Seeta-Mukono-24h'!D18,'29.09 Seeta-Mukono'!D18)</f>
        <v>9.8571428571428577</v>
      </c>
      <c r="E18" s="49">
        <f>AVERAGE('23.09 Seeta-Mukono'!E18,'24.09 Seeta-Mukono'!E18,'25.09 Seeta-Mukono'!E18,'27.09 Seeta-Mukono'!E18,'26.09 Seeta-Mukono-24h'!E18,'28.09 Seeta-Mukono-24h'!E18,'29.09 Seeta-Mukono'!E18)</f>
        <v>11</v>
      </c>
      <c r="F18" s="49">
        <f>AVERAGE('23.09 Seeta-Mukono'!F18,'24.09 Seeta-Mukono'!F18,'25.09 Seeta-Mukono'!F18,'27.09 Seeta-Mukono'!F18,'26.09 Seeta-Mukono-24h'!F18,'28.09 Seeta-Mukono-24h'!F18,'29.09 Seeta-Mukono'!F18)</f>
        <v>54.428571428571431</v>
      </c>
      <c r="G18" s="49">
        <f>AVERAGE('23.09 Seeta-Mukono'!G18,'24.09 Seeta-Mukono'!G18,'25.09 Seeta-Mukono'!G18,'27.09 Seeta-Mukono'!G18,'26.09 Seeta-Mukono-24h'!G18,'28.09 Seeta-Mukono-24h'!G18,'29.09 Seeta-Mukono'!G18)</f>
        <v>3.1428571428571428</v>
      </c>
      <c r="H18" s="49">
        <f>AVERAGE('23.09 Seeta-Mukono'!H18,'24.09 Seeta-Mukono'!H18,'25.09 Seeta-Mukono'!H18,'27.09 Seeta-Mukono'!H18,'26.09 Seeta-Mukono-24h'!H18,'28.09 Seeta-Mukono-24h'!H18,'29.09 Seeta-Mukono'!H18)</f>
        <v>0.42857142857142855</v>
      </c>
      <c r="I18" s="49">
        <f>AVERAGE('23.09 Seeta-Mukono'!I18,'24.09 Seeta-Mukono'!I18,'25.09 Seeta-Mukono'!I18,'27.09 Seeta-Mukono'!I18,'26.09 Seeta-Mukono-24h'!I18,'28.09 Seeta-Mukono-24h'!I18,'29.09 Seeta-Mukono'!I18)</f>
        <v>16</v>
      </c>
      <c r="J18" s="49">
        <f>AVERAGE('23.09 Seeta-Mukono'!J18,'24.09 Seeta-Mukono'!J18,'25.09 Seeta-Mukono'!J18,'27.09 Seeta-Mukono'!J18,'26.09 Seeta-Mukono-24h'!J18,'28.09 Seeta-Mukono-24h'!J18,'29.09 Seeta-Mukono'!J18)</f>
        <v>3.8571428571428572</v>
      </c>
      <c r="K18" s="49">
        <f>AVERAGE('23.09 Seeta-Mukono'!K18,'24.09 Seeta-Mukono'!K18,'25.09 Seeta-Mukono'!K18,'27.09 Seeta-Mukono'!K18,'26.09 Seeta-Mukono-24h'!K18,'28.09 Seeta-Mukono-24h'!K18,'29.09 Seeta-Mukono'!K18)</f>
        <v>3.8571428571428572</v>
      </c>
      <c r="L18" s="49">
        <f>AVERAGE('23.09 Seeta-Mukono'!L18,'24.09 Seeta-Mukono'!L18,'25.09 Seeta-Mukono'!L18,'27.09 Seeta-Mukono'!L18,'26.09 Seeta-Mukono-24h'!L18,'28.09 Seeta-Mukono-24h'!L18,'29.09 Seeta-Mukono'!L18)</f>
        <v>4.7142857142857144</v>
      </c>
      <c r="M18" s="49">
        <f>AVERAGE('23.09 Seeta-Mukono'!M18,'24.09 Seeta-Mukono'!M18,'25.09 Seeta-Mukono'!M18,'27.09 Seeta-Mukono'!M18,'26.09 Seeta-Mukono-24h'!M18,'28.09 Seeta-Mukono-24h'!M18,'29.09 Seeta-Mukono'!M18)</f>
        <v>121.71428571428571</v>
      </c>
      <c r="N18" s="49">
        <f>AVERAGE('23.09 Seeta-Mukono'!N18,'24.09 Seeta-Mukono'!N18,'25.09 Seeta-Mukono'!N18,'27.09 Seeta-Mukono'!N18,'26.09 Seeta-Mukono-24h'!N18,'28.09 Seeta-Mukono-24h'!N18,'29.09 Seeta-Mukono'!N18)</f>
        <v>0</v>
      </c>
      <c r="O18" s="15">
        <f t="shared" si="0"/>
        <v>178.28571428571428</v>
      </c>
      <c r="P18" s="15">
        <f t="shared" si="1"/>
        <v>300</v>
      </c>
      <c r="R18" s="1" t="s">
        <v>14</v>
      </c>
      <c r="S18" s="17">
        <f t="shared" ref="S18:AF18" si="10">SUM(C42:C45)</f>
        <v>171.14285714285714</v>
      </c>
      <c r="T18" s="17">
        <f t="shared" si="10"/>
        <v>22.857142857142858</v>
      </c>
      <c r="U18" s="17">
        <f t="shared" si="10"/>
        <v>29.142857142857146</v>
      </c>
      <c r="V18" s="17">
        <f t="shared" si="10"/>
        <v>178.85714285714286</v>
      </c>
      <c r="W18" s="17">
        <f t="shared" si="10"/>
        <v>7.8571428571428568</v>
      </c>
      <c r="X18" s="17">
        <f t="shared" si="10"/>
        <v>4.5714285714285721</v>
      </c>
      <c r="Y18" s="17">
        <f t="shared" si="10"/>
        <v>56.428571428571431</v>
      </c>
      <c r="Z18" s="17">
        <f t="shared" si="10"/>
        <v>22.428571428571427</v>
      </c>
      <c r="AA18" s="17">
        <f t="shared" si="10"/>
        <v>19.142857142857142</v>
      </c>
      <c r="AB18" s="17">
        <f t="shared" si="10"/>
        <v>66.285714285714292</v>
      </c>
      <c r="AC18" s="17">
        <f t="shared" si="10"/>
        <v>386.71428571428572</v>
      </c>
      <c r="AD18" s="17">
        <f t="shared" si="10"/>
        <v>0</v>
      </c>
      <c r="AE18" s="31">
        <f t="shared" si="10"/>
        <v>578.71428571428567</v>
      </c>
      <c r="AF18" s="31">
        <f t="shared" si="10"/>
        <v>965.42857142857144</v>
      </c>
    </row>
    <row r="19" spans="2:32" ht="23.1" customHeight="1" x14ac:dyDescent="0.25">
      <c r="B19" s="23" t="s">
        <v>46</v>
      </c>
      <c r="C19" s="49">
        <f>AVERAGE('23.09 Seeta-Mukono'!C19,'24.09 Seeta-Mukono'!C19,'25.09 Seeta-Mukono'!C19,'27.09 Seeta-Mukono'!C19,'26.09 Seeta-Mukono-24h'!C19,'28.09 Seeta-Mukono-24h'!C19,'29.09 Seeta-Mukono'!C19)</f>
        <v>65.428571428571431</v>
      </c>
      <c r="D19" s="49">
        <f>AVERAGE('23.09 Seeta-Mukono'!D19,'24.09 Seeta-Mukono'!D19,'25.09 Seeta-Mukono'!D19,'27.09 Seeta-Mukono'!D19,'26.09 Seeta-Mukono-24h'!D19,'28.09 Seeta-Mukono-24h'!D19,'29.09 Seeta-Mukono'!D19)</f>
        <v>8.7142857142857135</v>
      </c>
      <c r="E19" s="49">
        <f>AVERAGE('23.09 Seeta-Mukono'!E19,'24.09 Seeta-Mukono'!E19,'25.09 Seeta-Mukono'!E19,'27.09 Seeta-Mukono'!E19,'26.09 Seeta-Mukono-24h'!E19,'28.09 Seeta-Mukono-24h'!E19,'29.09 Seeta-Mukono'!E19)</f>
        <v>14.714285714285714</v>
      </c>
      <c r="F19" s="49">
        <f>AVERAGE('23.09 Seeta-Mukono'!F19,'24.09 Seeta-Mukono'!F19,'25.09 Seeta-Mukono'!F19,'27.09 Seeta-Mukono'!F19,'26.09 Seeta-Mukono-24h'!F19,'28.09 Seeta-Mukono-24h'!F19,'29.09 Seeta-Mukono'!F19)</f>
        <v>40.857142857142854</v>
      </c>
      <c r="G19" s="49">
        <f>AVERAGE('23.09 Seeta-Mukono'!G19,'24.09 Seeta-Mukono'!G19,'25.09 Seeta-Mukono'!G19,'27.09 Seeta-Mukono'!G19,'26.09 Seeta-Mukono-24h'!G19,'28.09 Seeta-Mukono-24h'!G19,'29.09 Seeta-Mukono'!G19)</f>
        <v>2.5714285714285716</v>
      </c>
      <c r="H19" s="49">
        <f>AVERAGE('23.09 Seeta-Mukono'!H19,'24.09 Seeta-Mukono'!H19,'25.09 Seeta-Mukono'!H19,'27.09 Seeta-Mukono'!H19,'26.09 Seeta-Mukono-24h'!H19,'28.09 Seeta-Mukono-24h'!H19,'29.09 Seeta-Mukono'!H19)</f>
        <v>1.5714285714285714</v>
      </c>
      <c r="I19" s="49">
        <f>AVERAGE('23.09 Seeta-Mukono'!I19,'24.09 Seeta-Mukono'!I19,'25.09 Seeta-Mukono'!I19,'27.09 Seeta-Mukono'!I19,'26.09 Seeta-Mukono-24h'!I19,'28.09 Seeta-Mukono-24h'!I19,'29.09 Seeta-Mukono'!I19)</f>
        <v>9.2857142857142865</v>
      </c>
      <c r="J19" s="49">
        <f>AVERAGE('23.09 Seeta-Mukono'!J19,'24.09 Seeta-Mukono'!J19,'25.09 Seeta-Mukono'!J19,'27.09 Seeta-Mukono'!J19,'26.09 Seeta-Mukono-24h'!J19,'28.09 Seeta-Mukono-24h'!J19,'29.09 Seeta-Mukono'!J19)</f>
        <v>4.2857142857142856</v>
      </c>
      <c r="K19" s="49">
        <f>AVERAGE('23.09 Seeta-Mukono'!K19,'24.09 Seeta-Mukono'!K19,'25.09 Seeta-Mukono'!K19,'27.09 Seeta-Mukono'!K19,'26.09 Seeta-Mukono-24h'!K19,'28.09 Seeta-Mukono-24h'!K19,'29.09 Seeta-Mukono'!K19)</f>
        <v>2.2857142857142856</v>
      </c>
      <c r="L19" s="49">
        <f>AVERAGE('23.09 Seeta-Mukono'!L19,'24.09 Seeta-Mukono'!L19,'25.09 Seeta-Mukono'!L19,'27.09 Seeta-Mukono'!L19,'26.09 Seeta-Mukono-24h'!L19,'28.09 Seeta-Mukono-24h'!L19,'29.09 Seeta-Mukono'!L19)</f>
        <v>3</v>
      </c>
      <c r="M19" s="49">
        <f>AVERAGE('23.09 Seeta-Mukono'!M19,'24.09 Seeta-Mukono'!M19,'25.09 Seeta-Mukono'!M19,'27.09 Seeta-Mukono'!M19,'26.09 Seeta-Mukono-24h'!M19,'28.09 Seeta-Mukono-24h'!M19,'29.09 Seeta-Mukono'!M19)</f>
        <v>123.14285714285714</v>
      </c>
      <c r="N19" s="49">
        <f>AVERAGE('23.09 Seeta-Mukono'!N19,'24.09 Seeta-Mukono'!N19,'25.09 Seeta-Mukono'!N19,'27.09 Seeta-Mukono'!N19,'26.09 Seeta-Mukono-24h'!N19,'28.09 Seeta-Mukono-24h'!N19,'29.09 Seeta-Mukono'!N19)</f>
        <v>0</v>
      </c>
      <c r="O19" s="15">
        <f t="shared" si="0"/>
        <v>152.71428571428569</v>
      </c>
      <c r="P19" s="15">
        <f t="shared" si="1"/>
        <v>275.85714285714283</v>
      </c>
      <c r="R19" s="1" t="s">
        <v>15</v>
      </c>
      <c r="S19" s="17">
        <f t="shared" ref="S19:AF19" si="11">SUM(C46:C49)</f>
        <v>191.28571428571428</v>
      </c>
      <c r="T19" s="17">
        <f t="shared" si="11"/>
        <v>25.142857142857146</v>
      </c>
      <c r="U19" s="17">
        <f t="shared" si="11"/>
        <v>26.714285714285715</v>
      </c>
      <c r="V19" s="17">
        <f t="shared" si="11"/>
        <v>177.42857142857144</v>
      </c>
      <c r="W19" s="17">
        <f t="shared" si="11"/>
        <v>11</v>
      </c>
      <c r="X19" s="17">
        <f t="shared" si="11"/>
        <v>4.7142857142857144</v>
      </c>
      <c r="Y19" s="17">
        <f t="shared" si="11"/>
        <v>54.714285714285715</v>
      </c>
      <c r="Z19" s="17">
        <f t="shared" si="11"/>
        <v>19.285714285714285</v>
      </c>
      <c r="AA19" s="17">
        <f t="shared" si="11"/>
        <v>15.428571428571429</v>
      </c>
      <c r="AB19" s="17">
        <f t="shared" si="11"/>
        <v>110.42857142857144</v>
      </c>
      <c r="AC19" s="17">
        <f t="shared" si="11"/>
        <v>405.28571428571428</v>
      </c>
      <c r="AD19" s="17">
        <f t="shared" si="11"/>
        <v>0</v>
      </c>
      <c r="AE19" s="31">
        <f t="shared" si="11"/>
        <v>636.14285714285711</v>
      </c>
      <c r="AF19" s="31">
        <f t="shared" si="11"/>
        <v>1041.4285714285716</v>
      </c>
    </row>
    <row r="20" spans="2:32" ht="23.1" customHeight="1" x14ac:dyDescent="0.25">
      <c r="B20" s="23" t="s">
        <v>47</v>
      </c>
      <c r="C20" s="49">
        <f>AVERAGE('23.09 Seeta-Mukono'!C20,'24.09 Seeta-Mukono'!C20,'25.09 Seeta-Mukono'!C20,'27.09 Seeta-Mukono'!C20,'26.09 Seeta-Mukono-24h'!C20,'28.09 Seeta-Mukono-24h'!C20,'29.09 Seeta-Mukono'!C20)</f>
        <v>57</v>
      </c>
      <c r="D20" s="49">
        <f>AVERAGE('23.09 Seeta-Mukono'!D20,'24.09 Seeta-Mukono'!D20,'25.09 Seeta-Mukono'!D20,'27.09 Seeta-Mukono'!D20,'26.09 Seeta-Mukono-24h'!D20,'28.09 Seeta-Mukono-24h'!D20,'29.09 Seeta-Mukono'!D20)</f>
        <v>8.2857142857142865</v>
      </c>
      <c r="E20" s="49">
        <f>AVERAGE('23.09 Seeta-Mukono'!E20,'24.09 Seeta-Mukono'!E20,'25.09 Seeta-Mukono'!E20,'27.09 Seeta-Mukono'!E20,'26.09 Seeta-Mukono-24h'!E20,'28.09 Seeta-Mukono-24h'!E20,'29.09 Seeta-Mukono'!E20)</f>
        <v>8.8571428571428577</v>
      </c>
      <c r="F20" s="49">
        <f>AVERAGE('23.09 Seeta-Mukono'!F20,'24.09 Seeta-Mukono'!F20,'25.09 Seeta-Mukono'!F20,'27.09 Seeta-Mukono'!F20,'26.09 Seeta-Mukono-24h'!F20,'28.09 Seeta-Mukono-24h'!F20,'29.09 Seeta-Mukono'!F20)</f>
        <v>51.142857142857146</v>
      </c>
      <c r="G20" s="49">
        <f>AVERAGE('23.09 Seeta-Mukono'!G20,'24.09 Seeta-Mukono'!G20,'25.09 Seeta-Mukono'!G20,'27.09 Seeta-Mukono'!G20,'26.09 Seeta-Mukono-24h'!G20,'28.09 Seeta-Mukono-24h'!G20,'29.09 Seeta-Mukono'!G20)</f>
        <v>2.7142857142857144</v>
      </c>
      <c r="H20" s="49">
        <f>AVERAGE('23.09 Seeta-Mukono'!H20,'24.09 Seeta-Mukono'!H20,'25.09 Seeta-Mukono'!H20,'27.09 Seeta-Mukono'!H20,'26.09 Seeta-Mukono-24h'!H20,'28.09 Seeta-Mukono-24h'!H20,'29.09 Seeta-Mukono'!H20)</f>
        <v>0.5714285714285714</v>
      </c>
      <c r="I20" s="49">
        <f>AVERAGE('23.09 Seeta-Mukono'!I20,'24.09 Seeta-Mukono'!I20,'25.09 Seeta-Mukono'!I20,'27.09 Seeta-Mukono'!I20,'26.09 Seeta-Mukono-24h'!I20,'28.09 Seeta-Mukono-24h'!I20,'29.09 Seeta-Mukono'!I20)</f>
        <v>13.428571428571429</v>
      </c>
      <c r="J20" s="49">
        <f>AVERAGE('23.09 Seeta-Mukono'!J20,'24.09 Seeta-Mukono'!J20,'25.09 Seeta-Mukono'!J20,'27.09 Seeta-Mukono'!J20,'26.09 Seeta-Mukono-24h'!J20,'28.09 Seeta-Mukono-24h'!J20,'29.09 Seeta-Mukono'!J20)</f>
        <v>5</v>
      </c>
      <c r="K20" s="49">
        <f>AVERAGE('23.09 Seeta-Mukono'!K20,'24.09 Seeta-Mukono'!K20,'25.09 Seeta-Mukono'!K20,'27.09 Seeta-Mukono'!K20,'26.09 Seeta-Mukono-24h'!K20,'28.09 Seeta-Mukono-24h'!K20,'29.09 Seeta-Mukono'!K20)</f>
        <v>2.2857142857142856</v>
      </c>
      <c r="L20" s="49">
        <f>AVERAGE('23.09 Seeta-Mukono'!L20,'24.09 Seeta-Mukono'!L20,'25.09 Seeta-Mukono'!L20,'27.09 Seeta-Mukono'!L20,'26.09 Seeta-Mukono-24h'!L20,'28.09 Seeta-Mukono-24h'!L20,'29.09 Seeta-Mukono'!L20)</f>
        <v>4.7142857142857144</v>
      </c>
      <c r="M20" s="49">
        <f>AVERAGE('23.09 Seeta-Mukono'!M20,'24.09 Seeta-Mukono'!M20,'25.09 Seeta-Mukono'!M20,'27.09 Seeta-Mukono'!M20,'26.09 Seeta-Mukono-24h'!M20,'28.09 Seeta-Mukono-24h'!M20,'29.09 Seeta-Mukono'!M20)</f>
        <v>122</v>
      </c>
      <c r="N20" s="49">
        <f>AVERAGE('23.09 Seeta-Mukono'!N20,'24.09 Seeta-Mukono'!N20,'25.09 Seeta-Mukono'!N20,'27.09 Seeta-Mukono'!N20,'26.09 Seeta-Mukono-24h'!N20,'28.09 Seeta-Mukono-24h'!N20,'29.09 Seeta-Mukono'!N20)</f>
        <v>0</v>
      </c>
      <c r="O20" s="15">
        <f t="shared" si="0"/>
        <v>154.00000000000003</v>
      </c>
      <c r="P20" s="15">
        <f t="shared" si="1"/>
        <v>276</v>
      </c>
      <c r="R20" s="1" t="s">
        <v>16</v>
      </c>
      <c r="S20" s="17">
        <f t="shared" ref="S20:AF20" si="12">SUM(C50:C53)</f>
        <v>196.85714285714286</v>
      </c>
      <c r="T20" s="17">
        <f t="shared" si="12"/>
        <v>26.428571428571431</v>
      </c>
      <c r="U20" s="17">
        <f t="shared" si="12"/>
        <v>26.714285714285715</v>
      </c>
      <c r="V20" s="17">
        <f t="shared" si="12"/>
        <v>199.85714285714283</v>
      </c>
      <c r="W20" s="17">
        <f t="shared" si="12"/>
        <v>17.714285714285715</v>
      </c>
      <c r="X20" s="17">
        <f t="shared" si="12"/>
        <v>2.4285714285714284</v>
      </c>
      <c r="Y20" s="17">
        <f t="shared" si="12"/>
        <v>55</v>
      </c>
      <c r="Z20" s="17">
        <f t="shared" si="12"/>
        <v>22.714285714285715</v>
      </c>
      <c r="AA20" s="17">
        <f t="shared" si="12"/>
        <v>14.714285714285715</v>
      </c>
      <c r="AB20" s="17">
        <f t="shared" si="12"/>
        <v>73.285714285714278</v>
      </c>
      <c r="AC20" s="17">
        <f t="shared" si="12"/>
        <v>479</v>
      </c>
      <c r="AD20" s="17">
        <f t="shared" si="12"/>
        <v>0.2857142857142857</v>
      </c>
      <c r="AE20" s="31">
        <f t="shared" si="12"/>
        <v>636</v>
      </c>
      <c r="AF20" s="31">
        <f t="shared" si="12"/>
        <v>1115</v>
      </c>
    </row>
    <row r="21" spans="2:32" ht="23.1" customHeight="1" x14ac:dyDescent="0.25">
      <c r="B21" s="23" t="s">
        <v>48</v>
      </c>
      <c r="C21" s="49">
        <f>AVERAGE('23.09 Seeta-Mukono'!C21,'24.09 Seeta-Mukono'!C21,'25.09 Seeta-Mukono'!C21,'27.09 Seeta-Mukono'!C21,'26.09 Seeta-Mukono-24h'!C21,'28.09 Seeta-Mukono-24h'!C21,'29.09 Seeta-Mukono'!C21)</f>
        <v>69</v>
      </c>
      <c r="D21" s="49">
        <f>AVERAGE('23.09 Seeta-Mukono'!D21,'24.09 Seeta-Mukono'!D21,'25.09 Seeta-Mukono'!D21,'27.09 Seeta-Mukono'!D21,'26.09 Seeta-Mukono-24h'!D21,'28.09 Seeta-Mukono-24h'!D21,'29.09 Seeta-Mukono'!D21)</f>
        <v>9.2857142857142865</v>
      </c>
      <c r="E21" s="49">
        <f>AVERAGE('23.09 Seeta-Mukono'!E21,'24.09 Seeta-Mukono'!E21,'25.09 Seeta-Mukono'!E21,'27.09 Seeta-Mukono'!E21,'26.09 Seeta-Mukono-24h'!E21,'28.09 Seeta-Mukono-24h'!E21,'29.09 Seeta-Mukono'!E21)</f>
        <v>7.8571428571428568</v>
      </c>
      <c r="F21" s="49">
        <f>AVERAGE('23.09 Seeta-Mukono'!F21,'24.09 Seeta-Mukono'!F21,'25.09 Seeta-Mukono'!F21,'27.09 Seeta-Mukono'!F21,'26.09 Seeta-Mukono-24h'!F21,'28.09 Seeta-Mukono-24h'!F21,'29.09 Seeta-Mukono'!F21)</f>
        <v>59.428571428571431</v>
      </c>
      <c r="G21" s="49">
        <f>AVERAGE('23.09 Seeta-Mukono'!G21,'24.09 Seeta-Mukono'!G21,'25.09 Seeta-Mukono'!G21,'27.09 Seeta-Mukono'!G21,'26.09 Seeta-Mukono-24h'!G21,'28.09 Seeta-Mukono-24h'!G21,'29.09 Seeta-Mukono'!G21)</f>
        <v>3.1428571428571428</v>
      </c>
      <c r="H21" s="49">
        <f>AVERAGE('23.09 Seeta-Mukono'!H21,'24.09 Seeta-Mukono'!H21,'25.09 Seeta-Mukono'!H21,'27.09 Seeta-Mukono'!H21,'26.09 Seeta-Mukono-24h'!H21,'28.09 Seeta-Mukono-24h'!H21,'29.09 Seeta-Mukono'!H21)</f>
        <v>0.8571428571428571</v>
      </c>
      <c r="I21" s="49">
        <f>AVERAGE('23.09 Seeta-Mukono'!I21,'24.09 Seeta-Mukono'!I21,'25.09 Seeta-Mukono'!I21,'27.09 Seeta-Mukono'!I21,'26.09 Seeta-Mukono-24h'!I21,'28.09 Seeta-Mukono-24h'!I21,'29.09 Seeta-Mukono'!I21)</f>
        <v>26</v>
      </c>
      <c r="J21" s="49">
        <f>AVERAGE('23.09 Seeta-Mukono'!J21,'24.09 Seeta-Mukono'!J21,'25.09 Seeta-Mukono'!J21,'27.09 Seeta-Mukono'!J21,'26.09 Seeta-Mukono-24h'!J21,'28.09 Seeta-Mukono-24h'!J21,'29.09 Seeta-Mukono'!J21)</f>
        <v>6.8571428571428568</v>
      </c>
      <c r="K21" s="49">
        <f>AVERAGE('23.09 Seeta-Mukono'!K21,'24.09 Seeta-Mukono'!K21,'25.09 Seeta-Mukono'!K21,'27.09 Seeta-Mukono'!K21,'26.09 Seeta-Mukono-24h'!K21,'28.09 Seeta-Mukono-24h'!K21,'29.09 Seeta-Mukono'!K21)</f>
        <v>2.7142857142857144</v>
      </c>
      <c r="L21" s="49">
        <f>AVERAGE('23.09 Seeta-Mukono'!L21,'24.09 Seeta-Mukono'!L21,'25.09 Seeta-Mukono'!L21,'27.09 Seeta-Mukono'!L21,'26.09 Seeta-Mukono-24h'!L21,'28.09 Seeta-Mukono-24h'!L21,'29.09 Seeta-Mukono'!L21)</f>
        <v>6.2857142857142856</v>
      </c>
      <c r="M21" s="49">
        <f>AVERAGE('23.09 Seeta-Mukono'!M21,'24.09 Seeta-Mukono'!M21,'25.09 Seeta-Mukono'!M21,'27.09 Seeta-Mukono'!M21,'26.09 Seeta-Mukono-24h'!M21,'28.09 Seeta-Mukono-24h'!M21,'29.09 Seeta-Mukono'!M21)</f>
        <v>124.57142857142857</v>
      </c>
      <c r="N21" s="49">
        <f>AVERAGE('23.09 Seeta-Mukono'!N21,'24.09 Seeta-Mukono'!N21,'25.09 Seeta-Mukono'!N21,'27.09 Seeta-Mukono'!N21,'26.09 Seeta-Mukono-24h'!N21,'28.09 Seeta-Mukono-24h'!N21,'29.09 Seeta-Mukono'!N21)</f>
        <v>0</v>
      </c>
      <c r="O21" s="15">
        <f t="shared" si="0"/>
        <v>191.42857142857144</v>
      </c>
      <c r="P21" s="15">
        <f t="shared" si="1"/>
        <v>316</v>
      </c>
      <c r="R21" s="1" t="s">
        <v>20</v>
      </c>
      <c r="S21" s="34">
        <f t="shared" ref="S21:AF21" si="13">SUM(C54:C57)</f>
        <v>199.42857142857144</v>
      </c>
      <c r="T21" s="17">
        <f t="shared" si="13"/>
        <v>31.142857142857142</v>
      </c>
      <c r="U21" s="17">
        <f t="shared" si="13"/>
        <v>25.142857142857142</v>
      </c>
      <c r="V21" s="17">
        <f t="shared" si="13"/>
        <v>164.71428571428572</v>
      </c>
      <c r="W21" s="17">
        <f t="shared" si="13"/>
        <v>29.714285714285715</v>
      </c>
      <c r="X21" s="17">
        <f t="shared" si="13"/>
        <v>6.4285714285714279</v>
      </c>
      <c r="Y21" s="17">
        <f t="shared" si="13"/>
        <v>39.714285714285715</v>
      </c>
      <c r="Z21" s="17">
        <f t="shared" si="13"/>
        <v>17.714285714285715</v>
      </c>
      <c r="AA21" s="17">
        <f t="shared" si="13"/>
        <v>12.857142857142858</v>
      </c>
      <c r="AB21" s="17">
        <f t="shared" si="13"/>
        <v>59.142857142857146</v>
      </c>
      <c r="AC21" s="17">
        <f t="shared" si="13"/>
        <v>618.85714285714289</v>
      </c>
      <c r="AD21" s="17">
        <f t="shared" si="13"/>
        <v>0.2857142857142857</v>
      </c>
      <c r="AE21" s="31">
        <f t="shared" si="13"/>
        <v>586.28571428571422</v>
      </c>
      <c r="AF21" s="31">
        <f t="shared" si="13"/>
        <v>1205.1428571428571</v>
      </c>
    </row>
    <row r="22" spans="2:32" ht="23.1" customHeight="1" x14ac:dyDescent="0.25">
      <c r="B22" s="23" t="s">
        <v>49</v>
      </c>
      <c r="C22" s="49">
        <f>AVERAGE('23.09 Seeta-Mukono'!C22,'24.09 Seeta-Mukono'!C22,'25.09 Seeta-Mukono'!C22,'27.09 Seeta-Mukono'!C22,'26.09 Seeta-Mukono-24h'!C22,'28.09 Seeta-Mukono-24h'!C22,'29.09 Seeta-Mukono'!C22)</f>
        <v>62.571428571428569</v>
      </c>
      <c r="D22" s="49">
        <f>AVERAGE('23.09 Seeta-Mukono'!D22,'24.09 Seeta-Mukono'!D22,'25.09 Seeta-Mukono'!D22,'27.09 Seeta-Mukono'!D22,'26.09 Seeta-Mukono-24h'!D22,'28.09 Seeta-Mukono-24h'!D22,'29.09 Seeta-Mukono'!D22)</f>
        <v>6.4285714285714288</v>
      </c>
      <c r="E22" s="49">
        <f>AVERAGE('23.09 Seeta-Mukono'!E22,'24.09 Seeta-Mukono'!E22,'25.09 Seeta-Mukono'!E22,'27.09 Seeta-Mukono'!E22,'26.09 Seeta-Mukono-24h'!E22,'28.09 Seeta-Mukono-24h'!E22,'29.09 Seeta-Mukono'!E22)</f>
        <v>12.857142857142858</v>
      </c>
      <c r="F22" s="49">
        <f>AVERAGE('23.09 Seeta-Mukono'!F22,'24.09 Seeta-Mukono'!F22,'25.09 Seeta-Mukono'!F22,'27.09 Seeta-Mukono'!F22,'26.09 Seeta-Mukono-24h'!F22,'28.09 Seeta-Mukono-24h'!F22,'29.09 Seeta-Mukono'!F22)</f>
        <v>32.428571428571431</v>
      </c>
      <c r="G22" s="49">
        <f>AVERAGE('23.09 Seeta-Mukono'!G22,'24.09 Seeta-Mukono'!G22,'25.09 Seeta-Mukono'!G22,'27.09 Seeta-Mukono'!G22,'26.09 Seeta-Mukono-24h'!G22,'28.09 Seeta-Mukono-24h'!G22,'29.09 Seeta-Mukono'!G22)</f>
        <v>1.8571428571428572</v>
      </c>
      <c r="H22" s="49">
        <f>AVERAGE('23.09 Seeta-Mukono'!H22,'24.09 Seeta-Mukono'!H22,'25.09 Seeta-Mukono'!H22,'27.09 Seeta-Mukono'!H22,'26.09 Seeta-Mukono-24h'!H22,'28.09 Seeta-Mukono-24h'!H22,'29.09 Seeta-Mukono'!H22)</f>
        <v>4.1428571428571432</v>
      </c>
      <c r="I22" s="49">
        <f>AVERAGE('23.09 Seeta-Mukono'!I22,'24.09 Seeta-Mukono'!I22,'25.09 Seeta-Mukono'!I22,'27.09 Seeta-Mukono'!I22,'26.09 Seeta-Mukono-24h'!I22,'28.09 Seeta-Mukono-24h'!I22,'29.09 Seeta-Mukono'!I22)</f>
        <v>11.285714285714286</v>
      </c>
      <c r="J22" s="49">
        <f>AVERAGE('23.09 Seeta-Mukono'!J22,'24.09 Seeta-Mukono'!J22,'25.09 Seeta-Mukono'!J22,'27.09 Seeta-Mukono'!J22,'26.09 Seeta-Mukono-24h'!J22,'28.09 Seeta-Mukono-24h'!J22,'29.09 Seeta-Mukono'!J22)</f>
        <v>5</v>
      </c>
      <c r="K22" s="49">
        <f>AVERAGE('23.09 Seeta-Mukono'!K22,'24.09 Seeta-Mukono'!K22,'25.09 Seeta-Mukono'!K22,'27.09 Seeta-Mukono'!K22,'26.09 Seeta-Mukono-24h'!K22,'28.09 Seeta-Mukono-24h'!K22,'29.09 Seeta-Mukono'!K22)</f>
        <v>2.8571428571428572</v>
      </c>
      <c r="L22" s="49">
        <f>AVERAGE('23.09 Seeta-Mukono'!L22,'24.09 Seeta-Mukono'!L22,'25.09 Seeta-Mukono'!L22,'27.09 Seeta-Mukono'!L22,'26.09 Seeta-Mukono-24h'!L22,'28.09 Seeta-Mukono-24h'!L22,'29.09 Seeta-Mukono'!L22)</f>
        <v>5.8571428571428568</v>
      </c>
      <c r="M22" s="49">
        <f>AVERAGE('23.09 Seeta-Mukono'!M22,'24.09 Seeta-Mukono'!M22,'25.09 Seeta-Mukono'!M22,'27.09 Seeta-Mukono'!M22,'26.09 Seeta-Mukono-24h'!M22,'28.09 Seeta-Mukono-24h'!M22,'29.09 Seeta-Mukono'!M22)</f>
        <v>120.28571428571429</v>
      </c>
      <c r="N22" s="49">
        <f>AVERAGE('23.09 Seeta-Mukono'!N22,'24.09 Seeta-Mukono'!N22,'25.09 Seeta-Mukono'!N22,'27.09 Seeta-Mukono'!N22,'26.09 Seeta-Mukono-24h'!N22,'28.09 Seeta-Mukono-24h'!N22,'29.09 Seeta-Mukono'!N22)</f>
        <v>0</v>
      </c>
      <c r="O22" s="15">
        <f t="shared" si="0"/>
        <v>145.28571428571431</v>
      </c>
      <c r="P22" s="15">
        <f t="shared" si="1"/>
        <v>265.57142857142861</v>
      </c>
      <c r="R22" s="1" t="s">
        <v>146</v>
      </c>
      <c r="S22" s="34">
        <f>SUM(C58:C61)</f>
        <v>124</v>
      </c>
      <c r="T22" s="34">
        <f t="shared" ref="T22:AF22" si="14">SUM(D58:D61)</f>
        <v>42</v>
      </c>
      <c r="U22" s="34">
        <f t="shared" si="14"/>
        <v>19</v>
      </c>
      <c r="V22" s="34">
        <f t="shared" si="14"/>
        <v>144.5</v>
      </c>
      <c r="W22" s="34">
        <f t="shared" si="14"/>
        <v>10.5</v>
      </c>
      <c r="X22" s="34">
        <f t="shared" si="14"/>
        <v>2.5</v>
      </c>
      <c r="Y22" s="34">
        <f t="shared" si="14"/>
        <v>42</v>
      </c>
      <c r="Z22" s="34">
        <f t="shared" si="14"/>
        <v>23.5</v>
      </c>
      <c r="AA22" s="34">
        <f t="shared" si="14"/>
        <v>12</v>
      </c>
      <c r="AB22" s="34">
        <f t="shared" si="14"/>
        <v>35.5</v>
      </c>
      <c r="AC22" s="34">
        <f t="shared" si="14"/>
        <v>670</v>
      </c>
      <c r="AD22" s="34">
        <f t="shared" si="14"/>
        <v>0</v>
      </c>
      <c r="AE22" s="31">
        <f t="shared" si="14"/>
        <v>455.5</v>
      </c>
      <c r="AF22" s="31">
        <f t="shared" si="14"/>
        <v>1125.5</v>
      </c>
    </row>
    <row r="23" spans="2:32" ht="23.1" customHeight="1" x14ac:dyDescent="0.25">
      <c r="B23" s="23" t="s">
        <v>50</v>
      </c>
      <c r="C23" s="49">
        <f>AVERAGE('23.09 Seeta-Mukono'!C23,'24.09 Seeta-Mukono'!C23,'25.09 Seeta-Mukono'!C23,'27.09 Seeta-Mukono'!C23,'26.09 Seeta-Mukono-24h'!C23,'28.09 Seeta-Mukono-24h'!C23,'29.09 Seeta-Mukono'!C23)</f>
        <v>70.142857142857139</v>
      </c>
      <c r="D23" s="49">
        <f>AVERAGE('23.09 Seeta-Mukono'!D23,'24.09 Seeta-Mukono'!D23,'25.09 Seeta-Mukono'!D23,'27.09 Seeta-Mukono'!D23,'26.09 Seeta-Mukono-24h'!D23,'28.09 Seeta-Mukono-24h'!D23,'29.09 Seeta-Mukono'!D23)</f>
        <v>8.2857142857142865</v>
      </c>
      <c r="E23" s="49">
        <f>AVERAGE('23.09 Seeta-Mukono'!E23,'24.09 Seeta-Mukono'!E23,'25.09 Seeta-Mukono'!E23,'27.09 Seeta-Mukono'!E23,'26.09 Seeta-Mukono-24h'!E23,'28.09 Seeta-Mukono-24h'!E23,'29.09 Seeta-Mukono'!E23)</f>
        <v>9.8571428571428577</v>
      </c>
      <c r="F23" s="49">
        <f>AVERAGE('23.09 Seeta-Mukono'!F23,'24.09 Seeta-Mukono'!F23,'25.09 Seeta-Mukono'!F23,'27.09 Seeta-Mukono'!F23,'26.09 Seeta-Mukono-24h'!F23,'28.09 Seeta-Mukono-24h'!F23,'29.09 Seeta-Mukono'!F23)</f>
        <v>48.428571428571431</v>
      </c>
      <c r="G23" s="49">
        <f>AVERAGE('23.09 Seeta-Mukono'!G23,'24.09 Seeta-Mukono'!G23,'25.09 Seeta-Mukono'!G23,'27.09 Seeta-Mukono'!G23,'26.09 Seeta-Mukono-24h'!G23,'28.09 Seeta-Mukono-24h'!G23,'29.09 Seeta-Mukono'!G23)</f>
        <v>3.2857142857142856</v>
      </c>
      <c r="H23" s="49">
        <f>AVERAGE('23.09 Seeta-Mukono'!H23,'24.09 Seeta-Mukono'!H23,'25.09 Seeta-Mukono'!H23,'27.09 Seeta-Mukono'!H23,'26.09 Seeta-Mukono-24h'!H23,'28.09 Seeta-Mukono-24h'!H23,'29.09 Seeta-Mukono'!H23)</f>
        <v>0.2857142857142857</v>
      </c>
      <c r="I23" s="49">
        <f>AVERAGE('23.09 Seeta-Mukono'!I23,'24.09 Seeta-Mukono'!I23,'25.09 Seeta-Mukono'!I23,'27.09 Seeta-Mukono'!I23,'26.09 Seeta-Mukono-24h'!I23,'28.09 Seeta-Mukono-24h'!I23,'29.09 Seeta-Mukono'!I23)</f>
        <v>17.571428571428573</v>
      </c>
      <c r="J23" s="49">
        <f>AVERAGE('23.09 Seeta-Mukono'!J23,'24.09 Seeta-Mukono'!J23,'25.09 Seeta-Mukono'!J23,'27.09 Seeta-Mukono'!J23,'26.09 Seeta-Mukono-24h'!J23,'28.09 Seeta-Mukono-24h'!J23,'29.09 Seeta-Mukono'!J23)</f>
        <v>6.4285714285714288</v>
      </c>
      <c r="K23" s="49">
        <f>AVERAGE('23.09 Seeta-Mukono'!K23,'24.09 Seeta-Mukono'!K23,'25.09 Seeta-Mukono'!K23,'27.09 Seeta-Mukono'!K23,'26.09 Seeta-Mukono-24h'!K23,'28.09 Seeta-Mukono-24h'!K23,'29.09 Seeta-Mukono'!K23)</f>
        <v>2.8571428571428572</v>
      </c>
      <c r="L23" s="49">
        <f>AVERAGE('23.09 Seeta-Mukono'!L23,'24.09 Seeta-Mukono'!L23,'25.09 Seeta-Mukono'!L23,'27.09 Seeta-Mukono'!L23,'26.09 Seeta-Mukono-24h'!L23,'28.09 Seeta-Mukono-24h'!L23,'29.09 Seeta-Mukono'!L23)</f>
        <v>9.1428571428571423</v>
      </c>
      <c r="M23" s="49">
        <f>AVERAGE('23.09 Seeta-Mukono'!M23,'24.09 Seeta-Mukono'!M23,'25.09 Seeta-Mukono'!M23,'27.09 Seeta-Mukono'!M23,'26.09 Seeta-Mukono-24h'!M23,'28.09 Seeta-Mukono-24h'!M23,'29.09 Seeta-Mukono'!M23)</f>
        <v>132.71428571428572</v>
      </c>
      <c r="N23" s="49">
        <f>AVERAGE('23.09 Seeta-Mukono'!N23,'24.09 Seeta-Mukono'!N23,'25.09 Seeta-Mukono'!N23,'27.09 Seeta-Mukono'!N23,'26.09 Seeta-Mukono-24h'!N23,'28.09 Seeta-Mukono-24h'!N23,'29.09 Seeta-Mukono'!N23)</f>
        <v>0</v>
      </c>
      <c r="O23" s="15">
        <f t="shared" si="0"/>
        <v>176.28571428571428</v>
      </c>
      <c r="P23" s="15">
        <f t="shared" si="1"/>
        <v>309</v>
      </c>
      <c r="R23" s="1" t="s">
        <v>147</v>
      </c>
      <c r="S23" s="34">
        <f>SUM(C62:C65)</f>
        <v>197.5</v>
      </c>
      <c r="T23" s="34">
        <f t="shared" ref="T23:AF23" si="15">SUM(D62:D65)</f>
        <v>46.5</v>
      </c>
      <c r="U23" s="34">
        <f t="shared" si="15"/>
        <v>23.5</v>
      </c>
      <c r="V23" s="34">
        <f t="shared" si="15"/>
        <v>184.5</v>
      </c>
      <c r="W23" s="34">
        <f t="shared" si="15"/>
        <v>11</v>
      </c>
      <c r="X23" s="34">
        <f t="shared" si="15"/>
        <v>6.5</v>
      </c>
      <c r="Y23" s="34">
        <f t="shared" si="15"/>
        <v>33</v>
      </c>
      <c r="Z23" s="34">
        <f t="shared" si="15"/>
        <v>23.5</v>
      </c>
      <c r="AA23" s="34">
        <f t="shared" si="15"/>
        <v>9</v>
      </c>
      <c r="AB23" s="34">
        <f t="shared" si="15"/>
        <v>42</v>
      </c>
      <c r="AC23" s="34">
        <f t="shared" si="15"/>
        <v>705</v>
      </c>
      <c r="AD23" s="34">
        <f t="shared" si="15"/>
        <v>0</v>
      </c>
      <c r="AE23" s="31">
        <f t="shared" si="15"/>
        <v>577</v>
      </c>
      <c r="AF23" s="31">
        <f t="shared" si="15"/>
        <v>1282</v>
      </c>
    </row>
    <row r="24" spans="2:32" ht="23.1" customHeight="1" x14ac:dyDescent="0.25">
      <c r="B24" s="23" t="s">
        <v>51</v>
      </c>
      <c r="C24" s="49">
        <f>AVERAGE('23.09 Seeta-Mukono'!C24,'24.09 Seeta-Mukono'!C24,'25.09 Seeta-Mukono'!C24,'27.09 Seeta-Mukono'!C24,'26.09 Seeta-Mukono-24h'!C24,'28.09 Seeta-Mukono-24h'!C24,'29.09 Seeta-Mukono'!C24)</f>
        <v>64.714285714285708</v>
      </c>
      <c r="D24" s="49">
        <f>AVERAGE('23.09 Seeta-Mukono'!D24,'24.09 Seeta-Mukono'!D24,'25.09 Seeta-Mukono'!D24,'27.09 Seeta-Mukono'!D24,'26.09 Seeta-Mukono-24h'!D24,'28.09 Seeta-Mukono-24h'!D24,'29.09 Seeta-Mukono'!D24)</f>
        <v>9.5714285714285712</v>
      </c>
      <c r="E24" s="49">
        <f>AVERAGE('23.09 Seeta-Mukono'!E24,'24.09 Seeta-Mukono'!E24,'25.09 Seeta-Mukono'!E24,'27.09 Seeta-Mukono'!E24,'26.09 Seeta-Mukono-24h'!E24,'28.09 Seeta-Mukono-24h'!E24,'29.09 Seeta-Mukono'!E24)</f>
        <v>8.4285714285714288</v>
      </c>
      <c r="F24" s="49">
        <f>AVERAGE('23.09 Seeta-Mukono'!F24,'24.09 Seeta-Mukono'!F24,'25.09 Seeta-Mukono'!F24,'27.09 Seeta-Mukono'!F24,'26.09 Seeta-Mukono-24h'!F24,'28.09 Seeta-Mukono-24h'!F24,'29.09 Seeta-Mukono'!F24)</f>
        <v>52.142857142857146</v>
      </c>
      <c r="G24" s="49">
        <f>AVERAGE('23.09 Seeta-Mukono'!G24,'24.09 Seeta-Mukono'!G24,'25.09 Seeta-Mukono'!G24,'27.09 Seeta-Mukono'!G24,'26.09 Seeta-Mukono-24h'!G24,'28.09 Seeta-Mukono-24h'!G24,'29.09 Seeta-Mukono'!G24)</f>
        <v>2.8571428571428572</v>
      </c>
      <c r="H24" s="49">
        <f>AVERAGE('23.09 Seeta-Mukono'!H24,'24.09 Seeta-Mukono'!H24,'25.09 Seeta-Mukono'!H24,'27.09 Seeta-Mukono'!H24,'26.09 Seeta-Mukono-24h'!H24,'28.09 Seeta-Mukono-24h'!H24,'29.09 Seeta-Mukono'!H24)</f>
        <v>0.14285714285714285</v>
      </c>
      <c r="I24" s="49">
        <f>AVERAGE('23.09 Seeta-Mukono'!I24,'24.09 Seeta-Mukono'!I24,'25.09 Seeta-Mukono'!I24,'27.09 Seeta-Mukono'!I24,'26.09 Seeta-Mukono-24h'!I24,'28.09 Seeta-Mukono-24h'!I24,'29.09 Seeta-Mukono'!I24)</f>
        <v>12.142857142857142</v>
      </c>
      <c r="J24" s="49">
        <f>AVERAGE('23.09 Seeta-Mukono'!J24,'24.09 Seeta-Mukono'!J24,'25.09 Seeta-Mukono'!J24,'27.09 Seeta-Mukono'!J24,'26.09 Seeta-Mukono-24h'!J24,'28.09 Seeta-Mukono-24h'!J24,'29.09 Seeta-Mukono'!J24)</f>
        <v>5.4285714285714288</v>
      </c>
      <c r="K24" s="49">
        <f>AVERAGE('23.09 Seeta-Mukono'!K24,'24.09 Seeta-Mukono'!K24,'25.09 Seeta-Mukono'!K24,'27.09 Seeta-Mukono'!K24,'26.09 Seeta-Mukono-24h'!K24,'28.09 Seeta-Mukono-24h'!K24,'29.09 Seeta-Mukono'!K24)</f>
        <v>1.8571428571428572</v>
      </c>
      <c r="L24" s="49">
        <f>AVERAGE('23.09 Seeta-Mukono'!L24,'24.09 Seeta-Mukono'!L24,'25.09 Seeta-Mukono'!L24,'27.09 Seeta-Mukono'!L24,'26.09 Seeta-Mukono-24h'!L24,'28.09 Seeta-Mukono-24h'!L24,'29.09 Seeta-Mukono'!L24)</f>
        <v>10.571428571428571</v>
      </c>
      <c r="M24" s="49">
        <f>AVERAGE('23.09 Seeta-Mukono'!M24,'24.09 Seeta-Mukono'!M24,'25.09 Seeta-Mukono'!M24,'27.09 Seeta-Mukono'!M24,'26.09 Seeta-Mukono-24h'!M24,'28.09 Seeta-Mukono-24h'!M24,'29.09 Seeta-Mukono'!M24)</f>
        <v>104.28571428571429</v>
      </c>
      <c r="N24" s="49">
        <f>AVERAGE('23.09 Seeta-Mukono'!N24,'24.09 Seeta-Mukono'!N24,'25.09 Seeta-Mukono'!N24,'27.09 Seeta-Mukono'!N24,'26.09 Seeta-Mukono-24h'!N24,'28.09 Seeta-Mukono-24h'!N24,'29.09 Seeta-Mukono'!N24)</f>
        <v>0</v>
      </c>
      <c r="O24" s="15">
        <f t="shared" si="0"/>
        <v>167.85714285714286</v>
      </c>
      <c r="P24" s="15">
        <f t="shared" si="1"/>
        <v>272.14285714285717</v>
      </c>
      <c r="R24" s="1" t="s">
        <v>148</v>
      </c>
      <c r="S24" s="34">
        <f>SUM(C66:C69)</f>
        <v>172</v>
      </c>
      <c r="T24" s="34">
        <f t="shared" ref="T24:AF24" si="16">SUM(D66:D69)</f>
        <v>36</v>
      </c>
      <c r="U24" s="34">
        <f t="shared" si="16"/>
        <v>22.5</v>
      </c>
      <c r="V24" s="34">
        <f t="shared" si="16"/>
        <v>179.5</v>
      </c>
      <c r="W24" s="34">
        <f t="shared" si="16"/>
        <v>14.5</v>
      </c>
      <c r="X24" s="34">
        <f t="shared" si="16"/>
        <v>2.5</v>
      </c>
      <c r="Y24" s="34">
        <f t="shared" si="16"/>
        <v>30.5</v>
      </c>
      <c r="Z24" s="34">
        <f t="shared" si="16"/>
        <v>24</v>
      </c>
      <c r="AA24" s="34">
        <f t="shared" si="16"/>
        <v>11.5</v>
      </c>
      <c r="AB24" s="34">
        <f t="shared" si="16"/>
        <v>28.5</v>
      </c>
      <c r="AC24" s="34">
        <f t="shared" si="16"/>
        <v>498</v>
      </c>
      <c r="AD24" s="34">
        <f t="shared" si="16"/>
        <v>0</v>
      </c>
      <c r="AE24" s="31">
        <f t="shared" si="16"/>
        <v>521.5</v>
      </c>
      <c r="AF24" s="31">
        <f t="shared" si="16"/>
        <v>1019.5</v>
      </c>
    </row>
    <row r="25" spans="2:32" ht="23.1" customHeight="1" x14ac:dyDescent="0.25">
      <c r="B25" s="23" t="s">
        <v>52</v>
      </c>
      <c r="C25" s="49">
        <f>AVERAGE('23.09 Seeta-Mukono'!C25,'24.09 Seeta-Mukono'!C25,'25.09 Seeta-Mukono'!C25,'27.09 Seeta-Mukono'!C25,'26.09 Seeta-Mukono-24h'!C25,'28.09 Seeta-Mukono-24h'!C25,'29.09 Seeta-Mukono'!C25)</f>
        <v>55</v>
      </c>
      <c r="D25" s="49">
        <f>AVERAGE('23.09 Seeta-Mukono'!D25,'24.09 Seeta-Mukono'!D25,'25.09 Seeta-Mukono'!D25,'27.09 Seeta-Mukono'!D25,'26.09 Seeta-Mukono-24h'!D25,'28.09 Seeta-Mukono-24h'!D25,'29.09 Seeta-Mukono'!D25)</f>
        <v>8.4285714285714288</v>
      </c>
      <c r="E25" s="49">
        <f>AVERAGE('23.09 Seeta-Mukono'!E25,'24.09 Seeta-Mukono'!E25,'25.09 Seeta-Mukono'!E25,'27.09 Seeta-Mukono'!E25,'26.09 Seeta-Mukono-24h'!E25,'28.09 Seeta-Mukono-24h'!E25,'29.09 Seeta-Mukono'!E25)</f>
        <v>8.4285714285714288</v>
      </c>
      <c r="F25" s="49">
        <f>AVERAGE('23.09 Seeta-Mukono'!F25,'24.09 Seeta-Mukono'!F25,'25.09 Seeta-Mukono'!F25,'27.09 Seeta-Mukono'!F25,'26.09 Seeta-Mukono-24h'!F25,'28.09 Seeta-Mukono-24h'!F25,'29.09 Seeta-Mukono'!F25)</f>
        <v>56.571428571428569</v>
      </c>
      <c r="G25" s="49">
        <f>AVERAGE('23.09 Seeta-Mukono'!G25,'24.09 Seeta-Mukono'!G25,'25.09 Seeta-Mukono'!G25,'27.09 Seeta-Mukono'!G25,'26.09 Seeta-Mukono-24h'!G25,'28.09 Seeta-Mukono-24h'!G25,'29.09 Seeta-Mukono'!G25)</f>
        <v>2.8571428571428572</v>
      </c>
      <c r="H25" s="49">
        <f>AVERAGE('23.09 Seeta-Mukono'!H25,'24.09 Seeta-Mukono'!H25,'25.09 Seeta-Mukono'!H25,'27.09 Seeta-Mukono'!H25,'26.09 Seeta-Mukono-24h'!H25,'28.09 Seeta-Mukono-24h'!H25,'29.09 Seeta-Mukono'!H25)</f>
        <v>2.1428571428571428</v>
      </c>
      <c r="I25" s="49">
        <f>AVERAGE('23.09 Seeta-Mukono'!I25,'24.09 Seeta-Mukono'!I25,'25.09 Seeta-Mukono'!I25,'27.09 Seeta-Mukono'!I25,'26.09 Seeta-Mukono-24h'!I25,'28.09 Seeta-Mukono-24h'!I25,'29.09 Seeta-Mukono'!I25)</f>
        <v>14.857142857142858</v>
      </c>
      <c r="J25" s="49">
        <f>AVERAGE('23.09 Seeta-Mukono'!J25,'24.09 Seeta-Mukono'!J25,'25.09 Seeta-Mukono'!J25,'27.09 Seeta-Mukono'!J25,'26.09 Seeta-Mukono-24h'!J25,'28.09 Seeta-Mukono-24h'!J25,'29.09 Seeta-Mukono'!J25)</f>
        <v>6.4285714285714288</v>
      </c>
      <c r="K25" s="49">
        <f>AVERAGE('23.09 Seeta-Mukono'!K25,'24.09 Seeta-Mukono'!K25,'25.09 Seeta-Mukono'!K25,'27.09 Seeta-Mukono'!K25,'26.09 Seeta-Mukono-24h'!K25,'28.09 Seeta-Mukono-24h'!K25,'29.09 Seeta-Mukono'!K25)</f>
        <v>3.2857142857142856</v>
      </c>
      <c r="L25" s="49">
        <f>AVERAGE('23.09 Seeta-Mukono'!L25,'24.09 Seeta-Mukono'!L25,'25.09 Seeta-Mukono'!L25,'27.09 Seeta-Mukono'!L25,'26.09 Seeta-Mukono-24h'!L25,'28.09 Seeta-Mukono-24h'!L25,'29.09 Seeta-Mukono'!L25)</f>
        <v>8.1428571428571423</v>
      </c>
      <c r="M25" s="49">
        <f>AVERAGE('23.09 Seeta-Mukono'!M25,'24.09 Seeta-Mukono'!M25,'25.09 Seeta-Mukono'!M25,'27.09 Seeta-Mukono'!M25,'26.09 Seeta-Mukono-24h'!M25,'28.09 Seeta-Mukono-24h'!M25,'29.09 Seeta-Mukono'!M25)</f>
        <v>122.14285714285714</v>
      </c>
      <c r="N25" s="49">
        <f>AVERAGE('23.09 Seeta-Mukono'!N25,'24.09 Seeta-Mukono'!N25,'25.09 Seeta-Mukono'!N25,'27.09 Seeta-Mukono'!N25,'26.09 Seeta-Mukono-24h'!N25,'28.09 Seeta-Mukono-24h'!N25,'29.09 Seeta-Mukono'!N25)</f>
        <v>0</v>
      </c>
      <c r="O25" s="15">
        <f t="shared" si="0"/>
        <v>166.14285714285714</v>
      </c>
      <c r="P25" s="15">
        <f t="shared" si="1"/>
        <v>288.28571428571428</v>
      </c>
      <c r="R25" s="1" t="s">
        <v>149</v>
      </c>
      <c r="S25" s="34">
        <f>SUM(C70:C73)</f>
        <v>178.5</v>
      </c>
      <c r="T25" s="34">
        <f t="shared" ref="T25:AF25" si="17">SUM(D70:D73)</f>
        <v>47.5</v>
      </c>
      <c r="U25" s="34">
        <f t="shared" si="17"/>
        <v>23.5</v>
      </c>
      <c r="V25" s="34">
        <f t="shared" si="17"/>
        <v>166.5</v>
      </c>
      <c r="W25" s="34">
        <f t="shared" si="17"/>
        <v>25</v>
      </c>
      <c r="X25" s="34">
        <f t="shared" si="17"/>
        <v>3.5</v>
      </c>
      <c r="Y25" s="34">
        <f t="shared" si="17"/>
        <v>25</v>
      </c>
      <c r="Z25" s="34">
        <f t="shared" si="17"/>
        <v>28.5</v>
      </c>
      <c r="AA25" s="34">
        <f t="shared" si="17"/>
        <v>11.5</v>
      </c>
      <c r="AB25" s="34">
        <f t="shared" si="17"/>
        <v>34</v>
      </c>
      <c r="AC25" s="34">
        <f t="shared" si="17"/>
        <v>338.5</v>
      </c>
      <c r="AD25" s="34">
        <f t="shared" si="17"/>
        <v>0</v>
      </c>
      <c r="AE25" s="31">
        <f t="shared" si="17"/>
        <v>543.5</v>
      </c>
      <c r="AF25" s="31">
        <f t="shared" si="17"/>
        <v>882</v>
      </c>
    </row>
    <row r="26" spans="2:32" ht="23.1" customHeight="1" x14ac:dyDescent="0.25">
      <c r="B26" s="23" t="s">
        <v>53</v>
      </c>
      <c r="C26" s="49">
        <f>AVERAGE('23.09 Seeta-Mukono'!C26,'24.09 Seeta-Mukono'!C26,'25.09 Seeta-Mukono'!C26,'27.09 Seeta-Mukono'!C26,'26.09 Seeta-Mukono-24h'!C26,'28.09 Seeta-Mukono-24h'!C26,'29.09 Seeta-Mukono'!C26)</f>
        <v>57.428571428571431</v>
      </c>
      <c r="D26" s="49">
        <f>AVERAGE('23.09 Seeta-Mukono'!D26,'24.09 Seeta-Mukono'!D26,'25.09 Seeta-Mukono'!D26,'27.09 Seeta-Mukono'!D26,'26.09 Seeta-Mukono-24h'!D26,'28.09 Seeta-Mukono-24h'!D26,'29.09 Seeta-Mukono'!D26)</f>
        <v>8.2857142857142865</v>
      </c>
      <c r="E26" s="49">
        <f>AVERAGE('23.09 Seeta-Mukono'!E26,'24.09 Seeta-Mukono'!E26,'25.09 Seeta-Mukono'!E26,'27.09 Seeta-Mukono'!E26,'26.09 Seeta-Mukono-24h'!E26,'28.09 Seeta-Mukono-24h'!E26,'29.09 Seeta-Mukono'!E26)</f>
        <v>7.4285714285714288</v>
      </c>
      <c r="F26" s="49">
        <f>AVERAGE('23.09 Seeta-Mukono'!F26,'24.09 Seeta-Mukono'!F26,'25.09 Seeta-Mukono'!F26,'27.09 Seeta-Mukono'!F26,'26.09 Seeta-Mukono-24h'!F26,'28.09 Seeta-Mukono-24h'!F26,'29.09 Seeta-Mukono'!F26)</f>
        <v>48</v>
      </c>
      <c r="G26" s="49">
        <f>AVERAGE('23.09 Seeta-Mukono'!G26,'24.09 Seeta-Mukono'!G26,'25.09 Seeta-Mukono'!G26,'27.09 Seeta-Mukono'!G26,'26.09 Seeta-Mukono-24h'!G26,'28.09 Seeta-Mukono-24h'!G26,'29.09 Seeta-Mukono'!G26)</f>
        <v>2.1428571428571428</v>
      </c>
      <c r="H26" s="49">
        <f>AVERAGE('23.09 Seeta-Mukono'!H26,'24.09 Seeta-Mukono'!H26,'25.09 Seeta-Mukono'!H26,'27.09 Seeta-Mukono'!H26,'26.09 Seeta-Mukono-24h'!H26,'28.09 Seeta-Mukono-24h'!H26,'29.09 Seeta-Mukono'!H26)</f>
        <v>0.2857142857142857</v>
      </c>
      <c r="I26" s="49">
        <f>AVERAGE('23.09 Seeta-Mukono'!I26,'24.09 Seeta-Mukono'!I26,'25.09 Seeta-Mukono'!I26,'27.09 Seeta-Mukono'!I26,'26.09 Seeta-Mukono-24h'!I26,'28.09 Seeta-Mukono-24h'!I26,'29.09 Seeta-Mukono'!I26)</f>
        <v>15.714285714285714</v>
      </c>
      <c r="J26" s="49">
        <f>AVERAGE('23.09 Seeta-Mukono'!J26,'24.09 Seeta-Mukono'!J26,'25.09 Seeta-Mukono'!J26,'27.09 Seeta-Mukono'!J26,'26.09 Seeta-Mukono-24h'!J26,'28.09 Seeta-Mukono-24h'!J26,'29.09 Seeta-Mukono'!J26)</f>
        <v>5.5714285714285712</v>
      </c>
      <c r="K26" s="49">
        <f>AVERAGE('23.09 Seeta-Mukono'!K26,'24.09 Seeta-Mukono'!K26,'25.09 Seeta-Mukono'!K26,'27.09 Seeta-Mukono'!K26,'26.09 Seeta-Mukono-24h'!K26,'28.09 Seeta-Mukono-24h'!K26,'29.09 Seeta-Mukono'!K26)</f>
        <v>4</v>
      </c>
      <c r="L26" s="49">
        <f>AVERAGE('23.09 Seeta-Mukono'!L26,'24.09 Seeta-Mukono'!L26,'25.09 Seeta-Mukono'!L26,'27.09 Seeta-Mukono'!L26,'26.09 Seeta-Mukono-24h'!L26,'28.09 Seeta-Mukono-24h'!L26,'29.09 Seeta-Mukono'!L26)</f>
        <v>11.857142857142858</v>
      </c>
      <c r="M26" s="49">
        <f>AVERAGE('23.09 Seeta-Mukono'!M26,'24.09 Seeta-Mukono'!M26,'25.09 Seeta-Mukono'!M26,'27.09 Seeta-Mukono'!M26,'26.09 Seeta-Mukono-24h'!M26,'28.09 Seeta-Mukono-24h'!M26,'29.09 Seeta-Mukono'!M26)</f>
        <v>121.14285714285714</v>
      </c>
      <c r="N26" s="49">
        <f>AVERAGE('23.09 Seeta-Mukono'!N26,'24.09 Seeta-Mukono'!N26,'25.09 Seeta-Mukono'!N26,'27.09 Seeta-Mukono'!N26,'26.09 Seeta-Mukono-24h'!N26,'28.09 Seeta-Mukono-24h'!N26,'29.09 Seeta-Mukono'!N26)</f>
        <v>0</v>
      </c>
      <c r="O26" s="15">
        <f t="shared" si="0"/>
        <v>160.71428571428575</v>
      </c>
      <c r="P26" s="15">
        <f t="shared" si="1"/>
        <v>281.85714285714289</v>
      </c>
      <c r="R26" s="1" t="s">
        <v>150</v>
      </c>
      <c r="S26" s="34">
        <f>SUM(C74:C77)</f>
        <v>164</v>
      </c>
      <c r="T26" s="34">
        <f t="shared" ref="T26:AF26" si="18">SUM(D74:D77)</f>
        <v>83</v>
      </c>
      <c r="U26" s="34">
        <f t="shared" si="18"/>
        <v>26.5</v>
      </c>
      <c r="V26" s="34">
        <f t="shared" si="18"/>
        <v>96.5</v>
      </c>
      <c r="W26" s="34">
        <f t="shared" si="18"/>
        <v>10</v>
      </c>
      <c r="X26" s="34">
        <f t="shared" si="18"/>
        <v>5.5</v>
      </c>
      <c r="Y26" s="34">
        <f t="shared" si="18"/>
        <v>23</v>
      </c>
      <c r="Z26" s="34">
        <f t="shared" si="18"/>
        <v>17.5</v>
      </c>
      <c r="AA26" s="34">
        <f t="shared" si="18"/>
        <v>11.5</v>
      </c>
      <c r="AB26" s="34">
        <f t="shared" si="18"/>
        <v>26</v>
      </c>
      <c r="AC26" s="34">
        <f t="shared" si="18"/>
        <v>203.5</v>
      </c>
      <c r="AD26" s="34">
        <f t="shared" si="18"/>
        <v>0</v>
      </c>
      <c r="AE26" s="31">
        <f t="shared" si="18"/>
        <v>463.5</v>
      </c>
      <c r="AF26" s="31">
        <f t="shared" si="18"/>
        <v>667</v>
      </c>
    </row>
    <row r="27" spans="2:32" ht="23.1" customHeight="1" x14ac:dyDescent="0.25">
      <c r="B27" s="23" t="s">
        <v>54</v>
      </c>
      <c r="C27" s="49">
        <f>AVERAGE('23.09 Seeta-Mukono'!C27,'24.09 Seeta-Mukono'!C27,'25.09 Seeta-Mukono'!C27,'27.09 Seeta-Mukono'!C27,'26.09 Seeta-Mukono-24h'!C27,'28.09 Seeta-Mukono-24h'!C27,'29.09 Seeta-Mukono'!C27)</f>
        <v>54.857142857142854</v>
      </c>
      <c r="D27" s="49">
        <f>AVERAGE('23.09 Seeta-Mukono'!D27,'24.09 Seeta-Mukono'!D27,'25.09 Seeta-Mukono'!D27,'27.09 Seeta-Mukono'!D27,'26.09 Seeta-Mukono-24h'!D27,'28.09 Seeta-Mukono-24h'!D27,'29.09 Seeta-Mukono'!D27)</f>
        <v>9.7142857142857135</v>
      </c>
      <c r="E27" s="49">
        <f>AVERAGE('23.09 Seeta-Mukono'!E27,'24.09 Seeta-Mukono'!E27,'25.09 Seeta-Mukono'!E27,'27.09 Seeta-Mukono'!E27,'26.09 Seeta-Mukono-24h'!E27,'28.09 Seeta-Mukono-24h'!E27,'29.09 Seeta-Mukono'!E27)</f>
        <v>9.7142857142857135</v>
      </c>
      <c r="F27" s="49">
        <f>AVERAGE('23.09 Seeta-Mukono'!F27,'24.09 Seeta-Mukono'!F27,'25.09 Seeta-Mukono'!F27,'27.09 Seeta-Mukono'!F27,'26.09 Seeta-Mukono-24h'!F27,'28.09 Seeta-Mukono-24h'!F27,'29.09 Seeta-Mukono'!F27)</f>
        <v>47.714285714285715</v>
      </c>
      <c r="G27" s="49">
        <f>AVERAGE('23.09 Seeta-Mukono'!G27,'24.09 Seeta-Mukono'!G27,'25.09 Seeta-Mukono'!G27,'27.09 Seeta-Mukono'!G27,'26.09 Seeta-Mukono-24h'!G27,'28.09 Seeta-Mukono-24h'!G27,'29.09 Seeta-Mukono'!G27)</f>
        <v>2.4285714285714284</v>
      </c>
      <c r="H27" s="49">
        <f>AVERAGE('23.09 Seeta-Mukono'!H27,'24.09 Seeta-Mukono'!H27,'25.09 Seeta-Mukono'!H27,'27.09 Seeta-Mukono'!H27,'26.09 Seeta-Mukono-24h'!H27,'28.09 Seeta-Mukono-24h'!H27,'29.09 Seeta-Mukono'!H27)</f>
        <v>0.2857142857142857</v>
      </c>
      <c r="I27" s="49">
        <f>AVERAGE('23.09 Seeta-Mukono'!I27,'24.09 Seeta-Mukono'!I27,'25.09 Seeta-Mukono'!I27,'27.09 Seeta-Mukono'!I27,'26.09 Seeta-Mukono-24h'!I27,'28.09 Seeta-Mukono-24h'!I27,'29.09 Seeta-Mukono'!I27)</f>
        <v>13.857142857142858</v>
      </c>
      <c r="J27" s="49">
        <f>AVERAGE('23.09 Seeta-Mukono'!J27,'24.09 Seeta-Mukono'!J27,'25.09 Seeta-Mukono'!J27,'27.09 Seeta-Mukono'!J27,'26.09 Seeta-Mukono-24h'!J27,'28.09 Seeta-Mukono-24h'!J27,'29.09 Seeta-Mukono'!J27)</f>
        <v>7</v>
      </c>
      <c r="K27" s="49">
        <f>AVERAGE('23.09 Seeta-Mukono'!K27,'24.09 Seeta-Mukono'!K27,'25.09 Seeta-Mukono'!K27,'27.09 Seeta-Mukono'!K27,'26.09 Seeta-Mukono-24h'!K27,'28.09 Seeta-Mukono-24h'!K27,'29.09 Seeta-Mukono'!K27)</f>
        <v>2.5714285714285716</v>
      </c>
      <c r="L27" s="49">
        <f>AVERAGE('23.09 Seeta-Mukono'!L27,'24.09 Seeta-Mukono'!L27,'25.09 Seeta-Mukono'!L27,'27.09 Seeta-Mukono'!L27,'26.09 Seeta-Mukono-24h'!L27,'28.09 Seeta-Mukono-24h'!L27,'29.09 Seeta-Mukono'!L27)</f>
        <v>12.142857142857142</v>
      </c>
      <c r="M27" s="49">
        <f>AVERAGE('23.09 Seeta-Mukono'!M27,'24.09 Seeta-Mukono'!M27,'25.09 Seeta-Mukono'!M27,'27.09 Seeta-Mukono'!M27,'26.09 Seeta-Mukono-24h'!M27,'28.09 Seeta-Mukono-24h'!M27,'29.09 Seeta-Mukono'!M27)</f>
        <v>125.85714285714286</v>
      </c>
      <c r="N27" s="49">
        <f>AVERAGE('23.09 Seeta-Mukono'!N27,'24.09 Seeta-Mukono'!N27,'25.09 Seeta-Mukono'!N27,'27.09 Seeta-Mukono'!N27,'26.09 Seeta-Mukono-24h'!N27,'28.09 Seeta-Mukono-24h'!N27,'29.09 Seeta-Mukono'!N27)</f>
        <v>0</v>
      </c>
      <c r="O27" s="15">
        <f t="shared" si="0"/>
        <v>160.28571428571431</v>
      </c>
      <c r="P27" s="15">
        <f t="shared" si="1"/>
        <v>286.14285714285717</v>
      </c>
      <c r="R27" s="1" t="s">
        <v>151</v>
      </c>
      <c r="S27" s="34">
        <f>SUM(C78:C81)</f>
        <v>97</v>
      </c>
      <c r="T27" s="34">
        <f t="shared" ref="T27:AF27" si="19">SUM(D78:D81)</f>
        <v>17</v>
      </c>
      <c r="U27" s="34">
        <f t="shared" si="19"/>
        <v>7</v>
      </c>
      <c r="V27" s="34">
        <f t="shared" si="19"/>
        <v>38.5</v>
      </c>
      <c r="W27" s="34">
        <f t="shared" si="19"/>
        <v>6.5</v>
      </c>
      <c r="X27" s="34">
        <f t="shared" si="19"/>
        <v>1.5</v>
      </c>
      <c r="Y27" s="34">
        <f t="shared" si="19"/>
        <v>14</v>
      </c>
      <c r="Z27" s="34">
        <f t="shared" si="19"/>
        <v>21.5</v>
      </c>
      <c r="AA27" s="34">
        <f t="shared" si="19"/>
        <v>8.5</v>
      </c>
      <c r="AB27" s="34">
        <f t="shared" si="19"/>
        <v>11.5</v>
      </c>
      <c r="AC27" s="34">
        <f t="shared" si="19"/>
        <v>113</v>
      </c>
      <c r="AD27" s="34">
        <f t="shared" si="19"/>
        <v>0</v>
      </c>
      <c r="AE27" s="31">
        <f t="shared" si="19"/>
        <v>223</v>
      </c>
      <c r="AF27" s="31">
        <f t="shared" si="19"/>
        <v>336</v>
      </c>
    </row>
    <row r="28" spans="2:32" ht="23.1" customHeight="1" x14ac:dyDescent="0.25">
      <c r="B28" s="23" t="s">
        <v>55</v>
      </c>
      <c r="C28" s="49">
        <f>AVERAGE('23.09 Seeta-Mukono'!C28,'24.09 Seeta-Mukono'!C28,'25.09 Seeta-Mukono'!C28,'27.09 Seeta-Mukono'!C28,'26.09 Seeta-Mukono-24h'!C28,'28.09 Seeta-Mukono-24h'!C28,'29.09 Seeta-Mukono'!C28)</f>
        <v>55.571428571428569</v>
      </c>
      <c r="D28" s="49">
        <f>AVERAGE('23.09 Seeta-Mukono'!D28,'24.09 Seeta-Mukono'!D28,'25.09 Seeta-Mukono'!D28,'27.09 Seeta-Mukono'!D28,'26.09 Seeta-Mukono-24h'!D28,'28.09 Seeta-Mukono-24h'!D28,'29.09 Seeta-Mukono'!D28)</f>
        <v>7.1428571428571432</v>
      </c>
      <c r="E28" s="49">
        <f>AVERAGE('23.09 Seeta-Mukono'!E28,'24.09 Seeta-Mukono'!E28,'25.09 Seeta-Mukono'!E28,'27.09 Seeta-Mukono'!E28,'26.09 Seeta-Mukono-24h'!E28,'28.09 Seeta-Mukono-24h'!E28,'29.09 Seeta-Mukono'!E28)</f>
        <v>9.1428571428571423</v>
      </c>
      <c r="F28" s="49">
        <f>AVERAGE('23.09 Seeta-Mukono'!F28,'24.09 Seeta-Mukono'!F28,'25.09 Seeta-Mukono'!F28,'27.09 Seeta-Mukono'!F28,'26.09 Seeta-Mukono-24h'!F28,'28.09 Seeta-Mukono-24h'!F28,'29.09 Seeta-Mukono'!F28)</f>
        <v>51.571428571428569</v>
      </c>
      <c r="G28" s="49">
        <f>AVERAGE('23.09 Seeta-Mukono'!G28,'24.09 Seeta-Mukono'!G28,'25.09 Seeta-Mukono'!G28,'27.09 Seeta-Mukono'!G28,'26.09 Seeta-Mukono-24h'!G28,'28.09 Seeta-Mukono-24h'!G28,'29.09 Seeta-Mukono'!G28)</f>
        <v>2</v>
      </c>
      <c r="H28" s="49">
        <f>AVERAGE('23.09 Seeta-Mukono'!H28,'24.09 Seeta-Mukono'!H28,'25.09 Seeta-Mukono'!H28,'27.09 Seeta-Mukono'!H28,'26.09 Seeta-Mukono-24h'!H28,'28.09 Seeta-Mukono-24h'!H28,'29.09 Seeta-Mukono'!H28)</f>
        <v>0.2857142857142857</v>
      </c>
      <c r="I28" s="49">
        <f>AVERAGE('23.09 Seeta-Mukono'!I28,'24.09 Seeta-Mukono'!I28,'25.09 Seeta-Mukono'!I28,'27.09 Seeta-Mukono'!I28,'26.09 Seeta-Mukono-24h'!I28,'28.09 Seeta-Mukono-24h'!I28,'29.09 Seeta-Mukono'!I28)</f>
        <v>15</v>
      </c>
      <c r="J28" s="49">
        <f>AVERAGE('23.09 Seeta-Mukono'!J28,'24.09 Seeta-Mukono'!J28,'25.09 Seeta-Mukono'!J28,'27.09 Seeta-Mukono'!J28,'26.09 Seeta-Mukono-24h'!J28,'28.09 Seeta-Mukono-24h'!J28,'29.09 Seeta-Mukono'!J28)</f>
        <v>5</v>
      </c>
      <c r="K28" s="49">
        <f>AVERAGE('23.09 Seeta-Mukono'!K28,'24.09 Seeta-Mukono'!K28,'25.09 Seeta-Mukono'!K28,'27.09 Seeta-Mukono'!K28,'26.09 Seeta-Mukono-24h'!K28,'28.09 Seeta-Mukono-24h'!K28,'29.09 Seeta-Mukono'!K28)</f>
        <v>4.4285714285714288</v>
      </c>
      <c r="L28" s="49">
        <f>AVERAGE('23.09 Seeta-Mukono'!L28,'24.09 Seeta-Mukono'!L28,'25.09 Seeta-Mukono'!L28,'27.09 Seeta-Mukono'!L28,'26.09 Seeta-Mukono-24h'!L28,'28.09 Seeta-Mukono-24h'!L28,'29.09 Seeta-Mukono'!L28)</f>
        <v>11.571428571428571</v>
      </c>
      <c r="M28" s="49">
        <f>AVERAGE('23.09 Seeta-Mukono'!M28,'24.09 Seeta-Mukono'!M28,'25.09 Seeta-Mukono'!M28,'27.09 Seeta-Mukono'!M28,'26.09 Seeta-Mukono-24h'!M28,'28.09 Seeta-Mukono-24h'!M28,'29.09 Seeta-Mukono'!M28)</f>
        <v>123.57142857142857</v>
      </c>
      <c r="N28" s="49">
        <f>AVERAGE('23.09 Seeta-Mukono'!N28,'24.09 Seeta-Mukono'!N28,'25.09 Seeta-Mukono'!N28,'27.09 Seeta-Mukono'!N28,'26.09 Seeta-Mukono-24h'!N28,'28.09 Seeta-Mukono-24h'!N28,'29.09 Seeta-Mukono'!N28)</f>
        <v>0</v>
      </c>
      <c r="O28" s="15">
        <f t="shared" si="0"/>
        <v>161.71428571428572</v>
      </c>
      <c r="P28" s="15">
        <f t="shared" si="1"/>
        <v>285.28571428571428</v>
      </c>
      <c r="R28" s="1" t="s">
        <v>152</v>
      </c>
      <c r="S28" s="34">
        <f>SUM(C82:C85)</f>
        <v>37</v>
      </c>
      <c r="T28" s="34">
        <f t="shared" ref="T28:AF28" si="20">SUM(D82:D85)</f>
        <v>8.5</v>
      </c>
      <c r="U28" s="34">
        <f t="shared" si="20"/>
        <v>8</v>
      </c>
      <c r="V28" s="34">
        <f t="shared" si="20"/>
        <v>21.5</v>
      </c>
      <c r="W28" s="34">
        <f t="shared" si="20"/>
        <v>1.5</v>
      </c>
      <c r="X28" s="34">
        <f t="shared" si="20"/>
        <v>2</v>
      </c>
      <c r="Y28" s="34">
        <f t="shared" si="20"/>
        <v>15</v>
      </c>
      <c r="Z28" s="34">
        <f t="shared" si="20"/>
        <v>22</v>
      </c>
      <c r="AA28" s="34">
        <f t="shared" si="20"/>
        <v>5.5</v>
      </c>
      <c r="AB28" s="34">
        <f t="shared" si="20"/>
        <v>19.5</v>
      </c>
      <c r="AC28" s="34">
        <f t="shared" si="20"/>
        <v>57.5</v>
      </c>
      <c r="AD28" s="34">
        <f t="shared" si="20"/>
        <v>0.5</v>
      </c>
      <c r="AE28" s="31">
        <f t="shared" si="20"/>
        <v>141</v>
      </c>
      <c r="AF28" s="31">
        <f t="shared" si="20"/>
        <v>198.5</v>
      </c>
    </row>
    <row r="29" spans="2:32" ht="23.1" customHeight="1" x14ac:dyDescent="0.25">
      <c r="B29" s="23" t="s">
        <v>56</v>
      </c>
      <c r="C29" s="49">
        <f>AVERAGE('23.09 Seeta-Mukono'!C29,'24.09 Seeta-Mukono'!C29,'25.09 Seeta-Mukono'!C29,'27.09 Seeta-Mukono'!C29,'26.09 Seeta-Mukono-24h'!C29,'28.09 Seeta-Mukono-24h'!C29,'29.09 Seeta-Mukono'!C29)</f>
        <v>58.857142857142854</v>
      </c>
      <c r="D29" s="49">
        <f>AVERAGE('23.09 Seeta-Mukono'!D29,'24.09 Seeta-Mukono'!D29,'25.09 Seeta-Mukono'!D29,'27.09 Seeta-Mukono'!D29,'26.09 Seeta-Mukono-24h'!D29,'28.09 Seeta-Mukono-24h'!D29,'29.09 Seeta-Mukono'!D29)</f>
        <v>8.1428571428571423</v>
      </c>
      <c r="E29" s="49">
        <f>AVERAGE('23.09 Seeta-Mukono'!E29,'24.09 Seeta-Mukono'!E29,'25.09 Seeta-Mukono'!E29,'27.09 Seeta-Mukono'!E29,'26.09 Seeta-Mukono-24h'!E29,'28.09 Seeta-Mukono-24h'!E29,'29.09 Seeta-Mukono'!E29)</f>
        <v>7.1428571428571432</v>
      </c>
      <c r="F29" s="49">
        <f>AVERAGE('23.09 Seeta-Mukono'!F29,'24.09 Seeta-Mukono'!F29,'25.09 Seeta-Mukono'!F29,'27.09 Seeta-Mukono'!F29,'26.09 Seeta-Mukono-24h'!F29,'28.09 Seeta-Mukono-24h'!F29,'29.09 Seeta-Mukono'!F29)</f>
        <v>44.428571428571431</v>
      </c>
      <c r="G29" s="49">
        <f>AVERAGE('23.09 Seeta-Mukono'!G29,'24.09 Seeta-Mukono'!G29,'25.09 Seeta-Mukono'!G29,'27.09 Seeta-Mukono'!G29,'26.09 Seeta-Mukono-24h'!G29,'28.09 Seeta-Mukono-24h'!G29,'29.09 Seeta-Mukono'!G29)</f>
        <v>2.4285714285714284</v>
      </c>
      <c r="H29" s="49">
        <f>AVERAGE('23.09 Seeta-Mukono'!H29,'24.09 Seeta-Mukono'!H29,'25.09 Seeta-Mukono'!H29,'27.09 Seeta-Mukono'!H29,'26.09 Seeta-Mukono-24h'!H29,'28.09 Seeta-Mukono-24h'!H29,'29.09 Seeta-Mukono'!H29)</f>
        <v>0.2857142857142857</v>
      </c>
      <c r="I29" s="49">
        <f>AVERAGE('23.09 Seeta-Mukono'!I29,'24.09 Seeta-Mukono'!I29,'25.09 Seeta-Mukono'!I29,'27.09 Seeta-Mukono'!I29,'26.09 Seeta-Mukono-24h'!I29,'28.09 Seeta-Mukono-24h'!I29,'29.09 Seeta-Mukono'!I29)</f>
        <v>17.571428571428573</v>
      </c>
      <c r="J29" s="49">
        <f>AVERAGE('23.09 Seeta-Mukono'!J29,'24.09 Seeta-Mukono'!J29,'25.09 Seeta-Mukono'!J29,'27.09 Seeta-Mukono'!J29,'26.09 Seeta-Mukono-24h'!J29,'28.09 Seeta-Mukono-24h'!J29,'29.09 Seeta-Mukono'!J29)</f>
        <v>8</v>
      </c>
      <c r="K29" s="49">
        <f>AVERAGE('23.09 Seeta-Mukono'!K29,'24.09 Seeta-Mukono'!K29,'25.09 Seeta-Mukono'!K29,'27.09 Seeta-Mukono'!K29,'26.09 Seeta-Mukono-24h'!K29,'28.09 Seeta-Mukono-24h'!K29,'29.09 Seeta-Mukono'!K29)</f>
        <v>5</v>
      </c>
      <c r="L29" s="49">
        <f>AVERAGE('23.09 Seeta-Mukono'!L29,'24.09 Seeta-Mukono'!L29,'25.09 Seeta-Mukono'!L29,'27.09 Seeta-Mukono'!L29,'26.09 Seeta-Mukono-24h'!L29,'28.09 Seeta-Mukono-24h'!L29,'29.09 Seeta-Mukono'!L29)</f>
        <v>8.8571428571428577</v>
      </c>
      <c r="M29" s="49">
        <f>AVERAGE('23.09 Seeta-Mukono'!M29,'24.09 Seeta-Mukono'!M29,'25.09 Seeta-Mukono'!M29,'27.09 Seeta-Mukono'!M29,'26.09 Seeta-Mukono-24h'!M29,'28.09 Seeta-Mukono-24h'!M29,'29.09 Seeta-Mukono'!M29)</f>
        <v>101.57142857142857</v>
      </c>
      <c r="N29" s="49">
        <f>AVERAGE('23.09 Seeta-Mukono'!N29,'24.09 Seeta-Mukono'!N29,'25.09 Seeta-Mukono'!N29,'27.09 Seeta-Mukono'!N29,'26.09 Seeta-Mukono-24h'!N29,'28.09 Seeta-Mukono-24h'!N29,'29.09 Seeta-Mukono'!N29)</f>
        <v>0</v>
      </c>
      <c r="O29" s="15">
        <f t="shared" si="0"/>
        <v>160.71428571428572</v>
      </c>
      <c r="P29" s="15">
        <f t="shared" si="1"/>
        <v>262.28571428571428</v>
      </c>
      <c r="R29" s="1" t="s">
        <v>153</v>
      </c>
      <c r="S29" s="34">
        <f>SUM(C86:C89)</f>
        <v>25.5</v>
      </c>
      <c r="T29" s="34">
        <f t="shared" ref="T29:AF29" si="21">SUM(D86:D89)</f>
        <v>6.5</v>
      </c>
      <c r="U29" s="34">
        <f t="shared" si="21"/>
        <v>1.5</v>
      </c>
      <c r="V29" s="34">
        <f t="shared" si="21"/>
        <v>11.5</v>
      </c>
      <c r="W29" s="34">
        <f t="shared" si="21"/>
        <v>1</v>
      </c>
      <c r="X29" s="34">
        <f t="shared" si="21"/>
        <v>2.5</v>
      </c>
      <c r="Y29" s="34">
        <f t="shared" si="21"/>
        <v>9.5</v>
      </c>
      <c r="Z29" s="34">
        <f t="shared" si="21"/>
        <v>16</v>
      </c>
      <c r="AA29" s="34">
        <f t="shared" si="21"/>
        <v>13</v>
      </c>
      <c r="AB29" s="34">
        <f t="shared" si="21"/>
        <v>9.5</v>
      </c>
      <c r="AC29" s="34">
        <f t="shared" si="21"/>
        <v>33</v>
      </c>
      <c r="AD29" s="34">
        <f t="shared" si="21"/>
        <v>0</v>
      </c>
      <c r="AE29" s="31">
        <f t="shared" si="21"/>
        <v>96.5</v>
      </c>
      <c r="AF29" s="31">
        <f t="shared" si="21"/>
        <v>129.5</v>
      </c>
    </row>
    <row r="30" spans="2:32" ht="23.1" customHeight="1" x14ac:dyDescent="0.25">
      <c r="B30" s="23" t="s">
        <v>57</v>
      </c>
      <c r="C30" s="49">
        <f>AVERAGE('23.09 Seeta-Mukono'!C30,'24.09 Seeta-Mukono'!C30,'25.09 Seeta-Mukono'!C30,'27.09 Seeta-Mukono'!C30,'26.09 Seeta-Mukono-24h'!C30,'28.09 Seeta-Mukono-24h'!C30,'29.09 Seeta-Mukono'!C30)</f>
        <v>54.285714285714285</v>
      </c>
      <c r="D30" s="49">
        <f>AVERAGE('23.09 Seeta-Mukono'!D30,'24.09 Seeta-Mukono'!D30,'25.09 Seeta-Mukono'!D30,'27.09 Seeta-Mukono'!D30,'26.09 Seeta-Mukono-24h'!D30,'28.09 Seeta-Mukono-24h'!D30,'29.09 Seeta-Mukono'!D30)</f>
        <v>5.5714285714285712</v>
      </c>
      <c r="E30" s="49">
        <f>AVERAGE('23.09 Seeta-Mukono'!E30,'24.09 Seeta-Mukono'!E30,'25.09 Seeta-Mukono'!E30,'27.09 Seeta-Mukono'!E30,'26.09 Seeta-Mukono-24h'!E30,'28.09 Seeta-Mukono-24h'!E30,'29.09 Seeta-Mukono'!E30)</f>
        <v>8.4285714285714288</v>
      </c>
      <c r="F30" s="49">
        <f>AVERAGE('23.09 Seeta-Mukono'!F30,'24.09 Seeta-Mukono'!F30,'25.09 Seeta-Mukono'!F30,'27.09 Seeta-Mukono'!F30,'26.09 Seeta-Mukono-24h'!F30,'28.09 Seeta-Mukono-24h'!F30,'29.09 Seeta-Mukono'!F30)</f>
        <v>31.285714285714285</v>
      </c>
      <c r="G30" s="49">
        <f>AVERAGE('23.09 Seeta-Mukono'!G30,'24.09 Seeta-Mukono'!G30,'25.09 Seeta-Mukono'!G30,'27.09 Seeta-Mukono'!G30,'26.09 Seeta-Mukono-24h'!G30,'28.09 Seeta-Mukono-24h'!G30,'29.09 Seeta-Mukono'!G30)</f>
        <v>1.8571428571428572</v>
      </c>
      <c r="H30" s="49">
        <f>AVERAGE('23.09 Seeta-Mukono'!H30,'24.09 Seeta-Mukono'!H30,'25.09 Seeta-Mukono'!H30,'27.09 Seeta-Mukono'!H30,'26.09 Seeta-Mukono-24h'!H30,'28.09 Seeta-Mukono-24h'!H30,'29.09 Seeta-Mukono'!H30)</f>
        <v>5.4285714285714288</v>
      </c>
      <c r="I30" s="49">
        <f>AVERAGE('23.09 Seeta-Mukono'!I30,'24.09 Seeta-Mukono'!I30,'25.09 Seeta-Mukono'!I30,'27.09 Seeta-Mukono'!I30,'26.09 Seeta-Mukono-24h'!I30,'28.09 Seeta-Mukono-24h'!I30,'29.09 Seeta-Mukono'!I30)</f>
        <v>11.714285714285714</v>
      </c>
      <c r="J30" s="49">
        <f>AVERAGE('23.09 Seeta-Mukono'!J30,'24.09 Seeta-Mukono'!J30,'25.09 Seeta-Mukono'!J30,'27.09 Seeta-Mukono'!J30,'26.09 Seeta-Mukono-24h'!J30,'28.09 Seeta-Mukono-24h'!J30,'29.09 Seeta-Mukono'!J30)</f>
        <v>5.8571428571428568</v>
      </c>
      <c r="K30" s="49">
        <f>AVERAGE('23.09 Seeta-Mukono'!K30,'24.09 Seeta-Mukono'!K30,'25.09 Seeta-Mukono'!K30,'27.09 Seeta-Mukono'!K30,'26.09 Seeta-Mukono-24h'!K30,'28.09 Seeta-Mukono-24h'!K30,'29.09 Seeta-Mukono'!K30)</f>
        <v>6.8571428571428568</v>
      </c>
      <c r="L30" s="49">
        <f>AVERAGE('23.09 Seeta-Mukono'!L30,'24.09 Seeta-Mukono'!L30,'25.09 Seeta-Mukono'!L30,'27.09 Seeta-Mukono'!L30,'26.09 Seeta-Mukono-24h'!L30,'28.09 Seeta-Mukono-24h'!L30,'29.09 Seeta-Mukono'!L30)</f>
        <v>8.5714285714285712</v>
      </c>
      <c r="M30" s="49">
        <f>AVERAGE('23.09 Seeta-Mukono'!M30,'24.09 Seeta-Mukono'!M30,'25.09 Seeta-Mukono'!M30,'27.09 Seeta-Mukono'!M30,'26.09 Seeta-Mukono-24h'!M30,'28.09 Seeta-Mukono-24h'!M30,'29.09 Seeta-Mukono'!M30)</f>
        <v>125.14285714285714</v>
      </c>
      <c r="N30" s="49">
        <f>AVERAGE('23.09 Seeta-Mukono'!N30,'24.09 Seeta-Mukono'!N30,'25.09 Seeta-Mukono'!N30,'27.09 Seeta-Mukono'!N30,'26.09 Seeta-Mukono-24h'!N30,'28.09 Seeta-Mukono-24h'!N30,'29.09 Seeta-Mukono'!N30)</f>
        <v>0.2857142857142857</v>
      </c>
      <c r="O30" s="15">
        <f t="shared" si="0"/>
        <v>140.14285714285714</v>
      </c>
      <c r="P30" s="15">
        <f t="shared" si="1"/>
        <v>265.28571428571428</v>
      </c>
      <c r="R30" s="1" t="s">
        <v>154</v>
      </c>
      <c r="S30" s="34">
        <f>SUM(C90:C93)</f>
        <v>17.5</v>
      </c>
      <c r="T30" s="34">
        <f t="shared" ref="T30:AF30" si="22">SUM(D90:D93)</f>
        <v>6</v>
      </c>
      <c r="U30" s="34">
        <f t="shared" si="22"/>
        <v>3</v>
      </c>
      <c r="V30" s="34">
        <f t="shared" si="22"/>
        <v>9.5</v>
      </c>
      <c r="W30" s="34">
        <f t="shared" si="22"/>
        <v>1</v>
      </c>
      <c r="X30" s="34">
        <f t="shared" si="22"/>
        <v>1.5</v>
      </c>
      <c r="Y30" s="34">
        <f t="shared" si="22"/>
        <v>10</v>
      </c>
      <c r="Z30" s="34">
        <f t="shared" si="22"/>
        <v>22</v>
      </c>
      <c r="AA30" s="34">
        <f t="shared" si="22"/>
        <v>11.5</v>
      </c>
      <c r="AB30" s="34">
        <f t="shared" si="22"/>
        <v>11.5</v>
      </c>
      <c r="AC30" s="34">
        <f t="shared" si="22"/>
        <v>22.5</v>
      </c>
      <c r="AD30" s="34">
        <f t="shared" si="22"/>
        <v>0</v>
      </c>
      <c r="AE30" s="31">
        <f t="shared" si="22"/>
        <v>93.5</v>
      </c>
      <c r="AF30" s="31">
        <f t="shared" si="22"/>
        <v>116</v>
      </c>
    </row>
    <row r="31" spans="2:32" ht="23.1" customHeight="1" x14ac:dyDescent="0.25">
      <c r="B31" s="24" t="s">
        <v>58</v>
      </c>
      <c r="C31" s="49">
        <f>AVERAGE('23.09 Seeta-Mukono'!C31,'24.09 Seeta-Mukono'!C31,'25.09 Seeta-Mukono'!C31,'27.09 Seeta-Mukono'!C31,'26.09 Seeta-Mukono-24h'!C31,'28.09 Seeta-Mukono-24h'!C31,'29.09 Seeta-Mukono'!C31)</f>
        <v>51.714285714285715</v>
      </c>
      <c r="D31" s="49">
        <f>AVERAGE('23.09 Seeta-Mukono'!D31,'24.09 Seeta-Mukono'!D31,'25.09 Seeta-Mukono'!D31,'27.09 Seeta-Mukono'!D31,'26.09 Seeta-Mukono-24h'!D31,'28.09 Seeta-Mukono-24h'!D31,'29.09 Seeta-Mukono'!D31)</f>
        <v>7.4285714285714288</v>
      </c>
      <c r="E31" s="49">
        <f>AVERAGE('23.09 Seeta-Mukono'!E31,'24.09 Seeta-Mukono'!E31,'25.09 Seeta-Mukono'!E31,'27.09 Seeta-Mukono'!E31,'26.09 Seeta-Mukono-24h'!E31,'28.09 Seeta-Mukono-24h'!E31,'29.09 Seeta-Mukono'!E31)</f>
        <v>6.8571428571428568</v>
      </c>
      <c r="F31" s="49">
        <f>AVERAGE('23.09 Seeta-Mukono'!F31,'24.09 Seeta-Mukono'!F31,'25.09 Seeta-Mukono'!F31,'27.09 Seeta-Mukono'!F31,'26.09 Seeta-Mukono-24h'!F31,'28.09 Seeta-Mukono-24h'!F31,'29.09 Seeta-Mukono'!F31)</f>
        <v>46.142857142857146</v>
      </c>
      <c r="G31" s="49">
        <f>AVERAGE('23.09 Seeta-Mukono'!G31,'24.09 Seeta-Mukono'!G31,'25.09 Seeta-Mukono'!G31,'27.09 Seeta-Mukono'!G31,'26.09 Seeta-Mukono-24h'!G31,'28.09 Seeta-Mukono-24h'!G31,'29.09 Seeta-Mukono'!G31)</f>
        <v>1.7142857142857142</v>
      </c>
      <c r="H31" s="49">
        <f>AVERAGE('23.09 Seeta-Mukono'!H31,'24.09 Seeta-Mukono'!H31,'25.09 Seeta-Mukono'!H31,'27.09 Seeta-Mukono'!H31,'26.09 Seeta-Mukono-24h'!H31,'28.09 Seeta-Mukono-24h'!H31,'29.09 Seeta-Mukono'!H31)</f>
        <v>0.8571428571428571</v>
      </c>
      <c r="I31" s="49">
        <f>AVERAGE('23.09 Seeta-Mukono'!I31,'24.09 Seeta-Mukono'!I31,'25.09 Seeta-Mukono'!I31,'27.09 Seeta-Mukono'!I31,'26.09 Seeta-Mukono-24h'!I31,'28.09 Seeta-Mukono-24h'!I31,'29.09 Seeta-Mukono'!I31)</f>
        <v>15.571428571428571</v>
      </c>
      <c r="J31" s="49">
        <f>AVERAGE('23.09 Seeta-Mukono'!J31,'24.09 Seeta-Mukono'!J31,'25.09 Seeta-Mukono'!J31,'27.09 Seeta-Mukono'!J31,'26.09 Seeta-Mukono-24h'!J31,'28.09 Seeta-Mukono-24h'!J31,'29.09 Seeta-Mukono'!J31)</f>
        <v>6.8571428571428568</v>
      </c>
      <c r="K31" s="49">
        <f>AVERAGE('23.09 Seeta-Mukono'!K31,'24.09 Seeta-Mukono'!K31,'25.09 Seeta-Mukono'!K31,'27.09 Seeta-Mukono'!K31,'26.09 Seeta-Mukono-24h'!K31,'28.09 Seeta-Mukono-24h'!K31,'29.09 Seeta-Mukono'!K31)</f>
        <v>3.8571428571428572</v>
      </c>
      <c r="L31" s="49">
        <f>AVERAGE('23.09 Seeta-Mukono'!L31,'24.09 Seeta-Mukono'!L31,'25.09 Seeta-Mukono'!L31,'27.09 Seeta-Mukono'!L31,'26.09 Seeta-Mukono-24h'!L31,'28.09 Seeta-Mukono-24h'!L31,'29.09 Seeta-Mukono'!L31)</f>
        <v>13.857142857142858</v>
      </c>
      <c r="M31" s="49">
        <f>AVERAGE('23.09 Seeta-Mukono'!M31,'24.09 Seeta-Mukono'!M31,'25.09 Seeta-Mukono'!M31,'27.09 Seeta-Mukono'!M31,'26.09 Seeta-Mukono-24h'!M31,'28.09 Seeta-Mukono-24h'!M31,'29.09 Seeta-Mukono'!M31)</f>
        <v>115.14285714285714</v>
      </c>
      <c r="N31" s="49">
        <f>AVERAGE('23.09 Seeta-Mukono'!N31,'24.09 Seeta-Mukono'!N31,'25.09 Seeta-Mukono'!N31,'27.09 Seeta-Mukono'!N31,'26.09 Seeta-Mukono-24h'!N31,'28.09 Seeta-Mukono-24h'!N31,'29.09 Seeta-Mukono'!N31)</f>
        <v>0</v>
      </c>
      <c r="O31" s="15">
        <f t="shared" si="0"/>
        <v>154.85714285714286</v>
      </c>
      <c r="P31" s="15">
        <f t="shared" si="1"/>
        <v>270</v>
      </c>
      <c r="R31" s="1" t="s">
        <v>155</v>
      </c>
      <c r="S31" s="34">
        <f>SUM(C94:C97)</f>
        <v>25.5</v>
      </c>
      <c r="T31" s="34">
        <f t="shared" ref="T31:AF31" si="23">SUM(D94:D97)</f>
        <v>7.5</v>
      </c>
      <c r="U31" s="34">
        <f t="shared" si="23"/>
        <v>0.5</v>
      </c>
      <c r="V31" s="34">
        <f t="shared" si="23"/>
        <v>21.5</v>
      </c>
      <c r="W31" s="34">
        <f t="shared" si="23"/>
        <v>0.5</v>
      </c>
      <c r="X31" s="34">
        <f t="shared" si="23"/>
        <v>6</v>
      </c>
      <c r="Y31" s="34">
        <f t="shared" si="23"/>
        <v>12.5</v>
      </c>
      <c r="Z31" s="34">
        <f t="shared" si="23"/>
        <v>21</v>
      </c>
      <c r="AA31" s="34">
        <f t="shared" si="23"/>
        <v>4.5</v>
      </c>
      <c r="AB31" s="34">
        <f t="shared" si="23"/>
        <v>19</v>
      </c>
      <c r="AC31" s="34">
        <f t="shared" si="23"/>
        <v>29.5</v>
      </c>
      <c r="AD31" s="34">
        <f t="shared" si="23"/>
        <v>0</v>
      </c>
      <c r="AE31" s="31">
        <f t="shared" si="23"/>
        <v>118.5</v>
      </c>
      <c r="AF31" s="31">
        <f t="shared" si="23"/>
        <v>148</v>
      </c>
    </row>
    <row r="32" spans="2:32" ht="23.1" customHeight="1" x14ac:dyDescent="0.25">
      <c r="B32" s="24" t="s">
        <v>59</v>
      </c>
      <c r="C32" s="49">
        <f>AVERAGE('23.09 Seeta-Mukono'!C32,'24.09 Seeta-Mukono'!C32,'25.09 Seeta-Mukono'!C32,'27.09 Seeta-Mukono'!C32,'26.09 Seeta-Mukono-24h'!C32,'28.09 Seeta-Mukono-24h'!C32,'29.09 Seeta-Mukono'!C32)</f>
        <v>48.428571428571431</v>
      </c>
      <c r="D32" s="49">
        <f>AVERAGE('23.09 Seeta-Mukono'!D32,'24.09 Seeta-Mukono'!D32,'25.09 Seeta-Mukono'!D32,'27.09 Seeta-Mukono'!D32,'26.09 Seeta-Mukono-24h'!D32,'28.09 Seeta-Mukono-24h'!D32,'29.09 Seeta-Mukono'!D32)</f>
        <v>5</v>
      </c>
      <c r="E32" s="49">
        <f>AVERAGE('23.09 Seeta-Mukono'!E32,'24.09 Seeta-Mukono'!E32,'25.09 Seeta-Mukono'!E32,'27.09 Seeta-Mukono'!E32,'26.09 Seeta-Mukono-24h'!E32,'28.09 Seeta-Mukono-24h'!E32,'29.09 Seeta-Mukono'!E32)</f>
        <v>8.1428571428571423</v>
      </c>
      <c r="F32" s="49">
        <f>AVERAGE('23.09 Seeta-Mukono'!F32,'24.09 Seeta-Mukono'!F32,'25.09 Seeta-Mukono'!F32,'27.09 Seeta-Mukono'!F32,'26.09 Seeta-Mukono-24h'!F32,'28.09 Seeta-Mukono-24h'!F32,'29.09 Seeta-Mukono'!F32)</f>
        <v>49</v>
      </c>
      <c r="G32" s="49">
        <f>AVERAGE('23.09 Seeta-Mukono'!G32,'24.09 Seeta-Mukono'!G32,'25.09 Seeta-Mukono'!G32,'27.09 Seeta-Mukono'!G32,'26.09 Seeta-Mukono-24h'!G32,'28.09 Seeta-Mukono-24h'!G32,'29.09 Seeta-Mukono'!G32)</f>
        <v>2.7142857142857144</v>
      </c>
      <c r="H32" s="49">
        <f>AVERAGE('23.09 Seeta-Mukono'!H32,'24.09 Seeta-Mukono'!H32,'25.09 Seeta-Mukono'!H32,'27.09 Seeta-Mukono'!H32,'26.09 Seeta-Mukono-24h'!H32,'28.09 Seeta-Mukono-24h'!H32,'29.09 Seeta-Mukono'!H32)</f>
        <v>0.5714285714285714</v>
      </c>
      <c r="I32" s="49">
        <f>AVERAGE('23.09 Seeta-Mukono'!I32,'24.09 Seeta-Mukono'!I32,'25.09 Seeta-Mukono'!I32,'27.09 Seeta-Mukono'!I32,'26.09 Seeta-Mukono-24h'!I32,'28.09 Seeta-Mukono-24h'!I32,'29.09 Seeta-Mukono'!I32)</f>
        <v>15.142857142857142</v>
      </c>
      <c r="J32" s="49">
        <f>AVERAGE('23.09 Seeta-Mukono'!J32,'24.09 Seeta-Mukono'!J32,'25.09 Seeta-Mukono'!J32,'27.09 Seeta-Mukono'!J32,'26.09 Seeta-Mukono-24h'!J32,'28.09 Seeta-Mukono-24h'!J32,'29.09 Seeta-Mukono'!J32)</f>
        <v>5.4285714285714288</v>
      </c>
      <c r="K32" s="49">
        <f>AVERAGE('23.09 Seeta-Mukono'!K32,'24.09 Seeta-Mukono'!K32,'25.09 Seeta-Mukono'!K32,'27.09 Seeta-Mukono'!K32,'26.09 Seeta-Mukono-24h'!K32,'28.09 Seeta-Mukono-24h'!K32,'29.09 Seeta-Mukono'!K32)</f>
        <v>5.4285714285714288</v>
      </c>
      <c r="L32" s="49">
        <f>AVERAGE('23.09 Seeta-Mukono'!L32,'24.09 Seeta-Mukono'!L32,'25.09 Seeta-Mukono'!L32,'27.09 Seeta-Mukono'!L32,'26.09 Seeta-Mukono-24h'!L32,'28.09 Seeta-Mukono-24h'!L32,'29.09 Seeta-Mukono'!L32)</f>
        <v>12</v>
      </c>
      <c r="M32" s="49">
        <f>AVERAGE('23.09 Seeta-Mukono'!M32,'24.09 Seeta-Mukono'!M32,'25.09 Seeta-Mukono'!M32,'27.09 Seeta-Mukono'!M32,'26.09 Seeta-Mukono-24h'!M32,'28.09 Seeta-Mukono-24h'!M32,'29.09 Seeta-Mukono'!M32)</f>
        <v>90</v>
      </c>
      <c r="N32" s="49">
        <f>AVERAGE('23.09 Seeta-Mukono'!N32,'24.09 Seeta-Mukono'!N32,'25.09 Seeta-Mukono'!N32,'27.09 Seeta-Mukono'!N32,'26.09 Seeta-Mukono-24h'!N32,'28.09 Seeta-Mukono-24h'!N32,'29.09 Seeta-Mukono'!N32)</f>
        <v>2.2857142857142856</v>
      </c>
      <c r="O32" s="15">
        <f t="shared" si="0"/>
        <v>154.14285714285711</v>
      </c>
      <c r="P32" s="15">
        <f t="shared" si="1"/>
        <v>244.14285714285711</v>
      </c>
      <c r="R32" s="1" t="s">
        <v>156</v>
      </c>
      <c r="S32" s="34">
        <f>SUM(C98:C101)</f>
        <v>44</v>
      </c>
      <c r="T32" s="34">
        <f t="shared" ref="T32:AF32" si="24">SUM(D98:D101)</f>
        <v>14</v>
      </c>
      <c r="U32" s="34">
        <f t="shared" si="24"/>
        <v>8.5</v>
      </c>
      <c r="V32" s="34">
        <f t="shared" si="24"/>
        <v>51</v>
      </c>
      <c r="W32" s="34">
        <f t="shared" si="24"/>
        <v>4.5</v>
      </c>
      <c r="X32" s="34">
        <f t="shared" si="24"/>
        <v>1.5</v>
      </c>
      <c r="Y32" s="34">
        <f t="shared" si="24"/>
        <v>22.5</v>
      </c>
      <c r="Z32" s="34">
        <f t="shared" si="24"/>
        <v>18</v>
      </c>
      <c r="AA32" s="34">
        <f t="shared" si="24"/>
        <v>4.5</v>
      </c>
      <c r="AB32" s="34">
        <f t="shared" si="24"/>
        <v>15</v>
      </c>
      <c r="AC32" s="34">
        <f t="shared" si="24"/>
        <v>28.5</v>
      </c>
      <c r="AD32" s="34">
        <f t="shared" si="24"/>
        <v>0</v>
      </c>
      <c r="AE32" s="31">
        <f t="shared" si="24"/>
        <v>183.5</v>
      </c>
      <c r="AF32" s="31">
        <f t="shared" si="24"/>
        <v>212</v>
      </c>
    </row>
    <row r="33" spans="2:32" ht="23.1" customHeight="1" x14ac:dyDescent="0.25">
      <c r="B33" s="23" t="s">
        <v>60</v>
      </c>
      <c r="C33" s="49">
        <f>AVERAGE('23.09 Seeta-Mukono'!C33,'24.09 Seeta-Mukono'!C33,'25.09 Seeta-Mukono'!C33,'27.09 Seeta-Mukono'!C33,'26.09 Seeta-Mukono-24h'!C33,'28.09 Seeta-Mukono-24h'!C33,'29.09 Seeta-Mukono'!C33)</f>
        <v>55.285714285714285</v>
      </c>
      <c r="D33" s="49">
        <f>AVERAGE('23.09 Seeta-Mukono'!D33,'24.09 Seeta-Mukono'!D33,'25.09 Seeta-Mukono'!D33,'27.09 Seeta-Mukono'!D33,'26.09 Seeta-Mukono-24h'!D33,'28.09 Seeta-Mukono-24h'!D33,'29.09 Seeta-Mukono'!D33)</f>
        <v>7.1428571428571432</v>
      </c>
      <c r="E33" s="49">
        <f>AVERAGE('23.09 Seeta-Mukono'!E33,'24.09 Seeta-Mukono'!E33,'25.09 Seeta-Mukono'!E33,'27.09 Seeta-Mukono'!E33,'26.09 Seeta-Mukono-24h'!E33,'28.09 Seeta-Mukono-24h'!E33,'29.09 Seeta-Mukono'!E33)</f>
        <v>7.8571428571428568</v>
      </c>
      <c r="F33" s="49">
        <f>AVERAGE('23.09 Seeta-Mukono'!F33,'24.09 Seeta-Mukono'!F33,'25.09 Seeta-Mukono'!F33,'27.09 Seeta-Mukono'!F33,'26.09 Seeta-Mukono-24h'!F33,'28.09 Seeta-Mukono-24h'!F33,'29.09 Seeta-Mukono'!F33)</f>
        <v>61</v>
      </c>
      <c r="G33" s="49">
        <f>AVERAGE('23.09 Seeta-Mukono'!G33,'24.09 Seeta-Mukono'!G33,'25.09 Seeta-Mukono'!G33,'27.09 Seeta-Mukono'!G33,'26.09 Seeta-Mukono-24h'!G33,'28.09 Seeta-Mukono-24h'!G33,'29.09 Seeta-Mukono'!G33)</f>
        <v>2.5714285714285716</v>
      </c>
      <c r="H33" s="49">
        <f>AVERAGE('23.09 Seeta-Mukono'!H33,'24.09 Seeta-Mukono'!H33,'25.09 Seeta-Mukono'!H33,'27.09 Seeta-Mukono'!H33,'26.09 Seeta-Mukono-24h'!H33,'28.09 Seeta-Mukono-24h'!H33,'29.09 Seeta-Mukono'!H33)</f>
        <v>0.8571428571428571</v>
      </c>
      <c r="I33" s="49">
        <f>AVERAGE('23.09 Seeta-Mukono'!I33,'24.09 Seeta-Mukono'!I33,'25.09 Seeta-Mukono'!I33,'27.09 Seeta-Mukono'!I33,'26.09 Seeta-Mukono-24h'!I33,'28.09 Seeta-Mukono-24h'!I33,'29.09 Seeta-Mukono'!I33)</f>
        <v>17.714285714285715</v>
      </c>
      <c r="J33" s="49">
        <f>AVERAGE('23.09 Seeta-Mukono'!J33,'24.09 Seeta-Mukono'!J33,'25.09 Seeta-Mukono'!J33,'27.09 Seeta-Mukono'!J33,'26.09 Seeta-Mukono-24h'!J33,'28.09 Seeta-Mukono-24h'!J33,'29.09 Seeta-Mukono'!J33)</f>
        <v>4</v>
      </c>
      <c r="K33" s="49">
        <f>AVERAGE('23.09 Seeta-Mukono'!K33,'24.09 Seeta-Mukono'!K33,'25.09 Seeta-Mukono'!K33,'27.09 Seeta-Mukono'!K33,'26.09 Seeta-Mukono-24h'!K33,'28.09 Seeta-Mukono-24h'!K33,'29.09 Seeta-Mukono'!K33)</f>
        <v>1.4285714285714286</v>
      </c>
      <c r="L33" s="49">
        <f>AVERAGE('23.09 Seeta-Mukono'!L33,'24.09 Seeta-Mukono'!L33,'25.09 Seeta-Mukono'!L33,'27.09 Seeta-Mukono'!L33,'26.09 Seeta-Mukono-24h'!L33,'28.09 Seeta-Mukono-24h'!L33,'29.09 Seeta-Mukono'!L33)</f>
        <v>9.1428571428571423</v>
      </c>
      <c r="M33" s="49">
        <f>AVERAGE('23.09 Seeta-Mukono'!M33,'24.09 Seeta-Mukono'!M33,'25.09 Seeta-Mukono'!M33,'27.09 Seeta-Mukono'!M33,'26.09 Seeta-Mukono-24h'!M33,'28.09 Seeta-Mukono-24h'!M33,'29.09 Seeta-Mukono'!M33)</f>
        <v>113.14285714285714</v>
      </c>
      <c r="N33" s="49">
        <f>AVERAGE('23.09 Seeta-Mukono'!N33,'24.09 Seeta-Mukono'!N33,'25.09 Seeta-Mukono'!N33,'27.09 Seeta-Mukono'!N33,'26.09 Seeta-Mukono-24h'!N33,'28.09 Seeta-Mukono-24h'!N33,'29.09 Seeta-Mukono'!N33)</f>
        <v>0</v>
      </c>
      <c r="O33" s="15">
        <f t="shared" si="0"/>
        <v>167</v>
      </c>
      <c r="P33" s="15">
        <f t="shared" si="1"/>
        <v>280.14285714285711</v>
      </c>
      <c r="R33" s="1" t="s">
        <v>157</v>
      </c>
      <c r="S33" s="34">
        <f>SUM(C102:C105)</f>
        <v>74</v>
      </c>
      <c r="T33" s="34">
        <f t="shared" ref="T33:AF33" si="25">SUM(D102:D105)</f>
        <v>27</v>
      </c>
      <c r="U33" s="34">
        <f t="shared" si="25"/>
        <v>20.5</v>
      </c>
      <c r="V33" s="34">
        <f t="shared" si="25"/>
        <v>110</v>
      </c>
      <c r="W33" s="34">
        <f t="shared" si="25"/>
        <v>4</v>
      </c>
      <c r="X33" s="34">
        <f t="shared" si="25"/>
        <v>2</v>
      </c>
      <c r="Y33" s="34">
        <f t="shared" si="25"/>
        <v>30.5</v>
      </c>
      <c r="Z33" s="34">
        <f t="shared" si="25"/>
        <v>13</v>
      </c>
      <c r="AA33" s="34">
        <f t="shared" si="25"/>
        <v>10.5</v>
      </c>
      <c r="AB33" s="34">
        <f t="shared" si="25"/>
        <v>34.5</v>
      </c>
      <c r="AC33" s="34">
        <f t="shared" si="25"/>
        <v>84</v>
      </c>
      <c r="AD33" s="34">
        <f t="shared" si="25"/>
        <v>0</v>
      </c>
      <c r="AE33" s="31">
        <f t="shared" si="25"/>
        <v>326</v>
      </c>
      <c r="AF33" s="31">
        <f t="shared" si="25"/>
        <v>410</v>
      </c>
    </row>
    <row r="34" spans="2:32" ht="23.1" customHeight="1" x14ac:dyDescent="0.25">
      <c r="B34" s="24" t="s">
        <v>61</v>
      </c>
      <c r="C34" s="49">
        <f>AVERAGE('23.09 Seeta-Mukono'!C34,'24.09 Seeta-Mukono'!C34,'25.09 Seeta-Mukono'!C34,'27.09 Seeta-Mukono'!C34,'26.09 Seeta-Mukono-24h'!C34,'28.09 Seeta-Mukono-24h'!C34,'29.09 Seeta-Mukono'!C34)</f>
        <v>59.571428571428569</v>
      </c>
      <c r="D34" s="49">
        <f>AVERAGE('23.09 Seeta-Mukono'!D34,'24.09 Seeta-Mukono'!D34,'25.09 Seeta-Mukono'!D34,'27.09 Seeta-Mukono'!D34,'26.09 Seeta-Mukono-24h'!D34,'28.09 Seeta-Mukono-24h'!D34,'29.09 Seeta-Mukono'!D34)</f>
        <v>8.7142857142857135</v>
      </c>
      <c r="E34" s="49">
        <f>AVERAGE('23.09 Seeta-Mukono'!E34,'24.09 Seeta-Mukono'!E34,'25.09 Seeta-Mukono'!E34,'27.09 Seeta-Mukono'!E34,'26.09 Seeta-Mukono-24h'!E34,'28.09 Seeta-Mukono-24h'!E34,'29.09 Seeta-Mukono'!E34)</f>
        <v>6.5714285714285712</v>
      </c>
      <c r="F34" s="49">
        <f>AVERAGE('23.09 Seeta-Mukono'!F34,'24.09 Seeta-Mukono'!F34,'25.09 Seeta-Mukono'!F34,'27.09 Seeta-Mukono'!F34,'26.09 Seeta-Mukono-24h'!F34,'28.09 Seeta-Mukono-24h'!F34,'29.09 Seeta-Mukono'!F34)</f>
        <v>65.142857142857139</v>
      </c>
      <c r="G34" s="49">
        <f>AVERAGE('23.09 Seeta-Mukono'!G34,'24.09 Seeta-Mukono'!G34,'25.09 Seeta-Mukono'!G34,'27.09 Seeta-Mukono'!G34,'26.09 Seeta-Mukono-24h'!G34,'28.09 Seeta-Mukono-24h'!G34,'29.09 Seeta-Mukono'!G34)</f>
        <v>3.1428571428571428</v>
      </c>
      <c r="H34" s="49">
        <f>AVERAGE('23.09 Seeta-Mukono'!H34,'24.09 Seeta-Mukono'!H34,'25.09 Seeta-Mukono'!H34,'27.09 Seeta-Mukono'!H34,'26.09 Seeta-Mukono-24h'!H34,'28.09 Seeta-Mukono-24h'!H34,'29.09 Seeta-Mukono'!H34)</f>
        <v>0.5714285714285714</v>
      </c>
      <c r="I34" s="49">
        <f>AVERAGE('23.09 Seeta-Mukono'!I34,'24.09 Seeta-Mukono'!I34,'25.09 Seeta-Mukono'!I34,'27.09 Seeta-Mukono'!I34,'26.09 Seeta-Mukono-24h'!I34,'28.09 Seeta-Mukono-24h'!I34,'29.09 Seeta-Mukono'!I34)</f>
        <v>17</v>
      </c>
      <c r="J34" s="49">
        <f>AVERAGE('23.09 Seeta-Mukono'!J34,'24.09 Seeta-Mukono'!J34,'25.09 Seeta-Mukono'!J34,'27.09 Seeta-Mukono'!J34,'26.09 Seeta-Mukono-24h'!J34,'28.09 Seeta-Mukono-24h'!J34,'29.09 Seeta-Mukono'!J34)</f>
        <v>8</v>
      </c>
      <c r="K34" s="49">
        <f>AVERAGE('23.09 Seeta-Mukono'!K34,'24.09 Seeta-Mukono'!K34,'25.09 Seeta-Mukono'!K34,'27.09 Seeta-Mukono'!K34,'26.09 Seeta-Mukono-24h'!K34,'28.09 Seeta-Mukono-24h'!K34,'29.09 Seeta-Mukono'!K34)</f>
        <v>3.1428571428571428</v>
      </c>
      <c r="L34" s="49">
        <f>AVERAGE('23.09 Seeta-Mukono'!L34,'24.09 Seeta-Mukono'!L34,'25.09 Seeta-Mukono'!L34,'27.09 Seeta-Mukono'!L34,'26.09 Seeta-Mukono-24h'!L34,'28.09 Seeta-Mukono-24h'!L34,'29.09 Seeta-Mukono'!L34)</f>
        <v>17.142857142857142</v>
      </c>
      <c r="M34" s="49">
        <f>AVERAGE('23.09 Seeta-Mukono'!M34,'24.09 Seeta-Mukono'!M34,'25.09 Seeta-Mukono'!M34,'27.09 Seeta-Mukono'!M34,'26.09 Seeta-Mukono-24h'!M34,'28.09 Seeta-Mukono-24h'!M34,'29.09 Seeta-Mukono'!M34)</f>
        <v>105.28571428571429</v>
      </c>
      <c r="N34" s="49">
        <f>AVERAGE('23.09 Seeta-Mukono'!N34,'24.09 Seeta-Mukono'!N34,'25.09 Seeta-Mukono'!N34,'27.09 Seeta-Mukono'!N34,'26.09 Seeta-Mukono-24h'!N34,'28.09 Seeta-Mukono-24h'!N34,'29.09 Seeta-Mukono'!N34)</f>
        <v>0</v>
      </c>
      <c r="O34" s="15">
        <f t="shared" si="0"/>
        <v>189</v>
      </c>
      <c r="P34" s="15">
        <f t="shared" si="1"/>
        <v>294.28571428571428</v>
      </c>
      <c r="R34" s="38" t="s">
        <v>90</v>
      </c>
      <c r="S34" s="39">
        <f t="shared" ref="S34:AF34" si="26">MAX(S10:S12)</f>
        <v>284.85714285714283</v>
      </c>
      <c r="T34" s="39">
        <f t="shared" si="26"/>
        <v>36.142857142857146</v>
      </c>
      <c r="U34" s="39">
        <f t="shared" si="26"/>
        <v>43.857142857142861</v>
      </c>
      <c r="V34" s="39">
        <f t="shared" si="26"/>
        <v>205.85714285714283</v>
      </c>
      <c r="W34" s="39">
        <f t="shared" si="26"/>
        <v>11.571428571428571</v>
      </c>
      <c r="X34" s="39">
        <f t="shared" si="26"/>
        <v>6.1428571428571432</v>
      </c>
      <c r="Y34" s="39">
        <f t="shared" si="26"/>
        <v>64.714285714285722</v>
      </c>
      <c r="Z34" s="39">
        <f t="shared" si="26"/>
        <v>20</v>
      </c>
      <c r="AA34" s="39">
        <f t="shared" si="26"/>
        <v>11.142857142857142</v>
      </c>
      <c r="AB34" s="39">
        <f t="shared" si="26"/>
        <v>18.714285714285715</v>
      </c>
      <c r="AC34" s="39">
        <f t="shared" si="26"/>
        <v>491.42857142857139</v>
      </c>
      <c r="AD34" s="39">
        <f t="shared" si="26"/>
        <v>12.857142857142858</v>
      </c>
      <c r="AE34" s="40">
        <f t="shared" si="26"/>
        <v>676.42857142857144</v>
      </c>
      <c r="AF34" s="40">
        <f t="shared" si="26"/>
        <v>1167.8571428571429</v>
      </c>
    </row>
    <row r="35" spans="2:32" ht="23.1" customHeight="1" x14ac:dyDescent="0.25">
      <c r="B35" s="24" t="s">
        <v>62</v>
      </c>
      <c r="C35" s="49">
        <f>AVERAGE('23.09 Seeta-Mukono'!C35,'24.09 Seeta-Mukono'!C35,'25.09 Seeta-Mukono'!C35,'27.09 Seeta-Mukono'!C35,'26.09 Seeta-Mukono-24h'!C35,'28.09 Seeta-Mukono-24h'!C35,'29.09 Seeta-Mukono'!C35)</f>
        <v>45</v>
      </c>
      <c r="D35" s="49">
        <f>AVERAGE('23.09 Seeta-Mukono'!D35,'24.09 Seeta-Mukono'!D35,'25.09 Seeta-Mukono'!D35,'27.09 Seeta-Mukono'!D35,'26.09 Seeta-Mukono-24h'!D35,'28.09 Seeta-Mukono-24h'!D35,'29.09 Seeta-Mukono'!D35)</f>
        <v>5.1428571428571432</v>
      </c>
      <c r="E35" s="49">
        <f>AVERAGE('23.09 Seeta-Mukono'!E35,'24.09 Seeta-Mukono'!E35,'25.09 Seeta-Mukono'!E35,'27.09 Seeta-Mukono'!E35,'26.09 Seeta-Mukono-24h'!E35,'28.09 Seeta-Mukono-24h'!E35,'29.09 Seeta-Mukono'!E35)</f>
        <v>4.4285714285714288</v>
      </c>
      <c r="F35" s="49">
        <f>AVERAGE('23.09 Seeta-Mukono'!F35,'24.09 Seeta-Mukono'!F35,'25.09 Seeta-Mukono'!F35,'27.09 Seeta-Mukono'!F35,'26.09 Seeta-Mukono-24h'!F35,'28.09 Seeta-Mukono-24h'!F35,'29.09 Seeta-Mukono'!F35)</f>
        <v>44.857142857142854</v>
      </c>
      <c r="G35" s="49">
        <f>AVERAGE('23.09 Seeta-Mukono'!G35,'24.09 Seeta-Mukono'!G35,'25.09 Seeta-Mukono'!G35,'27.09 Seeta-Mukono'!G35,'26.09 Seeta-Mukono-24h'!G35,'28.09 Seeta-Mukono-24h'!G35,'29.09 Seeta-Mukono'!G35)</f>
        <v>2.2857142857142856</v>
      </c>
      <c r="H35" s="49">
        <f>AVERAGE('23.09 Seeta-Mukono'!H35,'24.09 Seeta-Mukono'!H35,'25.09 Seeta-Mukono'!H35,'27.09 Seeta-Mukono'!H35,'26.09 Seeta-Mukono-24h'!H35,'28.09 Seeta-Mukono-24h'!H35,'29.09 Seeta-Mukono'!H35)</f>
        <v>0.14285714285714285</v>
      </c>
      <c r="I35" s="49">
        <f>AVERAGE('23.09 Seeta-Mukono'!I35,'24.09 Seeta-Mukono'!I35,'25.09 Seeta-Mukono'!I35,'27.09 Seeta-Mukono'!I35,'26.09 Seeta-Mukono-24h'!I35,'28.09 Seeta-Mukono-24h'!I35,'29.09 Seeta-Mukono'!I35)</f>
        <v>14.714285714285714</v>
      </c>
      <c r="J35" s="49">
        <f>AVERAGE('23.09 Seeta-Mukono'!J35,'24.09 Seeta-Mukono'!J35,'25.09 Seeta-Mukono'!J35,'27.09 Seeta-Mukono'!J35,'26.09 Seeta-Mukono-24h'!J35,'28.09 Seeta-Mukono-24h'!J35,'29.09 Seeta-Mukono'!J35)</f>
        <v>7.7142857142857144</v>
      </c>
      <c r="K35" s="49">
        <f>AVERAGE('23.09 Seeta-Mukono'!K35,'24.09 Seeta-Mukono'!K35,'25.09 Seeta-Mukono'!K35,'27.09 Seeta-Mukono'!K35,'26.09 Seeta-Mukono-24h'!K35,'28.09 Seeta-Mukono-24h'!K35,'29.09 Seeta-Mukono'!K35)</f>
        <v>5.2857142857142856</v>
      </c>
      <c r="L35" s="49">
        <f>AVERAGE('23.09 Seeta-Mukono'!L35,'24.09 Seeta-Mukono'!L35,'25.09 Seeta-Mukono'!L35,'27.09 Seeta-Mukono'!L35,'26.09 Seeta-Mukono-24h'!L35,'28.09 Seeta-Mukono-24h'!L35,'29.09 Seeta-Mukono'!L35)</f>
        <v>16.142857142857142</v>
      </c>
      <c r="M35" s="49">
        <f>AVERAGE('23.09 Seeta-Mukono'!M35,'24.09 Seeta-Mukono'!M35,'25.09 Seeta-Mukono'!M35,'27.09 Seeta-Mukono'!M35,'26.09 Seeta-Mukono-24h'!M35,'28.09 Seeta-Mukono-24h'!M35,'29.09 Seeta-Mukono'!M35)</f>
        <v>86.714285714285708</v>
      </c>
      <c r="N35" s="49">
        <f>AVERAGE('23.09 Seeta-Mukono'!N35,'24.09 Seeta-Mukono'!N35,'25.09 Seeta-Mukono'!N35,'27.09 Seeta-Mukono'!N35,'26.09 Seeta-Mukono-24h'!N35,'28.09 Seeta-Mukono-24h'!N35,'29.09 Seeta-Mukono'!N35)</f>
        <v>0</v>
      </c>
      <c r="O35" s="15">
        <f t="shared" si="0"/>
        <v>145.71428571428569</v>
      </c>
      <c r="P35" s="15">
        <f t="shared" si="1"/>
        <v>232.42857142857139</v>
      </c>
      <c r="R35" s="38" t="s">
        <v>91</v>
      </c>
      <c r="S35" s="39">
        <f t="shared" ref="S35:AF35" si="27">MAX(S13:S18)</f>
        <v>252.42857142857144</v>
      </c>
      <c r="T35" s="39">
        <f t="shared" si="27"/>
        <v>33.285714285714285</v>
      </c>
      <c r="U35" s="39">
        <f t="shared" si="27"/>
        <v>39.571428571428577</v>
      </c>
      <c r="V35" s="39">
        <f t="shared" si="27"/>
        <v>207.42857142857144</v>
      </c>
      <c r="W35" s="39">
        <f t="shared" si="27"/>
        <v>10.857142857142858</v>
      </c>
      <c r="X35" s="39">
        <f t="shared" si="27"/>
        <v>7.7142857142857135</v>
      </c>
      <c r="Y35" s="39">
        <f t="shared" si="27"/>
        <v>74</v>
      </c>
      <c r="Z35" s="39">
        <f t="shared" si="27"/>
        <v>27.571428571428573</v>
      </c>
      <c r="AA35" s="39">
        <f t="shared" si="27"/>
        <v>19.142857142857142</v>
      </c>
      <c r="AB35" s="39">
        <f t="shared" si="27"/>
        <v>78.142857142857139</v>
      </c>
      <c r="AC35" s="39">
        <f t="shared" si="27"/>
        <v>479.42857142857144</v>
      </c>
      <c r="AD35" s="39">
        <f t="shared" si="27"/>
        <v>2.5714285714285712</v>
      </c>
      <c r="AE35" s="40">
        <f t="shared" si="27"/>
        <v>656.14285714285711</v>
      </c>
      <c r="AF35" s="40">
        <f t="shared" si="27"/>
        <v>1135</v>
      </c>
    </row>
    <row r="36" spans="2:32" ht="23.1" customHeight="1" x14ac:dyDescent="0.25">
      <c r="B36" s="24" t="s">
        <v>63</v>
      </c>
      <c r="C36" s="49">
        <f>AVERAGE('23.09 Seeta-Mukono'!C36,'24.09 Seeta-Mukono'!C36,'25.09 Seeta-Mukono'!C36,'27.09 Seeta-Mukono'!C36,'26.09 Seeta-Mukono-24h'!C36,'28.09 Seeta-Mukono-24h'!C36,'29.09 Seeta-Mukono'!C36)</f>
        <v>45.714285714285715</v>
      </c>
      <c r="D36" s="49">
        <f>AVERAGE('23.09 Seeta-Mukono'!D36,'24.09 Seeta-Mukono'!D36,'25.09 Seeta-Mukono'!D36,'27.09 Seeta-Mukono'!D36,'26.09 Seeta-Mukono-24h'!D36,'28.09 Seeta-Mukono-24h'!D36,'29.09 Seeta-Mukono'!D36)</f>
        <v>7.7142857142857144</v>
      </c>
      <c r="E36" s="49">
        <f>AVERAGE('23.09 Seeta-Mukono'!E36,'24.09 Seeta-Mukono'!E36,'25.09 Seeta-Mukono'!E36,'27.09 Seeta-Mukono'!E36,'26.09 Seeta-Mukono-24h'!E36,'28.09 Seeta-Mukono-24h'!E36,'29.09 Seeta-Mukono'!E36)</f>
        <v>6.7142857142857144</v>
      </c>
      <c r="F36" s="49">
        <f>AVERAGE('23.09 Seeta-Mukono'!F36,'24.09 Seeta-Mukono'!F36,'25.09 Seeta-Mukono'!F36,'27.09 Seeta-Mukono'!F36,'26.09 Seeta-Mukono-24h'!F36,'28.09 Seeta-Mukono-24h'!F36,'29.09 Seeta-Mukono'!F36)</f>
        <v>46.428571428571431</v>
      </c>
      <c r="G36" s="49">
        <f>AVERAGE('23.09 Seeta-Mukono'!G36,'24.09 Seeta-Mukono'!G36,'25.09 Seeta-Mukono'!G36,'27.09 Seeta-Mukono'!G36,'26.09 Seeta-Mukono-24h'!G36,'28.09 Seeta-Mukono-24h'!G36,'29.09 Seeta-Mukono'!G36)</f>
        <v>2.1428571428571428</v>
      </c>
      <c r="H36" s="49">
        <f>AVERAGE('23.09 Seeta-Mukono'!H36,'24.09 Seeta-Mukono'!H36,'25.09 Seeta-Mukono'!H36,'27.09 Seeta-Mukono'!H36,'26.09 Seeta-Mukono-24h'!H36,'28.09 Seeta-Mukono-24h'!H36,'29.09 Seeta-Mukono'!H36)</f>
        <v>0.8571428571428571</v>
      </c>
      <c r="I36" s="49">
        <f>AVERAGE('23.09 Seeta-Mukono'!I36,'24.09 Seeta-Mukono'!I36,'25.09 Seeta-Mukono'!I36,'27.09 Seeta-Mukono'!I36,'26.09 Seeta-Mukono-24h'!I36,'28.09 Seeta-Mukono-24h'!I36,'29.09 Seeta-Mukono'!I36)</f>
        <v>17.428571428571427</v>
      </c>
      <c r="J36" s="49">
        <f>AVERAGE('23.09 Seeta-Mukono'!J36,'24.09 Seeta-Mukono'!J36,'25.09 Seeta-Mukono'!J36,'27.09 Seeta-Mukono'!J36,'26.09 Seeta-Mukono-24h'!J36,'28.09 Seeta-Mukono-24h'!J36,'29.09 Seeta-Mukono'!J36)</f>
        <v>5.7142857142857144</v>
      </c>
      <c r="K36" s="49">
        <f>AVERAGE('23.09 Seeta-Mukono'!K36,'24.09 Seeta-Mukono'!K36,'25.09 Seeta-Mukono'!K36,'27.09 Seeta-Mukono'!K36,'26.09 Seeta-Mukono-24h'!K36,'28.09 Seeta-Mukono-24h'!K36,'29.09 Seeta-Mukono'!K36)</f>
        <v>4.4285714285714288</v>
      </c>
      <c r="L36" s="49">
        <f>AVERAGE('23.09 Seeta-Mukono'!L36,'24.09 Seeta-Mukono'!L36,'25.09 Seeta-Mukono'!L36,'27.09 Seeta-Mukono'!L36,'26.09 Seeta-Mukono-24h'!L36,'28.09 Seeta-Mukono-24h'!L36,'29.09 Seeta-Mukono'!L36)</f>
        <v>23.428571428571427</v>
      </c>
      <c r="M36" s="49">
        <f>AVERAGE('23.09 Seeta-Mukono'!M36,'24.09 Seeta-Mukono'!M36,'25.09 Seeta-Mukono'!M36,'27.09 Seeta-Mukono'!M36,'26.09 Seeta-Mukono-24h'!M36,'28.09 Seeta-Mukono-24h'!M36,'29.09 Seeta-Mukono'!M36)</f>
        <v>109.42857142857143</v>
      </c>
      <c r="N36" s="49">
        <f>AVERAGE('23.09 Seeta-Mukono'!N36,'24.09 Seeta-Mukono'!N36,'25.09 Seeta-Mukono'!N36,'27.09 Seeta-Mukono'!N36,'26.09 Seeta-Mukono-24h'!N36,'28.09 Seeta-Mukono-24h'!N36,'29.09 Seeta-Mukono'!N36)</f>
        <v>0</v>
      </c>
      <c r="O36" s="15">
        <f t="shared" si="0"/>
        <v>160.57142857142856</v>
      </c>
      <c r="P36" s="15">
        <f t="shared" si="1"/>
        <v>270</v>
      </c>
      <c r="R36" s="38" t="s">
        <v>92</v>
      </c>
      <c r="S36" s="39">
        <f t="shared" ref="S36:AF36" si="28">MAX(S19:S21)</f>
        <v>199.42857142857144</v>
      </c>
      <c r="T36" s="39">
        <f t="shared" si="28"/>
        <v>31.142857142857142</v>
      </c>
      <c r="U36" s="39">
        <f t="shared" si="28"/>
        <v>26.714285714285715</v>
      </c>
      <c r="V36" s="39">
        <f t="shared" si="28"/>
        <v>199.85714285714283</v>
      </c>
      <c r="W36" s="39">
        <f t="shared" si="28"/>
        <v>29.714285714285715</v>
      </c>
      <c r="X36" s="39">
        <f t="shared" si="28"/>
        <v>6.4285714285714279</v>
      </c>
      <c r="Y36" s="39">
        <f t="shared" si="28"/>
        <v>55</v>
      </c>
      <c r="Z36" s="39">
        <f t="shared" si="28"/>
        <v>22.714285714285715</v>
      </c>
      <c r="AA36" s="39">
        <f t="shared" si="28"/>
        <v>15.428571428571429</v>
      </c>
      <c r="AB36" s="39">
        <f t="shared" si="28"/>
        <v>110.42857142857144</v>
      </c>
      <c r="AC36" s="39">
        <f t="shared" si="28"/>
        <v>618.85714285714289</v>
      </c>
      <c r="AD36" s="39">
        <f t="shared" si="28"/>
        <v>0.2857142857142857</v>
      </c>
      <c r="AE36" s="40">
        <f t="shared" si="28"/>
        <v>636.14285714285711</v>
      </c>
      <c r="AF36" s="40">
        <f t="shared" si="28"/>
        <v>1205.1428571428571</v>
      </c>
    </row>
    <row r="37" spans="2:32" ht="23.1" customHeight="1" x14ac:dyDescent="0.25">
      <c r="B37" s="23" t="s">
        <v>64</v>
      </c>
      <c r="C37" s="49">
        <f>AVERAGE('23.09 Seeta-Mukono'!C37,'24.09 Seeta-Mukono'!C37,'25.09 Seeta-Mukono'!C37,'27.09 Seeta-Mukono'!C37,'26.09 Seeta-Mukono-24h'!C37,'28.09 Seeta-Mukono-24h'!C37,'29.09 Seeta-Mukono'!C37)</f>
        <v>46.714285714285715</v>
      </c>
      <c r="D37" s="49">
        <f>AVERAGE('23.09 Seeta-Mukono'!D37,'24.09 Seeta-Mukono'!D37,'25.09 Seeta-Mukono'!D37,'27.09 Seeta-Mukono'!D37,'26.09 Seeta-Mukono-24h'!D37,'28.09 Seeta-Mukono-24h'!D37,'29.09 Seeta-Mukono'!D37)</f>
        <v>6.4285714285714288</v>
      </c>
      <c r="E37" s="49">
        <f>AVERAGE('23.09 Seeta-Mukono'!E37,'24.09 Seeta-Mukono'!E37,'25.09 Seeta-Mukono'!E37,'27.09 Seeta-Mukono'!E37,'26.09 Seeta-Mukono-24h'!E37,'28.09 Seeta-Mukono-24h'!E37,'29.09 Seeta-Mukono'!E37)</f>
        <v>6.8571428571428568</v>
      </c>
      <c r="F37" s="49">
        <f>AVERAGE('23.09 Seeta-Mukono'!F37,'24.09 Seeta-Mukono'!F37,'25.09 Seeta-Mukono'!F37,'27.09 Seeta-Mukono'!F37,'26.09 Seeta-Mukono-24h'!F37,'28.09 Seeta-Mukono-24h'!F37,'29.09 Seeta-Mukono'!F37)</f>
        <v>51</v>
      </c>
      <c r="G37" s="49">
        <f>AVERAGE('23.09 Seeta-Mukono'!G37,'24.09 Seeta-Mukono'!G37,'25.09 Seeta-Mukono'!G37,'27.09 Seeta-Mukono'!G37,'26.09 Seeta-Mukono-24h'!G37,'28.09 Seeta-Mukono-24h'!G37,'29.09 Seeta-Mukono'!G37)</f>
        <v>2</v>
      </c>
      <c r="H37" s="49">
        <f>AVERAGE('23.09 Seeta-Mukono'!H37,'24.09 Seeta-Mukono'!H37,'25.09 Seeta-Mukono'!H37,'27.09 Seeta-Mukono'!H37,'26.09 Seeta-Mukono-24h'!H37,'28.09 Seeta-Mukono-24h'!H37,'29.09 Seeta-Mukono'!H37)</f>
        <v>0.42857142857142855</v>
      </c>
      <c r="I37" s="49">
        <f>AVERAGE('23.09 Seeta-Mukono'!I37,'24.09 Seeta-Mukono'!I37,'25.09 Seeta-Mukono'!I37,'27.09 Seeta-Mukono'!I37,'26.09 Seeta-Mukono-24h'!I37,'28.09 Seeta-Mukono-24h'!I37,'29.09 Seeta-Mukono'!I37)</f>
        <v>15.142857142857142</v>
      </c>
      <c r="J37" s="49">
        <f>AVERAGE('23.09 Seeta-Mukono'!J37,'24.09 Seeta-Mukono'!J37,'25.09 Seeta-Mukono'!J37,'27.09 Seeta-Mukono'!J37,'26.09 Seeta-Mukono-24h'!J37,'28.09 Seeta-Mukono-24h'!J37,'29.09 Seeta-Mukono'!J37)</f>
        <v>6.1428571428571432</v>
      </c>
      <c r="K37" s="49">
        <f>AVERAGE('23.09 Seeta-Mukono'!K37,'24.09 Seeta-Mukono'!K37,'25.09 Seeta-Mukono'!K37,'27.09 Seeta-Mukono'!K37,'26.09 Seeta-Mukono-24h'!K37,'28.09 Seeta-Mukono-24h'!K37,'29.09 Seeta-Mukono'!K37)</f>
        <v>4.7142857142857144</v>
      </c>
      <c r="L37" s="49">
        <f>AVERAGE('23.09 Seeta-Mukono'!L37,'24.09 Seeta-Mukono'!L37,'25.09 Seeta-Mukono'!L37,'27.09 Seeta-Mukono'!L37,'26.09 Seeta-Mukono-24h'!L37,'28.09 Seeta-Mukono-24h'!L37,'29.09 Seeta-Mukono'!L37)</f>
        <v>21.428571428571427</v>
      </c>
      <c r="M37" s="49">
        <f>AVERAGE('23.09 Seeta-Mukono'!M37,'24.09 Seeta-Mukono'!M37,'25.09 Seeta-Mukono'!M37,'27.09 Seeta-Mukono'!M37,'26.09 Seeta-Mukono-24h'!M37,'28.09 Seeta-Mukono-24h'!M37,'29.09 Seeta-Mukono'!M37)</f>
        <v>98</v>
      </c>
      <c r="N37" s="49">
        <f>AVERAGE('23.09 Seeta-Mukono'!N37,'24.09 Seeta-Mukono'!N37,'25.09 Seeta-Mukono'!N37,'27.09 Seeta-Mukono'!N37,'26.09 Seeta-Mukono-24h'!N37,'28.09 Seeta-Mukono-24h'!N37,'29.09 Seeta-Mukono'!N37)</f>
        <v>0</v>
      </c>
      <c r="O37" s="15">
        <f t="shared" si="0"/>
        <v>160.85714285714286</v>
      </c>
      <c r="P37" s="15">
        <f t="shared" si="1"/>
        <v>258.85714285714289</v>
      </c>
      <c r="R37" s="37" t="s">
        <v>85</v>
      </c>
      <c r="S37" s="35">
        <f t="shared" ref="S37:AF37" si="29">SUM(S10:S12)</f>
        <v>776.42857142857144</v>
      </c>
      <c r="T37" s="16">
        <f t="shared" si="29"/>
        <v>97.142857142857139</v>
      </c>
      <c r="U37" s="16">
        <f t="shared" si="29"/>
        <v>117.71428571428572</v>
      </c>
      <c r="V37" s="16">
        <f t="shared" si="29"/>
        <v>547.28571428571422</v>
      </c>
      <c r="W37" s="16">
        <f t="shared" si="29"/>
        <v>26</v>
      </c>
      <c r="X37" s="16">
        <f t="shared" si="29"/>
        <v>15.714285714285714</v>
      </c>
      <c r="Y37" s="16">
        <f t="shared" si="29"/>
        <v>145.85714285714286</v>
      </c>
      <c r="Z37" s="16">
        <f t="shared" si="29"/>
        <v>50.142857142857146</v>
      </c>
      <c r="AA37" s="16">
        <f t="shared" si="29"/>
        <v>29.285714285714285</v>
      </c>
      <c r="AB37" s="16">
        <f t="shared" si="29"/>
        <v>49</v>
      </c>
      <c r="AC37" s="16">
        <f t="shared" si="29"/>
        <v>1209.5714285714284</v>
      </c>
      <c r="AD37" s="16">
        <f t="shared" si="29"/>
        <v>13</v>
      </c>
      <c r="AE37" s="32">
        <f t="shared" si="29"/>
        <v>1867.5714285714284</v>
      </c>
      <c r="AF37" s="32">
        <f t="shared" si="29"/>
        <v>3077.1428571428569</v>
      </c>
    </row>
    <row r="38" spans="2:32" ht="23.1" customHeight="1" x14ac:dyDescent="0.25">
      <c r="B38" s="24" t="s">
        <v>65</v>
      </c>
      <c r="C38" s="49">
        <f>AVERAGE('23.09 Seeta-Mukono'!C38,'24.09 Seeta-Mukono'!C38,'25.09 Seeta-Mukono'!C38,'27.09 Seeta-Mukono'!C38,'26.09 Seeta-Mukono-24h'!C38,'28.09 Seeta-Mukono-24h'!C38,'29.09 Seeta-Mukono'!C38)</f>
        <v>48</v>
      </c>
      <c r="D38" s="49">
        <f>AVERAGE('23.09 Seeta-Mukono'!D38,'24.09 Seeta-Mukono'!D38,'25.09 Seeta-Mukono'!D38,'27.09 Seeta-Mukono'!D38,'26.09 Seeta-Mukono-24h'!D38,'28.09 Seeta-Mukono-24h'!D38,'29.09 Seeta-Mukono'!D38)</f>
        <v>8.5714285714285712</v>
      </c>
      <c r="E38" s="49">
        <f>AVERAGE('23.09 Seeta-Mukono'!E38,'24.09 Seeta-Mukono'!E38,'25.09 Seeta-Mukono'!E38,'27.09 Seeta-Mukono'!E38,'26.09 Seeta-Mukono-24h'!E38,'28.09 Seeta-Mukono-24h'!E38,'29.09 Seeta-Mukono'!E38)</f>
        <v>13.285714285714286</v>
      </c>
      <c r="F38" s="49">
        <f>AVERAGE('23.09 Seeta-Mukono'!F38,'24.09 Seeta-Mukono'!F38,'25.09 Seeta-Mukono'!F38,'27.09 Seeta-Mukono'!F38,'26.09 Seeta-Mukono-24h'!F38,'28.09 Seeta-Mukono-24h'!F38,'29.09 Seeta-Mukono'!F38)</f>
        <v>46.714285714285715</v>
      </c>
      <c r="G38" s="49">
        <f>AVERAGE('23.09 Seeta-Mukono'!G38,'24.09 Seeta-Mukono'!G38,'25.09 Seeta-Mukono'!G38,'27.09 Seeta-Mukono'!G38,'26.09 Seeta-Mukono-24h'!G38,'28.09 Seeta-Mukono-24h'!G38,'29.09 Seeta-Mukono'!G38)</f>
        <v>3.1428571428571428</v>
      </c>
      <c r="H38" s="49">
        <f>AVERAGE('23.09 Seeta-Mukono'!H38,'24.09 Seeta-Mukono'!H38,'25.09 Seeta-Mukono'!H38,'27.09 Seeta-Mukono'!H38,'26.09 Seeta-Mukono-24h'!H38,'28.09 Seeta-Mukono-24h'!H38,'29.09 Seeta-Mukono'!H38)</f>
        <v>0.5714285714285714</v>
      </c>
      <c r="I38" s="49">
        <f>AVERAGE('23.09 Seeta-Mukono'!I38,'24.09 Seeta-Mukono'!I38,'25.09 Seeta-Mukono'!I38,'27.09 Seeta-Mukono'!I38,'26.09 Seeta-Mukono-24h'!I38,'28.09 Seeta-Mukono-24h'!I38,'29.09 Seeta-Mukono'!I38)</f>
        <v>17.571428571428573</v>
      </c>
      <c r="J38" s="49">
        <f>AVERAGE('23.09 Seeta-Mukono'!J38,'24.09 Seeta-Mukono'!J38,'25.09 Seeta-Mukono'!J38,'27.09 Seeta-Mukono'!J38,'26.09 Seeta-Mukono-24h'!J38,'28.09 Seeta-Mukono-24h'!J38,'29.09 Seeta-Mukono'!J38)</f>
        <v>5.8571428571428568</v>
      </c>
      <c r="K38" s="49">
        <f>AVERAGE('23.09 Seeta-Mukono'!K38,'24.09 Seeta-Mukono'!K38,'25.09 Seeta-Mukono'!K38,'27.09 Seeta-Mukono'!K38,'26.09 Seeta-Mukono-24h'!K38,'28.09 Seeta-Mukono-24h'!K38,'29.09 Seeta-Mukono'!K38)</f>
        <v>5</v>
      </c>
      <c r="L38" s="49">
        <f>AVERAGE('23.09 Seeta-Mukono'!L38,'24.09 Seeta-Mukono'!L38,'25.09 Seeta-Mukono'!L38,'27.09 Seeta-Mukono'!L38,'26.09 Seeta-Mukono-24h'!L38,'28.09 Seeta-Mukono-24h'!L38,'29.09 Seeta-Mukono'!L38)</f>
        <v>18.714285714285715</v>
      </c>
      <c r="M38" s="49">
        <f>AVERAGE('23.09 Seeta-Mukono'!M38,'24.09 Seeta-Mukono'!M38,'25.09 Seeta-Mukono'!M38,'27.09 Seeta-Mukono'!M38,'26.09 Seeta-Mukono-24h'!M38,'28.09 Seeta-Mukono-24h'!M38,'29.09 Seeta-Mukono'!M38)</f>
        <v>98</v>
      </c>
      <c r="N38" s="49">
        <f>AVERAGE('23.09 Seeta-Mukono'!N38,'24.09 Seeta-Mukono'!N38,'25.09 Seeta-Mukono'!N38,'27.09 Seeta-Mukono'!N38,'26.09 Seeta-Mukono-24h'!N38,'28.09 Seeta-Mukono-24h'!N38,'29.09 Seeta-Mukono'!N38)</f>
        <v>0</v>
      </c>
      <c r="O38" s="15">
        <f t="shared" si="0"/>
        <v>167.42857142857144</v>
      </c>
      <c r="P38" s="15">
        <f t="shared" si="1"/>
        <v>265.42857142857144</v>
      </c>
      <c r="R38" s="28" t="s">
        <v>86</v>
      </c>
      <c r="S38" s="16">
        <f t="shared" ref="S38:AF38" si="30">SUM(S13:S18)</f>
        <v>1252.2857142857142</v>
      </c>
      <c r="T38" s="16">
        <f t="shared" si="30"/>
        <v>169.85714285714286</v>
      </c>
      <c r="U38" s="16">
        <f t="shared" si="30"/>
        <v>194</v>
      </c>
      <c r="V38" s="16">
        <f t="shared" si="30"/>
        <v>1145.4285714285716</v>
      </c>
      <c r="W38" s="16">
        <f t="shared" si="30"/>
        <v>56.857142857142854</v>
      </c>
      <c r="X38" s="16">
        <f t="shared" si="30"/>
        <v>23.571428571428569</v>
      </c>
      <c r="Y38" s="16">
        <f t="shared" si="30"/>
        <v>372.85714285714289</v>
      </c>
      <c r="Z38" s="16">
        <f t="shared" si="30"/>
        <v>143.57142857142856</v>
      </c>
      <c r="AA38" s="16">
        <f t="shared" si="30"/>
        <v>95.428571428571416</v>
      </c>
      <c r="AB38" s="16">
        <f t="shared" si="30"/>
        <v>336.85714285714283</v>
      </c>
      <c r="AC38" s="16">
        <f t="shared" si="30"/>
        <v>2578.4285714285716</v>
      </c>
      <c r="AD38" s="16">
        <f t="shared" si="30"/>
        <v>2.5714285714285712</v>
      </c>
      <c r="AE38" s="32">
        <f t="shared" si="30"/>
        <v>3793.2857142857142</v>
      </c>
      <c r="AF38" s="32">
        <f t="shared" si="30"/>
        <v>6371.7142857142853</v>
      </c>
    </row>
    <row r="39" spans="2:32" ht="23.1" customHeight="1" x14ac:dyDescent="0.25">
      <c r="B39" s="24" t="s">
        <v>66</v>
      </c>
      <c r="C39" s="49">
        <f>AVERAGE('23.09 Seeta-Mukono'!C39,'24.09 Seeta-Mukono'!C39,'25.09 Seeta-Mukono'!C39,'27.09 Seeta-Mukono'!C39,'26.09 Seeta-Mukono-24h'!C39,'28.09 Seeta-Mukono-24h'!C39,'29.09 Seeta-Mukono'!C39)</f>
        <v>45.428571428571431</v>
      </c>
      <c r="D39" s="49">
        <f>AVERAGE('23.09 Seeta-Mukono'!D39,'24.09 Seeta-Mukono'!D39,'25.09 Seeta-Mukono'!D39,'27.09 Seeta-Mukono'!D39,'26.09 Seeta-Mukono-24h'!D39,'28.09 Seeta-Mukono-24h'!D39,'29.09 Seeta-Mukono'!D39)</f>
        <v>4.8571428571428568</v>
      </c>
      <c r="E39" s="49">
        <f>AVERAGE('23.09 Seeta-Mukono'!E39,'24.09 Seeta-Mukono'!E39,'25.09 Seeta-Mukono'!E39,'27.09 Seeta-Mukono'!E39,'26.09 Seeta-Mukono-24h'!E39,'28.09 Seeta-Mukono-24h'!E39,'29.09 Seeta-Mukono'!E39)</f>
        <v>6.4285714285714288</v>
      </c>
      <c r="F39" s="49">
        <f>AVERAGE('23.09 Seeta-Mukono'!F39,'24.09 Seeta-Mukono'!F39,'25.09 Seeta-Mukono'!F39,'27.09 Seeta-Mukono'!F39,'26.09 Seeta-Mukono-24h'!F39,'28.09 Seeta-Mukono-24h'!F39,'29.09 Seeta-Mukono'!F39)</f>
        <v>48</v>
      </c>
      <c r="G39" s="49">
        <f>AVERAGE('23.09 Seeta-Mukono'!G39,'24.09 Seeta-Mukono'!G39,'25.09 Seeta-Mukono'!G39,'27.09 Seeta-Mukono'!G39,'26.09 Seeta-Mukono-24h'!G39,'28.09 Seeta-Mukono-24h'!G39,'29.09 Seeta-Mukono'!G39)</f>
        <v>2.5714285714285716</v>
      </c>
      <c r="H39" s="49">
        <f>AVERAGE('23.09 Seeta-Mukono'!H39,'24.09 Seeta-Mukono'!H39,'25.09 Seeta-Mukono'!H39,'27.09 Seeta-Mukono'!H39,'26.09 Seeta-Mukono-24h'!H39,'28.09 Seeta-Mukono-24h'!H39,'29.09 Seeta-Mukono'!H39)</f>
        <v>0.14285714285714285</v>
      </c>
      <c r="I39" s="49">
        <f>AVERAGE('23.09 Seeta-Mukono'!I39,'24.09 Seeta-Mukono'!I39,'25.09 Seeta-Mukono'!I39,'27.09 Seeta-Mukono'!I39,'26.09 Seeta-Mukono-24h'!I39,'28.09 Seeta-Mukono-24h'!I39,'29.09 Seeta-Mukono'!I39)</f>
        <v>18</v>
      </c>
      <c r="J39" s="49">
        <f>AVERAGE('23.09 Seeta-Mukono'!J39,'24.09 Seeta-Mukono'!J39,'25.09 Seeta-Mukono'!J39,'27.09 Seeta-Mukono'!J39,'26.09 Seeta-Mukono-24h'!J39,'28.09 Seeta-Mukono-24h'!J39,'29.09 Seeta-Mukono'!J39)</f>
        <v>4.8571428571428568</v>
      </c>
      <c r="K39" s="49">
        <f>AVERAGE('23.09 Seeta-Mukono'!K39,'24.09 Seeta-Mukono'!K39,'25.09 Seeta-Mukono'!K39,'27.09 Seeta-Mukono'!K39,'26.09 Seeta-Mukono-24h'!K39,'28.09 Seeta-Mukono-24h'!K39,'29.09 Seeta-Mukono'!K39)</f>
        <v>4.2857142857142856</v>
      </c>
      <c r="L39" s="49">
        <f>AVERAGE('23.09 Seeta-Mukono'!L39,'24.09 Seeta-Mukono'!L39,'25.09 Seeta-Mukono'!L39,'27.09 Seeta-Mukono'!L39,'26.09 Seeta-Mukono-24h'!L39,'28.09 Seeta-Mukono-24h'!L39,'29.09 Seeta-Mukono'!L39)</f>
        <v>16.285714285714285</v>
      </c>
      <c r="M39" s="49">
        <f>AVERAGE('23.09 Seeta-Mukono'!M39,'24.09 Seeta-Mukono'!M39,'25.09 Seeta-Mukono'!M39,'27.09 Seeta-Mukono'!M39,'26.09 Seeta-Mukono-24h'!M39,'28.09 Seeta-Mukono-24h'!M39,'29.09 Seeta-Mukono'!M39)</f>
        <v>98.571428571428569</v>
      </c>
      <c r="N39" s="49">
        <f>AVERAGE('23.09 Seeta-Mukono'!N39,'24.09 Seeta-Mukono'!N39,'25.09 Seeta-Mukono'!N39,'27.09 Seeta-Mukono'!N39,'26.09 Seeta-Mukono-24h'!N39,'28.09 Seeta-Mukono-24h'!N39,'29.09 Seeta-Mukono'!N39)</f>
        <v>0</v>
      </c>
      <c r="O39" s="15">
        <f t="shared" si="0"/>
        <v>150.85714285714283</v>
      </c>
      <c r="P39" s="15">
        <f t="shared" si="1"/>
        <v>249.42857142857139</v>
      </c>
      <c r="R39" s="29" t="s">
        <v>87</v>
      </c>
      <c r="S39" s="16">
        <f t="shared" ref="S39:AF39" si="31">SUM(S19:S21)</f>
        <v>587.57142857142856</v>
      </c>
      <c r="T39" s="16">
        <f t="shared" si="31"/>
        <v>82.714285714285722</v>
      </c>
      <c r="U39" s="16">
        <f t="shared" si="31"/>
        <v>78.571428571428569</v>
      </c>
      <c r="V39" s="16">
        <f t="shared" si="31"/>
        <v>542</v>
      </c>
      <c r="W39" s="16">
        <f t="shared" si="31"/>
        <v>58.428571428571431</v>
      </c>
      <c r="X39" s="16">
        <f t="shared" si="31"/>
        <v>13.571428571428569</v>
      </c>
      <c r="Y39" s="16">
        <f t="shared" si="31"/>
        <v>149.42857142857144</v>
      </c>
      <c r="Z39" s="16">
        <f t="shared" si="31"/>
        <v>59.714285714285715</v>
      </c>
      <c r="AA39" s="16">
        <f t="shared" si="31"/>
        <v>43</v>
      </c>
      <c r="AB39" s="16">
        <f t="shared" si="31"/>
        <v>242.85714285714286</v>
      </c>
      <c r="AC39" s="16">
        <f t="shared" si="31"/>
        <v>1503.1428571428571</v>
      </c>
      <c r="AD39" s="16">
        <f t="shared" si="31"/>
        <v>0.5714285714285714</v>
      </c>
      <c r="AE39" s="32">
        <f t="shared" si="31"/>
        <v>1858.4285714285713</v>
      </c>
      <c r="AF39" s="32">
        <f t="shared" si="31"/>
        <v>3361.5714285714284</v>
      </c>
    </row>
    <row r="40" spans="2:32" ht="23.1" customHeight="1" x14ac:dyDescent="0.25">
      <c r="B40" s="24" t="s">
        <v>67</v>
      </c>
      <c r="C40" s="49">
        <f>AVERAGE('23.09 Seeta-Mukono'!C40,'24.09 Seeta-Mukono'!C40,'25.09 Seeta-Mukono'!C40,'27.09 Seeta-Mukono'!C40,'26.09 Seeta-Mukono-24h'!C40,'28.09 Seeta-Mukono-24h'!C40,'29.09 Seeta-Mukono'!C40)</f>
        <v>55.714285714285715</v>
      </c>
      <c r="D40" s="49">
        <f>AVERAGE('23.09 Seeta-Mukono'!D40,'24.09 Seeta-Mukono'!D40,'25.09 Seeta-Mukono'!D40,'27.09 Seeta-Mukono'!D40,'26.09 Seeta-Mukono-24h'!D40,'28.09 Seeta-Mukono-24h'!D40,'29.09 Seeta-Mukono'!D40)</f>
        <v>7.8571428571428568</v>
      </c>
      <c r="E40" s="49">
        <f>AVERAGE('23.09 Seeta-Mukono'!E40,'24.09 Seeta-Mukono'!E40,'25.09 Seeta-Mukono'!E40,'27.09 Seeta-Mukono'!E40,'26.09 Seeta-Mukono-24h'!E40,'28.09 Seeta-Mukono-24h'!E40,'29.09 Seeta-Mukono'!E40)</f>
        <v>7.4285714285714288</v>
      </c>
      <c r="F40" s="49">
        <f>AVERAGE('23.09 Seeta-Mukono'!F40,'24.09 Seeta-Mukono'!F40,'25.09 Seeta-Mukono'!F40,'27.09 Seeta-Mukono'!F40,'26.09 Seeta-Mukono-24h'!F40,'28.09 Seeta-Mukono-24h'!F40,'29.09 Seeta-Mukono'!F40)</f>
        <v>49.857142857142854</v>
      </c>
      <c r="G40" s="49">
        <f>AVERAGE('23.09 Seeta-Mukono'!G40,'24.09 Seeta-Mukono'!G40,'25.09 Seeta-Mukono'!G40,'27.09 Seeta-Mukono'!G40,'26.09 Seeta-Mukono-24h'!G40,'28.09 Seeta-Mukono-24h'!G40,'29.09 Seeta-Mukono'!G40)</f>
        <v>2.1428571428571428</v>
      </c>
      <c r="H40" s="49">
        <f>AVERAGE('23.09 Seeta-Mukono'!H40,'24.09 Seeta-Mukono'!H40,'25.09 Seeta-Mukono'!H40,'27.09 Seeta-Mukono'!H40,'26.09 Seeta-Mukono-24h'!H40,'28.09 Seeta-Mukono-24h'!H40,'29.09 Seeta-Mukono'!H40)</f>
        <v>0.5714285714285714</v>
      </c>
      <c r="I40" s="49">
        <f>AVERAGE('23.09 Seeta-Mukono'!I40,'24.09 Seeta-Mukono'!I40,'25.09 Seeta-Mukono'!I40,'27.09 Seeta-Mukono'!I40,'26.09 Seeta-Mukono-24h'!I40,'28.09 Seeta-Mukono-24h'!I40,'29.09 Seeta-Mukono'!I40)</f>
        <v>21.571428571428573</v>
      </c>
      <c r="J40" s="49">
        <f>AVERAGE('23.09 Seeta-Mukono'!J40,'24.09 Seeta-Mukono'!J40,'25.09 Seeta-Mukono'!J40,'27.09 Seeta-Mukono'!J40,'26.09 Seeta-Mukono-24h'!J40,'28.09 Seeta-Mukono-24h'!J40,'29.09 Seeta-Mukono'!J40)</f>
        <v>6.4285714285714288</v>
      </c>
      <c r="K40" s="49">
        <f>AVERAGE('23.09 Seeta-Mukono'!K40,'24.09 Seeta-Mukono'!K40,'25.09 Seeta-Mukono'!K40,'27.09 Seeta-Mukono'!K40,'26.09 Seeta-Mukono-24h'!K40,'28.09 Seeta-Mukono-24h'!K40,'29.09 Seeta-Mukono'!K40)</f>
        <v>3.1428571428571428</v>
      </c>
      <c r="L40" s="49">
        <f>AVERAGE('23.09 Seeta-Mukono'!L40,'24.09 Seeta-Mukono'!L40,'25.09 Seeta-Mukono'!L40,'27.09 Seeta-Mukono'!L40,'26.09 Seeta-Mukono-24h'!L40,'28.09 Seeta-Mukono-24h'!L40,'29.09 Seeta-Mukono'!L40)</f>
        <v>19.714285714285715</v>
      </c>
      <c r="M40" s="49">
        <f>AVERAGE('23.09 Seeta-Mukono'!M40,'24.09 Seeta-Mukono'!M40,'25.09 Seeta-Mukono'!M40,'27.09 Seeta-Mukono'!M40,'26.09 Seeta-Mukono-24h'!M40,'28.09 Seeta-Mukono-24h'!M40,'29.09 Seeta-Mukono'!M40)</f>
        <v>105.14285714285714</v>
      </c>
      <c r="N40" s="49">
        <f>AVERAGE('23.09 Seeta-Mukono'!N40,'24.09 Seeta-Mukono'!N40,'25.09 Seeta-Mukono'!N40,'27.09 Seeta-Mukono'!N40,'26.09 Seeta-Mukono-24h'!N40,'28.09 Seeta-Mukono-24h'!N40,'29.09 Seeta-Mukono'!N40)</f>
        <v>0</v>
      </c>
      <c r="O40" s="15">
        <f t="shared" si="0"/>
        <v>174.42857142857142</v>
      </c>
      <c r="P40" s="15">
        <f t="shared" si="1"/>
        <v>279.57142857142856</v>
      </c>
      <c r="R40" s="5" t="s">
        <v>17</v>
      </c>
      <c r="S40" s="16">
        <f t="shared" ref="S40:AF40" si="32">SUM(S10:S21)</f>
        <v>2616.2857142857142</v>
      </c>
      <c r="T40" s="16">
        <f t="shared" si="32"/>
        <v>349.71428571428578</v>
      </c>
      <c r="U40" s="16">
        <f t="shared" si="32"/>
        <v>390.28571428571433</v>
      </c>
      <c r="V40" s="16">
        <f t="shared" si="32"/>
        <v>2234.7142857142858</v>
      </c>
      <c r="W40" s="16">
        <f t="shared" si="32"/>
        <v>141.28571428571431</v>
      </c>
      <c r="X40" s="16">
        <f t="shared" si="32"/>
        <v>52.857142857142861</v>
      </c>
      <c r="Y40" s="16">
        <f t="shared" si="32"/>
        <v>668.14285714285711</v>
      </c>
      <c r="Z40" s="16">
        <f t="shared" si="32"/>
        <v>253.42857142857142</v>
      </c>
      <c r="AA40" s="16">
        <f t="shared" si="32"/>
        <v>167.71428571428569</v>
      </c>
      <c r="AB40" s="16">
        <f t="shared" si="32"/>
        <v>628.71428571428567</v>
      </c>
      <c r="AC40" s="16">
        <f t="shared" si="32"/>
        <v>5291.1428571428578</v>
      </c>
      <c r="AD40" s="16">
        <f t="shared" si="32"/>
        <v>16.142857142857142</v>
      </c>
      <c r="AE40" s="32">
        <f t="shared" si="32"/>
        <v>7519.2857142857138</v>
      </c>
      <c r="AF40" s="32">
        <f t="shared" si="32"/>
        <v>12810.428571428571</v>
      </c>
    </row>
    <row r="41" spans="2:32" ht="23.1" customHeight="1" x14ac:dyDescent="0.25">
      <c r="B41" s="23" t="s">
        <v>68</v>
      </c>
      <c r="C41" s="49">
        <f>AVERAGE('23.09 Seeta-Mukono'!C41,'24.09 Seeta-Mukono'!C41,'25.09 Seeta-Mukono'!C41,'27.09 Seeta-Mukono'!C41,'26.09 Seeta-Mukono-24h'!C41,'28.09 Seeta-Mukono-24h'!C41,'29.09 Seeta-Mukono'!C41)</f>
        <v>46.142857142857146</v>
      </c>
      <c r="D41" s="49">
        <f>AVERAGE('23.09 Seeta-Mukono'!D41,'24.09 Seeta-Mukono'!D41,'25.09 Seeta-Mukono'!D41,'27.09 Seeta-Mukono'!D41,'26.09 Seeta-Mukono-24h'!D41,'28.09 Seeta-Mukono-24h'!D41,'29.09 Seeta-Mukono'!D41)</f>
        <v>6.5714285714285712</v>
      </c>
      <c r="E41" s="49">
        <f>AVERAGE('23.09 Seeta-Mukono'!E41,'24.09 Seeta-Mukono'!E41,'25.09 Seeta-Mukono'!E41,'27.09 Seeta-Mukono'!E41,'26.09 Seeta-Mukono-24h'!E41,'28.09 Seeta-Mukono-24h'!E41,'29.09 Seeta-Mukono'!E41)</f>
        <v>8.8571428571428577</v>
      </c>
      <c r="F41" s="49">
        <f>AVERAGE('23.09 Seeta-Mukono'!F41,'24.09 Seeta-Mukono'!F41,'25.09 Seeta-Mukono'!F41,'27.09 Seeta-Mukono'!F41,'26.09 Seeta-Mukono-24h'!F41,'28.09 Seeta-Mukono-24h'!F41,'29.09 Seeta-Mukono'!F41)</f>
        <v>45.857142857142854</v>
      </c>
      <c r="G41" s="49">
        <f>AVERAGE('23.09 Seeta-Mukono'!G41,'24.09 Seeta-Mukono'!G41,'25.09 Seeta-Mukono'!G41,'27.09 Seeta-Mukono'!G41,'26.09 Seeta-Mukono-24h'!G41,'28.09 Seeta-Mukono-24h'!G41,'29.09 Seeta-Mukono'!G41)</f>
        <v>2.8571428571428572</v>
      </c>
      <c r="H41" s="49">
        <f>AVERAGE('23.09 Seeta-Mukono'!H41,'24.09 Seeta-Mukono'!H41,'25.09 Seeta-Mukono'!H41,'27.09 Seeta-Mukono'!H41,'26.09 Seeta-Mukono-24h'!H41,'28.09 Seeta-Mukono-24h'!H41,'29.09 Seeta-Mukono'!H41)</f>
        <v>0.14285714285714285</v>
      </c>
      <c r="I41" s="49">
        <f>AVERAGE('23.09 Seeta-Mukono'!I41,'24.09 Seeta-Mukono'!I41,'25.09 Seeta-Mukono'!I41,'27.09 Seeta-Mukono'!I41,'26.09 Seeta-Mukono-24h'!I41,'28.09 Seeta-Mukono-24h'!I41,'29.09 Seeta-Mukono'!I41)</f>
        <v>16.857142857142858</v>
      </c>
      <c r="J41" s="49">
        <f>AVERAGE('23.09 Seeta-Mukono'!J41,'24.09 Seeta-Mukono'!J41,'25.09 Seeta-Mukono'!J41,'27.09 Seeta-Mukono'!J41,'26.09 Seeta-Mukono-24h'!J41,'28.09 Seeta-Mukono-24h'!J41,'29.09 Seeta-Mukono'!J41)</f>
        <v>5.4285714285714288</v>
      </c>
      <c r="K41" s="49">
        <f>AVERAGE('23.09 Seeta-Mukono'!K41,'24.09 Seeta-Mukono'!K41,'25.09 Seeta-Mukono'!K41,'27.09 Seeta-Mukono'!K41,'26.09 Seeta-Mukono-24h'!K41,'28.09 Seeta-Mukono-24h'!K41,'29.09 Seeta-Mukono'!K41)</f>
        <v>1.8571428571428572</v>
      </c>
      <c r="L41" s="49">
        <f>AVERAGE('23.09 Seeta-Mukono'!L41,'24.09 Seeta-Mukono'!L41,'25.09 Seeta-Mukono'!L41,'27.09 Seeta-Mukono'!L41,'26.09 Seeta-Mukono-24h'!L41,'28.09 Seeta-Mukono-24h'!L41,'29.09 Seeta-Mukono'!L41)</f>
        <v>16</v>
      </c>
      <c r="M41" s="49">
        <f>AVERAGE('23.09 Seeta-Mukono'!M41,'24.09 Seeta-Mukono'!M41,'25.09 Seeta-Mukono'!M41,'27.09 Seeta-Mukono'!M41,'26.09 Seeta-Mukono-24h'!M41,'28.09 Seeta-Mukono-24h'!M41,'29.09 Seeta-Mukono'!M41)</f>
        <v>95.571428571428569</v>
      </c>
      <c r="N41" s="49">
        <f>AVERAGE('23.09 Seeta-Mukono'!N41,'24.09 Seeta-Mukono'!N41,'25.09 Seeta-Mukono'!N41,'27.09 Seeta-Mukono'!N41,'26.09 Seeta-Mukono-24h'!N41,'28.09 Seeta-Mukono-24h'!N41,'29.09 Seeta-Mukono'!N41)</f>
        <v>0</v>
      </c>
      <c r="O41" s="15">
        <f t="shared" si="0"/>
        <v>150.57142857142856</v>
      </c>
      <c r="P41" s="15">
        <f t="shared" si="1"/>
        <v>246.14285714285711</v>
      </c>
      <c r="R41" s="5" t="s">
        <v>185</v>
      </c>
      <c r="S41" s="16">
        <f>SUM(S10:S33)</f>
        <v>3772.7857142857142</v>
      </c>
      <c r="T41" s="16">
        <f t="shared" ref="T41:AD41" si="33">SUM(T10:T33)</f>
        <v>691.21428571428578</v>
      </c>
      <c r="U41" s="16">
        <f t="shared" si="33"/>
        <v>554.28571428571433</v>
      </c>
      <c r="V41" s="16">
        <f t="shared" si="33"/>
        <v>3269.7142857142858</v>
      </c>
      <c r="W41" s="16">
        <f t="shared" si="33"/>
        <v>231.28571428571431</v>
      </c>
      <c r="X41" s="16">
        <f t="shared" si="33"/>
        <v>90.357142857142861</v>
      </c>
      <c r="Y41" s="16">
        <f t="shared" si="33"/>
        <v>935.64285714285711</v>
      </c>
      <c r="Z41" s="16">
        <f t="shared" si="33"/>
        <v>503.92857142857144</v>
      </c>
      <c r="AA41" s="16">
        <f t="shared" si="33"/>
        <v>281.21428571428567</v>
      </c>
      <c r="AB41" s="16">
        <f t="shared" si="33"/>
        <v>915.21428571428567</v>
      </c>
      <c r="AC41" s="16">
        <f t="shared" si="33"/>
        <v>8074.1428571428578</v>
      </c>
      <c r="AD41" s="16">
        <f t="shared" si="33"/>
        <v>16.642857142857142</v>
      </c>
      <c r="AE41" s="32">
        <f>SUM(AE10:AE33)</f>
        <v>11262.285714285714</v>
      </c>
      <c r="AF41" s="32">
        <f>SUM(AF10:AF33)</f>
        <v>19336.428571428572</v>
      </c>
    </row>
    <row r="42" spans="2:32" ht="23.1" customHeight="1" x14ac:dyDescent="0.25">
      <c r="B42" s="24" t="s">
        <v>69</v>
      </c>
      <c r="C42" s="49">
        <f>AVERAGE('23.09 Seeta-Mukono'!C42,'24.09 Seeta-Mukono'!C42,'25.09 Seeta-Mukono'!C42,'27.09 Seeta-Mukono'!C42,'26.09 Seeta-Mukono-24h'!C42,'28.09 Seeta-Mukono-24h'!C42,'29.09 Seeta-Mukono'!C42)</f>
        <v>45.142857142857146</v>
      </c>
      <c r="D42" s="49">
        <f>AVERAGE('23.09 Seeta-Mukono'!D42,'24.09 Seeta-Mukono'!D42,'25.09 Seeta-Mukono'!D42,'27.09 Seeta-Mukono'!D42,'26.09 Seeta-Mukono-24h'!D42,'28.09 Seeta-Mukono-24h'!D42,'29.09 Seeta-Mukono'!D42)</f>
        <v>6.8571428571428568</v>
      </c>
      <c r="E42" s="49">
        <f>AVERAGE('23.09 Seeta-Mukono'!E42,'24.09 Seeta-Mukono'!E42,'25.09 Seeta-Mukono'!E42,'27.09 Seeta-Mukono'!E42,'26.09 Seeta-Mukono-24h'!E42,'28.09 Seeta-Mukono-24h'!E42,'29.09 Seeta-Mukono'!E42)</f>
        <v>8</v>
      </c>
      <c r="F42" s="49">
        <f>AVERAGE('23.09 Seeta-Mukono'!F42,'24.09 Seeta-Mukono'!F42,'25.09 Seeta-Mukono'!F42,'27.09 Seeta-Mukono'!F42,'26.09 Seeta-Mukono-24h'!F42,'28.09 Seeta-Mukono-24h'!F42,'29.09 Seeta-Mukono'!F42)</f>
        <v>47.571428571428569</v>
      </c>
      <c r="G42" s="49">
        <f>AVERAGE('23.09 Seeta-Mukono'!G42,'24.09 Seeta-Mukono'!G42,'25.09 Seeta-Mukono'!G42,'27.09 Seeta-Mukono'!G42,'26.09 Seeta-Mukono-24h'!G42,'28.09 Seeta-Mukono-24h'!G42,'29.09 Seeta-Mukono'!G42)</f>
        <v>1.7142857142857142</v>
      </c>
      <c r="H42" s="49">
        <f>AVERAGE('23.09 Seeta-Mukono'!H42,'24.09 Seeta-Mukono'!H42,'25.09 Seeta-Mukono'!H42,'27.09 Seeta-Mukono'!H42,'26.09 Seeta-Mukono-24h'!H42,'28.09 Seeta-Mukono-24h'!H42,'29.09 Seeta-Mukono'!H42)</f>
        <v>1</v>
      </c>
      <c r="I42" s="49">
        <f>AVERAGE('23.09 Seeta-Mukono'!I42,'24.09 Seeta-Mukono'!I42,'25.09 Seeta-Mukono'!I42,'27.09 Seeta-Mukono'!I42,'26.09 Seeta-Mukono-24h'!I42,'28.09 Seeta-Mukono-24h'!I42,'29.09 Seeta-Mukono'!I42)</f>
        <v>14.857142857142858</v>
      </c>
      <c r="J42" s="49">
        <f>AVERAGE('23.09 Seeta-Mukono'!J42,'24.09 Seeta-Mukono'!J42,'25.09 Seeta-Mukono'!J42,'27.09 Seeta-Mukono'!J42,'26.09 Seeta-Mukono-24h'!J42,'28.09 Seeta-Mukono-24h'!J42,'29.09 Seeta-Mukono'!J42)</f>
        <v>4.8571428571428568</v>
      </c>
      <c r="K42" s="49">
        <f>AVERAGE('23.09 Seeta-Mukono'!K42,'24.09 Seeta-Mukono'!K42,'25.09 Seeta-Mukono'!K42,'27.09 Seeta-Mukono'!K42,'26.09 Seeta-Mukono-24h'!K42,'28.09 Seeta-Mukono-24h'!K42,'29.09 Seeta-Mukono'!K42)</f>
        <v>4.8571428571428568</v>
      </c>
      <c r="L42" s="49">
        <f>AVERAGE('23.09 Seeta-Mukono'!L42,'24.09 Seeta-Mukono'!L42,'25.09 Seeta-Mukono'!L42,'27.09 Seeta-Mukono'!L42,'26.09 Seeta-Mukono-24h'!L42,'28.09 Seeta-Mukono-24h'!L42,'29.09 Seeta-Mukono'!L42)</f>
        <v>16.142857142857142</v>
      </c>
      <c r="M42" s="49">
        <f>AVERAGE('23.09 Seeta-Mukono'!M42,'24.09 Seeta-Mukono'!M42,'25.09 Seeta-Mukono'!M42,'27.09 Seeta-Mukono'!M42,'26.09 Seeta-Mukono-24h'!M42,'28.09 Seeta-Mukono-24h'!M42,'29.09 Seeta-Mukono'!M42)</f>
        <v>96.142857142857139</v>
      </c>
      <c r="N42" s="49">
        <f>AVERAGE('23.09 Seeta-Mukono'!N42,'24.09 Seeta-Mukono'!N42,'25.09 Seeta-Mukono'!N42,'27.09 Seeta-Mukono'!N42,'26.09 Seeta-Mukono-24h'!N42,'28.09 Seeta-Mukono-24h'!N42,'29.09 Seeta-Mukono'!N42)</f>
        <v>0</v>
      </c>
      <c r="O42" s="15">
        <f t="shared" si="0"/>
        <v>151</v>
      </c>
      <c r="P42" s="15">
        <f t="shared" si="1"/>
        <v>247.14285714285714</v>
      </c>
      <c r="R42" s="5" t="s">
        <v>160</v>
      </c>
      <c r="S42" s="48">
        <f>S41/S40</f>
        <v>1.4420388773615813</v>
      </c>
      <c r="T42" s="48">
        <f t="shared" ref="T42:AF42" si="34">T41/T40</f>
        <v>1.9765114379084965</v>
      </c>
      <c r="U42" s="48">
        <f t="shared" si="34"/>
        <v>1.4202049780380672</v>
      </c>
      <c r="V42" s="48">
        <f t="shared" si="34"/>
        <v>1.4631464552835134</v>
      </c>
      <c r="W42" s="48">
        <f t="shared" si="34"/>
        <v>1.6370070778564205</v>
      </c>
      <c r="X42" s="48">
        <f t="shared" si="34"/>
        <v>1.7094594594594594</v>
      </c>
      <c r="Y42" s="48">
        <f t="shared" si="34"/>
        <v>1.4003634808638017</v>
      </c>
      <c r="Z42" s="48">
        <f t="shared" si="34"/>
        <v>1.9884441939120634</v>
      </c>
      <c r="AA42" s="48">
        <f t="shared" si="34"/>
        <v>1.6767461669505961</v>
      </c>
      <c r="AB42" s="48">
        <f t="shared" si="34"/>
        <v>1.4556918882072256</v>
      </c>
      <c r="AC42" s="48">
        <f t="shared" si="34"/>
        <v>1.5259733246935578</v>
      </c>
      <c r="AD42" s="48">
        <f t="shared" si="34"/>
        <v>1.0309734513274336</v>
      </c>
      <c r="AE42" s="55">
        <f t="shared" si="34"/>
        <v>1.4977866438681486</v>
      </c>
      <c r="AF42" s="55">
        <f t="shared" si="34"/>
        <v>1.5094287020619364</v>
      </c>
    </row>
    <row r="43" spans="2:32" ht="23.1" customHeight="1" x14ac:dyDescent="0.25">
      <c r="B43" s="23" t="s">
        <v>70</v>
      </c>
      <c r="C43" s="49">
        <f>AVERAGE('23.09 Seeta-Mukono'!C43,'24.09 Seeta-Mukono'!C43,'25.09 Seeta-Mukono'!C43,'27.09 Seeta-Mukono'!C43,'26.09 Seeta-Mukono-24h'!C43,'28.09 Seeta-Mukono-24h'!C43,'29.09 Seeta-Mukono'!C43)</f>
        <v>48.714285714285715</v>
      </c>
      <c r="D43" s="49">
        <f>AVERAGE('23.09 Seeta-Mukono'!D43,'24.09 Seeta-Mukono'!D43,'25.09 Seeta-Mukono'!D43,'27.09 Seeta-Mukono'!D43,'26.09 Seeta-Mukono-24h'!D43,'28.09 Seeta-Mukono-24h'!D43,'29.09 Seeta-Mukono'!D43)</f>
        <v>5</v>
      </c>
      <c r="E43" s="49">
        <f>AVERAGE('23.09 Seeta-Mukono'!E43,'24.09 Seeta-Mukono'!E43,'25.09 Seeta-Mukono'!E43,'27.09 Seeta-Mukono'!E43,'26.09 Seeta-Mukono-24h'!E43,'28.09 Seeta-Mukono-24h'!E43,'29.09 Seeta-Mukono'!E43)</f>
        <v>5.1428571428571432</v>
      </c>
      <c r="F43" s="49">
        <f>AVERAGE('23.09 Seeta-Mukono'!F43,'24.09 Seeta-Mukono'!F43,'25.09 Seeta-Mukono'!F43,'27.09 Seeta-Mukono'!F43,'26.09 Seeta-Mukono-24h'!F43,'28.09 Seeta-Mukono-24h'!F43,'29.09 Seeta-Mukono'!F43)</f>
        <v>45.428571428571431</v>
      </c>
      <c r="G43" s="49">
        <f>AVERAGE('23.09 Seeta-Mukono'!G43,'24.09 Seeta-Mukono'!G43,'25.09 Seeta-Mukono'!G43,'27.09 Seeta-Mukono'!G43,'26.09 Seeta-Mukono-24h'!G43,'28.09 Seeta-Mukono-24h'!G43,'29.09 Seeta-Mukono'!G43)</f>
        <v>3.1428571428571428</v>
      </c>
      <c r="H43" s="49">
        <f>AVERAGE('23.09 Seeta-Mukono'!H43,'24.09 Seeta-Mukono'!H43,'25.09 Seeta-Mukono'!H43,'27.09 Seeta-Mukono'!H43,'26.09 Seeta-Mukono-24h'!H43,'28.09 Seeta-Mukono-24h'!H43,'29.09 Seeta-Mukono'!H43)</f>
        <v>2.7142857142857144</v>
      </c>
      <c r="I43" s="49">
        <f>AVERAGE('23.09 Seeta-Mukono'!I43,'24.09 Seeta-Mukono'!I43,'25.09 Seeta-Mukono'!I43,'27.09 Seeta-Mukono'!I43,'26.09 Seeta-Mukono-24h'!I43,'28.09 Seeta-Mukono-24h'!I43,'29.09 Seeta-Mukono'!I43)</f>
        <v>14.714285714285714</v>
      </c>
      <c r="J43" s="49">
        <f>AVERAGE('23.09 Seeta-Mukono'!J43,'24.09 Seeta-Mukono'!J43,'25.09 Seeta-Mukono'!J43,'27.09 Seeta-Mukono'!J43,'26.09 Seeta-Mukono-24h'!J43,'28.09 Seeta-Mukono-24h'!J43,'29.09 Seeta-Mukono'!J43)</f>
        <v>5.7142857142857144</v>
      </c>
      <c r="K43" s="49">
        <f>AVERAGE('23.09 Seeta-Mukono'!K43,'24.09 Seeta-Mukono'!K43,'25.09 Seeta-Mukono'!K43,'27.09 Seeta-Mukono'!K43,'26.09 Seeta-Mukono-24h'!K43,'28.09 Seeta-Mukono-24h'!K43,'29.09 Seeta-Mukono'!K43)</f>
        <v>5.7142857142857144</v>
      </c>
      <c r="L43" s="49">
        <f>AVERAGE('23.09 Seeta-Mukono'!L43,'24.09 Seeta-Mukono'!L43,'25.09 Seeta-Mukono'!L43,'27.09 Seeta-Mukono'!L43,'26.09 Seeta-Mukono-24h'!L43,'28.09 Seeta-Mukono-24h'!L43,'29.09 Seeta-Mukono'!L43)</f>
        <v>15.285714285714286</v>
      </c>
      <c r="M43" s="49">
        <f>AVERAGE('23.09 Seeta-Mukono'!M43,'24.09 Seeta-Mukono'!M43,'25.09 Seeta-Mukono'!M43,'27.09 Seeta-Mukono'!M43,'26.09 Seeta-Mukono-24h'!M43,'28.09 Seeta-Mukono-24h'!M43,'29.09 Seeta-Mukono'!M43)</f>
        <v>100.28571428571429</v>
      </c>
      <c r="N43" s="49">
        <f>AVERAGE('23.09 Seeta-Mukono'!N43,'24.09 Seeta-Mukono'!N43,'25.09 Seeta-Mukono'!N43,'27.09 Seeta-Mukono'!N43,'26.09 Seeta-Mukono-24h'!N43,'28.09 Seeta-Mukono-24h'!N43,'29.09 Seeta-Mukono'!N43)</f>
        <v>0</v>
      </c>
      <c r="O43" s="15">
        <f t="shared" si="0"/>
        <v>151.57142857142856</v>
      </c>
      <c r="P43" s="15">
        <f t="shared" si="1"/>
        <v>251.85714285714283</v>
      </c>
    </row>
    <row r="44" spans="2:32" ht="23.1" customHeight="1" x14ac:dyDescent="0.25">
      <c r="B44" s="25" t="s">
        <v>71</v>
      </c>
      <c r="C44" s="49">
        <f>AVERAGE('23.09 Seeta-Mukono'!C44,'24.09 Seeta-Mukono'!C44,'25.09 Seeta-Mukono'!C44,'27.09 Seeta-Mukono'!C44,'26.09 Seeta-Mukono-24h'!C44,'28.09 Seeta-Mukono-24h'!C44,'29.09 Seeta-Mukono'!C44)</f>
        <v>39.428571428571431</v>
      </c>
      <c r="D44" s="49">
        <f>AVERAGE('23.09 Seeta-Mukono'!D44,'24.09 Seeta-Mukono'!D44,'25.09 Seeta-Mukono'!D44,'27.09 Seeta-Mukono'!D44,'26.09 Seeta-Mukono-24h'!D44,'28.09 Seeta-Mukono-24h'!D44,'29.09 Seeta-Mukono'!D44)</f>
        <v>5.2857142857142856</v>
      </c>
      <c r="E44" s="49">
        <f>AVERAGE('23.09 Seeta-Mukono'!E44,'24.09 Seeta-Mukono'!E44,'25.09 Seeta-Mukono'!E44,'27.09 Seeta-Mukono'!E44,'26.09 Seeta-Mukono-24h'!E44,'28.09 Seeta-Mukono-24h'!E44,'29.09 Seeta-Mukono'!E44)</f>
        <v>7.7142857142857144</v>
      </c>
      <c r="F44" s="49">
        <f>AVERAGE('23.09 Seeta-Mukono'!F44,'24.09 Seeta-Mukono'!F44,'25.09 Seeta-Mukono'!F44,'27.09 Seeta-Mukono'!F44,'26.09 Seeta-Mukono-24h'!F44,'28.09 Seeta-Mukono-24h'!F44,'29.09 Seeta-Mukono'!F44)</f>
        <v>39</v>
      </c>
      <c r="G44" s="49">
        <f>AVERAGE('23.09 Seeta-Mukono'!G44,'24.09 Seeta-Mukono'!G44,'25.09 Seeta-Mukono'!G44,'27.09 Seeta-Mukono'!G44,'26.09 Seeta-Mukono-24h'!G44,'28.09 Seeta-Mukono-24h'!G44,'29.09 Seeta-Mukono'!G44)</f>
        <v>1.5714285714285714</v>
      </c>
      <c r="H44" s="49">
        <f>AVERAGE('23.09 Seeta-Mukono'!H44,'24.09 Seeta-Mukono'!H44,'25.09 Seeta-Mukono'!H44,'27.09 Seeta-Mukono'!H44,'26.09 Seeta-Mukono-24h'!H44,'28.09 Seeta-Mukono-24h'!H44,'29.09 Seeta-Mukono'!H44)</f>
        <v>0.42857142857142855</v>
      </c>
      <c r="I44" s="49">
        <f>AVERAGE('23.09 Seeta-Mukono'!I44,'24.09 Seeta-Mukono'!I44,'25.09 Seeta-Mukono'!I44,'27.09 Seeta-Mukono'!I44,'26.09 Seeta-Mukono-24h'!I44,'28.09 Seeta-Mukono-24h'!I44,'29.09 Seeta-Mukono'!I44)</f>
        <v>15</v>
      </c>
      <c r="J44" s="49">
        <f>AVERAGE('23.09 Seeta-Mukono'!J44,'24.09 Seeta-Mukono'!J44,'25.09 Seeta-Mukono'!J44,'27.09 Seeta-Mukono'!J44,'26.09 Seeta-Mukono-24h'!J44,'28.09 Seeta-Mukono-24h'!J44,'29.09 Seeta-Mukono'!J44)</f>
        <v>5.5714285714285712</v>
      </c>
      <c r="K44" s="49">
        <f>AVERAGE('23.09 Seeta-Mukono'!K44,'24.09 Seeta-Mukono'!K44,'25.09 Seeta-Mukono'!K44,'27.09 Seeta-Mukono'!K44,'26.09 Seeta-Mukono-24h'!K44,'28.09 Seeta-Mukono-24h'!K44,'29.09 Seeta-Mukono'!K44)</f>
        <v>4.7142857142857144</v>
      </c>
      <c r="L44" s="49">
        <f>AVERAGE('23.09 Seeta-Mukono'!L44,'24.09 Seeta-Mukono'!L44,'25.09 Seeta-Mukono'!L44,'27.09 Seeta-Mukono'!L44,'26.09 Seeta-Mukono-24h'!L44,'28.09 Seeta-Mukono-24h'!L44,'29.09 Seeta-Mukono'!L44)</f>
        <v>19.428571428571427</v>
      </c>
      <c r="M44" s="49">
        <f>AVERAGE('23.09 Seeta-Mukono'!M44,'24.09 Seeta-Mukono'!M44,'25.09 Seeta-Mukono'!M44,'27.09 Seeta-Mukono'!M44,'26.09 Seeta-Mukono-24h'!M44,'28.09 Seeta-Mukono-24h'!M44,'29.09 Seeta-Mukono'!M44)</f>
        <v>92.714285714285708</v>
      </c>
      <c r="N44" s="49">
        <f>AVERAGE('23.09 Seeta-Mukono'!N44,'24.09 Seeta-Mukono'!N44,'25.09 Seeta-Mukono'!N44,'27.09 Seeta-Mukono'!N44,'26.09 Seeta-Mukono-24h'!N44,'28.09 Seeta-Mukono-24h'!N44,'29.09 Seeta-Mukono'!N44)</f>
        <v>0</v>
      </c>
      <c r="O44" s="15">
        <f t="shared" si="0"/>
        <v>138.14285714285714</v>
      </c>
      <c r="P44" s="15">
        <f t="shared" si="1"/>
        <v>230.85714285714283</v>
      </c>
    </row>
    <row r="45" spans="2:32" ht="23.1" customHeight="1" x14ac:dyDescent="0.25">
      <c r="B45" s="23" t="s">
        <v>72</v>
      </c>
      <c r="C45" s="49">
        <f>AVERAGE('23.09 Seeta-Mukono'!C45,'24.09 Seeta-Mukono'!C45,'25.09 Seeta-Mukono'!C45,'27.09 Seeta-Mukono'!C45,'26.09 Seeta-Mukono-24h'!C45,'28.09 Seeta-Mukono-24h'!C45,'29.09 Seeta-Mukono'!C45)</f>
        <v>37.857142857142854</v>
      </c>
      <c r="D45" s="49">
        <f>AVERAGE('23.09 Seeta-Mukono'!D45,'24.09 Seeta-Mukono'!D45,'25.09 Seeta-Mukono'!D45,'27.09 Seeta-Mukono'!D45,'26.09 Seeta-Mukono-24h'!D45,'28.09 Seeta-Mukono-24h'!D45,'29.09 Seeta-Mukono'!D45)</f>
        <v>5.7142857142857144</v>
      </c>
      <c r="E45" s="49">
        <f>AVERAGE('23.09 Seeta-Mukono'!E45,'24.09 Seeta-Mukono'!E45,'25.09 Seeta-Mukono'!E45,'27.09 Seeta-Mukono'!E45,'26.09 Seeta-Mukono-24h'!E45,'28.09 Seeta-Mukono-24h'!E45,'29.09 Seeta-Mukono'!E45)</f>
        <v>8.2857142857142865</v>
      </c>
      <c r="F45" s="49">
        <f>AVERAGE('23.09 Seeta-Mukono'!F45,'24.09 Seeta-Mukono'!F45,'25.09 Seeta-Mukono'!F45,'27.09 Seeta-Mukono'!F45,'26.09 Seeta-Mukono-24h'!F45,'28.09 Seeta-Mukono-24h'!F45,'29.09 Seeta-Mukono'!F45)</f>
        <v>46.857142857142854</v>
      </c>
      <c r="G45" s="49">
        <f>AVERAGE('23.09 Seeta-Mukono'!G45,'24.09 Seeta-Mukono'!G45,'25.09 Seeta-Mukono'!G45,'27.09 Seeta-Mukono'!G45,'26.09 Seeta-Mukono-24h'!G45,'28.09 Seeta-Mukono-24h'!G45,'29.09 Seeta-Mukono'!G45)</f>
        <v>1.4285714285714286</v>
      </c>
      <c r="H45" s="49">
        <f>AVERAGE('23.09 Seeta-Mukono'!H45,'24.09 Seeta-Mukono'!H45,'25.09 Seeta-Mukono'!H45,'27.09 Seeta-Mukono'!H45,'26.09 Seeta-Mukono-24h'!H45,'28.09 Seeta-Mukono-24h'!H45,'29.09 Seeta-Mukono'!H45)</f>
        <v>0.42857142857142855</v>
      </c>
      <c r="I45" s="49">
        <f>AVERAGE('23.09 Seeta-Mukono'!I45,'24.09 Seeta-Mukono'!I45,'25.09 Seeta-Mukono'!I45,'27.09 Seeta-Mukono'!I45,'26.09 Seeta-Mukono-24h'!I45,'28.09 Seeta-Mukono-24h'!I45,'29.09 Seeta-Mukono'!I45)</f>
        <v>11.857142857142858</v>
      </c>
      <c r="J45" s="49">
        <f>AVERAGE('23.09 Seeta-Mukono'!J45,'24.09 Seeta-Mukono'!J45,'25.09 Seeta-Mukono'!J45,'27.09 Seeta-Mukono'!J45,'26.09 Seeta-Mukono-24h'!J45,'28.09 Seeta-Mukono-24h'!J45,'29.09 Seeta-Mukono'!J45)</f>
        <v>6.2857142857142856</v>
      </c>
      <c r="K45" s="49">
        <f>AVERAGE('23.09 Seeta-Mukono'!K45,'24.09 Seeta-Mukono'!K45,'25.09 Seeta-Mukono'!K45,'27.09 Seeta-Mukono'!K45,'26.09 Seeta-Mukono-24h'!K45,'28.09 Seeta-Mukono-24h'!K45,'29.09 Seeta-Mukono'!K45)</f>
        <v>3.8571428571428572</v>
      </c>
      <c r="L45" s="49">
        <f>AVERAGE('23.09 Seeta-Mukono'!L45,'24.09 Seeta-Mukono'!L45,'25.09 Seeta-Mukono'!L45,'27.09 Seeta-Mukono'!L45,'26.09 Seeta-Mukono-24h'!L45,'28.09 Seeta-Mukono-24h'!L45,'29.09 Seeta-Mukono'!L45)</f>
        <v>15.428571428571429</v>
      </c>
      <c r="M45" s="49">
        <f>AVERAGE('23.09 Seeta-Mukono'!M45,'24.09 Seeta-Mukono'!M45,'25.09 Seeta-Mukono'!M45,'27.09 Seeta-Mukono'!M45,'26.09 Seeta-Mukono-24h'!M45,'28.09 Seeta-Mukono-24h'!M45,'29.09 Seeta-Mukono'!M45)</f>
        <v>97.571428571428569</v>
      </c>
      <c r="N45" s="49">
        <f>AVERAGE('23.09 Seeta-Mukono'!N45,'24.09 Seeta-Mukono'!N45,'25.09 Seeta-Mukono'!N45,'27.09 Seeta-Mukono'!N45,'26.09 Seeta-Mukono-24h'!N45,'28.09 Seeta-Mukono-24h'!N45,'29.09 Seeta-Mukono'!N45)</f>
        <v>0</v>
      </c>
      <c r="O45" s="15">
        <f t="shared" si="0"/>
        <v>138</v>
      </c>
      <c r="P45" s="15">
        <f t="shared" si="1"/>
        <v>235.57142857142856</v>
      </c>
    </row>
    <row r="46" spans="2:32" ht="23.1" customHeight="1" x14ac:dyDescent="0.25">
      <c r="B46" s="24" t="s">
        <v>73</v>
      </c>
      <c r="C46" s="49">
        <f>AVERAGE('23.09 Seeta-Mukono'!C46,'24.09 Seeta-Mukono'!C46,'25.09 Seeta-Mukono'!C46,'27.09 Seeta-Mukono'!C46,'26.09 Seeta-Mukono-24h'!C46,'28.09 Seeta-Mukono-24h'!C46,'29.09 Seeta-Mukono'!C46)</f>
        <v>45.857142857142854</v>
      </c>
      <c r="D46" s="49">
        <f>AVERAGE('23.09 Seeta-Mukono'!D46,'24.09 Seeta-Mukono'!D46,'25.09 Seeta-Mukono'!D46,'27.09 Seeta-Mukono'!D46,'26.09 Seeta-Mukono-24h'!D46,'28.09 Seeta-Mukono-24h'!D46,'29.09 Seeta-Mukono'!D46)</f>
        <v>7.2857142857142856</v>
      </c>
      <c r="E46" s="49">
        <f>AVERAGE('23.09 Seeta-Mukono'!E46,'24.09 Seeta-Mukono'!E46,'25.09 Seeta-Mukono'!E46,'27.09 Seeta-Mukono'!E46,'26.09 Seeta-Mukono-24h'!E46,'28.09 Seeta-Mukono-24h'!E46,'29.09 Seeta-Mukono'!E46)</f>
        <v>7.7142857142857144</v>
      </c>
      <c r="F46" s="49">
        <f>AVERAGE('23.09 Seeta-Mukono'!F46,'24.09 Seeta-Mukono'!F46,'25.09 Seeta-Mukono'!F46,'27.09 Seeta-Mukono'!F46,'26.09 Seeta-Mukono-24h'!F46,'28.09 Seeta-Mukono-24h'!F46,'29.09 Seeta-Mukono'!F46)</f>
        <v>47.285714285714285</v>
      </c>
      <c r="G46" s="49">
        <f>AVERAGE('23.09 Seeta-Mukono'!G46,'24.09 Seeta-Mukono'!G46,'25.09 Seeta-Mukono'!G46,'27.09 Seeta-Mukono'!G46,'26.09 Seeta-Mukono-24h'!G46,'28.09 Seeta-Mukono-24h'!G46,'29.09 Seeta-Mukono'!G46)</f>
        <v>2.5714285714285716</v>
      </c>
      <c r="H46" s="49">
        <f>AVERAGE('23.09 Seeta-Mukono'!H46,'24.09 Seeta-Mukono'!H46,'25.09 Seeta-Mukono'!H46,'27.09 Seeta-Mukono'!H46,'26.09 Seeta-Mukono-24h'!H46,'28.09 Seeta-Mukono-24h'!H46,'29.09 Seeta-Mukono'!H46)</f>
        <v>0.2857142857142857</v>
      </c>
      <c r="I46" s="49">
        <f>AVERAGE('23.09 Seeta-Mukono'!I46,'24.09 Seeta-Mukono'!I46,'25.09 Seeta-Mukono'!I46,'27.09 Seeta-Mukono'!I46,'26.09 Seeta-Mukono-24h'!I46,'28.09 Seeta-Mukono-24h'!I46,'29.09 Seeta-Mukono'!I46)</f>
        <v>15.571428571428571</v>
      </c>
      <c r="J46" s="49">
        <f>AVERAGE('23.09 Seeta-Mukono'!J46,'24.09 Seeta-Mukono'!J46,'25.09 Seeta-Mukono'!J46,'27.09 Seeta-Mukono'!J46,'26.09 Seeta-Mukono-24h'!J46,'28.09 Seeta-Mukono-24h'!J46,'29.09 Seeta-Mukono'!J46)</f>
        <v>4.4285714285714288</v>
      </c>
      <c r="K46" s="49">
        <f>AVERAGE('23.09 Seeta-Mukono'!K46,'24.09 Seeta-Mukono'!K46,'25.09 Seeta-Mukono'!K46,'27.09 Seeta-Mukono'!K46,'26.09 Seeta-Mukono-24h'!K46,'28.09 Seeta-Mukono-24h'!K46,'29.09 Seeta-Mukono'!K46)</f>
        <v>3.2857142857142856</v>
      </c>
      <c r="L46" s="49">
        <f>AVERAGE('23.09 Seeta-Mukono'!L46,'24.09 Seeta-Mukono'!L46,'25.09 Seeta-Mukono'!L46,'27.09 Seeta-Mukono'!L46,'26.09 Seeta-Mukono-24h'!L46,'28.09 Seeta-Mukono-24h'!L46,'29.09 Seeta-Mukono'!L46)</f>
        <v>24.285714285714285</v>
      </c>
      <c r="M46" s="49">
        <f>AVERAGE('23.09 Seeta-Mukono'!M46,'24.09 Seeta-Mukono'!M46,'25.09 Seeta-Mukono'!M46,'27.09 Seeta-Mukono'!M46,'26.09 Seeta-Mukono-24h'!M46,'28.09 Seeta-Mukono-24h'!M46,'29.09 Seeta-Mukono'!M46)</f>
        <v>91.428571428571431</v>
      </c>
      <c r="N46" s="49">
        <f>AVERAGE('23.09 Seeta-Mukono'!N46,'24.09 Seeta-Mukono'!N46,'25.09 Seeta-Mukono'!N46,'27.09 Seeta-Mukono'!N46,'26.09 Seeta-Mukono-24h'!N46,'28.09 Seeta-Mukono-24h'!N46,'29.09 Seeta-Mukono'!N46)</f>
        <v>0</v>
      </c>
      <c r="O46" s="15">
        <f t="shared" si="0"/>
        <v>158.57142857142856</v>
      </c>
      <c r="P46" s="15">
        <f t="shared" si="1"/>
        <v>250</v>
      </c>
      <c r="R46" s="8"/>
      <c r="T46"/>
    </row>
    <row r="47" spans="2:32" ht="23.1" customHeight="1" x14ac:dyDescent="0.25">
      <c r="B47" s="24" t="s">
        <v>74</v>
      </c>
      <c r="C47" s="49">
        <f>AVERAGE('23.09 Seeta-Mukono'!C47,'24.09 Seeta-Mukono'!C47,'25.09 Seeta-Mukono'!C47,'27.09 Seeta-Mukono'!C47,'26.09 Seeta-Mukono-24h'!C47,'28.09 Seeta-Mukono-24h'!C47,'29.09 Seeta-Mukono'!C47)</f>
        <v>46.571428571428569</v>
      </c>
      <c r="D47" s="49">
        <f>AVERAGE('23.09 Seeta-Mukono'!D47,'24.09 Seeta-Mukono'!D47,'25.09 Seeta-Mukono'!D47,'27.09 Seeta-Mukono'!D47,'26.09 Seeta-Mukono-24h'!D47,'28.09 Seeta-Mukono-24h'!D47,'29.09 Seeta-Mukono'!D47)</f>
        <v>5.7142857142857144</v>
      </c>
      <c r="E47" s="49">
        <f>AVERAGE('23.09 Seeta-Mukono'!E47,'24.09 Seeta-Mukono'!E47,'25.09 Seeta-Mukono'!E47,'27.09 Seeta-Mukono'!E47,'26.09 Seeta-Mukono-24h'!E47,'28.09 Seeta-Mukono-24h'!E47,'29.09 Seeta-Mukono'!E47)</f>
        <v>5.7142857142857144</v>
      </c>
      <c r="F47" s="49">
        <f>AVERAGE('23.09 Seeta-Mukono'!F47,'24.09 Seeta-Mukono'!F47,'25.09 Seeta-Mukono'!F47,'27.09 Seeta-Mukono'!F47,'26.09 Seeta-Mukono-24h'!F47,'28.09 Seeta-Mukono-24h'!F47,'29.09 Seeta-Mukono'!F47)</f>
        <v>40.142857142857146</v>
      </c>
      <c r="G47" s="49">
        <f>AVERAGE('23.09 Seeta-Mukono'!G47,'24.09 Seeta-Mukono'!G47,'25.09 Seeta-Mukono'!G47,'27.09 Seeta-Mukono'!G47,'26.09 Seeta-Mukono-24h'!G47,'28.09 Seeta-Mukono-24h'!G47,'29.09 Seeta-Mukono'!G47)</f>
        <v>2.2857142857142856</v>
      </c>
      <c r="H47" s="49">
        <f>AVERAGE('23.09 Seeta-Mukono'!H47,'24.09 Seeta-Mukono'!H47,'25.09 Seeta-Mukono'!H47,'27.09 Seeta-Mukono'!H47,'26.09 Seeta-Mukono-24h'!H47,'28.09 Seeta-Mukono-24h'!H47,'29.09 Seeta-Mukono'!H47)</f>
        <v>0.5714285714285714</v>
      </c>
      <c r="I47" s="49">
        <f>AVERAGE('23.09 Seeta-Mukono'!I47,'24.09 Seeta-Mukono'!I47,'25.09 Seeta-Mukono'!I47,'27.09 Seeta-Mukono'!I47,'26.09 Seeta-Mukono-24h'!I47,'28.09 Seeta-Mukono-24h'!I47,'29.09 Seeta-Mukono'!I47)</f>
        <v>14.857142857142858</v>
      </c>
      <c r="J47" s="49">
        <f>AVERAGE('23.09 Seeta-Mukono'!J47,'24.09 Seeta-Mukono'!J47,'25.09 Seeta-Mukono'!J47,'27.09 Seeta-Mukono'!J47,'26.09 Seeta-Mukono-24h'!J47,'28.09 Seeta-Mukono-24h'!J47,'29.09 Seeta-Mukono'!J47)</f>
        <v>4.7142857142857144</v>
      </c>
      <c r="K47" s="49">
        <f>AVERAGE('23.09 Seeta-Mukono'!K47,'24.09 Seeta-Mukono'!K47,'25.09 Seeta-Mukono'!K47,'27.09 Seeta-Mukono'!K47,'26.09 Seeta-Mukono-24h'!K47,'28.09 Seeta-Mukono-24h'!K47,'29.09 Seeta-Mukono'!K47)</f>
        <v>3.7142857142857144</v>
      </c>
      <c r="L47" s="49">
        <f>AVERAGE('23.09 Seeta-Mukono'!L47,'24.09 Seeta-Mukono'!L47,'25.09 Seeta-Mukono'!L47,'27.09 Seeta-Mukono'!L47,'26.09 Seeta-Mukono-24h'!L47,'28.09 Seeta-Mukono-24h'!L47,'29.09 Seeta-Mukono'!L47)</f>
        <v>25</v>
      </c>
      <c r="M47" s="49">
        <f>AVERAGE('23.09 Seeta-Mukono'!M47,'24.09 Seeta-Mukono'!M47,'25.09 Seeta-Mukono'!M47,'27.09 Seeta-Mukono'!M47,'26.09 Seeta-Mukono-24h'!M47,'28.09 Seeta-Mukono-24h'!M47,'29.09 Seeta-Mukono'!M47)</f>
        <v>99.285714285714292</v>
      </c>
      <c r="N47" s="49">
        <f>AVERAGE('23.09 Seeta-Mukono'!N47,'24.09 Seeta-Mukono'!N47,'25.09 Seeta-Mukono'!N47,'27.09 Seeta-Mukono'!N47,'26.09 Seeta-Mukono-24h'!N47,'28.09 Seeta-Mukono-24h'!N47,'29.09 Seeta-Mukono'!N47)</f>
        <v>0</v>
      </c>
      <c r="O47" s="15">
        <f t="shared" si="0"/>
        <v>149.28571428571428</v>
      </c>
      <c r="P47" s="15">
        <f t="shared" si="1"/>
        <v>248.57142857142856</v>
      </c>
      <c r="R47" s="8"/>
      <c r="T47"/>
    </row>
    <row r="48" spans="2:32" ht="23.1" customHeight="1" x14ac:dyDescent="0.25">
      <c r="B48" s="24" t="s">
        <v>75</v>
      </c>
      <c r="C48" s="49">
        <f>AVERAGE('23.09 Seeta-Mukono'!C48,'24.09 Seeta-Mukono'!C48,'25.09 Seeta-Mukono'!C48,'27.09 Seeta-Mukono'!C48,'26.09 Seeta-Mukono-24h'!C48,'28.09 Seeta-Mukono-24h'!C48,'29.09 Seeta-Mukono'!C48)</f>
        <v>50</v>
      </c>
      <c r="D48" s="49">
        <f>AVERAGE('23.09 Seeta-Mukono'!D48,'24.09 Seeta-Mukono'!D48,'25.09 Seeta-Mukono'!D48,'27.09 Seeta-Mukono'!D48,'26.09 Seeta-Mukono-24h'!D48,'28.09 Seeta-Mukono-24h'!D48,'29.09 Seeta-Mukono'!D48)</f>
        <v>6.7142857142857144</v>
      </c>
      <c r="E48" s="49">
        <f>AVERAGE('23.09 Seeta-Mukono'!E48,'24.09 Seeta-Mukono'!E48,'25.09 Seeta-Mukono'!E48,'27.09 Seeta-Mukono'!E48,'26.09 Seeta-Mukono-24h'!E48,'28.09 Seeta-Mukono-24h'!E48,'29.09 Seeta-Mukono'!E48)</f>
        <v>5.7142857142857144</v>
      </c>
      <c r="F48" s="49">
        <f>AVERAGE('23.09 Seeta-Mukono'!F48,'24.09 Seeta-Mukono'!F48,'25.09 Seeta-Mukono'!F48,'27.09 Seeta-Mukono'!F48,'26.09 Seeta-Mukono-24h'!F48,'28.09 Seeta-Mukono-24h'!F48,'29.09 Seeta-Mukono'!F48)</f>
        <v>42.142857142857146</v>
      </c>
      <c r="G48" s="49">
        <f>AVERAGE('23.09 Seeta-Mukono'!G48,'24.09 Seeta-Mukono'!G48,'25.09 Seeta-Mukono'!G48,'27.09 Seeta-Mukono'!G48,'26.09 Seeta-Mukono-24h'!G48,'28.09 Seeta-Mukono-24h'!G48,'29.09 Seeta-Mukono'!G48)</f>
        <v>3.1428571428571428</v>
      </c>
      <c r="H48" s="49">
        <f>AVERAGE('23.09 Seeta-Mukono'!H48,'24.09 Seeta-Mukono'!H48,'25.09 Seeta-Mukono'!H48,'27.09 Seeta-Mukono'!H48,'26.09 Seeta-Mukono-24h'!H48,'28.09 Seeta-Mukono-24h'!H48,'29.09 Seeta-Mukono'!H48)</f>
        <v>3.5714285714285716</v>
      </c>
      <c r="I48" s="49">
        <f>AVERAGE('23.09 Seeta-Mukono'!I48,'24.09 Seeta-Mukono'!I48,'25.09 Seeta-Mukono'!I48,'27.09 Seeta-Mukono'!I48,'26.09 Seeta-Mukono-24h'!I48,'28.09 Seeta-Mukono-24h'!I48,'29.09 Seeta-Mukono'!I48)</f>
        <v>11.571428571428571</v>
      </c>
      <c r="J48" s="49">
        <f>AVERAGE('23.09 Seeta-Mukono'!J48,'24.09 Seeta-Mukono'!J48,'25.09 Seeta-Mukono'!J48,'27.09 Seeta-Mukono'!J48,'26.09 Seeta-Mukono-24h'!J48,'28.09 Seeta-Mukono-24h'!J48,'29.09 Seeta-Mukono'!J48)</f>
        <v>5.7142857142857144</v>
      </c>
      <c r="K48" s="49">
        <f>AVERAGE('23.09 Seeta-Mukono'!K48,'24.09 Seeta-Mukono'!K48,'25.09 Seeta-Mukono'!K48,'27.09 Seeta-Mukono'!K48,'26.09 Seeta-Mukono-24h'!K48,'28.09 Seeta-Mukono-24h'!K48,'29.09 Seeta-Mukono'!K48)</f>
        <v>5.5714285714285712</v>
      </c>
      <c r="L48" s="49">
        <f>AVERAGE('23.09 Seeta-Mukono'!L48,'24.09 Seeta-Mukono'!L48,'25.09 Seeta-Mukono'!L48,'27.09 Seeta-Mukono'!L48,'26.09 Seeta-Mukono-24h'!L48,'28.09 Seeta-Mukono-24h'!L48,'29.09 Seeta-Mukono'!L48)</f>
        <v>36.428571428571431</v>
      </c>
      <c r="M48" s="49">
        <f>AVERAGE('23.09 Seeta-Mukono'!M48,'24.09 Seeta-Mukono'!M48,'25.09 Seeta-Mukono'!M48,'27.09 Seeta-Mukono'!M48,'26.09 Seeta-Mukono-24h'!M48,'28.09 Seeta-Mukono-24h'!M48,'29.09 Seeta-Mukono'!M48)</f>
        <v>111.28571428571429</v>
      </c>
      <c r="N48" s="49">
        <f>AVERAGE('23.09 Seeta-Mukono'!N48,'24.09 Seeta-Mukono'!N48,'25.09 Seeta-Mukono'!N48,'27.09 Seeta-Mukono'!N48,'26.09 Seeta-Mukono-24h'!N48,'28.09 Seeta-Mukono-24h'!N48,'29.09 Seeta-Mukono'!N48)</f>
        <v>0</v>
      </c>
      <c r="O48" s="15">
        <f t="shared" si="0"/>
        <v>170.57142857142861</v>
      </c>
      <c r="P48" s="15">
        <f t="shared" si="1"/>
        <v>281.85714285714289</v>
      </c>
      <c r="R48" s="8"/>
      <c r="T48"/>
    </row>
    <row r="49" spans="2:20" ht="23.1" customHeight="1" x14ac:dyDescent="0.25">
      <c r="B49" s="23" t="s">
        <v>76</v>
      </c>
      <c r="C49" s="49">
        <f>AVERAGE('23.09 Seeta-Mukono'!C49,'24.09 Seeta-Mukono'!C49,'25.09 Seeta-Mukono'!C49,'27.09 Seeta-Mukono'!C49,'26.09 Seeta-Mukono-24h'!C49,'28.09 Seeta-Mukono-24h'!C49,'29.09 Seeta-Mukono'!C49)</f>
        <v>48.857142857142854</v>
      </c>
      <c r="D49" s="49">
        <f>AVERAGE('23.09 Seeta-Mukono'!D49,'24.09 Seeta-Mukono'!D49,'25.09 Seeta-Mukono'!D49,'27.09 Seeta-Mukono'!D49,'26.09 Seeta-Mukono-24h'!D49,'28.09 Seeta-Mukono-24h'!D49,'29.09 Seeta-Mukono'!D49)</f>
        <v>5.4285714285714288</v>
      </c>
      <c r="E49" s="49">
        <f>AVERAGE('23.09 Seeta-Mukono'!E49,'24.09 Seeta-Mukono'!E49,'25.09 Seeta-Mukono'!E49,'27.09 Seeta-Mukono'!E49,'26.09 Seeta-Mukono-24h'!E49,'28.09 Seeta-Mukono-24h'!E49,'29.09 Seeta-Mukono'!E49)</f>
        <v>7.5714285714285712</v>
      </c>
      <c r="F49" s="49">
        <f>AVERAGE('23.09 Seeta-Mukono'!F49,'24.09 Seeta-Mukono'!F49,'25.09 Seeta-Mukono'!F49,'27.09 Seeta-Mukono'!F49,'26.09 Seeta-Mukono-24h'!F49,'28.09 Seeta-Mukono-24h'!F49,'29.09 Seeta-Mukono'!F49)</f>
        <v>47.857142857142854</v>
      </c>
      <c r="G49" s="49">
        <f>AVERAGE('23.09 Seeta-Mukono'!G49,'24.09 Seeta-Mukono'!G49,'25.09 Seeta-Mukono'!G49,'27.09 Seeta-Mukono'!G49,'26.09 Seeta-Mukono-24h'!G49,'28.09 Seeta-Mukono-24h'!G49,'29.09 Seeta-Mukono'!G49)</f>
        <v>3</v>
      </c>
      <c r="H49" s="49">
        <f>AVERAGE('23.09 Seeta-Mukono'!H49,'24.09 Seeta-Mukono'!H49,'25.09 Seeta-Mukono'!H49,'27.09 Seeta-Mukono'!H49,'26.09 Seeta-Mukono-24h'!H49,'28.09 Seeta-Mukono-24h'!H49,'29.09 Seeta-Mukono'!H49)</f>
        <v>0.2857142857142857</v>
      </c>
      <c r="I49" s="49">
        <f>AVERAGE('23.09 Seeta-Mukono'!I49,'24.09 Seeta-Mukono'!I49,'25.09 Seeta-Mukono'!I49,'27.09 Seeta-Mukono'!I49,'26.09 Seeta-Mukono-24h'!I49,'28.09 Seeta-Mukono-24h'!I49,'29.09 Seeta-Mukono'!I49)</f>
        <v>12.714285714285714</v>
      </c>
      <c r="J49" s="49">
        <f>AVERAGE('23.09 Seeta-Mukono'!J49,'24.09 Seeta-Mukono'!J49,'25.09 Seeta-Mukono'!J49,'27.09 Seeta-Mukono'!J49,'26.09 Seeta-Mukono-24h'!J49,'28.09 Seeta-Mukono-24h'!J49,'29.09 Seeta-Mukono'!J49)</f>
        <v>4.4285714285714288</v>
      </c>
      <c r="K49" s="49">
        <f>AVERAGE('23.09 Seeta-Mukono'!K49,'24.09 Seeta-Mukono'!K49,'25.09 Seeta-Mukono'!K49,'27.09 Seeta-Mukono'!K49,'26.09 Seeta-Mukono-24h'!K49,'28.09 Seeta-Mukono-24h'!K49,'29.09 Seeta-Mukono'!K49)</f>
        <v>2.8571428571428572</v>
      </c>
      <c r="L49" s="49">
        <f>AVERAGE('23.09 Seeta-Mukono'!L49,'24.09 Seeta-Mukono'!L49,'25.09 Seeta-Mukono'!L49,'27.09 Seeta-Mukono'!L49,'26.09 Seeta-Mukono-24h'!L49,'28.09 Seeta-Mukono-24h'!L49,'29.09 Seeta-Mukono'!L49)</f>
        <v>24.714285714285715</v>
      </c>
      <c r="M49" s="49">
        <f>AVERAGE('23.09 Seeta-Mukono'!M49,'24.09 Seeta-Mukono'!M49,'25.09 Seeta-Mukono'!M49,'27.09 Seeta-Mukono'!M49,'26.09 Seeta-Mukono-24h'!M49,'28.09 Seeta-Mukono-24h'!M49,'29.09 Seeta-Mukono'!M49)</f>
        <v>103.28571428571429</v>
      </c>
      <c r="N49" s="49">
        <f>AVERAGE('23.09 Seeta-Mukono'!N49,'24.09 Seeta-Mukono'!N49,'25.09 Seeta-Mukono'!N49,'27.09 Seeta-Mukono'!N49,'26.09 Seeta-Mukono-24h'!N49,'28.09 Seeta-Mukono-24h'!N49,'29.09 Seeta-Mukono'!N49)</f>
        <v>0</v>
      </c>
      <c r="O49" s="15">
        <f t="shared" si="0"/>
        <v>157.71428571428572</v>
      </c>
      <c r="P49" s="15">
        <f t="shared" si="1"/>
        <v>261</v>
      </c>
      <c r="R49" s="8"/>
      <c r="T49"/>
    </row>
    <row r="50" spans="2:20" ht="23.1" customHeight="1" x14ac:dyDescent="0.25">
      <c r="B50" s="24" t="s">
        <v>77</v>
      </c>
      <c r="C50" s="49">
        <f>AVERAGE('23.09 Seeta-Mukono'!C50,'24.09 Seeta-Mukono'!C50,'25.09 Seeta-Mukono'!C50,'27.09 Seeta-Mukono'!C50,'26.09 Seeta-Mukono-24h'!C50,'28.09 Seeta-Mukono-24h'!C50,'29.09 Seeta-Mukono'!C50)</f>
        <v>43.428571428571431</v>
      </c>
      <c r="D50" s="49">
        <f>AVERAGE('23.09 Seeta-Mukono'!D50,'24.09 Seeta-Mukono'!D50,'25.09 Seeta-Mukono'!D50,'27.09 Seeta-Mukono'!D50,'26.09 Seeta-Mukono-24h'!D50,'28.09 Seeta-Mukono-24h'!D50,'29.09 Seeta-Mukono'!D50)</f>
        <v>5.4285714285714288</v>
      </c>
      <c r="E50" s="49">
        <f>AVERAGE('23.09 Seeta-Mukono'!E50,'24.09 Seeta-Mukono'!E50,'25.09 Seeta-Mukono'!E50,'27.09 Seeta-Mukono'!E50,'26.09 Seeta-Mukono-24h'!E50,'28.09 Seeta-Mukono-24h'!E50,'29.09 Seeta-Mukono'!E50)</f>
        <v>8</v>
      </c>
      <c r="F50" s="49">
        <f>AVERAGE('23.09 Seeta-Mukono'!F50,'24.09 Seeta-Mukono'!F50,'25.09 Seeta-Mukono'!F50,'27.09 Seeta-Mukono'!F50,'26.09 Seeta-Mukono-24h'!F50,'28.09 Seeta-Mukono-24h'!F50,'29.09 Seeta-Mukono'!F50)</f>
        <v>42</v>
      </c>
      <c r="G50" s="49">
        <f>AVERAGE('23.09 Seeta-Mukono'!G50,'24.09 Seeta-Mukono'!G50,'25.09 Seeta-Mukono'!G50,'27.09 Seeta-Mukono'!G50,'26.09 Seeta-Mukono-24h'!G50,'28.09 Seeta-Mukono-24h'!G50,'29.09 Seeta-Mukono'!G50)</f>
        <v>2.2857142857142856</v>
      </c>
      <c r="H50" s="49">
        <f>AVERAGE('23.09 Seeta-Mukono'!H50,'24.09 Seeta-Mukono'!H50,'25.09 Seeta-Mukono'!H50,'27.09 Seeta-Mukono'!H50,'26.09 Seeta-Mukono-24h'!H50,'28.09 Seeta-Mukono-24h'!H50,'29.09 Seeta-Mukono'!H50)</f>
        <v>1</v>
      </c>
      <c r="I50" s="49">
        <f>AVERAGE('23.09 Seeta-Mukono'!I50,'24.09 Seeta-Mukono'!I50,'25.09 Seeta-Mukono'!I50,'27.09 Seeta-Mukono'!I50,'26.09 Seeta-Mukono-24h'!I50,'28.09 Seeta-Mukono-24h'!I50,'29.09 Seeta-Mukono'!I50)</f>
        <v>11.571428571428571</v>
      </c>
      <c r="J50" s="49">
        <f>AVERAGE('23.09 Seeta-Mukono'!J50,'24.09 Seeta-Mukono'!J50,'25.09 Seeta-Mukono'!J50,'27.09 Seeta-Mukono'!J50,'26.09 Seeta-Mukono-24h'!J50,'28.09 Seeta-Mukono-24h'!J50,'29.09 Seeta-Mukono'!J50)</f>
        <v>4.1428571428571432</v>
      </c>
      <c r="K50" s="49">
        <f>AVERAGE('23.09 Seeta-Mukono'!K50,'24.09 Seeta-Mukono'!K50,'25.09 Seeta-Mukono'!K50,'27.09 Seeta-Mukono'!K50,'26.09 Seeta-Mukono-24h'!K50,'28.09 Seeta-Mukono-24h'!K50,'29.09 Seeta-Mukono'!K50)</f>
        <v>2.8571428571428572</v>
      </c>
      <c r="L50" s="49">
        <f>AVERAGE('23.09 Seeta-Mukono'!L50,'24.09 Seeta-Mukono'!L50,'25.09 Seeta-Mukono'!L50,'27.09 Seeta-Mukono'!L50,'26.09 Seeta-Mukono-24h'!L50,'28.09 Seeta-Mukono-24h'!L50,'29.09 Seeta-Mukono'!L50)</f>
        <v>14.857142857142858</v>
      </c>
      <c r="M50" s="49">
        <f>AVERAGE('23.09 Seeta-Mukono'!M50,'24.09 Seeta-Mukono'!M50,'25.09 Seeta-Mukono'!M50,'27.09 Seeta-Mukono'!M50,'26.09 Seeta-Mukono-24h'!M50,'28.09 Seeta-Mukono-24h'!M50,'29.09 Seeta-Mukono'!M50)</f>
        <v>91.285714285714292</v>
      </c>
      <c r="N50" s="49">
        <f>AVERAGE('23.09 Seeta-Mukono'!N50,'24.09 Seeta-Mukono'!N50,'25.09 Seeta-Mukono'!N50,'27.09 Seeta-Mukono'!N50,'26.09 Seeta-Mukono-24h'!N50,'28.09 Seeta-Mukono-24h'!N50,'29.09 Seeta-Mukono'!N50)</f>
        <v>0.14285714285714285</v>
      </c>
      <c r="O50" s="15">
        <f t="shared" si="0"/>
        <v>135.71428571428572</v>
      </c>
      <c r="P50" s="15">
        <f t="shared" si="1"/>
        <v>227.00000000000003</v>
      </c>
      <c r="R50" s="8"/>
      <c r="T50"/>
    </row>
    <row r="51" spans="2:20" ht="23.1" customHeight="1" x14ac:dyDescent="0.25">
      <c r="B51" s="24" t="s">
        <v>78</v>
      </c>
      <c r="C51" s="49">
        <f>AVERAGE('23.09 Seeta-Mukono'!C51,'24.09 Seeta-Mukono'!C51,'25.09 Seeta-Mukono'!C51,'27.09 Seeta-Mukono'!C51,'26.09 Seeta-Mukono-24h'!C51,'28.09 Seeta-Mukono-24h'!C51,'29.09 Seeta-Mukono'!C51)</f>
        <v>55.571428571428569</v>
      </c>
      <c r="D51" s="49">
        <f>AVERAGE('23.09 Seeta-Mukono'!D51,'24.09 Seeta-Mukono'!D51,'25.09 Seeta-Mukono'!D51,'27.09 Seeta-Mukono'!D51,'26.09 Seeta-Mukono-24h'!D51,'28.09 Seeta-Mukono-24h'!D51,'29.09 Seeta-Mukono'!D51)</f>
        <v>7.4285714285714288</v>
      </c>
      <c r="E51" s="49">
        <f>AVERAGE('23.09 Seeta-Mukono'!E51,'24.09 Seeta-Mukono'!E51,'25.09 Seeta-Mukono'!E51,'27.09 Seeta-Mukono'!E51,'26.09 Seeta-Mukono-24h'!E51,'28.09 Seeta-Mukono-24h'!E51,'29.09 Seeta-Mukono'!E51)</f>
        <v>6.8571428571428568</v>
      </c>
      <c r="F51" s="49">
        <f>AVERAGE('23.09 Seeta-Mukono'!F51,'24.09 Seeta-Mukono'!F51,'25.09 Seeta-Mukono'!F51,'27.09 Seeta-Mukono'!F51,'26.09 Seeta-Mukono-24h'!F51,'28.09 Seeta-Mukono-24h'!F51,'29.09 Seeta-Mukono'!F51)</f>
        <v>60.285714285714285</v>
      </c>
      <c r="G51" s="49">
        <f>AVERAGE('23.09 Seeta-Mukono'!G51,'24.09 Seeta-Mukono'!G51,'25.09 Seeta-Mukono'!G51,'27.09 Seeta-Mukono'!G51,'26.09 Seeta-Mukono-24h'!G51,'28.09 Seeta-Mukono-24h'!G51,'29.09 Seeta-Mukono'!G51)</f>
        <v>9.8571428571428577</v>
      </c>
      <c r="H51" s="49">
        <f>AVERAGE('23.09 Seeta-Mukono'!H51,'24.09 Seeta-Mukono'!H51,'25.09 Seeta-Mukono'!H51,'27.09 Seeta-Mukono'!H51,'26.09 Seeta-Mukono-24h'!H51,'28.09 Seeta-Mukono-24h'!H51,'29.09 Seeta-Mukono'!H51)</f>
        <v>0.8571428571428571</v>
      </c>
      <c r="I51" s="49">
        <f>AVERAGE('23.09 Seeta-Mukono'!I51,'24.09 Seeta-Mukono'!I51,'25.09 Seeta-Mukono'!I51,'27.09 Seeta-Mukono'!I51,'26.09 Seeta-Mukono-24h'!I51,'28.09 Seeta-Mukono-24h'!I51,'29.09 Seeta-Mukono'!I51)</f>
        <v>13.857142857142858</v>
      </c>
      <c r="J51" s="49">
        <f>AVERAGE('23.09 Seeta-Mukono'!J51,'24.09 Seeta-Mukono'!J51,'25.09 Seeta-Mukono'!J51,'27.09 Seeta-Mukono'!J51,'26.09 Seeta-Mukono-24h'!J51,'28.09 Seeta-Mukono-24h'!J51,'29.09 Seeta-Mukono'!J51)</f>
        <v>6.7142857142857144</v>
      </c>
      <c r="K51" s="49">
        <f>AVERAGE('23.09 Seeta-Mukono'!K51,'24.09 Seeta-Mukono'!K51,'25.09 Seeta-Mukono'!K51,'27.09 Seeta-Mukono'!K51,'26.09 Seeta-Mukono-24h'!K51,'28.09 Seeta-Mukono-24h'!K51,'29.09 Seeta-Mukono'!K51)</f>
        <v>4.4285714285714288</v>
      </c>
      <c r="L51" s="49">
        <f>AVERAGE('23.09 Seeta-Mukono'!L51,'24.09 Seeta-Mukono'!L51,'25.09 Seeta-Mukono'!L51,'27.09 Seeta-Mukono'!L51,'26.09 Seeta-Mukono-24h'!L51,'28.09 Seeta-Mukono-24h'!L51,'29.09 Seeta-Mukono'!L51)</f>
        <v>17.142857142857142</v>
      </c>
      <c r="M51" s="49">
        <f>AVERAGE('23.09 Seeta-Mukono'!M51,'24.09 Seeta-Mukono'!M51,'25.09 Seeta-Mukono'!M51,'27.09 Seeta-Mukono'!M51,'26.09 Seeta-Mukono-24h'!M51,'28.09 Seeta-Mukono-24h'!M51,'29.09 Seeta-Mukono'!M51)</f>
        <v>118.28571428571429</v>
      </c>
      <c r="N51" s="49">
        <f>AVERAGE('23.09 Seeta-Mukono'!N51,'24.09 Seeta-Mukono'!N51,'25.09 Seeta-Mukono'!N51,'27.09 Seeta-Mukono'!N51,'26.09 Seeta-Mukono-24h'!N51,'28.09 Seeta-Mukono-24h'!N51,'29.09 Seeta-Mukono'!N51)</f>
        <v>0.14285714285714285</v>
      </c>
      <c r="O51" s="15">
        <f t="shared" si="0"/>
        <v>183.14285714285714</v>
      </c>
      <c r="P51" s="15">
        <f t="shared" si="1"/>
        <v>301.42857142857144</v>
      </c>
      <c r="R51" s="8"/>
      <c r="T51"/>
    </row>
    <row r="52" spans="2:20" ht="23.1" customHeight="1" x14ac:dyDescent="0.25">
      <c r="B52" s="24" t="s">
        <v>79</v>
      </c>
      <c r="C52" s="49">
        <f>AVERAGE('23.09 Seeta-Mukono'!C52,'24.09 Seeta-Mukono'!C52,'25.09 Seeta-Mukono'!C52,'27.09 Seeta-Mukono'!C52,'26.09 Seeta-Mukono-24h'!C52,'28.09 Seeta-Mukono-24h'!C52,'29.09 Seeta-Mukono'!C52)</f>
        <v>54</v>
      </c>
      <c r="D52" s="49">
        <f>AVERAGE('23.09 Seeta-Mukono'!D52,'24.09 Seeta-Mukono'!D52,'25.09 Seeta-Mukono'!D52,'27.09 Seeta-Mukono'!D52,'26.09 Seeta-Mukono-24h'!D52,'28.09 Seeta-Mukono-24h'!D52,'29.09 Seeta-Mukono'!D52)</f>
        <v>6.5714285714285712</v>
      </c>
      <c r="E52" s="49">
        <f>AVERAGE('23.09 Seeta-Mukono'!E52,'24.09 Seeta-Mukono'!E52,'25.09 Seeta-Mukono'!E52,'27.09 Seeta-Mukono'!E52,'26.09 Seeta-Mukono-24h'!E52,'28.09 Seeta-Mukono-24h'!E52,'29.09 Seeta-Mukono'!E52)</f>
        <v>6.4285714285714288</v>
      </c>
      <c r="F52" s="49">
        <f>AVERAGE('23.09 Seeta-Mukono'!F52,'24.09 Seeta-Mukono'!F52,'25.09 Seeta-Mukono'!F52,'27.09 Seeta-Mukono'!F52,'26.09 Seeta-Mukono-24h'!F52,'28.09 Seeta-Mukono-24h'!F52,'29.09 Seeta-Mukono'!F52)</f>
        <v>48.285714285714285</v>
      </c>
      <c r="G52" s="49">
        <f>AVERAGE('23.09 Seeta-Mukono'!G52,'24.09 Seeta-Mukono'!G52,'25.09 Seeta-Mukono'!G52,'27.09 Seeta-Mukono'!G52,'26.09 Seeta-Mukono-24h'!G52,'28.09 Seeta-Mukono-24h'!G52,'29.09 Seeta-Mukono'!G52)</f>
        <v>3</v>
      </c>
      <c r="H52" s="49">
        <f>AVERAGE('23.09 Seeta-Mukono'!H52,'24.09 Seeta-Mukono'!H52,'25.09 Seeta-Mukono'!H52,'27.09 Seeta-Mukono'!H52,'26.09 Seeta-Mukono-24h'!H52,'28.09 Seeta-Mukono-24h'!H52,'29.09 Seeta-Mukono'!H52)</f>
        <v>0.2857142857142857</v>
      </c>
      <c r="I52" s="49">
        <f>AVERAGE('23.09 Seeta-Mukono'!I52,'24.09 Seeta-Mukono'!I52,'25.09 Seeta-Mukono'!I52,'27.09 Seeta-Mukono'!I52,'26.09 Seeta-Mukono-24h'!I52,'28.09 Seeta-Mukono-24h'!I52,'29.09 Seeta-Mukono'!I52)</f>
        <v>16.571428571428573</v>
      </c>
      <c r="J52" s="49">
        <f>AVERAGE('23.09 Seeta-Mukono'!J52,'24.09 Seeta-Mukono'!J52,'25.09 Seeta-Mukono'!J52,'27.09 Seeta-Mukono'!J52,'26.09 Seeta-Mukono-24h'!J52,'28.09 Seeta-Mukono-24h'!J52,'29.09 Seeta-Mukono'!J52)</f>
        <v>4.4285714285714288</v>
      </c>
      <c r="K52" s="49">
        <f>AVERAGE('23.09 Seeta-Mukono'!K52,'24.09 Seeta-Mukono'!K52,'25.09 Seeta-Mukono'!K52,'27.09 Seeta-Mukono'!K52,'26.09 Seeta-Mukono-24h'!K52,'28.09 Seeta-Mukono-24h'!K52,'29.09 Seeta-Mukono'!K52)</f>
        <v>3.8571428571428572</v>
      </c>
      <c r="L52" s="49">
        <f>AVERAGE('23.09 Seeta-Mukono'!L52,'24.09 Seeta-Mukono'!L52,'25.09 Seeta-Mukono'!L52,'27.09 Seeta-Mukono'!L52,'26.09 Seeta-Mukono-24h'!L52,'28.09 Seeta-Mukono-24h'!L52,'29.09 Seeta-Mukono'!L52)</f>
        <v>17.571428571428573</v>
      </c>
      <c r="M52" s="49">
        <f>AVERAGE('23.09 Seeta-Mukono'!M52,'24.09 Seeta-Mukono'!M52,'25.09 Seeta-Mukono'!M52,'27.09 Seeta-Mukono'!M52,'26.09 Seeta-Mukono-24h'!M52,'28.09 Seeta-Mukono-24h'!M52,'29.09 Seeta-Mukono'!M52)</f>
        <v>133.28571428571428</v>
      </c>
      <c r="N52" s="49">
        <f>AVERAGE('23.09 Seeta-Mukono'!N52,'24.09 Seeta-Mukono'!N52,'25.09 Seeta-Mukono'!N52,'27.09 Seeta-Mukono'!N52,'26.09 Seeta-Mukono-24h'!N52,'28.09 Seeta-Mukono-24h'!N52,'29.09 Seeta-Mukono'!N52)</f>
        <v>0</v>
      </c>
      <c r="O52" s="15">
        <f t="shared" si="0"/>
        <v>161</v>
      </c>
      <c r="P52" s="15">
        <f t="shared" si="1"/>
        <v>294.28571428571428</v>
      </c>
      <c r="R52" s="8"/>
      <c r="T52"/>
    </row>
    <row r="53" spans="2:20" ht="23.1" customHeight="1" x14ac:dyDescent="0.25">
      <c r="B53" s="23" t="s">
        <v>80</v>
      </c>
      <c r="C53" s="49">
        <f>AVERAGE('23.09 Seeta-Mukono'!C53,'24.09 Seeta-Mukono'!C53,'25.09 Seeta-Mukono'!C53,'27.09 Seeta-Mukono'!C53,'26.09 Seeta-Mukono-24h'!C53,'28.09 Seeta-Mukono-24h'!C53,'29.09 Seeta-Mukono'!C53)</f>
        <v>43.857142857142854</v>
      </c>
      <c r="D53" s="49">
        <f>AVERAGE('23.09 Seeta-Mukono'!D53,'24.09 Seeta-Mukono'!D53,'25.09 Seeta-Mukono'!D53,'27.09 Seeta-Mukono'!D53,'26.09 Seeta-Mukono-24h'!D53,'28.09 Seeta-Mukono-24h'!D53,'29.09 Seeta-Mukono'!D53)</f>
        <v>7</v>
      </c>
      <c r="E53" s="49">
        <f>AVERAGE('23.09 Seeta-Mukono'!E53,'24.09 Seeta-Mukono'!E53,'25.09 Seeta-Mukono'!E53,'27.09 Seeta-Mukono'!E53,'26.09 Seeta-Mukono-24h'!E53,'28.09 Seeta-Mukono-24h'!E53,'29.09 Seeta-Mukono'!E53)</f>
        <v>5.4285714285714288</v>
      </c>
      <c r="F53" s="49">
        <f>AVERAGE('23.09 Seeta-Mukono'!F53,'24.09 Seeta-Mukono'!F53,'25.09 Seeta-Mukono'!F53,'27.09 Seeta-Mukono'!F53,'26.09 Seeta-Mukono-24h'!F53,'28.09 Seeta-Mukono-24h'!F53,'29.09 Seeta-Mukono'!F53)</f>
        <v>49.285714285714285</v>
      </c>
      <c r="G53" s="49">
        <f>AVERAGE('23.09 Seeta-Mukono'!G53,'24.09 Seeta-Mukono'!G53,'25.09 Seeta-Mukono'!G53,'27.09 Seeta-Mukono'!G53,'26.09 Seeta-Mukono-24h'!G53,'28.09 Seeta-Mukono-24h'!G53,'29.09 Seeta-Mukono'!G53)</f>
        <v>2.5714285714285716</v>
      </c>
      <c r="H53" s="49">
        <f>AVERAGE('23.09 Seeta-Mukono'!H53,'24.09 Seeta-Mukono'!H53,'25.09 Seeta-Mukono'!H53,'27.09 Seeta-Mukono'!H53,'26.09 Seeta-Mukono-24h'!H53,'28.09 Seeta-Mukono-24h'!H53,'29.09 Seeta-Mukono'!H53)</f>
        <v>0.2857142857142857</v>
      </c>
      <c r="I53" s="49">
        <f>AVERAGE('23.09 Seeta-Mukono'!I53,'24.09 Seeta-Mukono'!I53,'25.09 Seeta-Mukono'!I53,'27.09 Seeta-Mukono'!I53,'26.09 Seeta-Mukono-24h'!I53,'28.09 Seeta-Mukono-24h'!I53,'29.09 Seeta-Mukono'!I53)</f>
        <v>13</v>
      </c>
      <c r="J53" s="49">
        <f>AVERAGE('23.09 Seeta-Mukono'!J53,'24.09 Seeta-Mukono'!J53,'25.09 Seeta-Mukono'!J53,'27.09 Seeta-Mukono'!J53,'26.09 Seeta-Mukono-24h'!J53,'28.09 Seeta-Mukono-24h'!J53,'29.09 Seeta-Mukono'!J53)</f>
        <v>7.4285714285714288</v>
      </c>
      <c r="K53" s="49">
        <f>AVERAGE('23.09 Seeta-Mukono'!K53,'24.09 Seeta-Mukono'!K53,'25.09 Seeta-Mukono'!K53,'27.09 Seeta-Mukono'!K53,'26.09 Seeta-Mukono-24h'!K53,'28.09 Seeta-Mukono-24h'!K53,'29.09 Seeta-Mukono'!K53)</f>
        <v>3.5714285714285716</v>
      </c>
      <c r="L53" s="49">
        <f>AVERAGE('23.09 Seeta-Mukono'!L53,'24.09 Seeta-Mukono'!L53,'25.09 Seeta-Mukono'!L53,'27.09 Seeta-Mukono'!L53,'26.09 Seeta-Mukono-24h'!L53,'28.09 Seeta-Mukono-24h'!L53,'29.09 Seeta-Mukono'!L53)</f>
        <v>23.714285714285715</v>
      </c>
      <c r="M53" s="49">
        <f>AVERAGE('23.09 Seeta-Mukono'!M53,'24.09 Seeta-Mukono'!M53,'25.09 Seeta-Mukono'!M53,'27.09 Seeta-Mukono'!M53,'26.09 Seeta-Mukono-24h'!M53,'28.09 Seeta-Mukono-24h'!M53,'29.09 Seeta-Mukono'!M53)</f>
        <v>136.14285714285714</v>
      </c>
      <c r="N53" s="49">
        <f>AVERAGE('23.09 Seeta-Mukono'!N53,'24.09 Seeta-Mukono'!N53,'25.09 Seeta-Mukono'!N53,'27.09 Seeta-Mukono'!N53,'26.09 Seeta-Mukono-24h'!N53,'28.09 Seeta-Mukono-24h'!N53,'29.09 Seeta-Mukono'!N53)</f>
        <v>0</v>
      </c>
      <c r="O53" s="15">
        <f t="shared" si="0"/>
        <v>156.14285714285717</v>
      </c>
      <c r="P53" s="15">
        <f t="shared" si="1"/>
        <v>292.28571428571433</v>
      </c>
      <c r="R53" s="8"/>
      <c r="T53"/>
    </row>
    <row r="54" spans="2:20" ht="23.1" customHeight="1" x14ac:dyDescent="0.25">
      <c r="B54" s="23" t="s">
        <v>81</v>
      </c>
      <c r="C54" s="49">
        <f>AVERAGE('23.09 Seeta-Mukono'!C54,'24.09 Seeta-Mukono'!C54,'25.09 Seeta-Mukono'!C54,'27.09 Seeta-Mukono'!C54,'26.09 Seeta-Mukono-24h'!C54,'28.09 Seeta-Mukono-24h'!C54,'29.09 Seeta-Mukono'!C54)</f>
        <v>47.428571428571431</v>
      </c>
      <c r="D54" s="49">
        <f>AVERAGE('23.09 Seeta-Mukono'!D54,'24.09 Seeta-Mukono'!D54,'25.09 Seeta-Mukono'!D54,'27.09 Seeta-Mukono'!D54,'26.09 Seeta-Mukono-24h'!D54,'28.09 Seeta-Mukono-24h'!D54,'29.09 Seeta-Mukono'!D54)</f>
        <v>7.8571428571428568</v>
      </c>
      <c r="E54" s="49">
        <f>AVERAGE('23.09 Seeta-Mukono'!E54,'24.09 Seeta-Mukono'!E54,'25.09 Seeta-Mukono'!E54,'27.09 Seeta-Mukono'!E54,'26.09 Seeta-Mukono-24h'!E54,'28.09 Seeta-Mukono-24h'!E54,'29.09 Seeta-Mukono'!E54)</f>
        <v>6.4285714285714288</v>
      </c>
      <c r="F54" s="49">
        <f>AVERAGE('23.09 Seeta-Mukono'!F54,'24.09 Seeta-Mukono'!F54,'25.09 Seeta-Mukono'!F54,'27.09 Seeta-Mukono'!F54,'26.09 Seeta-Mukono-24h'!F54,'28.09 Seeta-Mukono-24h'!F54,'29.09 Seeta-Mukono'!F54)</f>
        <v>46.714285714285715</v>
      </c>
      <c r="G54" s="49">
        <f>AVERAGE('23.09 Seeta-Mukono'!G54,'24.09 Seeta-Mukono'!G54,'25.09 Seeta-Mukono'!G54,'27.09 Seeta-Mukono'!G54,'26.09 Seeta-Mukono-24h'!G54,'28.09 Seeta-Mukono-24h'!G54,'29.09 Seeta-Mukono'!G54)</f>
        <v>2.7142857142857144</v>
      </c>
      <c r="H54" s="49">
        <f>AVERAGE('23.09 Seeta-Mukono'!H54,'24.09 Seeta-Mukono'!H54,'25.09 Seeta-Mukono'!H54,'27.09 Seeta-Mukono'!H54,'26.09 Seeta-Mukono-24h'!H54,'28.09 Seeta-Mukono-24h'!H54,'29.09 Seeta-Mukono'!H54)</f>
        <v>3.2857142857142856</v>
      </c>
      <c r="I54" s="49">
        <f>AVERAGE('23.09 Seeta-Mukono'!I54,'24.09 Seeta-Mukono'!I54,'25.09 Seeta-Mukono'!I54,'27.09 Seeta-Mukono'!I54,'26.09 Seeta-Mukono-24h'!I54,'28.09 Seeta-Mukono-24h'!I54,'29.09 Seeta-Mukono'!I54)</f>
        <v>11.571428571428571</v>
      </c>
      <c r="J54" s="49">
        <f>AVERAGE('23.09 Seeta-Mukono'!J54,'24.09 Seeta-Mukono'!J54,'25.09 Seeta-Mukono'!J54,'27.09 Seeta-Mukono'!J54,'26.09 Seeta-Mukono-24h'!J54,'28.09 Seeta-Mukono-24h'!J54,'29.09 Seeta-Mukono'!J54)</f>
        <v>4.7142857142857144</v>
      </c>
      <c r="K54" s="49">
        <f>AVERAGE('23.09 Seeta-Mukono'!K54,'24.09 Seeta-Mukono'!K54,'25.09 Seeta-Mukono'!K54,'27.09 Seeta-Mukono'!K54,'26.09 Seeta-Mukono-24h'!K54,'28.09 Seeta-Mukono-24h'!K54,'29.09 Seeta-Mukono'!K54)</f>
        <v>4.5714285714285712</v>
      </c>
      <c r="L54" s="49">
        <f>AVERAGE('23.09 Seeta-Mukono'!L54,'24.09 Seeta-Mukono'!L54,'25.09 Seeta-Mukono'!L54,'27.09 Seeta-Mukono'!L54,'26.09 Seeta-Mukono-24h'!L54,'28.09 Seeta-Mukono-24h'!L54,'29.09 Seeta-Mukono'!L54)</f>
        <v>14</v>
      </c>
      <c r="M54" s="49">
        <f>AVERAGE('23.09 Seeta-Mukono'!M54,'24.09 Seeta-Mukono'!M54,'25.09 Seeta-Mukono'!M54,'27.09 Seeta-Mukono'!M54,'26.09 Seeta-Mukono-24h'!M54,'28.09 Seeta-Mukono-24h'!M54,'29.09 Seeta-Mukono'!M54)</f>
        <v>124.85714285714286</v>
      </c>
      <c r="N54" s="49">
        <f>AVERAGE('23.09 Seeta-Mukono'!N54,'24.09 Seeta-Mukono'!N54,'25.09 Seeta-Mukono'!N54,'27.09 Seeta-Mukono'!N54,'26.09 Seeta-Mukono-24h'!N54,'28.09 Seeta-Mukono-24h'!N54,'29.09 Seeta-Mukono'!N54)</f>
        <v>0.14285714285714285</v>
      </c>
      <c r="O54" s="15">
        <f t="shared" si="0"/>
        <v>149.42857142857144</v>
      </c>
      <c r="P54" s="15">
        <f t="shared" si="1"/>
        <v>274.28571428571433</v>
      </c>
      <c r="R54" s="8"/>
      <c r="T54"/>
    </row>
    <row r="55" spans="2:20" ht="23.1" customHeight="1" x14ac:dyDescent="0.25">
      <c r="B55" s="23" t="s">
        <v>82</v>
      </c>
      <c r="C55" s="49">
        <f>AVERAGE('23.09 Seeta-Mukono'!C55,'24.09 Seeta-Mukono'!C55,'25.09 Seeta-Mukono'!C55,'27.09 Seeta-Mukono'!C55,'26.09 Seeta-Mukono-24h'!C55,'28.09 Seeta-Mukono-24h'!C55,'29.09 Seeta-Mukono'!C55)</f>
        <v>49.428571428571431</v>
      </c>
      <c r="D55" s="49">
        <f>AVERAGE('23.09 Seeta-Mukono'!D55,'24.09 Seeta-Mukono'!D55,'25.09 Seeta-Mukono'!D55,'27.09 Seeta-Mukono'!D55,'26.09 Seeta-Mukono-24h'!D55,'28.09 Seeta-Mukono-24h'!D55,'29.09 Seeta-Mukono'!D55)</f>
        <v>5.5714285714285712</v>
      </c>
      <c r="E55" s="49">
        <f>AVERAGE('23.09 Seeta-Mukono'!E55,'24.09 Seeta-Mukono'!E55,'25.09 Seeta-Mukono'!E55,'27.09 Seeta-Mukono'!E55,'26.09 Seeta-Mukono-24h'!E55,'28.09 Seeta-Mukono-24h'!E55,'29.09 Seeta-Mukono'!E55)</f>
        <v>6.5714285714285712</v>
      </c>
      <c r="F55" s="49">
        <f>AVERAGE('23.09 Seeta-Mukono'!F55,'24.09 Seeta-Mukono'!F55,'25.09 Seeta-Mukono'!F55,'27.09 Seeta-Mukono'!F55,'26.09 Seeta-Mukono-24h'!F55,'28.09 Seeta-Mukono-24h'!F55,'29.09 Seeta-Mukono'!F55)</f>
        <v>37</v>
      </c>
      <c r="G55" s="49">
        <f>AVERAGE('23.09 Seeta-Mukono'!G55,'24.09 Seeta-Mukono'!G55,'25.09 Seeta-Mukono'!G55,'27.09 Seeta-Mukono'!G55,'26.09 Seeta-Mukono-24h'!G55,'28.09 Seeta-Mukono-24h'!G55,'29.09 Seeta-Mukono'!G55)</f>
        <v>3.5714285714285716</v>
      </c>
      <c r="H55" s="49">
        <f>AVERAGE('23.09 Seeta-Mukono'!H55,'24.09 Seeta-Mukono'!H55,'25.09 Seeta-Mukono'!H55,'27.09 Seeta-Mukono'!H55,'26.09 Seeta-Mukono-24h'!H55,'28.09 Seeta-Mukono-24h'!H55,'29.09 Seeta-Mukono'!H55)</f>
        <v>0.5714285714285714</v>
      </c>
      <c r="I55" s="49">
        <f>AVERAGE('23.09 Seeta-Mukono'!I55,'24.09 Seeta-Mukono'!I55,'25.09 Seeta-Mukono'!I55,'27.09 Seeta-Mukono'!I55,'26.09 Seeta-Mukono-24h'!I55,'28.09 Seeta-Mukono-24h'!I55,'29.09 Seeta-Mukono'!I55)</f>
        <v>9.5714285714285712</v>
      </c>
      <c r="J55" s="49">
        <f>AVERAGE('23.09 Seeta-Mukono'!J55,'24.09 Seeta-Mukono'!J55,'25.09 Seeta-Mukono'!J55,'27.09 Seeta-Mukono'!J55,'26.09 Seeta-Mukono-24h'!J55,'28.09 Seeta-Mukono-24h'!J55,'29.09 Seeta-Mukono'!J55)</f>
        <v>4.4285714285714288</v>
      </c>
      <c r="K55" s="49">
        <f>AVERAGE('23.09 Seeta-Mukono'!K55,'24.09 Seeta-Mukono'!K55,'25.09 Seeta-Mukono'!K55,'27.09 Seeta-Mukono'!K55,'26.09 Seeta-Mukono-24h'!K55,'28.09 Seeta-Mukono-24h'!K55,'29.09 Seeta-Mukono'!K55)</f>
        <v>2.4285714285714284</v>
      </c>
      <c r="L55" s="49">
        <f>AVERAGE('23.09 Seeta-Mukono'!L55,'24.09 Seeta-Mukono'!L55,'25.09 Seeta-Mukono'!L55,'27.09 Seeta-Mukono'!L55,'26.09 Seeta-Mukono-24h'!L55,'28.09 Seeta-Mukono-24h'!L55,'29.09 Seeta-Mukono'!L55)</f>
        <v>18.428571428571427</v>
      </c>
      <c r="M55" s="49">
        <f>AVERAGE('23.09 Seeta-Mukono'!M55,'24.09 Seeta-Mukono'!M55,'25.09 Seeta-Mukono'!M55,'27.09 Seeta-Mukono'!M55,'26.09 Seeta-Mukono-24h'!M55,'28.09 Seeta-Mukono-24h'!M55,'29.09 Seeta-Mukono'!M55)</f>
        <v>152.28571428571428</v>
      </c>
      <c r="N55" s="49">
        <f>AVERAGE('23.09 Seeta-Mukono'!N55,'24.09 Seeta-Mukono'!N55,'25.09 Seeta-Mukono'!N55,'27.09 Seeta-Mukono'!N55,'26.09 Seeta-Mukono-24h'!N55,'28.09 Seeta-Mukono-24h'!N55,'29.09 Seeta-Mukono'!N55)</f>
        <v>0</v>
      </c>
      <c r="O55" s="15">
        <f t="shared" si="0"/>
        <v>137.57142857142856</v>
      </c>
      <c r="P55" s="15">
        <f t="shared" si="1"/>
        <v>289.85714285714283</v>
      </c>
      <c r="R55" s="8"/>
      <c r="T55"/>
    </row>
    <row r="56" spans="2:20" ht="23.1" customHeight="1" x14ac:dyDescent="0.25">
      <c r="B56" s="23" t="s">
        <v>83</v>
      </c>
      <c r="C56" s="49">
        <f>AVERAGE('23.09 Seeta-Mukono'!C56,'24.09 Seeta-Mukono'!C56,'25.09 Seeta-Mukono'!C56,'27.09 Seeta-Mukono'!C56,'26.09 Seeta-Mukono-24h'!C56,'28.09 Seeta-Mukono-24h'!C56,'29.09 Seeta-Mukono'!C56)</f>
        <v>56.857142857142854</v>
      </c>
      <c r="D56" s="49">
        <f>AVERAGE('23.09 Seeta-Mukono'!D56,'24.09 Seeta-Mukono'!D56,'25.09 Seeta-Mukono'!D56,'27.09 Seeta-Mukono'!D56,'26.09 Seeta-Mukono-24h'!D56,'28.09 Seeta-Mukono-24h'!D56,'29.09 Seeta-Mukono'!D56)</f>
        <v>7.5714285714285712</v>
      </c>
      <c r="E56" s="49">
        <f>AVERAGE('23.09 Seeta-Mukono'!E56,'24.09 Seeta-Mukono'!E56,'25.09 Seeta-Mukono'!E56,'27.09 Seeta-Mukono'!E56,'26.09 Seeta-Mukono-24h'!E56,'28.09 Seeta-Mukono-24h'!E56,'29.09 Seeta-Mukono'!E56)</f>
        <v>7.2857142857142856</v>
      </c>
      <c r="F56" s="49">
        <f>AVERAGE('23.09 Seeta-Mukono'!F56,'24.09 Seeta-Mukono'!F56,'25.09 Seeta-Mukono'!F56,'27.09 Seeta-Mukono'!F56,'26.09 Seeta-Mukono-24h'!F56,'28.09 Seeta-Mukono-24h'!F56,'29.09 Seeta-Mukono'!F56)</f>
        <v>47.142857142857146</v>
      </c>
      <c r="G56" s="49">
        <f>AVERAGE('23.09 Seeta-Mukono'!G56,'24.09 Seeta-Mukono'!G56,'25.09 Seeta-Mukono'!G56,'27.09 Seeta-Mukono'!G56,'26.09 Seeta-Mukono-24h'!G56,'28.09 Seeta-Mukono-24h'!G56,'29.09 Seeta-Mukono'!G56)</f>
        <v>4.7142857142857144</v>
      </c>
      <c r="H56" s="49">
        <f>AVERAGE('23.09 Seeta-Mukono'!H56,'24.09 Seeta-Mukono'!H56,'25.09 Seeta-Mukono'!H56,'27.09 Seeta-Mukono'!H56,'26.09 Seeta-Mukono-24h'!H56,'28.09 Seeta-Mukono-24h'!H56,'29.09 Seeta-Mukono'!H56)</f>
        <v>1.2857142857142858</v>
      </c>
      <c r="I56" s="49">
        <f>AVERAGE('23.09 Seeta-Mukono'!I56,'24.09 Seeta-Mukono'!I56,'25.09 Seeta-Mukono'!I56,'27.09 Seeta-Mukono'!I56,'26.09 Seeta-Mukono-24h'!I56,'28.09 Seeta-Mukono-24h'!I56,'29.09 Seeta-Mukono'!I56)</f>
        <v>13.142857142857142</v>
      </c>
      <c r="J56" s="49">
        <f>AVERAGE('23.09 Seeta-Mukono'!J56,'24.09 Seeta-Mukono'!J56,'25.09 Seeta-Mukono'!J56,'27.09 Seeta-Mukono'!J56,'26.09 Seeta-Mukono-24h'!J56,'28.09 Seeta-Mukono-24h'!J56,'29.09 Seeta-Mukono'!J56)</f>
        <v>3.4285714285714284</v>
      </c>
      <c r="K56" s="49">
        <f>AVERAGE('23.09 Seeta-Mukono'!K56,'24.09 Seeta-Mukono'!K56,'25.09 Seeta-Mukono'!K56,'27.09 Seeta-Mukono'!K56,'26.09 Seeta-Mukono-24h'!K56,'28.09 Seeta-Mukono-24h'!K56,'29.09 Seeta-Mukono'!K56)</f>
        <v>2.4285714285714284</v>
      </c>
      <c r="L56" s="49">
        <f>AVERAGE('23.09 Seeta-Mukono'!L56,'24.09 Seeta-Mukono'!L56,'25.09 Seeta-Mukono'!L56,'27.09 Seeta-Mukono'!L56,'26.09 Seeta-Mukono-24h'!L56,'28.09 Seeta-Mukono-24h'!L56,'29.09 Seeta-Mukono'!L56)</f>
        <v>17</v>
      </c>
      <c r="M56" s="49">
        <f>AVERAGE('23.09 Seeta-Mukono'!M56,'24.09 Seeta-Mukono'!M56,'25.09 Seeta-Mukono'!M56,'27.09 Seeta-Mukono'!M56,'26.09 Seeta-Mukono-24h'!M56,'28.09 Seeta-Mukono-24h'!M56,'29.09 Seeta-Mukono'!M56)</f>
        <v>157.71428571428572</v>
      </c>
      <c r="N56" s="49">
        <f>AVERAGE('23.09 Seeta-Mukono'!N56,'24.09 Seeta-Mukono'!N56,'25.09 Seeta-Mukono'!N56,'27.09 Seeta-Mukono'!N56,'26.09 Seeta-Mukono-24h'!N56,'28.09 Seeta-Mukono-24h'!N56,'29.09 Seeta-Mukono'!N56)</f>
        <v>0</v>
      </c>
      <c r="O56" s="15">
        <f t="shared" si="0"/>
        <v>160.85714285714283</v>
      </c>
      <c r="P56" s="15">
        <f t="shared" si="1"/>
        <v>318.57142857142856</v>
      </c>
      <c r="R56" s="8"/>
      <c r="T56"/>
    </row>
    <row r="57" spans="2:20" ht="23.1" customHeight="1" x14ac:dyDescent="0.25">
      <c r="B57" s="23" t="s">
        <v>84</v>
      </c>
      <c r="C57" s="49">
        <f>AVERAGE('23.09 Seeta-Mukono'!C57,'24.09 Seeta-Mukono'!C57,'25.09 Seeta-Mukono'!C57,'27.09 Seeta-Mukono'!C57,'26.09 Seeta-Mukono-24h'!C57,'28.09 Seeta-Mukono-24h'!C57,'29.09 Seeta-Mukono'!C57)</f>
        <v>45.714285714285715</v>
      </c>
      <c r="D57" s="49">
        <f>AVERAGE('23.09 Seeta-Mukono'!D57,'24.09 Seeta-Mukono'!D57,'25.09 Seeta-Mukono'!D57,'27.09 Seeta-Mukono'!D57,'26.09 Seeta-Mukono-24h'!D57,'28.09 Seeta-Mukono-24h'!D57,'29.09 Seeta-Mukono'!D57)</f>
        <v>10.142857142857142</v>
      </c>
      <c r="E57" s="49">
        <f>AVERAGE('23.09 Seeta-Mukono'!E57,'24.09 Seeta-Mukono'!E57,'25.09 Seeta-Mukono'!E57,'27.09 Seeta-Mukono'!E57,'26.09 Seeta-Mukono-24h'!E57,'28.09 Seeta-Mukono-24h'!E57,'29.09 Seeta-Mukono'!E57)</f>
        <v>4.8571428571428568</v>
      </c>
      <c r="F57" s="49">
        <f>AVERAGE('23.09 Seeta-Mukono'!F57,'24.09 Seeta-Mukono'!F57,'25.09 Seeta-Mukono'!F57,'27.09 Seeta-Mukono'!F57,'26.09 Seeta-Mukono-24h'!F57,'28.09 Seeta-Mukono-24h'!F57,'29.09 Seeta-Mukono'!F57)</f>
        <v>33.857142857142854</v>
      </c>
      <c r="G57" s="49">
        <f>AVERAGE('23.09 Seeta-Mukono'!G57,'24.09 Seeta-Mukono'!G57,'25.09 Seeta-Mukono'!G57,'27.09 Seeta-Mukono'!G57,'26.09 Seeta-Mukono-24h'!G57,'28.09 Seeta-Mukono-24h'!G57,'29.09 Seeta-Mukono'!G57)</f>
        <v>18.714285714285715</v>
      </c>
      <c r="H57" s="49">
        <f>AVERAGE('23.09 Seeta-Mukono'!H57,'24.09 Seeta-Mukono'!H57,'25.09 Seeta-Mukono'!H57,'27.09 Seeta-Mukono'!H57,'26.09 Seeta-Mukono-24h'!H57,'28.09 Seeta-Mukono-24h'!H57,'29.09 Seeta-Mukono'!H57)</f>
        <v>1.2857142857142858</v>
      </c>
      <c r="I57" s="49">
        <f>AVERAGE('23.09 Seeta-Mukono'!I57,'24.09 Seeta-Mukono'!I57,'25.09 Seeta-Mukono'!I57,'27.09 Seeta-Mukono'!I57,'26.09 Seeta-Mukono-24h'!I57,'28.09 Seeta-Mukono-24h'!I57,'29.09 Seeta-Mukono'!I57)</f>
        <v>5.4285714285714288</v>
      </c>
      <c r="J57" s="49">
        <f>AVERAGE('23.09 Seeta-Mukono'!J57,'24.09 Seeta-Mukono'!J57,'25.09 Seeta-Mukono'!J57,'27.09 Seeta-Mukono'!J57,'26.09 Seeta-Mukono-24h'!J57,'28.09 Seeta-Mukono-24h'!J57,'29.09 Seeta-Mukono'!J57)</f>
        <v>5.1428571428571432</v>
      </c>
      <c r="K57" s="49">
        <f>AVERAGE('23.09 Seeta-Mukono'!K57,'24.09 Seeta-Mukono'!K57,'25.09 Seeta-Mukono'!K57,'27.09 Seeta-Mukono'!K57,'26.09 Seeta-Mukono-24h'!K57,'28.09 Seeta-Mukono-24h'!K57,'29.09 Seeta-Mukono'!K57)</f>
        <v>3.4285714285714284</v>
      </c>
      <c r="L57" s="49">
        <f>AVERAGE('23.09 Seeta-Mukono'!L57,'24.09 Seeta-Mukono'!L57,'25.09 Seeta-Mukono'!L57,'27.09 Seeta-Mukono'!L57,'26.09 Seeta-Mukono-24h'!L57,'28.09 Seeta-Mukono-24h'!L57,'29.09 Seeta-Mukono'!L57)</f>
        <v>9.7142857142857135</v>
      </c>
      <c r="M57" s="49">
        <f>AVERAGE('23.09 Seeta-Mukono'!M57,'24.09 Seeta-Mukono'!M57,'25.09 Seeta-Mukono'!M57,'27.09 Seeta-Mukono'!M57,'26.09 Seeta-Mukono-24h'!M57,'28.09 Seeta-Mukono-24h'!M57,'29.09 Seeta-Mukono'!M57)</f>
        <v>184</v>
      </c>
      <c r="N57" s="49">
        <f>AVERAGE('23.09 Seeta-Mukono'!N57,'24.09 Seeta-Mukono'!N57,'25.09 Seeta-Mukono'!N57,'27.09 Seeta-Mukono'!N57,'26.09 Seeta-Mukono-24h'!N57,'28.09 Seeta-Mukono-24h'!N57,'29.09 Seeta-Mukono'!N57)</f>
        <v>0.14285714285714285</v>
      </c>
      <c r="O57" s="15">
        <f t="shared" si="0"/>
        <v>138.42857142857142</v>
      </c>
      <c r="P57" s="15">
        <f t="shared" si="1"/>
        <v>322.42857142857144</v>
      </c>
      <c r="R57" s="8"/>
      <c r="T57"/>
    </row>
    <row r="58" spans="2:20" ht="23.1" customHeight="1" x14ac:dyDescent="0.25">
      <c r="B58" s="23" t="s">
        <v>99</v>
      </c>
      <c r="C58" s="49">
        <f>AVERAGE('26.09 Seeta-Mukono-24h'!C58,'28.09 Seeta-Mukono-24h'!C58)</f>
        <v>34.5</v>
      </c>
      <c r="D58" s="49">
        <f>AVERAGE('26.09 Seeta-Mukono-24h'!D58,'28.09 Seeta-Mukono-24h'!D58)</f>
        <v>14.5</v>
      </c>
      <c r="E58" s="49">
        <f>AVERAGE('26.09 Seeta-Mukono-24h'!E58,'28.09 Seeta-Mukono-24h'!E58)</f>
        <v>4</v>
      </c>
      <c r="F58" s="49">
        <f>AVERAGE('26.09 Seeta-Mukono-24h'!F58,'28.09 Seeta-Mukono-24h'!F58)</f>
        <v>35.5</v>
      </c>
      <c r="G58" s="49">
        <f>AVERAGE('26.09 Seeta-Mukono-24h'!G58,'28.09 Seeta-Mukono-24h'!G58)</f>
        <v>2.5</v>
      </c>
      <c r="H58" s="49">
        <f>AVERAGE('26.09 Seeta-Mukono-24h'!H58,'28.09 Seeta-Mukono-24h'!H58)</f>
        <v>1</v>
      </c>
      <c r="I58" s="49">
        <f>AVERAGE('26.09 Seeta-Mukono-24h'!I58,'28.09 Seeta-Mukono-24h'!I58)</f>
        <v>11.5</v>
      </c>
      <c r="J58" s="49">
        <f>AVERAGE('26.09 Seeta-Mukono-24h'!J58,'28.09 Seeta-Mukono-24h'!J58)</f>
        <v>7.5</v>
      </c>
      <c r="K58" s="49">
        <f>AVERAGE('26.09 Seeta-Mukono-24h'!K58,'28.09 Seeta-Mukono-24h'!K58)</f>
        <v>8.5</v>
      </c>
      <c r="L58" s="49">
        <f>AVERAGE('26.09 Seeta-Mukono-24h'!L58,'28.09 Seeta-Mukono-24h'!L58)</f>
        <v>5</v>
      </c>
      <c r="M58" s="49">
        <f>AVERAGE('26.09 Seeta-Mukono-24h'!M58,'28.09 Seeta-Mukono-24h'!M58)</f>
        <v>131.5</v>
      </c>
      <c r="N58" s="49">
        <f>AVERAGE('26.09 Seeta-Mukono-24h'!N58,'28.09 Seeta-Mukono-24h'!N58)</f>
        <v>0</v>
      </c>
      <c r="O58" s="15">
        <f t="shared" si="0"/>
        <v>124.5</v>
      </c>
      <c r="P58" s="15">
        <f t="shared" si="1"/>
        <v>256</v>
      </c>
      <c r="R58" s="8"/>
      <c r="T58"/>
    </row>
    <row r="59" spans="2:20" ht="23.1" customHeight="1" x14ac:dyDescent="0.25">
      <c r="B59" s="23" t="s">
        <v>100</v>
      </c>
      <c r="C59" s="49">
        <f>AVERAGE('26.09 Seeta-Mukono-24h'!C59,'28.09 Seeta-Mukono-24h'!C59)</f>
        <v>25.5</v>
      </c>
      <c r="D59" s="49">
        <f>AVERAGE('26.09 Seeta-Mukono-24h'!D59,'28.09 Seeta-Mukono-24h'!D59)</f>
        <v>7</v>
      </c>
      <c r="E59" s="49">
        <f>AVERAGE('26.09 Seeta-Mukono-24h'!E59,'28.09 Seeta-Mukono-24h'!E59)</f>
        <v>2.5</v>
      </c>
      <c r="F59" s="49">
        <f>AVERAGE('26.09 Seeta-Mukono-24h'!F59,'28.09 Seeta-Mukono-24h'!F59)</f>
        <v>35.5</v>
      </c>
      <c r="G59" s="49">
        <f>AVERAGE('26.09 Seeta-Mukono-24h'!G59,'28.09 Seeta-Mukono-24h'!G59)</f>
        <v>2.5</v>
      </c>
      <c r="H59" s="49">
        <f>AVERAGE('26.09 Seeta-Mukono-24h'!H59,'28.09 Seeta-Mukono-24h'!H59)</f>
        <v>0.5</v>
      </c>
      <c r="I59" s="49">
        <f>AVERAGE('26.09 Seeta-Mukono-24h'!I59,'28.09 Seeta-Mukono-24h'!I59)</f>
        <v>8</v>
      </c>
      <c r="J59" s="49">
        <f>AVERAGE('26.09 Seeta-Mukono-24h'!J59,'28.09 Seeta-Mukono-24h'!J59)</f>
        <v>4</v>
      </c>
      <c r="K59" s="49">
        <f>AVERAGE('26.09 Seeta-Mukono-24h'!K59,'28.09 Seeta-Mukono-24h'!K59)</f>
        <v>1</v>
      </c>
      <c r="L59" s="49">
        <f>AVERAGE('26.09 Seeta-Mukono-24h'!L59,'28.09 Seeta-Mukono-24h'!L59)</f>
        <v>7.5</v>
      </c>
      <c r="M59" s="49">
        <f>AVERAGE('26.09 Seeta-Mukono-24h'!M59,'28.09 Seeta-Mukono-24h'!M59)</f>
        <v>149</v>
      </c>
      <c r="N59" s="49">
        <f>AVERAGE('26.09 Seeta-Mukono-24h'!N59,'28.09 Seeta-Mukono-24h'!N59)</f>
        <v>0</v>
      </c>
      <c r="O59" s="15">
        <f t="shared" si="0"/>
        <v>94</v>
      </c>
      <c r="P59" s="15">
        <f t="shared" si="1"/>
        <v>243</v>
      </c>
      <c r="R59" s="8"/>
      <c r="T59"/>
    </row>
    <row r="60" spans="2:20" ht="23.1" customHeight="1" x14ac:dyDescent="0.25">
      <c r="B60" s="23" t="s">
        <v>101</v>
      </c>
      <c r="C60" s="49">
        <f>AVERAGE('26.09 Seeta-Mukono-24h'!C60,'28.09 Seeta-Mukono-24h'!C60)</f>
        <v>29.5</v>
      </c>
      <c r="D60" s="49">
        <f>AVERAGE('26.09 Seeta-Mukono-24h'!D60,'28.09 Seeta-Mukono-24h'!D60)</f>
        <v>8.5</v>
      </c>
      <c r="E60" s="49">
        <f>AVERAGE('26.09 Seeta-Mukono-24h'!E60,'28.09 Seeta-Mukono-24h'!E60)</f>
        <v>4.5</v>
      </c>
      <c r="F60" s="49">
        <f>AVERAGE('26.09 Seeta-Mukono-24h'!F60,'28.09 Seeta-Mukono-24h'!F60)</f>
        <v>33</v>
      </c>
      <c r="G60" s="49">
        <f>AVERAGE('26.09 Seeta-Mukono-24h'!G60,'28.09 Seeta-Mukono-24h'!G60)</f>
        <v>2</v>
      </c>
      <c r="H60" s="49">
        <f>AVERAGE('26.09 Seeta-Mukono-24h'!H60,'28.09 Seeta-Mukono-24h'!H60)</f>
        <v>0.5</v>
      </c>
      <c r="I60" s="49">
        <f>AVERAGE('26.09 Seeta-Mukono-24h'!I60,'28.09 Seeta-Mukono-24h'!I60)</f>
        <v>9.5</v>
      </c>
      <c r="J60" s="49">
        <f>AVERAGE('26.09 Seeta-Mukono-24h'!J60,'28.09 Seeta-Mukono-24h'!J60)</f>
        <v>3.5</v>
      </c>
      <c r="K60" s="49">
        <f>AVERAGE('26.09 Seeta-Mukono-24h'!K60,'28.09 Seeta-Mukono-24h'!K60)</f>
        <v>1.5</v>
      </c>
      <c r="L60" s="49">
        <f>AVERAGE('26.09 Seeta-Mukono-24h'!L60,'28.09 Seeta-Mukono-24h'!L60)</f>
        <v>9.5</v>
      </c>
      <c r="M60" s="49">
        <f>AVERAGE('26.09 Seeta-Mukono-24h'!M60,'28.09 Seeta-Mukono-24h'!M60)</f>
        <v>204.5</v>
      </c>
      <c r="N60" s="49">
        <f>AVERAGE('26.09 Seeta-Mukono-24h'!N60,'28.09 Seeta-Mukono-24h'!N60)</f>
        <v>0</v>
      </c>
      <c r="O60" s="15">
        <f t="shared" si="0"/>
        <v>102</v>
      </c>
      <c r="P60" s="15">
        <f t="shared" si="1"/>
        <v>306.5</v>
      </c>
      <c r="R60" s="8"/>
      <c r="T60"/>
    </row>
    <row r="61" spans="2:20" ht="23.1" customHeight="1" x14ac:dyDescent="0.25">
      <c r="B61" s="23" t="s">
        <v>102</v>
      </c>
      <c r="C61" s="49">
        <f>AVERAGE('26.09 Seeta-Mukono-24h'!C61,'28.09 Seeta-Mukono-24h'!C61)</f>
        <v>34.5</v>
      </c>
      <c r="D61" s="49">
        <f>AVERAGE('26.09 Seeta-Mukono-24h'!D61,'28.09 Seeta-Mukono-24h'!D61)</f>
        <v>12</v>
      </c>
      <c r="E61" s="49">
        <f>AVERAGE('26.09 Seeta-Mukono-24h'!E61,'28.09 Seeta-Mukono-24h'!E61)</f>
        <v>8</v>
      </c>
      <c r="F61" s="49">
        <f>AVERAGE('26.09 Seeta-Mukono-24h'!F61,'28.09 Seeta-Mukono-24h'!F61)</f>
        <v>40.5</v>
      </c>
      <c r="G61" s="49">
        <f>AVERAGE('26.09 Seeta-Mukono-24h'!G61,'28.09 Seeta-Mukono-24h'!G61)</f>
        <v>3.5</v>
      </c>
      <c r="H61" s="49">
        <f>AVERAGE('26.09 Seeta-Mukono-24h'!H61,'28.09 Seeta-Mukono-24h'!H61)</f>
        <v>0.5</v>
      </c>
      <c r="I61" s="49">
        <f>AVERAGE('26.09 Seeta-Mukono-24h'!I61,'28.09 Seeta-Mukono-24h'!I61)</f>
        <v>13</v>
      </c>
      <c r="J61" s="49">
        <f>AVERAGE('26.09 Seeta-Mukono-24h'!J61,'28.09 Seeta-Mukono-24h'!J61)</f>
        <v>8.5</v>
      </c>
      <c r="K61" s="49">
        <f>AVERAGE('26.09 Seeta-Mukono-24h'!K61,'28.09 Seeta-Mukono-24h'!K61)</f>
        <v>1</v>
      </c>
      <c r="L61" s="49">
        <f>AVERAGE('26.09 Seeta-Mukono-24h'!L61,'28.09 Seeta-Mukono-24h'!L61)</f>
        <v>13.5</v>
      </c>
      <c r="M61" s="49">
        <f>AVERAGE('26.09 Seeta-Mukono-24h'!M61,'28.09 Seeta-Mukono-24h'!M61)</f>
        <v>185</v>
      </c>
      <c r="N61" s="49">
        <f>AVERAGE('26.09 Seeta-Mukono-24h'!N61,'28.09 Seeta-Mukono-24h'!N61)</f>
        <v>0</v>
      </c>
      <c r="O61" s="15">
        <f t="shared" si="0"/>
        <v>135</v>
      </c>
      <c r="P61" s="15">
        <f t="shared" si="1"/>
        <v>320</v>
      </c>
      <c r="R61" s="8"/>
      <c r="T61"/>
    </row>
    <row r="62" spans="2:20" ht="23.1" customHeight="1" x14ac:dyDescent="0.25">
      <c r="B62" s="23" t="s">
        <v>107</v>
      </c>
      <c r="C62" s="49">
        <f>AVERAGE('26.09 Seeta-Mukono-24h'!C62,'28.09 Seeta-Mukono-24h'!C62)</f>
        <v>43</v>
      </c>
      <c r="D62" s="49">
        <f>AVERAGE('26.09 Seeta-Mukono-24h'!D62,'28.09 Seeta-Mukono-24h'!D62)</f>
        <v>21.5</v>
      </c>
      <c r="E62" s="49">
        <f>AVERAGE('26.09 Seeta-Mukono-24h'!E62,'28.09 Seeta-Mukono-24h'!E62)</f>
        <v>6</v>
      </c>
      <c r="F62" s="49">
        <f>AVERAGE('26.09 Seeta-Mukono-24h'!F62,'28.09 Seeta-Mukono-24h'!F62)</f>
        <v>58</v>
      </c>
      <c r="G62" s="49">
        <f>AVERAGE('26.09 Seeta-Mukono-24h'!G62,'28.09 Seeta-Mukono-24h'!G62)</f>
        <v>4.5</v>
      </c>
      <c r="H62" s="49">
        <f>AVERAGE('26.09 Seeta-Mukono-24h'!H62,'28.09 Seeta-Mukono-24h'!H62)</f>
        <v>4.5</v>
      </c>
      <c r="I62" s="49">
        <f>AVERAGE('26.09 Seeta-Mukono-24h'!I62,'28.09 Seeta-Mukono-24h'!I62)</f>
        <v>9</v>
      </c>
      <c r="J62" s="49">
        <f>AVERAGE('26.09 Seeta-Mukono-24h'!J62,'28.09 Seeta-Mukono-24h'!J62)</f>
        <v>4</v>
      </c>
      <c r="K62" s="49">
        <f>AVERAGE('26.09 Seeta-Mukono-24h'!K62,'28.09 Seeta-Mukono-24h'!K62)</f>
        <v>2.5</v>
      </c>
      <c r="L62" s="49">
        <f>AVERAGE('26.09 Seeta-Mukono-24h'!L62,'28.09 Seeta-Mukono-24h'!L62)</f>
        <v>9.5</v>
      </c>
      <c r="M62" s="49">
        <f>AVERAGE('26.09 Seeta-Mukono-24h'!M62,'28.09 Seeta-Mukono-24h'!M62)</f>
        <v>203.5</v>
      </c>
      <c r="N62" s="49">
        <f>AVERAGE('26.09 Seeta-Mukono-24h'!N62,'28.09 Seeta-Mukono-24h'!N62)</f>
        <v>0</v>
      </c>
      <c r="O62" s="15">
        <f t="shared" si="0"/>
        <v>162.5</v>
      </c>
      <c r="P62" s="15">
        <f t="shared" si="1"/>
        <v>366</v>
      </c>
      <c r="R62" s="8"/>
      <c r="T62"/>
    </row>
    <row r="63" spans="2:20" ht="23.1" customHeight="1" x14ac:dyDescent="0.25">
      <c r="B63" s="23" t="s">
        <v>108</v>
      </c>
      <c r="C63" s="49">
        <f>AVERAGE('26.09 Seeta-Mukono-24h'!C63,'28.09 Seeta-Mukono-24h'!C63)</f>
        <v>47</v>
      </c>
      <c r="D63" s="49">
        <f>AVERAGE('26.09 Seeta-Mukono-24h'!D63,'28.09 Seeta-Mukono-24h'!D63)</f>
        <v>9</v>
      </c>
      <c r="E63" s="49">
        <f>AVERAGE('26.09 Seeta-Mukono-24h'!E63,'28.09 Seeta-Mukono-24h'!E63)</f>
        <v>7.5</v>
      </c>
      <c r="F63" s="49">
        <f>AVERAGE('26.09 Seeta-Mukono-24h'!F63,'28.09 Seeta-Mukono-24h'!F63)</f>
        <v>41.5</v>
      </c>
      <c r="G63" s="49">
        <f>AVERAGE('26.09 Seeta-Mukono-24h'!G63,'28.09 Seeta-Mukono-24h'!G63)</f>
        <v>4</v>
      </c>
      <c r="H63" s="49">
        <f>AVERAGE('26.09 Seeta-Mukono-24h'!H63,'28.09 Seeta-Mukono-24h'!H63)</f>
        <v>0.5</v>
      </c>
      <c r="I63" s="49">
        <f>AVERAGE('26.09 Seeta-Mukono-24h'!I63,'28.09 Seeta-Mukono-24h'!I63)</f>
        <v>9</v>
      </c>
      <c r="J63" s="49">
        <f>AVERAGE('26.09 Seeta-Mukono-24h'!J63,'28.09 Seeta-Mukono-24h'!J63)</f>
        <v>8</v>
      </c>
      <c r="K63" s="49">
        <f>AVERAGE('26.09 Seeta-Mukono-24h'!K63,'28.09 Seeta-Mukono-24h'!K63)</f>
        <v>2</v>
      </c>
      <c r="L63" s="49">
        <f>AVERAGE('26.09 Seeta-Mukono-24h'!L63,'28.09 Seeta-Mukono-24h'!L63)</f>
        <v>15</v>
      </c>
      <c r="M63" s="49">
        <f>AVERAGE('26.09 Seeta-Mukono-24h'!M63,'28.09 Seeta-Mukono-24h'!M63)</f>
        <v>200</v>
      </c>
      <c r="N63" s="49">
        <f>AVERAGE('26.09 Seeta-Mukono-24h'!N63,'28.09 Seeta-Mukono-24h'!N63)</f>
        <v>0</v>
      </c>
      <c r="O63" s="15">
        <f t="shared" si="0"/>
        <v>143.5</v>
      </c>
      <c r="P63" s="15">
        <f t="shared" si="1"/>
        <v>343.5</v>
      </c>
      <c r="R63" s="8"/>
      <c r="T63"/>
    </row>
    <row r="64" spans="2:20" ht="23.1" customHeight="1" x14ac:dyDescent="0.25">
      <c r="B64" s="23" t="s">
        <v>109</v>
      </c>
      <c r="C64" s="49">
        <f>AVERAGE('26.09 Seeta-Mukono-24h'!C64,'28.09 Seeta-Mukono-24h'!C64)</f>
        <v>62.5</v>
      </c>
      <c r="D64" s="49">
        <f>AVERAGE('26.09 Seeta-Mukono-24h'!D64,'28.09 Seeta-Mukono-24h'!D64)</f>
        <v>9</v>
      </c>
      <c r="E64" s="49">
        <f>AVERAGE('26.09 Seeta-Mukono-24h'!E64,'28.09 Seeta-Mukono-24h'!E64)</f>
        <v>5.5</v>
      </c>
      <c r="F64" s="49">
        <f>AVERAGE('26.09 Seeta-Mukono-24h'!F64,'28.09 Seeta-Mukono-24h'!F64)</f>
        <v>51</v>
      </c>
      <c r="G64" s="49">
        <f>AVERAGE('26.09 Seeta-Mukono-24h'!G64,'28.09 Seeta-Mukono-24h'!G64)</f>
        <v>1</v>
      </c>
      <c r="H64" s="49">
        <f>AVERAGE('26.09 Seeta-Mukono-24h'!H64,'28.09 Seeta-Mukono-24h'!H64)</f>
        <v>0.5</v>
      </c>
      <c r="I64" s="49">
        <f>AVERAGE('26.09 Seeta-Mukono-24h'!I64,'28.09 Seeta-Mukono-24h'!I64)</f>
        <v>7.5</v>
      </c>
      <c r="J64" s="49">
        <f>AVERAGE('26.09 Seeta-Mukono-24h'!J64,'28.09 Seeta-Mukono-24h'!J64)</f>
        <v>6</v>
      </c>
      <c r="K64" s="49">
        <f>AVERAGE('26.09 Seeta-Mukono-24h'!K64,'28.09 Seeta-Mukono-24h'!K64)</f>
        <v>2.5</v>
      </c>
      <c r="L64" s="49">
        <f>AVERAGE('26.09 Seeta-Mukono-24h'!L64,'28.09 Seeta-Mukono-24h'!L64)</f>
        <v>13</v>
      </c>
      <c r="M64" s="49">
        <f>AVERAGE('26.09 Seeta-Mukono-24h'!M64,'28.09 Seeta-Mukono-24h'!M64)</f>
        <v>166.5</v>
      </c>
      <c r="N64" s="49">
        <f>AVERAGE('26.09 Seeta-Mukono-24h'!N64,'28.09 Seeta-Mukono-24h'!N64)</f>
        <v>0</v>
      </c>
      <c r="O64" s="15">
        <f t="shared" si="0"/>
        <v>158.5</v>
      </c>
      <c r="P64" s="15">
        <f t="shared" si="1"/>
        <v>325</v>
      </c>
      <c r="R64" s="8"/>
      <c r="T64"/>
    </row>
    <row r="65" spans="2:20" ht="23.1" customHeight="1" x14ac:dyDescent="0.25">
      <c r="B65" s="23" t="s">
        <v>158</v>
      </c>
      <c r="C65" s="49">
        <f>AVERAGE('26.09 Seeta-Mukono-24h'!C65,'28.09 Seeta-Mukono-24h'!C65)</f>
        <v>45</v>
      </c>
      <c r="D65" s="49">
        <f>AVERAGE('26.09 Seeta-Mukono-24h'!D65,'28.09 Seeta-Mukono-24h'!D65)</f>
        <v>7</v>
      </c>
      <c r="E65" s="49">
        <f>AVERAGE('26.09 Seeta-Mukono-24h'!E65,'28.09 Seeta-Mukono-24h'!E65)</f>
        <v>4.5</v>
      </c>
      <c r="F65" s="49">
        <f>AVERAGE('26.09 Seeta-Mukono-24h'!F65,'28.09 Seeta-Mukono-24h'!F65)</f>
        <v>34</v>
      </c>
      <c r="G65" s="49">
        <f>AVERAGE('26.09 Seeta-Mukono-24h'!G65,'28.09 Seeta-Mukono-24h'!G65)</f>
        <v>1.5</v>
      </c>
      <c r="H65" s="49">
        <f>AVERAGE('26.09 Seeta-Mukono-24h'!H65,'28.09 Seeta-Mukono-24h'!H65)</f>
        <v>1</v>
      </c>
      <c r="I65" s="49">
        <f>AVERAGE('26.09 Seeta-Mukono-24h'!I65,'28.09 Seeta-Mukono-24h'!I65)</f>
        <v>7.5</v>
      </c>
      <c r="J65" s="49">
        <f>AVERAGE('26.09 Seeta-Mukono-24h'!J65,'28.09 Seeta-Mukono-24h'!J65)</f>
        <v>5.5</v>
      </c>
      <c r="K65" s="49">
        <f>AVERAGE('26.09 Seeta-Mukono-24h'!K65,'28.09 Seeta-Mukono-24h'!K65)</f>
        <v>2</v>
      </c>
      <c r="L65" s="49">
        <f>AVERAGE('26.09 Seeta-Mukono-24h'!L65,'28.09 Seeta-Mukono-24h'!L65)</f>
        <v>4.5</v>
      </c>
      <c r="M65" s="49">
        <f>AVERAGE('26.09 Seeta-Mukono-24h'!M65,'28.09 Seeta-Mukono-24h'!M65)</f>
        <v>135</v>
      </c>
      <c r="N65" s="49">
        <f>AVERAGE('26.09 Seeta-Mukono-24h'!N65,'28.09 Seeta-Mukono-24h'!N65)</f>
        <v>0</v>
      </c>
      <c r="O65" s="15">
        <f t="shared" si="0"/>
        <v>112.5</v>
      </c>
      <c r="P65" s="15">
        <f t="shared" si="1"/>
        <v>247.5</v>
      </c>
      <c r="R65" s="8"/>
      <c r="T65"/>
    </row>
    <row r="66" spans="2:20" ht="23.1" customHeight="1" x14ac:dyDescent="0.25">
      <c r="B66" s="23" t="s">
        <v>103</v>
      </c>
      <c r="C66" s="49">
        <f>AVERAGE('26.09 Seeta-Mukono-24h'!C66,'28.09 Seeta-Mukono-24h'!C66)</f>
        <v>45.5</v>
      </c>
      <c r="D66" s="49">
        <f>AVERAGE('26.09 Seeta-Mukono-24h'!D66,'28.09 Seeta-Mukono-24h'!D66)</f>
        <v>10</v>
      </c>
      <c r="E66" s="49">
        <f>AVERAGE('26.09 Seeta-Mukono-24h'!E66,'28.09 Seeta-Mukono-24h'!E66)</f>
        <v>5</v>
      </c>
      <c r="F66" s="49">
        <f>AVERAGE('26.09 Seeta-Mukono-24h'!F66,'28.09 Seeta-Mukono-24h'!F66)</f>
        <v>33.5</v>
      </c>
      <c r="G66" s="49">
        <f>AVERAGE('26.09 Seeta-Mukono-24h'!G66,'28.09 Seeta-Mukono-24h'!G66)</f>
        <v>2</v>
      </c>
      <c r="H66" s="49">
        <f>AVERAGE('26.09 Seeta-Mukono-24h'!H66,'28.09 Seeta-Mukono-24h'!H66)</f>
        <v>0.5</v>
      </c>
      <c r="I66" s="49">
        <f>AVERAGE('26.09 Seeta-Mukono-24h'!I66,'28.09 Seeta-Mukono-24h'!I66)</f>
        <v>8.5</v>
      </c>
      <c r="J66" s="49">
        <f>AVERAGE('26.09 Seeta-Mukono-24h'!J66,'28.09 Seeta-Mukono-24h'!J66)</f>
        <v>5.5</v>
      </c>
      <c r="K66" s="49">
        <f>AVERAGE('26.09 Seeta-Mukono-24h'!K66,'28.09 Seeta-Mukono-24h'!K66)</f>
        <v>2</v>
      </c>
      <c r="L66" s="49">
        <f>AVERAGE('26.09 Seeta-Mukono-24h'!L66,'28.09 Seeta-Mukono-24h'!L66)</f>
        <v>7.5</v>
      </c>
      <c r="M66" s="49">
        <f>AVERAGE('26.09 Seeta-Mukono-24h'!M66,'28.09 Seeta-Mukono-24h'!M66)</f>
        <v>134.5</v>
      </c>
      <c r="N66" s="49">
        <f>AVERAGE('26.09 Seeta-Mukono-24h'!N66,'28.09 Seeta-Mukono-24h'!N66)</f>
        <v>0</v>
      </c>
      <c r="O66" s="15">
        <f t="shared" si="0"/>
        <v>120</v>
      </c>
      <c r="P66" s="15">
        <f t="shared" si="1"/>
        <v>254.5</v>
      </c>
      <c r="R66" s="8"/>
      <c r="T66"/>
    </row>
    <row r="67" spans="2:20" ht="23.1" customHeight="1" x14ac:dyDescent="0.25">
      <c r="B67" s="23" t="s">
        <v>104</v>
      </c>
      <c r="C67" s="49">
        <f>AVERAGE('26.09 Seeta-Mukono-24h'!C67,'28.09 Seeta-Mukono-24h'!C67)</f>
        <v>48</v>
      </c>
      <c r="D67" s="49">
        <f>AVERAGE('26.09 Seeta-Mukono-24h'!D67,'28.09 Seeta-Mukono-24h'!D67)</f>
        <v>8.5</v>
      </c>
      <c r="E67" s="49">
        <f>AVERAGE('26.09 Seeta-Mukono-24h'!E67,'28.09 Seeta-Mukono-24h'!E67)</f>
        <v>1.5</v>
      </c>
      <c r="F67" s="49">
        <f>AVERAGE('26.09 Seeta-Mukono-24h'!F67,'28.09 Seeta-Mukono-24h'!F67)</f>
        <v>53</v>
      </c>
      <c r="G67" s="49">
        <f>AVERAGE('26.09 Seeta-Mukono-24h'!G67,'28.09 Seeta-Mukono-24h'!G67)</f>
        <v>2</v>
      </c>
      <c r="H67" s="49">
        <f>AVERAGE('26.09 Seeta-Mukono-24h'!H67,'28.09 Seeta-Mukono-24h'!H67)</f>
        <v>1.5</v>
      </c>
      <c r="I67" s="49">
        <f>AVERAGE('26.09 Seeta-Mukono-24h'!I67,'28.09 Seeta-Mukono-24h'!I67)</f>
        <v>8.5</v>
      </c>
      <c r="J67" s="49">
        <f>AVERAGE('26.09 Seeta-Mukono-24h'!J67,'28.09 Seeta-Mukono-24h'!J67)</f>
        <v>7</v>
      </c>
      <c r="K67" s="49">
        <f>AVERAGE('26.09 Seeta-Mukono-24h'!K67,'28.09 Seeta-Mukono-24h'!K67)</f>
        <v>1.5</v>
      </c>
      <c r="L67" s="49">
        <f>AVERAGE('26.09 Seeta-Mukono-24h'!L67,'28.09 Seeta-Mukono-24h'!L67)</f>
        <v>7.5</v>
      </c>
      <c r="M67" s="49">
        <f>AVERAGE('26.09 Seeta-Mukono-24h'!M67,'28.09 Seeta-Mukono-24h'!M67)</f>
        <v>122.5</v>
      </c>
      <c r="N67" s="49">
        <f>AVERAGE('26.09 Seeta-Mukono-24h'!N67,'28.09 Seeta-Mukono-24h'!N67)</f>
        <v>0</v>
      </c>
      <c r="O67" s="15">
        <f t="shared" si="0"/>
        <v>139</v>
      </c>
      <c r="P67" s="15">
        <f t="shared" si="1"/>
        <v>261.5</v>
      </c>
      <c r="R67" s="8"/>
      <c r="T67"/>
    </row>
    <row r="68" spans="2:20" ht="23.1" customHeight="1" x14ac:dyDescent="0.25">
      <c r="B68" s="23" t="s">
        <v>105</v>
      </c>
      <c r="C68" s="49">
        <f>AVERAGE('26.09 Seeta-Mukono-24h'!C68,'28.09 Seeta-Mukono-24h'!C68)</f>
        <v>38</v>
      </c>
      <c r="D68" s="49">
        <f>AVERAGE('26.09 Seeta-Mukono-24h'!D68,'28.09 Seeta-Mukono-24h'!D68)</f>
        <v>9.5</v>
      </c>
      <c r="E68" s="49">
        <f>AVERAGE('26.09 Seeta-Mukono-24h'!E68,'28.09 Seeta-Mukono-24h'!E68)</f>
        <v>9.5</v>
      </c>
      <c r="F68" s="49">
        <f>AVERAGE('26.09 Seeta-Mukono-24h'!F68,'28.09 Seeta-Mukono-24h'!F68)</f>
        <v>47</v>
      </c>
      <c r="G68" s="49">
        <f>AVERAGE('26.09 Seeta-Mukono-24h'!G68,'28.09 Seeta-Mukono-24h'!G68)</f>
        <v>5</v>
      </c>
      <c r="H68" s="49">
        <f>AVERAGE('26.09 Seeta-Mukono-24h'!H68,'28.09 Seeta-Mukono-24h'!H68)</f>
        <v>0</v>
      </c>
      <c r="I68" s="49">
        <f>AVERAGE('26.09 Seeta-Mukono-24h'!I68,'28.09 Seeta-Mukono-24h'!I68)</f>
        <v>7</v>
      </c>
      <c r="J68" s="49">
        <f>AVERAGE('26.09 Seeta-Mukono-24h'!J68,'28.09 Seeta-Mukono-24h'!J68)</f>
        <v>6</v>
      </c>
      <c r="K68" s="49">
        <f>AVERAGE('26.09 Seeta-Mukono-24h'!K68,'28.09 Seeta-Mukono-24h'!K68)</f>
        <v>5</v>
      </c>
      <c r="L68" s="49">
        <f>AVERAGE('26.09 Seeta-Mukono-24h'!L68,'28.09 Seeta-Mukono-24h'!L68)</f>
        <v>2</v>
      </c>
      <c r="M68" s="49">
        <f>AVERAGE('26.09 Seeta-Mukono-24h'!M68,'28.09 Seeta-Mukono-24h'!M68)</f>
        <v>119</v>
      </c>
      <c r="N68" s="49">
        <f>AVERAGE('26.09 Seeta-Mukono-24h'!N68,'28.09 Seeta-Mukono-24h'!N68)</f>
        <v>0</v>
      </c>
      <c r="O68" s="15">
        <f t="shared" si="0"/>
        <v>129</v>
      </c>
      <c r="P68" s="15">
        <f t="shared" si="1"/>
        <v>248</v>
      </c>
      <c r="R68" s="8"/>
      <c r="T68"/>
    </row>
    <row r="69" spans="2:20" ht="23.1" customHeight="1" x14ac:dyDescent="0.25">
      <c r="B69" s="23" t="s">
        <v>106</v>
      </c>
      <c r="C69" s="49">
        <f>AVERAGE('26.09 Seeta-Mukono-24h'!C69,'28.09 Seeta-Mukono-24h'!C69)</f>
        <v>40.5</v>
      </c>
      <c r="D69" s="49">
        <f>AVERAGE('26.09 Seeta-Mukono-24h'!D69,'28.09 Seeta-Mukono-24h'!D69)</f>
        <v>8</v>
      </c>
      <c r="E69" s="49">
        <f>AVERAGE('26.09 Seeta-Mukono-24h'!E69,'28.09 Seeta-Mukono-24h'!E69)</f>
        <v>6.5</v>
      </c>
      <c r="F69" s="49">
        <f>AVERAGE('26.09 Seeta-Mukono-24h'!F69,'28.09 Seeta-Mukono-24h'!F69)</f>
        <v>46</v>
      </c>
      <c r="G69" s="49">
        <f>AVERAGE('26.09 Seeta-Mukono-24h'!G69,'28.09 Seeta-Mukono-24h'!G69)</f>
        <v>5.5</v>
      </c>
      <c r="H69" s="49">
        <f>AVERAGE('26.09 Seeta-Mukono-24h'!H69,'28.09 Seeta-Mukono-24h'!H69)</f>
        <v>0.5</v>
      </c>
      <c r="I69" s="49">
        <f>AVERAGE('26.09 Seeta-Mukono-24h'!I69,'28.09 Seeta-Mukono-24h'!I69)</f>
        <v>6.5</v>
      </c>
      <c r="J69" s="49">
        <f>AVERAGE('26.09 Seeta-Mukono-24h'!J69,'28.09 Seeta-Mukono-24h'!J69)</f>
        <v>5.5</v>
      </c>
      <c r="K69" s="49">
        <f>AVERAGE('26.09 Seeta-Mukono-24h'!K69,'28.09 Seeta-Mukono-24h'!K69)</f>
        <v>3</v>
      </c>
      <c r="L69" s="49">
        <f>AVERAGE('26.09 Seeta-Mukono-24h'!L69,'28.09 Seeta-Mukono-24h'!L69)</f>
        <v>11.5</v>
      </c>
      <c r="M69" s="49">
        <f>AVERAGE('26.09 Seeta-Mukono-24h'!M69,'28.09 Seeta-Mukono-24h'!M69)</f>
        <v>122</v>
      </c>
      <c r="N69" s="49">
        <f>AVERAGE('26.09 Seeta-Mukono-24h'!N69,'28.09 Seeta-Mukono-24h'!N69)</f>
        <v>0</v>
      </c>
      <c r="O69" s="15">
        <f t="shared" si="0"/>
        <v>133.5</v>
      </c>
      <c r="P69" s="15">
        <f t="shared" si="1"/>
        <v>255.5</v>
      </c>
      <c r="R69" s="8"/>
      <c r="T69"/>
    </row>
    <row r="70" spans="2:20" ht="23.1" customHeight="1" x14ac:dyDescent="0.25">
      <c r="B70" s="23" t="s">
        <v>110</v>
      </c>
      <c r="C70" s="49">
        <f>AVERAGE('26.09 Seeta-Mukono-24h'!C70,'28.09 Seeta-Mukono-24h'!C70)</f>
        <v>37.5</v>
      </c>
      <c r="D70" s="49">
        <f>AVERAGE('26.09 Seeta-Mukono-24h'!D70,'28.09 Seeta-Mukono-24h'!D70)</f>
        <v>8.5</v>
      </c>
      <c r="E70" s="49">
        <f>AVERAGE('26.09 Seeta-Mukono-24h'!E70,'28.09 Seeta-Mukono-24h'!E70)</f>
        <v>4.5</v>
      </c>
      <c r="F70" s="49">
        <f>AVERAGE('26.09 Seeta-Mukono-24h'!F70,'28.09 Seeta-Mukono-24h'!F70)</f>
        <v>35</v>
      </c>
      <c r="G70" s="49">
        <f>AVERAGE('26.09 Seeta-Mukono-24h'!G70,'28.09 Seeta-Mukono-24h'!G70)</f>
        <v>7.5</v>
      </c>
      <c r="H70" s="49">
        <f>AVERAGE('26.09 Seeta-Mukono-24h'!H70,'28.09 Seeta-Mukono-24h'!H70)</f>
        <v>0.5</v>
      </c>
      <c r="I70" s="49">
        <f>AVERAGE('26.09 Seeta-Mukono-24h'!I70,'28.09 Seeta-Mukono-24h'!I70)</f>
        <v>2.5</v>
      </c>
      <c r="J70" s="49">
        <f>AVERAGE('26.09 Seeta-Mukono-24h'!J70,'28.09 Seeta-Mukono-24h'!J70)</f>
        <v>5.5</v>
      </c>
      <c r="K70" s="49">
        <f>AVERAGE('26.09 Seeta-Mukono-24h'!K70,'28.09 Seeta-Mukono-24h'!K70)</f>
        <v>4.5</v>
      </c>
      <c r="L70" s="49">
        <f>AVERAGE('26.09 Seeta-Mukono-24h'!L70,'28.09 Seeta-Mukono-24h'!L70)</f>
        <v>8</v>
      </c>
      <c r="M70" s="49">
        <f>AVERAGE('26.09 Seeta-Mukono-24h'!M70,'28.09 Seeta-Mukono-24h'!M70)</f>
        <v>106</v>
      </c>
      <c r="N70" s="49">
        <f>AVERAGE('26.09 Seeta-Mukono-24h'!N70,'28.09 Seeta-Mukono-24h'!N70)</f>
        <v>0</v>
      </c>
      <c r="O70" s="15">
        <f t="shared" si="0"/>
        <v>114</v>
      </c>
      <c r="P70" s="15">
        <f t="shared" si="1"/>
        <v>220</v>
      </c>
      <c r="R70" s="8"/>
      <c r="T70"/>
    </row>
    <row r="71" spans="2:20" ht="23.1" customHeight="1" x14ac:dyDescent="0.25">
      <c r="B71" s="23" t="s">
        <v>111</v>
      </c>
      <c r="C71" s="49">
        <f>AVERAGE('26.09 Seeta-Mukono-24h'!C71,'28.09 Seeta-Mukono-24h'!C71)</f>
        <v>40</v>
      </c>
      <c r="D71" s="49">
        <f>AVERAGE('26.09 Seeta-Mukono-24h'!D71,'28.09 Seeta-Mukono-24h'!D71)</f>
        <v>10</v>
      </c>
      <c r="E71" s="49">
        <f>AVERAGE('26.09 Seeta-Mukono-24h'!E71,'28.09 Seeta-Mukono-24h'!E71)</f>
        <v>5.5</v>
      </c>
      <c r="F71" s="49">
        <f>AVERAGE('26.09 Seeta-Mukono-24h'!F71,'28.09 Seeta-Mukono-24h'!F71)</f>
        <v>39.5</v>
      </c>
      <c r="G71" s="49">
        <f>AVERAGE('26.09 Seeta-Mukono-24h'!G71,'28.09 Seeta-Mukono-24h'!G71)</f>
        <v>3.5</v>
      </c>
      <c r="H71" s="49">
        <f>AVERAGE('26.09 Seeta-Mukono-24h'!H71,'28.09 Seeta-Mukono-24h'!H71)</f>
        <v>1.5</v>
      </c>
      <c r="I71" s="49">
        <f>AVERAGE('26.09 Seeta-Mukono-24h'!I71,'28.09 Seeta-Mukono-24h'!I71)</f>
        <v>4</v>
      </c>
      <c r="J71" s="49">
        <f>AVERAGE('26.09 Seeta-Mukono-24h'!J71,'28.09 Seeta-Mukono-24h'!J71)</f>
        <v>4</v>
      </c>
      <c r="K71" s="49">
        <f>AVERAGE('26.09 Seeta-Mukono-24h'!K71,'28.09 Seeta-Mukono-24h'!K71)</f>
        <v>2.5</v>
      </c>
      <c r="L71" s="49">
        <f>AVERAGE('26.09 Seeta-Mukono-24h'!L71,'28.09 Seeta-Mukono-24h'!L71)</f>
        <v>7.5</v>
      </c>
      <c r="M71" s="49">
        <f>AVERAGE('26.09 Seeta-Mukono-24h'!M71,'28.09 Seeta-Mukono-24h'!M71)</f>
        <v>77</v>
      </c>
      <c r="N71" s="49">
        <f>AVERAGE('26.09 Seeta-Mukono-24h'!N71,'28.09 Seeta-Mukono-24h'!N71)</f>
        <v>0</v>
      </c>
      <c r="O71" s="15">
        <f t="shared" si="0"/>
        <v>118</v>
      </c>
      <c r="P71" s="15">
        <f t="shared" si="1"/>
        <v>195</v>
      </c>
      <c r="R71" s="8"/>
      <c r="T71"/>
    </row>
    <row r="72" spans="2:20" ht="23.1" customHeight="1" x14ac:dyDescent="0.25">
      <c r="B72" s="23" t="s">
        <v>112</v>
      </c>
      <c r="C72" s="49">
        <f>AVERAGE('26.09 Seeta-Mukono-24h'!C72,'28.09 Seeta-Mukono-24h'!C72)</f>
        <v>46.5</v>
      </c>
      <c r="D72" s="49">
        <f>AVERAGE('26.09 Seeta-Mukono-24h'!D72,'28.09 Seeta-Mukono-24h'!D72)</f>
        <v>12.5</v>
      </c>
      <c r="E72" s="49">
        <f>AVERAGE('26.09 Seeta-Mukono-24h'!E72,'28.09 Seeta-Mukono-24h'!E72)</f>
        <v>5.5</v>
      </c>
      <c r="F72" s="49">
        <f>AVERAGE('26.09 Seeta-Mukono-24h'!F72,'28.09 Seeta-Mukono-24h'!F72)</f>
        <v>48.5</v>
      </c>
      <c r="G72" s="49">
        <f>AVERAGE('26.09 Seeta-Mukono-24h'!G72,'28.09 Seeta-Mukono-24h'!G72)</f>
        <v>8.5</v>
      </c>
      <c r="H72" s="49">
        <f>AVERAGE('26.09 Seeta-Mukono-24h'!H72,'28.09 Seeta-Mukono-24h'!H72)</f>
        <v>0.5</v>
      </c>
      <c r="I72" s="49">
        <f>AVERAGE('26.09 Seeta-Mukono-24h'!I72,'28.09 Seeta-Mukono-24h'!I72)</f>
        <v>6.5</v>
      </c>
      <c r="J72" s="49">
        <f>AVERAGE('26.09 Seeta-Mukono-24h'!J72,'28.09 Seeta-Mukono-24h'!J72)</f>
        <v>7.5</v>
      </c>
      <c r="K72" s="49">
        <f>AVERAGE('26.09 Seeta-Mukono-24h'!K72,'28.09 Seeta-Mukono-24h'!K72)</f>
        <v>2.5</v>
      </c>
      <c r="L72" s="49">
        <f>AVERAGE('26.09 Seeta-Mukono-24h'!L72,'28.09 Seeta-Mukono-24h'!L72)</f>
        <v>8</v>
      </c>
      <c r="M72" s="49">
        <f>AVERAGE('26.09 Seeta-Mukono-24h'!M72,'28.09 Seeta-Mukono-24h'!M72)</f>
        <v>84</v>
      </c>
      <c r="N72" s="49">
        <f>AVERAGE('26.09 Seeta-Mukono-24h'!N72,'28.09 Seeta-Mukono-24h'!N72)</f>
        <v>0</v>
      </c>
      <c r="O72" s="15">
        <f t="shared" si="0"/>
        <v>146.5</v>
      </c>
      <c r="P72" s="15">
        <f t="shared" si="1"/>
        <v>230.5</v>
      </c>
      <c r="R72" s="8"/>
      <c r="T72"/>
    </row>
    <row r="73" spans="2:20" ht="23.1" customHeight="1" x14ac:dyDescent="0.25">
      <c r="B73" s="23" t="s">
        <v>113</v>
      </c>
      <c r="C73" s="49">
        <f>AVERAGE('26.09 Seeta-Mukono-24h'!C73,'28.09 Seeta-Mukono-24h'!C73)</f>
        <v>54.5</v>
      </c>
      <c r="D73" s="49">
        <f>AVERAGE('26.09 Seeta-Mukono-24h'!D73,'28.09 Seeta-Mukono-24h'!D73)</f>
        <v>16.5</v>
      </c>
      <c r="E73" s="49">
        <f>AVERAGE('26.09 Seeta-Mukono-24h'!E73,'28.09 Seeta-Mukono-24h'!E73)</f>
        <v>8</v>
      </c>
      <c r="F73" s="49">
        <f>AVERAGE('26.09 Seeta-Mukono-24h'!F73,'28.09 Seeta-Mukono-24h'!F73)</f>
        <v>43.5</v>
      </c>
      <c r="G73" s="49">
        <f>AVERAGE('26.09 Seeta-Mukono-24h'!G73,'28.09 Seeta-Mukono-24h'!G73)</f>
        <v>5.5</v>
      </c>
      <c r="H73" s="49">
        <f>AVERAGE('26.09 Seeta-Mukono-24h'!H73,'28.09 Seeta-Mukono-24h'!H73)</f>
        <v>1</v>
      </c>
      <c r="I73" s="49">
        <f>AVERAGE('26.09 Seeta-Mukono-24h'!I73,'28.09 Seeta-Mukono-24h'!I73)</f>
        <v>12</v>
      </c>
      <c r="J73" s="49">
        <f>AVERAGE('26.09 Seeta-Mukono-24h'!J73,'28.09 Seeta-Mukono-24h'!J73)</f>
        <v>11.5</v>
      </c>
      <c r="K73" s="49">
        <f>AVERAGE('26.09 Seeta-Mukono-24h'!K73,'28.09 Seeta-Mukono-24h'!K73)</f>
        <v>2</v>
      </c>
      <c r="L73" s="49">
        <f>AVERAGE('26.09 Seeta-Mukono-24h'!L73,'28.09 Seeta-Mukono-24h'!L73)</f>
        <v>10.5</v>
      </c>
      <c r="M73" s="49">
        <f>AVERAGE('26.09 Seeta-Mukono-24h'!M73,'28.09 Seeta-Mukono-24h'!M73)</f>
        <v>71.5</v>
      </c>
      <c r="N73" s="49">
        <f>AVERAGE('26.09 Seeta-Mukono-24h'!N73,'28.09 Seeta-Mukono-24h'!N73)</f>
        <v>0</v>
      </c>
      <c r="O73" s="15">
        <f t="shared" si="0"/>
        <v>165</v>
      </c>
      <c r="P73" s="15">
        <f t="shared" si="1"/>
        <v>236.5</v>
      </c>
      <c r="R73" s="8"/>
      <c r="T73"/>
    </row>
    <row r="74" spans="2:20" ht="23.1" customHeight="1" x14ac:dyDescent="0.25">
      <c r="B74" s="23" t="s">
        <v>114</v>
      </c>
      <c r="C74" s="49">
        <f>AVERAGE('26.09 Seeta-Mukono-24h'!C74,'28.09 Seeta-Mukono-24h'!C74)</f>
        <v>60.5</v>
      </c>
      <c r="D74" s="49">
        <f>AVERAGE('26.09 Seeta-Mukono-24h'!D74,'28.09 Seeta-Mukono-24h'!D74)</f>
        <v>63.5</v>
      </c>
      <c r="E74" s="49">
        <f>AVERAGE('26.09 Seeta-Mukono-24h'!E74,'28.09 Seeta-Mukono-24h'!E74)</f>
        <v>8</v>
      </c>
      <c r="F74" s="49">
        <f>AVERAGE('26.09 Seeta-Mukono-24h'!F74,'28.09 Seeta-Mukono-24h'!F74)</f>
        <v>38.5</v>
      </c>
      <c r="G74" s="49">
        <f>AVERAGE('26.09 Seeta-Mukono-24h'!G74,'28.09 Seeta-Mukono-24h'!G74)</f>
        <v>4</v>
      </c>
      <c r="H74" s="49">
        <f>AVERAGE('26.09 Seeta-Mukono-24h'!H74,'28.09 Seeta-Mukono-24h'!H74)</f>
        <v>1</v>
      </c>
      <c r="I74" s="49">
        <f>AVERAGE('26.09 Seeta-Mukono-24h'!I74,'28.09 Seeta-Mukono-24h'!I74)</f>
        <v>7.5</v>
      </c>
      <c r="J74" s="49">
        <f>AVERAGE('26.09 Seeta-Mukono-24h'!J74,'28.09 Seeta-Mukono-24h'!J74)</f>
        <v>5</v>
      </c>
      <c r="K74" s="49">
        <f>AVERAGE('26.09 Seeta-Mukono-24h'!K74,'28.09 Seeta-Mukono-24h'!K74)</f>
        <v>3.5</v>
      </c>
      <c r="L74" s="49">
        <f>AVERAGE('26.09 Seeta-Mukono-24h'!L74,'28.09 Seeta-Mukono-24h'!L74)</f>
        <v>9</v>
      </c>
      <c r="M74" s="49">
        <f>AVERAGE('26.09 Seeta-Mukono-24h'!M74,'28.09 Seeta-Mukono-24h'!M74)</f>
        <v>72.5</v>
      </c>
      <c r="N74" s="49">
        <f>AVERAGE('26.09 Seeta-Mukono-24h'!N74,'28.09 Seeta-Mukono-24h'!N74)</f>
        <v>0</v>
      </c>
      <c r="O74" s="15">
        <f t="shared" ref="O74:O105" si="35">SUM(C74:L74,N74)</f>
        <v>200.5</v>
      </c>
      <c r="P74" s="15">
        <f t="shared" ref="P74:P105" si="36">SUM(C74:N74)</f>
        <v>273</v>
      </c>
      <c r="R74" s="8"/>
      <c r="T74"/>
    </row>
    <row r="75" spans="2:20" ht="23.1" customHeight="1" x14ac:dyDescent="0.25">
      <c r="B75" s="23" t="s">
        <v>115</v>
      </c>
      <c r="C75" s="49">
        <f>AVERAGE('26.09 Seeta-Mukono-24h'!C75,'28.09 Seeta-Mukono-24h'!C75)</f>
        <v>42.5</v>
      </c>
      <c r="D75" s="49">
        <f>AVERAGE('26.09 Seeta-Mukono-24h'!D75,'28.09 Seeta-Mukono-24h'!D75)</f>
        <v>7</v>
      </c>
      <c r="E75" s="49">
        <f>AVERAGE('26.09 Seeta-Mukono-24h'!E75,'28.09 Seeta-Mukono-24h'!E75)</f>
        <v>6</v>
      </c>
      <c r="F75" s="49">
        <f>AVERAGE('26.09 Seeta-Mukono-24h'!F75,'28.09 Seeta-Mukono-24h'!F75)</f>
        <v>25.5</v>
      </c>
      <c r="G75" s="49">
        <f>AVERAGE('26.09 Seeta-Mukono-24h'!G75,'28.09 Seeta-Mukono-24h'!G75)</f>
        <v>3</v>
      </c>
      <c r="H75" s="49">
        <f>AVERAGE('26.09 Seeta-Mukono-24h'!H75,'28.09 Seeta-Mukono-24h'!H75)</f>
        <v>1.5</v>
      </c>
      <c r="I75" s="49">
        <f>AVERAGE('26.09 Seeta-Mukono-24h'!I75,'28.09 Seeta-Mukono-24h'!I75)</f>
        <v>6.5</v>
      </c>
      <c r="J75" s="49">
        <f>AVERAGE('26.09 Seeta-Mukono-24h'!J75,'28.09 Seeta-Mukono-24h'!J75)</f>
        <v>6</v>
      </c>
      <c r="K75" s="49">
        <f>AVERAGE('26.09 Seeta-Mukono-24h'!K75,'28.09 Seeta-Mukono-24h'!K75)</f>
        <v>2</v>
      </c>
      <c r="L75" s="49">
        <f>AVERAGE('26.09 Seeta-Mukono-24h'!L75,'28.09 Seeta-Mukono-24h'!L75)</f>
        <v>8</v>
      </c>
      <c r="M75" s="49">
        <f>AVERAGE('26.09 Seeta-Mukono-24h'!M75,'28.09 Seeta-Mukono-24h'!M75)</f>
        <v>47</v>
      </c>
      <c r="N75" s="49">
        <f>AVERAGE('26.09 Seeta-Mukono-24h'!N75,'28.09 Seeta-Mukono-24h'!N75)</f>
        <v>0</v>
      </c>
      <c r="O75" s="15">
        <f t="shared" si="35"/>
        <v>108</v>
      </c>
      <c r="P75" s="15">
        <f t="shared" si="36"/>
        <v>155</v>
      </c>
      <c r="R75" s="8"/>
      <c r="T75"/>
    </row>
    <row r="76" spans="2:20" ht="23.1" customHeight="1" x14ac:dyDescent="0.25">
      <c r="B76" s="23" t="s">
        <v>116</v>
      </c>
      <c r="C76" s="49">
        <f>AVERAGE('26.09 Seeta-Mukono-24h'!C76,'28.09 Seeta-Mukono-24h'!C76)</f>
        <v>22.5</v>
      </c>
      <c r="D76" s="49">
        <f>AVERAGE('26.09 Seeta-Mukono-24h'!D76,'28.09 Seeta-Mukono-24h'!D76)</f>
        <v>6.5</v>
      </c>
      <c r="E76" s="49">
        <f>AVERAGE('26.09 Seeta-Mukono-24h'!E76,'28.09 Seeta-Mukono-24h'!E76)</f>
        <v>2</v>
      </c>
      <c r="F76" s="49">
        <f>AVERAGE('26.09 Seeta-Mukono-24h'!F76,'28.09 Seeta-Mukono-24h'!F76)</f>
        <v>22</v>
      </c>
      <c r="G76" s="49">
        <f>AVERAGE('26.09 Seeta-Mukono-24h'!G76,'28.09 Seeta-Mukono-24h'!G76)</f>
        <v>2.5</v>
      </c>
      <c r="H76" s="49">
        <f>AVERAGE('26.09 Seeta-Mukono-24h'!H76,'28.09 Seeta-Mukono-24h'!H76)</f>
        <v>0.5</v>
      </c>
      <c r="I76" s="49">
        <f>AVERAGE('26.09 Seeta-Mukono-24h'!I76,'28.09 Seeta-Mukono-24h'!I76)</f>
        <v>5</v>
      </c>
      <c r="J76" s="49">
        <f>AVERAGE('26.09 Seeta-Mukono-24h'!J76,'28.09 Seeta-Mukono-24h'!J76)</f>
        <v>3.5</v>
      </c>
      <c r="K76" s="49">
        <f>AVERAGE('26.09 Seeta-Mukono-24h'!K76,'28.09 Seeta-Mukono-24h'!K76)</f>
        <v>1</v>
      </c>
      <c r="L76" s="49">
        <f>AVERAGE('26.09 Seeta-Mukono-24h'!L76,'28.09 Seeta-Mukono-24h'!L76)</f>
        <v>3.5</v>
      </c>
      <c r="M76" s="49">
        <f>AVERAGE('26.09 Seeta-Mukono-24h'!M76,'28.09 Seeta-Mukono-24h'!M76)</f>
        <v>45.5</v>
      </c>
      <c r="N76" s="49">
        <f>AVERAGE('26.09 Seeta-Mukono-24h'!N76,'28.09 Seeta-Mukono-24h'!N76)</f>
        <v>0</v>
      </c>
      <c r="O76" s="15">
        <f t="shared" si="35"/>
        <v>69</v>
      </c>
      <c r="P76" s="15">
        <f t="shared" si="36"/>
        <v>114.5</v>
      </c>
      <c r="R76" s="8"/>
      <c r="T76"/>
    </row>
    <row r="77" spans="2:20" ht="23.1" customHeight="1" x14ac:dyDescent="0.25">
      <c r="B77" s="23" t="s">
        <v>117</v>
      </c>
      <c r="C77" s="49">
        <f>AVERAGE('26.09 Seeta-Mukono-24h'!C77,'28.09 Seeta-Mukono-24h'!C77)</f>
        <v>38.5</v>
      </c>
      <c r="D77" s="49">
        <f>AVERAGE('26.09 Seeta-Mukono-24h'!D77,'28.09 Seeta-Mukono-24h'!D77)</f>
        <v>6</v>
      </c>
      <c r="E77" s="49">
        <f>AVERAGE('26.09 Seeta-Mukono-24h'!E77,'28.09 Seeta-Mukono-24h'!E77)</f>
        <v>10.5</v>
      </c>
      <c r="F77" s="49">
        <f>AVERAGE('26.09 Seeta-Mukono-24h'!F77,'28.09 Seeta-Mukono-24h'!F77)</f>
        <v>10.5</v>
      </c>
      <c r="G77" s="49">
        <f>AVERAGE('26.09 Seeta-Mukono-24h'!G77,'28.09 Seeta-Mukono-24h'!G77)</f>
        <v>0.5</v>
      </c>
      <c r="H77" s="49">
        <f>AVERAGE('26.09 Seeta-Mukono-24h'!H77,'28.09 Seeta-Mukono-24h'!H77)</f>
        <v>2.5</v>
      </c>
      <c r="I77" s="49">
        <f>AVERAGE('26.09 Seeta-Mukono-24h'!I77,'28.09 Seeta-Mukono-24h'!I77)</f>
        <v>4</v>
      </c>
      <c r="J77" s="49">
        <f>AVERAGE('26.09 Seeta-Mukono-24h'!J77,'28.09 Seeta-Mukono-24h'!J77)</f>
        <v>3</v>
      </c>
      <c r="K77" s="49">
        <f>AVERAGE('26.09 Seeta-Mukono-24h'!K77,'28.09 Seeta-Mukono-24h'!K77)</f>
        <v>5</v>
      </c>
      <c r="L77" s="49">
        <f>AVERAGE('26.09 Seeta-Mukono-24h'!L77,'28.09 Seeta-Mukono-24h'!L77)</f>
        <v>5.5</v>
      </c>
      <c r="M77" s="49">
        <f>AVERAGE('26.09 Seeta-Mukono-24h'!M77,'28.09 Seeta-Mukono-24h'!M77)</f>
        <v>38.5</v>
      </c>
      <c r="N77" s="49">
        <f>AVERAGE('26.09 Seeta-Mukono-24h'!N77,'28.09 Seeta-Mukono-24h'!N77)</f>
        <v>0</v>
      </c>
      <c r="O77" s="15">
        <f t="shared" si="35"/>
        <v>86</v>
      </c>
      <c r="P77" s="15">
        <f t="shared" si="36"/>
        <v>124.5</v>
      </c>
      <c r="R77" s="8"/>
      <c r="T77"/>
    </row>
    <row r="78" spans="2:20" ht="23.1" customHeight="1" x14ac:dyDescent="0.25">
      <c r="B78" s="24" t="s">
        <v>118</v>
      </c>
      <c r="C78" s="49">
        <f>AVERAGE('26.09 Seeta-Mukono-24h'!C78,'28.09 Seeta-Mukono-24h'!C78)</f>
        <v>34</v>
      </c>
      <c r="D78" s="49">
        <f>AVERAGE('26.09 Seeta-Mukono-24h'!D78,'28.09 Seeta-Mukono-24h'!D78)</f>
        <v>6</v>
      </c>
      <c r="E78" s="49">
        <f>AVERAGE('26.09 Seeta-Mukono-24h'!E78,'28.09 Seeta-Mukono-24h'!E78)</f>
        <v>2</v>
      </c>
      <c r="F78" s="49">
        <f>AVERAGE('26.09 Seeta-Mukono-24h'!F78,'28.09 Seeta-Mukono-24h'!F78)</f>
        <v>13</v>
      </c>
      <c r="G78" s="49">
        <f>AVERAGE('26.09 Seeta-Mukono-24h'!G78,'28.09 Seeta-Mukono-24h'!G78)</f>
        <v>2</v>
      </c>
      <c r="H78" s="49">
        <f>AVERAGE('26.09 Seeta-Mukono-24h'!H78,'28.09 Seeta-Mukono-24h'!H78)</f>
        <v>0.5</v>
      </c>
      <c r="I78" s="49">
        <f>AVERAGE('26.09 Seeta-Mukono-24h'!I78,'28.09 Seeta-Mukono-24h'!I78)</f>
        <v>5</v>
      </c>
      <c r="J78" s="49">
        <f>AVERAGE('26.09 Seeta-Mukono-24h'!J78,'28.09 Seeta-Mukono-24h'!J78)</f>
        <v>5</v>
      </c>
      <c r="K78" s="49">
        <f>AVERAGE('26.09 Seeta-Mukono-24h'!K78,'28.09 Seeta-Mukono-24h'!K78)</f>
        <v>0.5</v>
      </c>
      <c r="L78" s="49">
        <f>AVERAGE('26.09 Seeta-Mukono-24h'!L78,'28.09 Seeta-Mukono-24h'!L78)</f>
        <v>3.5</v>
      </c>
      <c r="M78" s="49">
        <f>AVERAGE('26.09 Seeta-Mukono-24h'!M78,'28.09 Seeta-Mukono-24h'!M78)</f>
        <v>36</v>
      </c>
      <c r="N78" s="49">
        <f>AVERAGE('26.09 Seeta-Mukono-24h'!N78,'28.09 Seeta-Mukono-24h'!N78)</f>
        <v>0</v>
      </c>
      <c r="O78" s="15">
        <f t="shared" si="35"/>
        <v>71.5</v>
      </c>
      <c r="P78" s="15">
        <f t="shared" si="36"/>
        <v>107.5</v>
      </c>
      <c r="R78" s="8"/>
      <c r="T78"/>
    </row>
    <row r="79" spans="2:20" ht="23.1" customHeight="1" x14ac:dyDescent="0.25">
      <c r="B79" s="23" t="s">
        <v>119</v>
      </c>
      <c r="C79" s="49">
        <f>AVERAGE('26.09 Seeta-Mukono-24h'!C79,'28.09 Seeta-Mukono-24h'!C79)</f>
        <v>26.5</v>
      </c>
      <c r="D79" s="49">
        <f>AVERAGE('26.09 Seeta-Mukono-24h'!D79,'28.09 Seeta-Mukono-24h'!D79)</f>
        <v>4.5</v>
      </c>
      <c r="E79" s="49">
        <f>AVERAGE('26.09 Seeta-Mukono-24h'!E79,'28.09 Seeta-Mukono-24h'!E79)</f>
        <v>1.5</v>
      </c>
      <c r="F79" s="49">
        <f>AVERAGE('26.09 Seeta-Mukono-24h'!F79,'28.09 Seeta-Mukono-24h'!F79)</f>
        <v>9.5</v>
      </c>
      <c r="G79" s="49">
        <f>AVERAGE('26.09 Seeta-Mukono-24h'!G79,'28.09 Seeta-Mukono-24h'!G79)</f>
        <v>1</v>
      </c>
      <c r="H79" s="49">
        <f>AVERAGE('26.09 Seeta-Mukono-24h'!H79,'28.09 Seeta-Mukono-24h'!H79)</f>
        <v>1</v>
      </c>
      <c r="I79" s="49">
        <f>AVERAGE('26.09 Seeta-Mukono-24h'!I79,'28.09 Seeta-Mukono-24h'!I79)</f>
        <v>4</v>
      </c>
      <c r="J79" s="49">
        <f>AVERAGE('26.09 Seeta-Mukono-24h'!J79,'28.09 Seeta-Mukono-24h'!J79)</f>
        <v>6</v>
      </c>
      <c r="K79" s="49">
        <f>AVERAGE('26.09 Seeta-Mukono-24h'!K79,'28.09 Seeta-Mukono-24h'!K79)</f>
        <v>2.5</v>
      </c>
      <c r="L79" s="49">
        <f>AVERAGE('26.09 Seeta-Mukono-24h'!L79,'28.09 Seeta-Mukono-24h'!L79)</f>
        <v>3.5</v>
      </c>
      <c r="M79" s="49">
        <f>AVERAGE('26.09 Seeta-Mukono-24h'!M79,'28.09 Seeta-Mukono-24h'!M79)</f>
        <v>28.5</v>
      </c>
      <c r="N79" s="49">
        <f>AVERAGE('26.09 Seeta-Mukono-24h'!N79,'28.09 Seeta-Mukono-24h'!N79)</f>
        <v>0</v>
      </c>
      <c r="O79" s="15">
        <f t="shared" si="35"/>
        <v>60</v>
      </c>
      <c r="P79" s="15">
        <f t="shared" si="36"/>
        <v>88.5</v>
      </c>
      <c r="R79" s="8"/>
      <c r="T79"/>
    </row>
    <row r="80" spans="2:20" ht="23.1" customHeight="1" x14ac:dyDescent="0.25">
      <c r="B80" s="25" t="s">
        <v>120</v>
      </c>
      <c r="C80" s="49">
        <f>AVERAGE('26.09 Seeta-Mukono-24h'!C80,'28.09 Seeta-Mukono-24h'!C80)</f>
        <v>20.5</v>
      </c>
      <c r="D80" s="49">
        <f>AVERAGE('26.09 Seeta-Mukono-24h'!D80,'28.09 Seeta-Mukono-24h'!D80)</f>
        <v>2</v>
      </c>
      <c r="E80" s="49">
        <f>AVERAGE('26.09 Seeta-Mukono-24h'!E80,'28.09 Seeta-Mukono-24h'!E80)</f>
        <v>2</v>
      </c>
      <c r="F80" s="49">
        <f>AVERAGE('26.09 Seeta-Mukono-24h'!F80,'28.09 Seeta-Mukono-24h'!F80)</f>
        <v>7</v>
      </c>
      <c r="G80" s="49">
        <f>AVERAGE('26.09 Seeta-Mukono-24h'!G80,'28.09 Seeta-Mukono-24h'!G80)</f>
        <v>2</v>
      </c>
      <c r="H80" s="49">
        <f>AVERAGE('26.09 Seeta-Mukono-24h'!H80,'28.09 Seeta-Mukono-24h'!H80)</f>
        <v>0</v>
      </c>
      <c r="I80" s="49">
        <f>AVERAGE('26.09 Seeta-Mukono-24h'!I80,'28.09 Seeta-Mukono-24h'!I80)</f>
        <v>1</v>
      </c>
      <c r="J80" s="49">
        <f>AVERAGE('26.09 Seeta-Mukono-24h'!J80,'28.09 Seeta-Mukono-24h'!J80)</f>
        <v>1.5</v>
      </c>
      <c r="K80" s="49">
        <f>AVERAGE('26.09 Seeta-Mukono-24h'!K80,'28.09 Seeta-Mukono-24h'!K80)</f>
        <v>1.5</v>
      </c>
      <c r="L80" s="49">
        <f>AVERAGE('26.09 Seeta-Mukono-24h'!L80,'28.09 Seeta-Mukono-24h'!L80)</f>
        <v>0.5</v>
      </c>
      <c r="M80" s="49">
        <f>AVERAGE('26.09 Seeta-Mukono-24h'!M80,'28.09 Seeta-Mukono-24h'!M80)</f>
        <v>24</v>
      </c>
      <c r="N80" s="49">
        <f>AVERAGE('26.09 Seeta-Mukono-24h'!N80,'28.09 Seeta-Mukono-24h'!N80)</f>
        <v>0</v>
      </c>
      <c r="O80" s="15">
        <f t="shared" si="35"/>
        <v>38</v>
      </c>
      <c r="P80" s="15">
        <f t="shared" si="36"/>
        <v>62</v>
      </c>
      <c r="R80" s="8"/>
      <c r="T80"/>
    </row>
    <row r="81" spans="2:20" ht="23.1" customHeight="1" x14ac:dyDescent="0.25">
      <c r="B81" s="23" t="s">
        <v>121</v>
      </c>
      <c r="C81" s="49">
        <f>AVERAGE('26.09 Seeta-Mukono-24h'!C81,'28.09 Seeta-Mukono-24h'!C81)</f>
        <v>16</v>
      </c>
      <c r="D81" s="49">
        <f>AVERAGE('26.09 Seeta-Mukono-24h'!D81,'28.09 Seeta-Mukono-24h'!D81)</f>
        <v>4.5</v>
      </c>
      <c r="E81" s="49">
        <f>AVERAGE('26.09 Seeta-Mukono-24h'!E81,'28.09 Seeta-Mukono-24h'!E81)</f>
        <v>1.5</v>
      </c>
      <c r="F81" s="49">
        <f>AVERAGE('26.09 Seeta-Mukono-24h'!F81,'28.09 Seeta-Mukono-24h'!F81)</f>
        <v>9</v>
      </c>
      <c r="G81" s="49">
        <f>AVERAGE('26.09 Seeta-Mukono-24h'!G81,'28.09 Seeta-Mukono-24h'!G81)</f>
        <v>1.5</v>
      </c>
      <c r="H81" s="49">
        <f>AVERAGE('26.09 Seeta-Mukono-24h'!H81,'28.09 Seeta-Mukono-24h'!H81)</f>
        <v>0</v>
      </c>
      <c r="I81" s="49">
        <f>AVERAGE('26.09 Seeta-Mukono-24h'!I81,'28.09 Seeta-Mukono-24h'!I81)</f>
        <v>4</v>
      </c>
      <c r="J81" s="49">
        <f>AVERAGE('26.09 Seeta-Mukono-24h'!J81,'28.09 Seeta-Mukono-24h'!J81)</f>
        <v>9</v>
      </c>
      <c r="K81" s="49">
        <f>AVERAGE('26.09 Seeta-Mukono-24h'!K81,'28.09 Seeta-Mukono-24h'!K81)</f>
        <v>4</v>
      </c>
      <c r="L81" s="49">
        <f>AVERAGE('26.09 Seeta-Mukono-24h'!L81,'28.09 Seeta-Mukono-24h'!L81)</f>
        <v>4</v>
      </c>
      <c r="M81" s="49">
        <f>AVERAGE('26.09 Seeta-Mukono-24h'!M81,'28.09 Seeta-Mukono-24h'!M81)</f>
        <v>24.5</v>
      </c>
      <c r="N81" s="49">
        <f>AVERAGE('26.09 Seeta-Mukono-24h'!N81,'28.09 Seeta-Mukono-24h'!N81)</f>
        <v>0</v>
      </c>
      <c r="O81" s="15">
        <f t="shared" si="35"/>
        <v>53.5</v>
      </c>
      <c r="P81" s="15">
        <f t="shared" si="36"/>
        <v>78</v>
      </c>
      <c r="R81" s="8"/>
      <c r="T81"/>
    </row>
    <row r="82" spans="2:20" ht="23.1" customHeight="1" x14ac:dyDescent="0.25">
      <c r="B82" s="24" t="s">
        <v>122</v>
      </c>
      <c r="C82" s="49">
        <f>AVERAGE('26.09 Seeta-Mukono-24h'!C82,'28.09 Seeta-Mukono-24h'!C82)</f>
        <v>12</v>
      </c>
      <c r="D82" s="49">
        <f>AVERAGE('26.09 Seeta-Mukono-24h'!D82,'28.09 Seeta-Mukono-24h'!D82)</f>
        <v>2.5</v>
      </c>
      <c r="E82" s="49">
        <f>AVERAGE('26.09 Seeta-Mukono-24h'!E82,'28.09 Seeta-Mukono-24h'!E82)</f>
        <v>4</v>
      </c>
      <c r="F82" s="49">
        <f>AVERAGE('26.09 Seeta-Mukono-24h'!F82,'28.09 Seeta-Mukono-24h'!F82)</f>
        <v>7</v>
      </c>
      <c r="G82" s="49">
        <f>AVERAGE('26.09 Seeta-Mukono-24h'!G82,'28.09 Seeta-Mukono-24h'!G82)</f>
        <v>1</v>
      </c>
      <c r="H82" s="49">
        <f>AVERAGE('26.09 Seeta-Mukono-24h'!H82,'28.09 Seeta-Mukono-24h'!H82)</f>
        <v>0</v>
      </c>
      <c r="I82" s="49">
        <f>AVERAGE('26.09 Seeta-Mukono-24h'!I82,'28.09 Seeta-Mukono-24h'!I82)</f>
        <v>6.5</v>
      </c>
      <c r="J82" s="49">
        <f>AVERAGE('26.09 Seeta-Mukono-24h'!J82,'28.09 Seeta-Mukono-24h'!J82)</f>
        <v>7.5</v>
      </c>
      <c r="K82" s="49">
        <f>AVERAGE('26.09 Seeta-Mukono-24h'!K82,'28.09 Seeta-Mukono-24h'!K82)</f>
        <v>2.5</v>
      </c>
      <c r="L82" s="49">
        <f>AVERAGE('26.09 Seeta-Mukono-24h'!L82,'28.09 Seeta-Mukono-24h'!L82)</f>
        <v>7.5</v>
      </c>
      <c r="M82" s="49">
        <f>AVERAGE('26.09 Seeta-Mukono-24h'!M82,'28.09 Seeta-Mukono-24h'!M82)</f>
        <v>17</v>
      </c>
      <c r="N82" s="49">
        <f>AVERAGE('26.09 Seeta-Mukono-24h'!N82,'28.09 Seeta-Mukono-24h'!N82)</f>
        <v>0</v>
      </c>
      <c r="O82" s="15">
        <f t="shared" si="35"/>
        <v>50.5</v>
      </c>
      <c r="P82" s="15">
        <f t="shared" si="36"/>
        <v>67.5</v>
      </c>
      <c r="R82" s="8"/>
      <c r="T82"/>
    </row>
    <row r="83" spans="2:20" ht="23.1" customHeight="1" x14ac:dyDescent="0.25">
      <c r="B83" s="23" t="s">
        <v>123</v>
      </c>
      <c r="C83" s="49">
        <f>AVERAGE('26.09 Seeta-Mukono-24h'!C83,'28.09 Seeta-Mukono-24h'!C83)</f>
        <v>8.5</v>
      </c>
      <c r="D83" s="49">
        <f>AVERAGE('26.09 Seeta-Mukono-24h'!D83,'28.09 Seeta-Mukono-24h'!D83)</f>
        <v>2</v>
      </c>
      <c r="E83" s="49">
        <f>AVERAGE('26.09 Seeta-Mukono-24h'!E83,'28.09 Seeta-Mukono-24h'!E83)</f>
        <v>2.5</v>
      </c>
      <c r="F83" s="49">
        <f>AVERAGE('26.09 Seeta-Mukono-24h'!F83,'28.09 Seeta-Mukono-24h'!F83)</f>
        <v>5.5</v>
      </c>
      <c r="G83" s="49">
        <f>AVERAGE('26.09 Seeta-Mukono-24h'!G83,'28.09 Seeta-Mukono-24h'!G83)</f>
        <v>0</v>
      </c>
      <c r="H83" s="49">
        <f>AVERAGE('26.09 Seeta-Mukono-24h'!H83,'28.09 Seeta-Mukono-24h'!H83)</f>
        <v>0</v>
      </c>
      <c r="I83" s="49">
        <f>AVERAGE('26.09 Seeta-Mukono-24h'!I83,'28.09 Seeta-Mukono-24h'!I83)</f>
        <v>2.5</v>
      </c>
      <c r="J83" s="49">
        <f>AVERAGE('26.09 Seeta-Mukono-24h'!J83,'28.09 Seeta-Mukono-24h'!J83)</f>
        <v>4</v>
      </c>
      <c r="K83" s="49">
        <f>AVERAGE('26.09 Seeta-Mukono-24h'!K83,'28.09 Seeta-Mukono-24h'!K83)</f>
        <v>2</v>
      </c>
      <c r="L83" s="49">
        <f>AVERAGE('26.09 Seeta-Mukono-24h'!L83,'28.09 Seeta-Mukono-24h'!L83)</f>
        <v>4</v>
      </c>
      <c r="M83" s="49">
        <f>AVERAGE('26.09 Seeta-Mukono-24h'!M83,'28.09 Seeta-Mukono-24h'!M83)</f>
        <v>19.5</v>
      </c>
      <c r="N83" s="49">
        <f>AVERAGE('26.09 Seeta-Mukono-24h'!N83,'28.09 Seeta-Mukono-24h'!N83)</f>
        <v>0</v>
      </c>
      <c r="O83" s="15">
        <f t="shared" si="35"/>
        <v>31</v>
      </c>
      <c r="P83" s="15">
        <f t="shared" si="36"/>
        <v>50.5</v>
      </c>
      <c r="R83" s="8"/>
      <c r="T83"/>
    </row>
    <row r="84" spans="2:20" ht="23.1" customHeight="1" x14ac:dyDescent="0.25">
      <c r="B84" s="25" t="s">
        <v>124</v>
      </c>
      <c r="C84" s="49">
        <f>AVERAGE('26.09 Seeta-Mukono-24h'!C84,'28.09 Seeta-Mukono-24h'!C84)</f>
        <v>6.5</v>
      </c>
      <c r="D84" s="49">
        <f>AVERAGE('26.09 Seeta-Mukono-24h'!D84,'28.09 Seeta-Mukono-24h'!D84)</f>
        <v>1.5</v>
      </c>
      <c r="E84" s="49">
        <f>AVERAGE('26.09 Seeta-Mukono-24h'!E84,'28.09 Seeta-Mukono-24h'!E84)</f>
        <v>1</v>
      </c>
      <c r="F84" s="49">
        <f>AVERAGE('26.09 Seeta-Mukono-24h'!F84,'28.09 Seeta-Mukono-24h'!F84)</f>
        <v>5</v>
      </c>
      <c r="G84" s="49">
        <f>AVERAGE('26.09 Seeta-Mukono-24h'!G84,'28.09 Seeta-Mukono-24h'!G84)</f>
        <v>0.5</v>
      </c>
      <c r="H84" s="49">
        <f>AVERAGE('26.09 Seeta-Mukono-24h'!H84,'28.09 Seeta-Mukono-24h'!H84)</f>
        <v>1.5</v>
      </c>
      <c r="I84" s="49">
        <f>AVERAGE('26.09 Seeta-Mukono-24h'!I84,'28.09 Seeta-Mukono-24h'!I84)</f>
        <v>1.5</v>
      </c>
      <c r="J84" s="49">
        <f>AVERAGE('26.09 Seeta-Mukono-24h'!J84,'28.09 Seeta-Mukono-24h'!J84)</f>
        <v>5</v>
      </c>
      <c r="K84" s="49">
        <f>AVERAGE('26.09 Seeta-Mukono-24h'!K84,'28.09 Seeta-Mukono-24h'!K84)</f>
        <v>0</v>
      </c>
      <c r="L84" s="49">
        <f>AVERAGE('26.09 Seeta-Mukono-24h'!L84,'28.09 Seeta-Mukono-24h'!L84)</f>
        <v>4.5</v>
      </c>
      <c r="M84" s="49">
        <f>AVERAGE('26.09 Seeta-Mukono-24h'!M84,'28.09 Seeta-Mukono-24h'!M84)</f>
        <v>10.5</v>
      </c>
      <c r="N84" s="49">
        <f>AVERAGE('26.09 Seeta-Mukono-24h'!N84,'28.09 Seeta-Mukono-24h'!N84)</f>
        <v>0.5</v>
      </c>
      <c r="O84" s="15">
        <f t="shared" si="35"/>
        <v>27.5</v>
      </c>
      <c r="P84" s="15">
        <f t="shared" si="36"/>
        <v>38</v>
      </c>
      <c r="R84" s="8"/>
      <c r="T84"/>
    </row>
    <row r="85" spans="2:20" ht="23.1" customHeight="1" x14ac:dyDescent="0.25">
      <c r="B85" s="23" t="s">
        <v>125</v>
      </c>
      <c r="C85" s="49">
        <f>AVERAGE('26.09 Seeta-Mukono-24h'!C85,'28.09 Seeta-Mukono-24h'!C85)</f>
        <v>10</v>
      </c>
      <c r="D85" s="49">
        <f>AVERAGE('26.09 Seeta-Mukono-24h'!D85,'28.09 Seeta-Mukono-24h'!D85)</f>
        <v>2.5</v>
      </c>
      <c r="E85" s="49">
        <f>AVERAGE('26.09 Seeta-Mukono-24h'!E85,'28.09 Seeta-Mukono-24h'!E85)</f>
        <v>0.5</v>
      </c>
      <c r="F85" s="49">
        <f>AVERAGE('26.09 Seeta-Mukono-24h'!F85,'28.09 Seeta-Mukono-24h'!F85)</f>
        <v>4</v>
      </c>
      <c r="G85" s="49">
        <f>AVERAGE('26.09 Seeta-Mukono-24h'!G85,'28.09 Seeta-Mukono-24h'!G85)</f>
        <v>0</v>
      </c>
      <c r="H85" s="49">
        <f>AVERAGE('26.09 Seeta-Mukono-24h'!H85,'28.09 Seeta-Mukono-24h'!H85)</f>
        <v>0.5</v>
      </c>
      <c r="I85" s="49">
        <f>AVERAGE('26.09 Seeta-Mukono-24h'!I85,'28.09 Seeta-Mukono-24h'!I85)</f>
        <v>4.5</v>
      </c>
      <c r="J85" s="49">
        <f>AVERAGE('26.09 Seeta-Mukono-24h'!J85,'28.09 Seeta-Mukono-24h'!J85)</f>
        <v>5.5</v>
      </c>
      <c r="K85" s="49">
        <f>AVERAGE('26.09 Seeta-Mukono-24h'!K85,'28.09 Seeta-Mukono-24h'!K85)</f>
        <v>1</v>
      </c>
      <c r="L85" s="49">
        <f>AVERAGE('26.09 Seeta-Mukono-24h'!L85,'28.09 Seeta-Mukono-24h'!L85)</f>
        <v>3.5</v>
      </c>
      <c r="M85" s="49">
        <f>AVERAGE('26.09 Seeta-Mukono-24h'!M85,'28.09 Seeta-Mukono-24h'!M85)</f>
        <v>10.5</v>
      </c>
      <c r="N85" s="49">
        <f>AVERAGE('26.09 Seeta-Mukono-24h'!N85,'28.09 Seeta-Mukono-24h'!N85)</f>
        <v>0</v>
      </c>
      <c r="O85" s="15">
        <f t="shared" si="35"/>
        <v>32</v>
      </c>
      <c r="P85" s="15">
        <f t="shared" si="36"/>
        <v>42.5</v>
      </c>
      <c r="R85" s="8"/>
      <c r="T85"/>
    </row>
    <row r="86" spans="2:20" ht="23.1" customHeight="1" x14ac:dyDescent="0.25">
      <c r="B86" s="24" t="s">
        <v>126</v>
      </c>
      <c r="C86" s="49">
        <f>AVERAGE('26.09 Seeta-Mukono-24h'!C86,'28.09 Seeta-Mukono-24h'!C86)</f>
        <v>5</v>
      </c>
      <c r="D86" s="49">
        <f>AVERAGE('26.09 Seeta-Mukono-24h'!D86,'28.09 Seeta-Mukono-24h'!D86)</f>
        <v>0</v>
      </c>
      <c r="E86" s="49">
        <f>AVERAGE('26.09 Seeta-Mukono-24h'!E86,'28.09 Seeta-Mukono-24h'!E86)</f>
        <v>0</v>
      </c>
      <c r="F86" s="49">
        <f>AVERAGE('26.09 Seeta-Mukono-24h'!F86,'28.09 Seeta-Mukono-24h'!F86)</f>
        <v>6</v>
      </c>
      <c r="G86" s="49">
        <f>AVERAGE('26.09 Seeta-Mukono-24h'!G86,'28.09 Seeta-Mukono-24h'!G86)</f>
        <v>0.5</v>
      </c>
      <c r="H86" s="49">
        <f>AVERAGE('26.09 Seeta-Mukono-24h'!H86,'28.09 Seeta-Mukono-24h'!H86)</f>
        <v>1</v>
      </c>
      <c r="I86" s="49">
        <f>AVERAGE('26.09 Seeta-Mukono-24h'!I86,'28.09 Seeta-Mukono-24h'!I86)</f>
        <v>4</v>
      </c>
      <c r="J86" s="49">
        <f>AVERAGE('26.09 Seeta-Mukono-24h'!J86,'28.09 Seeta-Mukono-24h'!J86)</f>
        <v>4.5</v>
      </c>
      <c r="K86" s="49">
        <f>AVERAGE('26.09 Seeta-Mukono-24h'!K86,'28.09 Seeta-Mukono-24h'!K86)</f>
        <v>5</v>
      </c>
      <c r="L86" s="49">
        <f>AVERAGE('26.09 Seeta-Mukono-24h'!L86,'28.09 Seeta-Mukono-24h'!L86)</f>
        <v>2.5</v>
      </c>
      <c r="M86" s="49">
        <f>AVERAGE('26.09 Seeta-Mukono-24h'!M86,'28.09 Seeta-Mukono-24h'!M86)</f>
        <v>9.5</v>
      </c>
      <c r="N86" s="49">
        <f>AVERAGE('26.09 Seeta-Mukono-24h'!N86,'28.09 Seeta-Mukono-24h'!N86)</f>
        <v>0</v>
      </c>
      <c r="O86" s="15">
        <f t="shared" si="35"/>
        <v>28.5</v>
      </c>
      <c r="P86" s="15">
        <f t="shared" si="36"/>
        <v>38</v>
      </c>
      <c r="R86" s="8"/>
      <c r="T86"/>
    </row>
    <row r="87" spans="2:20" ht="23.1" customHeight="1" x14ac:dyDescent="0.25">
      <c r="B87" s="23" t="s">
        <v>127</v>
      </c>
      <c r="C87" s="49">
        <f>AVERAGE('26.09 Seeta-Mukono-24h'!C87,'28.09 Seeta-Mukono-24h'!C87)</f>
        <v>6.5</v>
      </c>
      <c r="D87" s="49">
        <f>AVERAGE('26.09 Seeta-Mukono-24h'!D87,'28.09 Seeta-Mukono-24h'!D87)</f>
        <v>2</v>
      </c>
      <c r="E87" s="49">
        <f>AVERAGE('26.09 Seeta-Mukono-24h'!E87,'28.09 Seeta-Mukono-24h'!E87)</f>
        <v>0</v>
      </c>
      <c r="F87" s="49">
        <f>AVERAGE('26.09 Seeta-Mukono-24h'!F87,'28.09 Seeta-Mukono-24h'!F87)</f>
        <v>1</v>
      </c>
      <c r="G87" s="49">
        <f>AVERAGE('26.09 Seeta-Mukono-24h'!G87,'28.09 Seeta-Mukono-24h'!G87)</f>
        <v>0.5</v>
      </c>
      <c r="H87" s="49">
        <f>AVERAGE('26.09 Seeta-Mukono-24h'!H87,'28.09 Seeta-Mukono-24h'!H87)</f>
        <v>0</v>
      </c>
      <c r="I87" s="49">
        <f>AVERAGE('26.09 Seeta-Mukono-24h'!I87,'28.09 Seeta-Mukono-24h'!I87)</f>
        <v>2</v>
      </c>
      <c r="J87" s="49">
        <f>AVERAGE('26.09 Seeta-Mukono-24h'!J87,'28.09 Seeta-Mukono-24h'!J87)</f>
        <v>2.5</v>
      </c>
      <c r="K87" s="49">
        <f>AVERAGE('26.09 Seeta-Mukono-24h'!K87,'28.09 Seeta-Mukono-24h'!K87)</f>
        <v>4.5</v>
      </c>
      <c r="L87" s="49">
        <f>AVERAGE('26.09 Seeta-Mukono-24h'!L87,'28.09 Seeta-Mukono-24h'!L87)</f>
        <v>2</v>
      </c>
      <c r="M87" s="49">
        <f>AVERAGE('26.09 Seeta-Mukono-24h'!M87,'28.09 Seeta-Mukono-24h'!M87)</f>
        <v>9</v>
      </c>
      <c r="N87" s="49">
        <f>AVERAGE('26.09 Seeta-Mukono-24h'!N87,'28.09 Seeta-Mukono-24h'!N87)</f>
        <v>0</v>
      </c>
      <c r="O87" s="15">
        <f t="shared" si="35"/>
        <v>21</v>
      </c>
      <c r="P87" s="15">
        <f t="shared" si="36"/>
        <v>30</v>
      </c>
      <c r="R87" s="8"/>
      <c r="T87"/>
    </row>
    <row r="88" spans="2:20" ht="23.1" customHeight="1" x14ac:dyDescent="0.25">
      <c r="B88" s="25" t="s">
        <v>128</v>
      </c>
      <c r="C88" s="49">
        <f>AVERAGE('26.09 Seeta-Mukono-24h'!C88,'28.09 Seeta-Mukono-24h'!C88)</f>
        <v>7.5</v>
      </c>
      <c r="D88" s="49">
        <f>AVERAGE('26.09 Seeta-Mukono-24h'!D88,'28.09 Seeta-Mukono-24h'!D88)</f>
        <v>2.5</v>
      </c>
      <c r="E88" s="49">
        <f>AVERAGE('26.09 Seeta-Mukono-24h'!E88,'28.09 Seeta-Mukono-24h'!E88)</f>
        <v>0.5</v>
      </c>
      <c r="F88" s="49">
        <f>AVERAGE('26.09 Seeta-Mukono-24h'!F88,'28.09 Seeta-Mukono-24h'!F88)</f>
        <v>1.5</v>
      </c>
      <c r="G88" s="49">
        <f>AVERAGE('26.09 Seeta-Mukono-24h'!G88,'28.09 Seeta-Mukono-24h'!G88)</f>
        <v>0</v>
      </c>
      <c r="H88" s="49">
        <f>AVERAGE('26.09 Seeta-Mukono-24h'!H88,'28.09 Seeta-Mukono-24h'!H88)</f>
        <v>1</v>
      </c>
      <c r="I88" s="49">
        <f>AVERAGE('26.09 Seeta-Mukono-24h'!I88,'28.09 Seeta-Mukono-24h'!I88)</f>
        <v>0.5</v>
      </c>
      <c r="J88" s="49">
        <f>AVERAGE('26.09 Seeta-Mukono-24h'!J88,'28.09 Seeta-Mukono-24h'!J88)</f>
        <v>4.5</v>
      </c>
      <c r="K88" s="49">
        <f>AVERAGE('26.09 Seeta-Mukono-24h'!K88,'28.09 Seeta-Mukono-24h'!K88)</f>
        <v>2</v>
      </c>
      <c r="L88" s="49">
        <f>AVERAGE('26.09 Seeta-Mukono-24h'!L88,'28.09 Seeta-Mukono-24h'!L88)</f>
        <v>3.5</v>
      </c>
      <c r="M88" s="49">
        <f>AVERAGE('26.09 Seeta-Mukono-24h'!M88,'28.09 Seeta-Mukono-24h'!M88)</f>
        <v>6</v>
      </c>
      <c r="N88" s="49">
        <f>AVERAGE('26.09 Seeta-Mukono-24h'!N88,'28.09 Seeta-Mukono-24h'!N88)</f>
        <v>0</v>
      </c>
      <c r="O88" s="15">
        <f t="shared" si="35"/>
        <v>23.5</v>
      </c>
      <c r="P88" s="15">
        <f t="shared" si="36"/>
        <v>29.5</v>
      </c>
      <c r="R88" s="8"/>
      <c r="T88"/>
    </row>
    <row r="89" spans="2:20" ht="23.1" customHeight="1" x14ac:dyDescent="0.25">
      <c r="B89" s="23" t="s">
        <v>129</v>
      </c>
      <c r="C89" s="49">
        <f>AVERAGE('26.09 Seeta-Mukono-24h'!C89,'28.09 Seeta-Mukono-24h'!C89)</f>
        <v>6.5</v>
      </c>
      <c r="D89" s="49">
        <f>AVERAGE('26.09 Seeta-Mukono-24h'!D89,'28.09 Seeta-Mukono-24h'!D89)</f>
        <v>2</v>
      </c>
      <c r="E89" s="49">
        <f>AVERAGE('26.09 Seeta-Mukono-24h'!E89,'28.09 Seeta-Mukono-24h'!E89)</f>
        <v>1</v>
      </c>
      <c r="F89" s="49">
        <f>AVERAGE('26.09 Seeta-Mukono-24h'!F89,'28.09 Seeta-Mukono-24h'!F89)</f>
        <v>3</v>
      </c>
      <c r="G89" s="49">
        <f>AVERAGE('26.09 Seeta-Mukono-24h'!G89,'28.09 Seeta-Mukono-24h'!G89)</f>
        <v>0</v>
      </c>
      <c r="H89" s="49">
        <f>AVERAGE('26.09 Seeta-Mukono-24h'!H89,'28.09 Seeta-Mukono-24h'!H89)</f>
        <v>0.5</v>
      </c>
      <c r="I89" s="49">
        <f>AVERAGE('26.09 Seeta-Mukono-24h'!I89,'28.09 Seeta-Mukono-24h'!I89)</f>
        <v>3</v>
      </c>
      <c r="J89" s="49">
        <f>AVERAGE('26.09 Seeta-Mukono-24h'!J89,'28.09 Seeta-Mukono-24h'!J89)</f>
        <v>4.5</v>
      </c>
      <c r="K89" s="49">
        <f>AVERAGE('26.09 Seeta-Mukono-24h'!K89,'28.09 Seeta-Mukono-24h'!K89)</f>
        <v>1.5</v>
      </c>
      <c r="L89" s="49">
        <f>AVERAGE('26.09 Seeta-Mukono-24h'!L89,'28.09 Seeta-Mukono-24h'!L89)</f>
        <v>1.5</v>
      </c>
      <c r="M89" s="49">
        <f>AVERAGE('26.09 Seeta-Mukono-24h'!M89,'28.09 Seeta-Mukono-24h'!M89)</f>
        <v>8.5</v>
      </c>
      <c r="N89" s="49">
        <f>AVERAGE('26.09 Seeta-Mukono-24h'!N89,'28.09 Seeta-Mukono-24h'!N89)</f>
        <v>0</v>
      </c>
      <c r="O89" s="15">
        <f t="shared" si="35"/>
        <v>23.5</v>
      </c>
      <c r="P89" s="15">
        <f t="shared" si="36"/>
        <v>32</v>
      </c>
      <c r="R89" s="8"/>
      <c r="T89"/>
    </row>
    <row r="90" spans="2:20" ht="23.1" customHeight="1" x14ac:dyDescent="0.25">
      <c r="B90" s="24" t="s">
        <v>130</v>
      </c>
      <c r="C90" s="49">
        <f>AVERAGE('26.09 Seeta-Mukono-24h'!C90,'28.09 Seeta-Mukono-24h'!C90)</f>
        <v>4.5</v>
      </c>
      <c r="D90" s="49">
        <f>AVERAGE('26.09 Seeta-Mukono-24h'!D90,'28.09 Seeta-Mukono-24h'!D90)</f>
        <v>2.5</v>
      </c>
      <c r="E90" s="49">
        <f>AVERAGE('26.09 Seeta-Mukono-24h'!E90,'28.09 Seeta-Mukono-24h'!E90)</f>
        <v>0</v>
      </c>
      <c r="F90" s="49">
        <f>AVERAGE('26.09 Seeta-Mukono-24h'!F90,'28.09 Seeta-Mukono-24h'!F90)</f>
        <v>2</v>
      </c>
      <c r="G90" s="49">
        <f>AVERAGE('26.09 Seeta-Mukono-24h'!G90,'28.09 Seeta-Mukono-24h'!G90)</f>
        <v>0.5</v>
      </c>
      <c r="H90" s="49">
        <f>AVERAGE('26.09 Seeta-Mukono-24h'!H90,'28.09 Seeta-Mukono-24h'!H90)</f>
        <v>1.5</v>
      </c>
      <c r="I90" s="49">
        <f>AVERAGE('26.09 Seeta-Mukono-24h'!I90,'28.09 Seeta-Mukono-24h'!I90)</f>
        <v>2</v>
      </c>
      <c r="J90" s="49">
        <f>AVERAGE('26.09 Seeta-Mukono-24h'!J90,'28.09 Seeta-Mukono-24h'!J90)</f>
        <v>2.5</v>
      </c>
      <c r="K90" s="49">
        <f>AVERAGE('26.09 Seeta-Mukono-24h'!K90,'28.09 Seeta-Mukono-24h'!K90)</f>
        <v>4</v>
      </c>
      <c r="L90" s="49">
        <f>AVERAGE('26.09 Seeta-Mukono-24h'!L90,'28.09 Seeta-Mukono-24h'!L90)</f>
        <v>5.5</v>
      </c>
      <c r="M90" s="49">
        <f>AVERAGE('26.09 Seeta-Mukono-24h'!M90,'28.09 Seeta-Mukono-24h'!M90)</f>
        <v>4.5</v>
      </c>
      <c r="N90" s="49">
        <f>AVERAGE('26.09 Seeta-Mukono-24h'!N90,'28.09 Seeta-Mukono-24h'!N90)</f>
        <v>0</v>
      </c>
      <c r="O90" s="15">
        <f t="shared" si="35"/>
        <v>25</v>
      </c>
      <c r="P90" s="15">
        <f t="shared" si="36"/>
        <v>29.5</v>
      </c>
      <c r="R90" s="8"/>
      <c r="T90"/>
    </row>
    <row r="91" spans="2:20" ht="23.1" customHeight="1" x14ac:dyDescent="0.25">
      <c r="B91" s="23" t="s">
        <v>131</v>
      </c>
      <c r="C91" s="49">
        <f>AVERAGE('26.09 Seeta-Mukono-24h'!C91,'28.09 Seeta-Mukono-24h'!C91)</f>
        <v>4.5</v>
      </c>
      <c r="D91" s="49">
        <f>AVERAGE('26.09 Seeta-Mukono-24h'!D91,'28.09 Seeta-Mukono-24h'!D91)</f>
        <v>1</v>
      </c>
      <c r="E91" s="49">
        <f>AVERAGE('26.09 Seeta-Mukono-24h'!E91,'28.09 Seeta-Mukono-24h'!E91)</f>
        <v>0</v>
      </c>
      <c r="F91" s="49">
        <f>AVERAGE('26.09 Seeta-Mukono-24h'!F91,'28.09 Seeta-Mukono-24h'!F91)</f>
        <v>4</v>
      </c>
      <c r="G91" s="49">
        <f>AVERAGE('26.09 Seeta-Mukono-24h'!G91,'28.09 Seeta-Mukono-24h'!G91)</f>
        <v>0.5</v>
      </c>
      <c r="H91" s="49">
        <f>AVERAGE('26.09 Seeta-Mukono-24h'!H91,'28.09 Seeta-Mukono-24h'!H91)</f>
        <v>0</v>
      </c>
      <c r="I91" s="49">
        <f>AVERAGE('26.09 Seeta-Mukono-24h'!I91,'28.09 Seeta-Mukono-24h'!I91)</f>
        <v>2.5</v>
      </c>
      <c r="J91" s="49">
        <f>AVERAGE('26.09 Seeta-Mukono-24h'!J91,'28.09 Seeta-Mukono-24h'!J91)</f>
        <v>6.5</v>
      </c>
      <c r="K91" s="49">
        <f>AVERAGE('26.09 Seeta-Mukono-24h'!K91,'28.09 Seeta-Mukono-24h'!K91)</f>
        <v>2</v>
      </c>
      <c r="L91" s="49">
        <f>AVERAGE('26.09 Seeta-Mukono-24h'!L91,'28.09 Seeta-Mukono-24h'!L91)</f>
        <v>3</v>
      </c>
      <c r="M91" s="49">
        <f>AVERAGE('26.09 Seeta-Mukono-24h'!M91,'28.09 Seeta-Mukono-24h'!M91)</f>
        <v>5</v>
      </c>
      <c r="N91" s="49">
        <f>AVERAGE('26.09 Seeta-Mukono-24h'!N91,'28.09 Seeta-Mukono-24h'!N91)</f>
        <v>0</v>
      </c>
      <c r="O91" s="15">
        <f t="shared" si="35"/>
        <v>24</v>
      </c>
      <c r="P91" s="15">
        <f t="shared" si="36"/>
        <v>29</v>
      </c>
      <c r="R91" s="8"/>
      <c r="T91"/>
    </row>
    <row r="92" spans="2:20" ht="23.1" customHeight="1" x14ac:dyDescent="0.25">
      <c r="B92" s="25" t="s">
        <v>132</v>
      </c>
      <c r="C92" s="49">
        <f>AVERAGE('26.09 Seeta-Mukono-24h'!C92,'28.09 Seeta-Mukono-24h'!C92)</f>
        <v>5.5</v>
      </c>
      <c r="D92" s="49">
        <f>AVERAGE('26.09 Seeta-Mukono-24h'!D92,'28.09 Seeta-Mukono-24h'!D92)</f>
        <v>1</v>
      </c>
      <c r="E92" s="49">
        <f>AVERAGE('26.09 Seeta-Mukono-24h'!E92,'28.09 Seeta-Mukono-24h'!E92)</f>
        <v>2</v>
      </c>
      <c r="F92" s="49">
        <f>AVERAGE('26.09 Seeta-Mukono-24h'!F92,'28.09 Seeta-Mukono-24h'!F92)</f>
        <v>1</v>
      </c>
      <c r="G92" s="49">
        <f>AVERAGE('26.09 Seeta-Mukono-24h'!G92,'28.09 Seeta-Mukono-24h'!G92)</f>
        <v>0</v>
      </c>
      <c r="H92" s="49">
        <f>AVERAGE('26.09 Seeta-Mukono-24h'!H92,'28.09 Seeta-Mukono-24h'!H92)</f>
        <v>0</v>
      </c>
      <c r="I92" s="49">
        <f>AVERAGE('26.09 Seeta-Mukono-24h'!I92,'28.09 Seeta-Mukono-24h'!I92)</f>
        <v>5</v>
      </c>
      <c r="J92" s="49">
        <f>AVERAGE('26.09 Seeta-Mukono-24h'!J92,'28.09 Seeta-Mukono-24h'!J92)</f>
        <v>6</v>
      </c>
      <c r="K92" s="49">
        <f>AVERAGE('26.09 Seeta-Mukono-24h'!K92,'28.09 Seeta-Mukono-24h'!K92)</f>
        <v>2</v>
      </c>
      <c r="L92" s="49">
        <f>AVERAGE('26.09 Seeta-Mukono-24h'!L92,'28.09 Seeta-Mukono-24h'!L92)</f>
        <v>2</v>
      </c>
      <c r="M92" s="49">
        <f>AVERAGE('26.09 Seeta-Mukono-24h'!M92,'28.09 Seeta-Mukono-24h'!M92)</f>
        <v>3</v>
      </c>
      <c r="N92" s="49">
        <f>AVERAGE('26.09 Seeta-Mukono-24h'!N92,'28.09 Seeta-Mukono-24h'!N92)</f>
        <v>0</v>
      </c>
      <c r="O92" s="15">
        <f t="shared" si="35"/>
        <v>24.5</v>
      </c>
      <c r="P92" s="15">
        <f t="shared" si="36"/>
        <v>27.5</v>
      </c>
      <c r="R92" s="8"/>
      <c r="T92"/>
    </row>
    <row r="93" spans="2:20" ht="23.1" customHeight="1" x14ac:dyDescent="0.25">
      <c r="B93" s="23" t="s">
        <v>133</v>
      </c>
      <c r="C93" s="49">
        <f>AVERAGE('26.09 Seeta-Mukono-24h'!C93,'28.09 Seeta-Mukono-24h'!C93)</f>
        <v>3</v>
      </c>
      <c r="D93" s="49">
        <f>AVERAGE('26.09 Seeta-Mukono-24h'!D93,'28.09 Seeta-Mukono-24h'!D93)</f>
        <v>1.5</v>
      </c>
      <c r="E93" s="49">
        <f>AVERAGE('26.09 Seeta-Mukono-24h'!E93,'28.09 Seeta-Mukono-24h'!E93)</f>
        <v>1</v>
      </c>
      <c r="F93" s="49">
        <f>AVERAGE('26.09 Seeta-Mukono-24h'!F93,'28.09 Seeta-Mukono-24h'!F93)</f>
        <v>2.5</v>
      </c>
      <c r="G93" s="49">
        <f>AVERAGE('26.09 Seeta-Mukono-24h'!G93,'28.09 Seeta-Mukono-24h'!G93)</f>
        <v>0</v>
      </c>
      <c r="H93" s="49">
        <f>AVERAGE('26.09 Seeta-Mukono-24h'!H93,'28.09 Seeta-Mukono-24h'!H93)</f>
        <v>0</v>
      </c>
      <c r="I93" s="49">
        <f>AVERAGE('26.09 Seeta-Mukono-24h'!I93,'28.09 Seeta-Mukono-24h'!I93)</f>
        <v>0.5</v>
      </c>
      <c r="J93" s="49">
        <f>AVERAGE('26.09 Seeta-Mukono-24h'!J93,'28.09 Seeta-Mukono-24h'!J93)</f>
        <v>7</v>
      </c>
      <c r="K93" s="49">
        <f>AVERAGE('26.09 Seeta-Mukono-24h'!K93,'28.09 Seeta-Mukono-24h'!K93)</f>
        <v>3.5</v>
      </c>
      <c r="L93" s="49">
        <f>AVERAGE('26.09 Seeta-Mukono-24h'!L93,'28.09 Seeta-Mukono-24h'!L93)</f>
        <v>1</v>
      </c>
      <c r="M93" s="49">
        <f>AVERAGE('26.09 Seeta-Mukono-24h'!M93,'28.09 Seeta-Mukono-24h'!M93)</f>
        <v>10</v>
      </c>
      <c r="N93" s="49">
        <f>AVERAGE('26.09 Seeta-Mukono-24h'!N93,'28.09 Seeta-Mukono-24h'!N93)</f>
        <v>0</v>
      </c>
      <c r="O93" s="15">
        <f t="shared" si="35"/>
        <v>20</v>
      </c>
      <c r="P93" s="15">
        <f t="shared" si="36"/>
        <v>30</v>
      </c>
      <c r="R93" s="8"/>
      <c r="T93"/>
    </row>
    <row r="94" spans="2:20" ht="23.1" customHeight="1" x14ac:dyDescent="0.25">
      <c r="B94" s="24" t="s">
        <v>134</v>
      </c>
      <c r="C94" s="49">
        <f>AVERAGE('26.09 Seeta-Mukono-24h'!C94,'28.09 Seeta-Mukono-24h'!C94)</f>
        <v>5</v>
      </c>
      <c r="D94" s="49">
        <f>AVERAGE('26.09 Seeta-Mukono-24h'!D94,'28.09 Seeta-Mukono-24h'!D94)</f>
        <v>2</v>
      </c>
      <c r="E94" s="49">
        <f>AVERAGE('26.09 Seeta-Mukono-24h'!E94,'28.09 Seeta-Mukono-24h'!E94)</f>
        <v>0</v>
      </c>
      <c r="F94" s="49">
        <f>AVERAGE('26.09 Seeta-Mukono-24h'!F94,'28.09 Seeta-Mukono-24h'!F94)</f>
        <v>2.5</v>
      </c>
      <c r="G94" s="49">
        <f>AVERAGE('26.09 Seeta-Mukono-24h'!G94,'28.09 Seeta-Mukono-24h'!G94)</f>
        <v>0</v>
      </c>
      <c r="H94" s="49">
        <f>AVERAGE('26.09 Seeta-Mukono-24h'!H94,'28.09 Seeta-Mukono-24h'!H94)</f>
        <v>5</v>
      </c>
      <c r="I94" s="49">
        <f>AVERAGE('26.09 Seeta-Mukono-24h'!I94,'28.09 Seeta-Mukono-24h'!I94)</f>
        <v>4.5</v>
      </c>
      <c r="J94" s="49">
        <f>AVERAGE('26.09 Seeta-Mukono-24h'!J94,'28.09 Seeta-Mukono-24h'!J94)</f>
        <v>3.5</v>
      </c>
      <c r="K94" s="49">
        <f>AVERAGE('26.09 Seeta-Mukono-24h'!K94,'28.09 Seeta-Mukono-24h'!K94)</f>
        <v>2.5</v>
      </c>
      <c r="L94" s="49">
        <f>AVERAGE('26.09 Seeta-Mukono-24h'!L94,'28.09 Seeta-Mukono-24h'!L94)</f>
        <v>3.5</v>
      </c>
      <c r="M94" s="49">
        <f>AVERAGE('26.09 Seeta-Mukono-24h'!M94,'28.09 Seeta-Mukono-24h'!M94)</f>
        <v>5</v>
      </c>
      <c r="N94" s="49">
        <f>AVERAGE('26.09 Seeta-Mukono-24h'!N94,'28.09 Seeta-Mukono-24h'!N94)</f>
        <v>0</v>
      </c>
      <c r="O94" s="15">
        <f t="shared" si="35"/>
        <v>28.5</v>
      </c>
      <c r="P94" s="15">
        <f t="shared" si="36"/>
        <v>33.5</v>
      </c>
      <c r="R94" s="8"/>
      <c r="T94"/>
    </row>
    <row r="95" spans="2:20" ht="23.1" customHeight="1" x14ac:dyDescent="0.25">
      <c r="B95" s="23" t="s">
        <v>135</v>
      </c>
      <c r="C95" s="49">
        <f>AVERAGE('26.09 Seeta-Mukono-24h'!C95,'28.09 Seeta-Mukono-24h'!C95)</f>
        <v>6.5</v>
      </c>
      <c r="D95" s="49">
        <f>AVERAGE('26.09 Seeta-Mukono-24h'!D95,'28.09 Seeta-Mukono-24h'!D95)</f>
        <v>2</v>
      </c>
      <c r="E95" s="49">
        <f>AVERAGE('26.09 Seeta-Mukono-24h'!E95,'28.09 Seeta-Mukono-24h'!E95)</f>
        <v>0</v>
      </c>
      <c r="F95" s="49">
        <f>AVERAGE('26.09 Seeta-Mukono-24h'!F95,'28.09 Seeta-Mukono-24h'!F95)</f>
        <v>4</v>
      </c>
      <c r="G95" s="49">
        <f>AVERAGE('26.09 Seeta-Mukono-24h'!G95,'28.09 Seeta-Mukono-24h'!G95)</f>
        <v>0</v>
      </c>
      <c r="H95" s="49">
        <f>AVERAGE('26.09 Seeta-Mukono-24h'!H95,'28.09 Seeta-Mukono-24h'!H95)</f>
        <v>0.5</v>
      </c>
      <c r="I95" s="49">
        <f>AVERAGE('26.09 Seeta-Mukono-24h'!I95,'28.09 Seeta-Mukono-24h'!I95)</f>
        <v>1</v>
      </c>
      <c r="J95" s="49">
        <f>AVERAGE('26.09 Seeta-Mukono-24h'!J95,'28.09 Seeta-Mukono-24h'!J95)</f>
        <v>5</v>
      </c>
      <c r="K95" s="49">
        <f>AVERAGE('26.09 Seeta-Mukono-24h'!K95,'28.09 Seeta-Mukono-24h'!K95)</f>
        <v>1</v>
      </c>
      <c r="L95" s="49">
        <f>AVERAGE('26.09 Seeta-Mukono-24h'!L95,'28.09 Seeta-Mukono-24h'!L95)</f>
        <v>1</v>
      </c>
      <c r="M95" s="49">
        <f>AVERAGE('26.09 Seeta-Mukono-24h'!M95,'28.09 Seeta-Mukono-24h'!M95)</f>
        <v>9</v>
      </c>
      <c r="N95" s="49">
        <f>AVERAGE('26.09 Seeta-Mukono-24h'!N95,'28.09 Seeta-Mukono-24h'!N95)</f>
        <v>0</v>
      </c>
      <c r="O95" s="15">
        <f t="shared" si="35"/>
        <v>21</v>
      </c>
      <c r="P95" s="15">
        <f t="shared" si="36"/>
        <v>30</v>
      </c>
      <c r="R95" s="8"/>
      <c r="T95"/>
    </row>
    <row r="96" spans="2:20" ht="23.1" customHeight="1" x14ac:dyDescent="0.25">
      <c r="B96" s="25" t="s">
        <v>136</v>
      </c>
      <c r="C96" s="49">
        <f>AVERAGE('26.09 Seeta-Mukono-24h'!C96,'28.09 Seeta-Mukono-24h'!C96)</f>
        <v>9</v>
      </c>
      <c r="D96" s="49">
        <f>AVERAGE('26.09 Seeta-Mukono-24h'!D96,'28.09 Seeta-Mukono-24h'!D96)</f>
        <v>0</v>
      </c>
      <c r="E96" s="49">
        <f>AVERAGE('26.09 Seeta-Mukono-24h'!E96,'28.09 Seeta-Mukono-24h'!E96)</f>
        <v>0</v>
      </c>
      <c r="F96" s="49">
        <f>AVERAGE('26.09 Seeta-Mukono-24h'!F96,'28.09 Seeta-Mukono-24h'!F96)</f>
        <v>7.5</v>
      </c>
      <c r="G96" s="49">
        <f>AVERAGE('26.09 Seeta-Mukono-24h'!G96,'28.09 Seeta-Mukono-24h'!G96)</f>
        <v>0</v>
      </c>
      <c r="H96" s="49">
        <f>AVERAGE('26.09 Seeta-Mukono-24h'!H96,'28.09 Seeta-Mukono-24h'!H96)</f>
        <v>0</v>
      </c>
      <c r="I96" s="49">
        <f>AVERAGE('26.09 Seeta-Mukono-24h'!I96,'28.09 Seeta-Mukono-24h'!I96)</f>
        <v>2</v>
      </c>
      <c r="J96" s="49">
        <f>AVERAGE('26.09 Seeta-Mukono-24h'!J96,'28.09 Seeta-Mukono-24h'!J96)</f>
        <v>6</v>
      </c>
      <c r="K96" s="49">
        <f>AVERAGE('26.09 Seeta-Mukono-24h'!K96,'28.09 Seeta-Mukono-24h'!K96)</f>
        <v>0.5</v>
      </c>
      <c r="L96" s="49">
        <f>AVERAGE('26.09 Seeta-Mukono-24h'!L96,'28.09 Seeta-Mukono-24h'!L96)</f>
        <v>4</v>
      </c>
      <c r="M96" s="49">
        <f>AVERAGE('26.09 Seeta-Mukono-24h'!M96,'28.09 Seeta-Mukono-24h'!M96)</f>
        <v>8.5</v>
      </c>
      <c r="N96" s="49">
        <f>AVERAGE('26.09 Seeta-Mukono-24h'!N96,'28.09 Seeta-Mukono-24h'!N96)</f>
        <v>0</v>
      </c>
      <c r="O96" s="15">
        <f t="shared" si="35"/>
        <v>29</v>
      </c>
      <c r="P96" s="15">
        <f t="shared" si="36"/>
        <v>37.5</v>
      </c>
      <c r="R96" s="8"/>
      <c r="T96"/>
    </row>
    <row r="97" spans="2:20" ht="23.1" customHeight="1" x14ac:dyDescent="0.25">
      <c r="B97" s="23" t="s">
        <v>137</v>
      </c>
      <c r="C97" s="49">
        <f>AVERAGE('26.09 Seeta-Mukono-24h'!C97,'28.09 Seeta-Mukono-24h'!C97)</f>
        <v>5</v>
      </c>
      <c r="D97" s="49">
        <f>AVERAGE('26.09 Seeta-Mukono-24h'!D97,'28.09 Seeta-Mukono-24h'!D97)</f>
        <v>3.5</v>
      </c>
      <c r="E97" s="49">
        <f>AVERAGE('26.09 Seeta-Mukono-24h'!E97,'28.09 Seeta-Mukono-24h'!E97)</f>
        <v>0.5</v>
      </c>
      <c r="F97" s="49">
        <f>AVERAGE('26.09 Seeta-Mukono-24h'!F97,'28.09 Seeta-Mukono-24h'!F97)</f>
        <v>7.5</v>
      </c>
      <c r="G97" s="49">
        <f>AVERAGE('26.09 Seeta-Mukono-24h'!G97,'28.09 Seeta-Mukono-24h'!G97)</f>
        <v>0.5</v>
      </c>
      <c r="H97" s="49">
        <f>AVERAGE('26.09 Seeta-Mukono-24h'!H97,'28.09 Seeta-Mukono-24h'!H97)</f>
        <v>0.5</v>
      </c>
      <c r="I97" s="49">
        <f>AVERAGE('26.09 Seeta-Mukono-24h'!I97,'28.09 Seeta-Mukono-24h'!I97)</f>
        <v>5</v>
      </c>
      <c r="J97" s="49">
        <f>AVERAGE('26.09 Seeta-Mukono-24h'!J97,'28.09 Seeta-Mukono-24h'!J97)</f>
        <v>6.5</v>
      </c>
      <c r="K97" s="49">
        <f>AVERAGE('26.09 Seeta-Mukono-24h'!K97,'28.09 Seeta-Mukono-24h'!K97)</f>
        <v>0.5</v>
      </c>
      <c r="L97" s="49">
        <f>AVERAGE('26.09 Seeta-Mukono-24h'!L97,'28.09 Seeta-Mukono-24h'!L97)</f>
        <v>10.5</v>
      </c>
      <c r="M97" s="49">
        <f>AVERAGE('26.09 Seeta-Mukono-24h'!M97,'28.09 Seeta-Mukono-24h'!M97)</f>
        <v>7</v>
      </c>
      <c r="N97" s="49">
        <f>AVERAGE('26.09 Seeta-Mukono-24h'!N97,'28.09 Seeta-Mukono-24h'!N97)</f>
        <v>0</v>
      </c>
      <c r="O97" s="15">
        <f t="shared" si="35"/>
        <v>40</v>
      </c>
      <c r="P97" s="15">
        <f t="shared" si="36"/>
        <v>47</v>
      </c>
      <c r="R97" s="8"/>
      <c r="T97"/>
    </row>
    <row r="98" spans="2:20" ht="23.1" customHeight="1" x14ac:dyDescent="0.25">
      <c r="B98" s="24" t="s">
        <v>138</v>
      </c>
      <c r="C98" s="49">
        <f>AVERAGE('26.09 Seeta-Mukono-24h'!C98,'28.09 Seeta-Mukono-24h'!C98)</f>
        <v>9</v>
      </c>
      <c r="D98" s="49">
        <f>AVERAGE('26.09 Seeta-Mukono-24h'!D98,'28.09 Seeta-Mukono-24h'!D98)</f>
        <v>2</v>
      </c>
      <c r="E98" s="49">
        <f>AVERAGE('26.09 Seeta-Mukono-24h'!E98,'28.09 Seeta-Mukono-24h'!E98)</f>
        <v>1</v>
      </c>
      <c r="F98" s="49">
        <f>AVERAGE('26.09 Seeta-Mukono-24h'!F98,'28.09 Seeta-Mukono-24h'!F98)</f>
        <v>11.5</v>
      </c>
      <c r="G98" s="49">
        <f>AVERAGE('26.09 Seeta-Mukono-24h'!G98,'28.09 Seeta-Mukono-24h'!G98)</f>
        <v>0.5</v>
      </c>
      <c r="H98" s="49">
        <f>AVERAGE('26.09 Seeta-Mukono-24h'!H98,'28.09 Seeta-Mukono-24h'!H98)</f>
        <v>0</v>
      </c>
      <c r="I98" s="49">
        <f>AVERAGE('26.09 Seeta-Mukono-24h'!I98,'28.09 Seeta-Mukono-24h'!I98)</f>
        <v>8</v>
      </c>
      <c r="J98" s="49">
        <f>AVERAGE('26.09 Seeta-Mukono-24h'!J98,'28.09 Seeta-Mukono-24h'!J98)</f>
        <v>3.5</v>
      </c>
      <c r="K98" s="49">
        <f>AVERAGE('26.09 Seeta-Mukono-24h'!K98,'28.09 Seeta-Mukono-24h'!K98)</f>
        <v>1.5</v>
      </c>
      <c r="L98" s="49">
        <f>AVERAGE('26.09 Seeta-Mukono-24h'!L98,'28.09 Seeta-Mukono-24h'!L98)</f>
        <v>4</v>
      </c>
      <c r="M98" s="49">
        <f>AVERAGE('26.09 Seeta-Mukono-24h'!M98,'28.09 Seeta-Mukono-24h'!M98)</f>
        <v>8</v>
      </c>
      <c r="N98" s="49">
        <f>AVERAGE('26.09 Seeta-Mukono-24h'!N98,'28.09 Seeta-Mukono-24h'!N98)</f>
        <v>0</v>
      </c>
      <c r="O98" s="15">
        <f t="shared" si="35"/>
        <v>41</v>
      </c>
      <c r="P98" s="15">
        <f t="shared" si="36"/>
        <v>49</v>
      </c>
      <c r="R98" s="8"/>
      <c r="T98"/>
    </row>
    <row r="99" spans="2:20" ht="23.1" customHeight="1" x14ac:dyDescent="0.25">
      <c r="B99" s="23" t="s">
        <v>139</v>
      </c>
      <c r="C99" s="49">
        <f>AVERAGE('26.09 Seeta-Mukono-24h'!C99,'28.09 Seeta-Mukono-24h'!C99)</f>
        <v>8</v>
      </c>
      <c r="D99" s="49">
        <f>AVERAGE('26.09 Seeta-Mukono-24h'!D99,'28.09 Seeta-Mukono-24h'!D99)</f>
        <v>2.5</v>
      </c>
      <c r="E99" s="49">
        <f>AVERAGE('26.09 Seeta-Mukono-24h'!E99,'28.09 Seeta-Mukono-24h'!E99)</f>
        <v>1.5</v>
      </c>
      <c r="F99" s="49">
        <f>AVERAGE('26.09 Seeta-Mukono-24h'!F99,'28.09 Seeta-Mukono-24h'!F99)</f>
        <v>11</v>
      </c>
      <c r="G99" s="49">
        <f>AVERAGE('26.09 Seeta-Mukono-24h'!G99,'28.09 Seeta-Mukono-24h'!G99)</f>
        <v>1.5</v>
      </c>
      <c r="H99" s="49">
        <f>AVERAGE('26.09 Seeta-Mukono-24h'!H99,'28.09 Seeta-Mukono-24h'!H99)</f>
        <v>1</v>
      </c>
      <c r="I99" s="49">
        <f>AVERAGE('26.09 Seeta-Mukono-24h'!I99,'28.09 Seeta-Mukono-24h'!I99)</f>
        <v>7.5</v>
      </c>
      <c r="J99" s="49">
        <f>AVERAGE('26.09 Seeta-Mukono-24h'!J99,'28.09 Seeta-Mukono-24h'!J99)</f>
        <v>5.5</v>
      </c>
      <c r="K99" s="49">
        <f>AVERAGE('26.09 Seeta-Mukono-24h'!K99,'28.09 Seeta-Mukono-24h'!K99)</f>
        <v>1</v>
      </c>
      <c r="L99" s="49">
        <f>AVERAGE('26.09 Seeta-Mukono-24h'!L99,'28.09 Seeta-Mukono-24h'!L99)</f>
        <v>5</v>
      </c>
      <c r="M99" s="49">
        <f>AVERAGE('26.09 Seeta-Mukono-24h'!M99,'28.09 Seeta-Mukono-24h'!M99)</f>
        <v>8</v>
      </c>
      <c r="N99" s="49">
        <f>AVERAGE('26.09 Seeta-Mukono-24h'!N99,'28.09 Seeta-Mukono-24h'!N99)</f>
        <v>0</v>
      </c>
      <c r="O99" s="15">
        <f t="shared" si="35"/>
        <v>44.5</v>
      </c>
      <c r="P99" s="15">
        <f t="shared" si="36"/>
        <v>52.5</v>
      </c>
      <c r="R99" s="8"/>
      <c r="T99"/>
    </row>
    <row r="100" spans="2:20" ht="23.1" customHeight="1" x14ac:dyDescent="0.25">
      <c r="B100" s="25" t="s">
        <v>140</v>
      </c>
      <c r="C100" s="49">
        <f>AVERAGE('26.09 Seeta-Mukono-24h'!C100,'28.09 Seeta-Mukono-24h'!C100)</f>
        <v>11.5</v>
      </c>
      <c r="D100" s="49">
        <f>AVERAGE('26.09 Seeta-Mukono-24h'!D100,'28.09 Seeta-Mukono-24h'!D100)</f>
        <v>2.5</v>
      </c>
      <c r="E100" s="49">
        <f>AVERAGE('26.09 Seeta-Mukono-24h'!E100,'28.09 Seeta-Mukono-24h'!E100)</f>
        <v>1.5</v>
      </c>
      <c r="F100" s="49">
        <f>AVERAGE('26.09 Seeta-Mukono-24h'!F100,'28.09 Seeta-Mukono-24h'!F100)</f>
        <v>9.5</v>
      </c>
      <c r="G100" s="49">
        <f>AVERAGE('26.09 Seeta-Mukono-24h'!G100,'28.09 Seeta-Mukono-24h'!G100)</f>
        <v>1.5</v>
      </c>
      <c r="H100" s="49">
        <f>AVERAGE('26.09 Seeta-Mukono-24h'!H100,'28.09 Seeta-Mukono-24h'!H100)</f>
        <v>0.5</v>
      </c>
      <c r="I100" s="49">
        <f>AVERAGE('26.09 Seeta-Mukono-24h'!I100,'28.09 Seeta-Mukono-24h'!I100)</f>
        <v>3.5</v>
      </c>
      <c r="J100" s="49">
        <f>AVERAGE('26.09 Seeta-Mukono-24h'!J100,'28.09 Seeta-Mukono-24h'!J100)</f>
        <v>5</v>
      </c>
      <c r="K100" s="49">
        <f>AVERAGE('26.09 Seeta-Mukono-24h'!K100,'28.09 Seeta-Mukono-24h'!K100)</f>
        <v>1</v>
      </c>
      <c r="L100" s="49">
        <f>AVERAGE('26.09 Seeta-Mukono-24h'!L100,'28.09 Seeta-Mukono-24h'!L100)</f>
        <v>2.5</v>
      </c>
      <c r="M100" s="49">
        <f>AVERAGE('26.09 Seeta-Mukono-24h'!M100,'28.09 Seeta-Mukono-24h'!M100)</f>
        <v>6.5</v>
      </c>
      <c r="N100" s="49">
        <f>AVERAGE('26.09 Seeta-Mukono-24h'!N100,'28.09 Seeta-Mukono-24h'!N100)</f>
        <v>0</v>
      </c>
      <c r="O100" s="15">
        <f t="shared" si="35"/>
        <v>39</v>
      </c>
      <c r="P100" s="15">
        <f t="shared" si="36"/>
        <v>45.5</v>
      </c>
      <c r="R100" s="8"/>
      <c r="T100"/>
    </row>
    <row r="101" spans="2:20" ht="23.1" customHeight="1" x14ac:dyDescent="0.25">
      <c r="B101" s="23" t="s">
        <v>141</v>
      </c>
      <c r="C101" s="49">
        <f>AVERAGE('26.09 Seeta-Mukono-24h'!C101,'28.09 Seeta-Mukono-24h'!C101)</f>
        <v>15.5</v>
      </c>
      <c r="D101" s="49">
        <f>AVERAGE('26.09 Seeta-Mukono-24h'!D101,'28.09 Seeta-Mukono-24h'!D101)</f>
        <v>7</v>
      </c>
      <c r="E101" s="49">
        <f>AVERAGE('26.09 Seeta-Mukono-24h'!E101,'28.09 Seeta-Mukono-24h'!E101)</f>
        <v>4.5</v>
      </c>
      <c r="F101" s="49">
        <f>AVERAGE('26.09 Seeta-Mukono-24h'!F101,'28.09 Seeta-Mukono-24h'!F101)</f>
        <v>19</v>
      </c>
      <c r="G101" s="49">
        <f>AVERAGE('26.09 Seeta-Mukono-24h'!G101,'28.09 Seeta-Mukono-24h'!G101)</f>
        <v>1</v>
      </c>
      <c r="H101" s="49">
        <f>AVERAGE('26.09 Seeta-Mukono-24h'!H101,'28.09 Seeta-Mukono-24h'!H101)</f>
        <v>0</v>
      </c>
      <c r="I101" s="49">
        <f>AVERAGE('26.09 Seeta-Mukono-24h'!I101,'28.09 Seeta-Mukono-24h'!I101)</f>
        <v>3.5</v>
      </c>
      <c r="J101" s="49">
        <f>AVERAGE('26.09 Seeta-Mukono-24h'!J101,'28.09 Seeta-Mukono-24h'!J101)</f>
        <v>4</v>
      </c>
      <c r="K101" s="49">
        <f>AVERAGE('26.09 Seeta-Mukono-24h'!K101,'28.09 Seeta-Mukono-24h'!K101)</f>
        <v>1</v>
      </c>
      <c r="L101" s="49">
        <f>AVERAGE('26.09 Seeta-Mukono-24h'!L101,'28.09 Seeta-Mukono-24h'!L101)</f>
        <v>3.5</v>
      </c>
      <c r="M101" s="49">
        <f>AVERAGE('26.09 Seeta-Mukono-24h'!M101,'28.09 Seeta-Mukono-24h'!M101)</f>
        <v>6</v>
      </c>
      <c r="N101" s="49">
        <f>AVERAGE('26.09 Seeta-Mukono-24h'!N101,'28.09 Seeta-Mukono-24h'!N101)</f>
        <v>0</v>
      </c>
      <c r="O101" s="15">
        <f t="shared" si="35"/>
        <v>59</v>
      </c>
      <c r="P101" s="15">
        <f t="shared" si="36"/>
        <v>65</v>
      </c>
      <c r="R101" s="8"/>
      <c r="T101"/>
    </row>
    <row r="102" spans="2:20" ht="23.1" customHeight="1" x14ac:dyDescent="0.25">
      <c r="B102" s="24" t="s">
        <v>142</v>
      </c>
      <c r="C102" s="49">
        <f>AVERAGE('26.09 Seeta-Mukono-24h'!C102,'28.09 Seeta-Mukono-24h'!C102)</f>
        <v>17</v>
      </c>
      <c r="D102" s="49">
        <f>AVERAGE('26.09 Seeta-Mukono-24h'!D102,'28.09 Seeta-Mukono-24h'!D102)</f>
        <v>6.5</v>
      </c>
      <c r="E102" s="49">
        <f>AVERAGE('26.09 Seeta-Mukono-24h'!E102,'28.09 Seeta-Mukono-24h'!E102)</f>
        <v>4</v>
      </c>
      <c r="F102" s="49">
        <f>AVERAGE('26.09 Seeta-Mukono-24h'!F102,'28.09 Seeta-Mukono-24h'!F102)</f>
        <v>18</v>
      </c>
      <c r="G102" s="49">
        <f>AVERAGE('26.09 Seeta-Mukono-24h'!G102,'28.09 Seeta-Mukono-24h'!G102)</f>
        <v>1</v>
      </c>
      <c r="H102" s="49">
        <f>AVERAGE('26.09 Seeta-Mukono-24h'!H102,'28.09 Seeta-Mukono-24h'!H102)</f>
        <v>0.5</v>
      </c>
      <c r="I102" s="49">
        <f>AVERAGE('26.09 Seeta-Mukono-24h'!I102,'28.09 Seeta-Mukono-24h'!I102)</f>
        <v>4</v>
      </c>
      <c r="J102" s="49">
        <f>AVERAGE('26.09 Seeta-Mukono-24h'!J102,'28.09 Seeta-Mukono-24h'!J102)</f>
        <v>2.5</v>
      </c>
      <c r="K102" s="49">
        <f>AVERAGE('26.09 Seeta-Mukono-24h'!K102,'28.09 Seeta-Mukono-24h'!K102)</f>
        <v>2.5</v>
      </c>
      <c r="L102" s="49">
        <f>AVERAGE('26.09 Seeta-Mukono-24h'!L102,'28.09 Seeta-Mukono-24h'!L102)</f>
        <v>8</v>
      </c>
      <c r="M102" s="49">
        <f>AVERAGE('26.09 Seeta-Mukono-24h'!M102,'28.09 Seeta-Mukono-24h'!M102)</f>
        <v>10</v>
      </c>
      <c r="N102" s="49">
        <f>AVERAGE('26.09 Seeta-Mukono-24h'!N102,'28.09 Seeta-Mukono-24h'!N102)</f>
        <v>0</v>
      </c>
      <c r="O102" s="15">
        <f t="shared" si="35"/>
        <v>64</v>
      </c>
      <c r="P102" s="15">
        <f t="shared" si="36"/>
        <v>74</v>
      </c>
      <c r="R102" s="8"/>
      <c r="T102"/>
    </row>
    <row r="103" spans="2:20" ht="23.1" customHeight="1" x14ac:dyDescent="0.25">
      <c r="B103" s="23" t="s">
        <v>143</v>
      </c>
      <c r="C103" s="49">
        <f>AVERAGE('26.09 Seeta-Mukono-24h'!C103,'28.09 Seeta-Mukono-24h'!C103)</f>
        <v>17</v>
      </c>
      <c r="D103" s="49">
        <f>AVERAGE('26.09 Seeta-Mukono-24h'!D103,'28.09 Seeta-Mukono-24h'!D103)</f>
        <v>4</v>
      </c>
      <c r="E103" s="49">
        <f>AVERAGE('26.09 Seeta-Mukono-24h'!E103,'28.09 Seeta-Mukono-24h'!E103)</f>
        <v>3.5</v>
      </c>
      <c r="F103" s="49">
        <f>AVERAGE('26.09 Seeta-Mukono-24h'!F103,'28.09 Seeta-Mukono-24h'!F103)</f>
        <v>17</v>
      </c>
      <c r="G103" s="49">
        <f>AVERAGE('26.09 Seeta-Mukono-24h'!G103,'28.09 Seeta-Mukono-24h'!G103)</f>
        <v>0</v>
      </c>
      <c r="H103" s="49">
        <f>AVERAGE('26.09 Seeta-Mukono-24h'!H103,'28.09 Seeta-Mukono-24h'!H103)</f>
        <v>1</v>
      </c>
      <c r="I103" s="49">
        <f>AVERAGE('26.09 Seeta-Mukono-24h'!I103,'28.09 Seeta-Mukono-24h'!I103)</f>
        <v>4.5</v>
      </c>
      <c r="J103" s="49">
        <f>AVERAGE('26.09 Seeta-Mukono-24h'!J103,'28.09 Seeta-Mukono-24h'!J103)</f>
        <v>5</v>
      </c>
      <c r="K103" s="49">
        <f>AVERAGE('26.09 Seeta-Mukono-24h'!K103,'28.09 Seeta-Mukono-24h'!K103)</f>
        <v>0.5</v>
      </c>
      <c r="L103" s="49">
        <f>AVERAGE('26.09 Seeta-Mukono-24h'!L103,'28.09 Seeta-Mukono-24h'!L103)</f>
        <v>6.5</v>
      </c>
      <c r="M103" s="49">
        <f>AVERAGE('26.09 Seeta-Mukono-24h'!M103,'28.09 Seeta-Mukono-24h'!M103)</f>
        <v>16.5</v>
      </c>
      <c r="N103" s="49">
        <f>AVERAGE('26.09 Seeta-Mukono-24h'!N103,'28.09 Seeta-Mukono-24h'!N103)</f>
        <v>0</v>
      </c>
      <c r="O103" s="15">
        <f t="shared" si="35"/>
        <v>59</v>
      </c>
      <c r="P103" s="15">
        <f t="shared" si="36"/>
        <v>75.5</v>
      </c>
      <c r="R103" s="8"/>
      <c r="T103"/>
    </row>
    <row r="104" spans="2:20" ht="23.1" customHeight="1" x14ac:dyDescent="0.25">
      <c r="B104" s="25" t="s">
        <v>144</v>
      </c>
      <c r="C104" s="49">
        <f>AVERAGE('26.09 Seeta-Mukono-24h'!C104,'28.09 Seeta-Mukono-24h'!C104)</f>
        <v>22.5</v>
      </c>
      <c r="D104" s="49">
        <f>AVERAGE('26.09 Seeta-Mukono-24h'!D104,'28.09 Seeta-Mukono-24h'!D104)</f>
        <v>8</v>
      </c>
      <c r="E104" s="49">
        <f>AVERAGE('26.09 Seeta-Mukono-24h'!E104,'28.09 Seeta-Mukono-24h'!E104)</f>
        <v>5.5</v>
      </c>
      <c r="F104" s="49">
        <f>AVERAGE('26.09 Seeta-Mukono-24h'!F104,'28.09 Seeta-Mukono-24h'!F104)</f>
        <v>33.5</v>
      </c>
      <c r="G104" s="49">
        <f>AVERAGE('26.09 Seeta-Mukono-24h'!G104,'28.09 Seeta-Mukono-24h'!G104)</f>
        <v>1.5</v>
      </c>
      <c r="H104" s="49">
        <f>AVERAGE('26.09 Seeta-Mukono-24h'!H104,'28.09 Seeta-Mukono-24h'!H104)</f>
        <v>0.5</v>
      </c>
      <c r="I104" s="49">
        <f>AVERAGE('26.09 Seeta-Mukono-24h'!I104,'28.09 Seeta-Mukono-24h'!I104)</f>
        <v>13.5</v>
      </c>
      <c r="J104" s="49">
        <f>AVERAGE('26.09 Seeta-Mukono-24h'!J104,'28.09 Seeta-Mukono-24h'!J104)</f>
        <v>4</v>
      </c>
      <c r="K104" s="49">
        <f>AVERAGE('26.09 Seeta-Mukono-24h'!K104,'28.09 Seeta-Mukono-24h'!K104)</f>
        <v>5.5</v>
      </c>
      <c r="L104" s="49">
        <f>AVERAGE('26.09 Seeta-Mukono-24h'!L104,'28.09 Seeta-Mukono-24h'!L104)</f>
        <v>10</v>
      </c>
      <c r="M104" s="49">
        <f>AVERAGE('26.09 Seeta-Mukono-24h'!M104,'28.09 Seeta-Mukono-24h'!M104)</f>
        <v>30</v>
      </c>
      <c r="N104" s="49">
        <f>AVERAGE('26.09 Seeta-Mukono-24h'!N104,'28.09 Seeta-Mukono-24h'!N104)</f>
        <v>0</v>
      </c>
      <c r="O104" s="15">
        <f t="shared" si="35"/>
        <v>104.5</v>
      </c>
      <c r="P104" s="15">
        <f t="shared" si="36"/>
        <v>134.5</v>
      </c>
      <c r="R104" s="8"/>
      <c r="T104"/>
    </row>
    <row r="105" spans="2:20" ht="23.1" customHeight="1" x14ac:dyDescent="0.25">
      <c r="B105" s="23" t="s">
        <v>145</v>
      </c>
      <c r="C105" s="49">
        <f>AVERAGE('26.09 Seeta-Mukono-24h'!C105,'28.09 Seeta-Mukono-24h'!C105)</f>
        <v>17.5</v>
      </c>
      <c r="D105" s="49">
        <f>AVERAGE('26.09 Seeta-Mukono-24h'!D105,'28.09 Seeta-Mukono-24h'!D105)</f>
        <v>8.5</v>
      </c>
      <c r="E105" s="49">
        <f>AVERAGE('26.09 Seeta-Mukono-24h'!E105,'28.09 Seeta-Mukono-24h'!E105)</f>
        <v>7.5</v>
      </c>
      <c r="F105" s="49">
        <f>AVERAGE('26.09 Seeta-Mukono-24h'!F105,'28.09 Seeta-Mukono-24h'!F105)</f>
        <v>41.5</v>
      </c>
      <c r="G105" s="49">
        <f>AVERAGE('26.09 Seeta-Mukono-24h'!G105,'28.09 Seeta-Mukono-24h'!G105)</f>
        <v>1.5</v>
      </c>
      <c r="H105" s="49">
        <f>AVERAGE('26.09 Seeta-Mukono-24h'!H105,'28.09 Seeta-Mukono-24h'!H105)</f>
        <v>0</v>
      </c>
      <c r="I105" s="49">
        <f>AVERAGE('26.09 Seeta-Mukono-24h'!I105,'28.09 Seeta-Mukono-24h'!I105)</f>
        <v>8.5</v>
      </c>
      <c r="J105" s="49">
        <f>AVERAGE('26.09 Seeta-Mukono-24h'!J105,'28.09 Seeta-Mukono-24h'!J105)</f>
        <v>1.5</v>
      </c>
      <c r="K105" s="49">
        <f>AVERAGE('26.09 Seeta-Mukono-24h'!K105,'28.09 Seeta-Mukono-24h'!K105)</f>
        <v>2</v>
      </c>
      <c r="L105" s="49">
        <f>AVERAGE('26.09 Seeta-Mukono-24h'!L105,'28.09 Seeta-Mukono-24h'!L105)</f>
        <v>10</v>
      </c>
      <c r="M105" s="49">
        <f>AVERAGE('26.09 Seeta-Mukono-24h'!M105,'28.09 Seeta-Mukono-24h'!M105)</f>
        <v>27.5</v>
      </c>
      <c r="N105" s="49">
        <f>AVERAGE('26.09 Seeta-Mukono-24h'!N105,'28.09 Seeta-Mukono-24h'!N105)</f>
        <v>0</v>
      </c>
      <c r="O105" s="15">
        <f t="shared" si="35"/>
        <v>98.5</v>
      </c>
      <c r="P105" s="15">
        <f t="shared" si="36"/>
        <v>126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3772.7857142857138</v>
      </c>
      <c r="D106" s="16">
        <f t="shared" ref="D106:P106" si="37">SUM(D10:D105)</f>
        <v>691.21428571428578</v>
      </c>
      <c r="E106" s="16">
        <f t="shared" si="37"/>
        <v>554.28571428571422</v>
      </c>
      <c r="F106" s="16">
        <f t="shared" si="37"/>
        <v>3269.7142857142858</v>
      </c>
      <c r="G106" s="16">
        <f t="shared" si="37"/>
        <v>231.28571428571428</v>
      </c>
      <c r="H106" s="16">
        <f t="shared" si="37"/>
        <v>90.357142857142847</v>
      </c>
      <c r="I106" s="16">
        <f t="shared" si="37"/>
        <v>935.64285714285711</v>
      </c>
      <c r="J106" s="16">
        <f t="shared" si="37"/>
        <v>503.92857142857144</v>
      </c>
      <c r="K106" s="16">
        <f t="shared" si="37"/>
        <v>281.21428571428572</v>
      </c>
      <c r="L106" s="16">
        <f t="shared" si="37"/>
        <v>915.21428571428567</v>
      </c>
      <c r="M106" s="16">
        <f t="shared" si="37"/>
        <v>8074.1428571428587</v>
      </c>
      <c r="N106" s="16">
        <f t="shared" si="37"/>
        <v>16.642857142857142</v>
      </c>
      <c r="O106" s="16">
        <f t="shared" si="37"/>
        <v>11262.285714285714</v>
      </c>
      <c r="P106" s="16">
        <f t="shared" si="37"/>
        <v>19336.428571428572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0.19511285139078716</v>
      </c>
      <c r="D107" s="43">
        <f t="shared" si="38"/>
        <v>3.5746740053932254E-2</v>
      </c>
      <c r="E107" s="43">
        <f t="shared" si="38"/>
        <v>2.8665361456909604E-2</v>
      </c>
      <c r="F107" s="43">
        <f t="shared" si="38"/>
        <v>0.16909608067673895</v>
      </c>
      <c r="G107" s="43">
        <f t="shared" si="38"/>
        <v>1.1961139226478519E-2</v>
      </c>
      <c r="H107" s="43">
        <f t="shared" si="38"/>
        <v>4.6728971962616819E-3</v>
      </c>
      <c r="I107" s="43">
        <f t="shared" si="38"/>
        <v>4.8387573418048828E-2</v>
      </c>
      <c r="J107" s="43">
        <f t="shared" si="38"/>
        <v>2.6061098592589857E-2</v>
      </c>
      <c r="K107" s="43">
        <f t="shared" si="38"/>
        <v>1.4543238151527464E-2</v>
      </c>
      <c r="L107" s="43">
        <f t="shared" si="38"/>
        <v>4.7331092312807056E-2</v>
      </c>
      <c r="M107" s="43">
        <f t="shared" si="38"/>
        <v>0.41756122788223565</v>
      </c>
      <c r="N107" s="43">
        <f t="shared" si="38"/>
        <v>8.6069964168298174E-4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0.33499289664620219</v>
      </c>
      <c r="D108" s="44">
        <f t="shared" ref="D108:N108" si="39">D106/$O$106</f>
        <v>6.1374245268658999E-2</v>
      </c>
      <c r="E108" s="44">
        <f t="shared" si="39"/>
        <v>4.9216094170176056E-2</v>
      </c>
      <c r="F108" s="44">
        <f t="shared" si="39"/>
        <v>0.29032421736262626</v>
      </c>
      <c r="G108" s="44">
        <f t="shared" si="39"/>
        <v>2.053630321173068E-2</v>
      </c>
      <c r="H108" s="44">
        <f t="shared" si="39"/>
        <v>8.0229844233598857E-3</v>
      </c>
      <c r="I108" s="44">
        <f t="shared" si="39"/>
        <v>8.3077528032878378E-2</v>
      </c>
      <c r="J108" s="44">
        <f t="shared" si="39"/>
        <v>4.474478664569486E-2</v>
      </c>
      <c r="K108" s="44">
        <f t="shared" si="39"/>
        <v>2.4969557055152469E-2</v>
      </c>
      <c r="L108" s="44">
        <f t="shared" si="39"/>
        <v>8.1263635902379616E-2</v>
      </c>
      <c r="M108" s="44"/>
      <c r="N108" s="44">
        <f t="shared" si="39"/>
        <v>1.4777512811405956E-3</v>
      </c>
      <c r="Q108" s="7"/>
      <c r="R108" s="8"/>
      <c r="T108"/>
    </row>
    <row r="109" spans="2:20" ht="20.10000000000000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0.10000000000000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0.10000000000000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0.10000000000000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0.10000000000000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0.10000000000000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0.10000000000000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0.10000000000000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0.10000000000000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0.10000000000000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0.10000000000000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0.10000000000000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0.10000000000000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0.10000000000000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0.10000000000000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0.10000000000000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0.10000000000000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0.10000000000000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0.10000000000000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0.10000000000000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0.10000000000000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0.10000000000000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0.10000000000000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0.10000000000000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0.10000000000000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0.10000000000000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0.10000000000000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0.10000000000000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0.10000000000000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2.5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0.10000000000000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0.10000000000000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0.10000000000000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0.10000000000000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0.10000000000000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0.10000000000000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0.10000000000000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0.10000000000000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0.10000000000000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0.10000000000000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0.10000000000000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0.10000000000000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0.10000000000000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0.10000000000000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0.10000000000000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0.10000000000000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0.10000000000000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0.10000000000000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0.10000000000000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0.10000000000000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0.10000000000000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0.10000000000000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10">
    <mergeCell ref="R8:AF8"/>
    <mergeCell ref="D6:E6"/>
    <mergeCell ref="K5:L5"/>
    <mergeCell ref="K6:L6"/>
    <mergeCell ref="D5:E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21" orientation="landscape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9" tint="-0.249977111117893"/>
  </sheetPr>
  <dimension ref="B1:AF174"/>
  <sheetViews>
    <sheetView view="pageBreakPreview" topLeftCell="S49" zoomScale="60" workbookViewId="0">
      <selection activeCell="C62" sqref="C62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2" t="s">
        <v>23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  <c r="AE1" s="62"/>
    </row>
    <row r="2" spans="2:32" ht="20.100000000000001" customHeight="1" x14ac:dyDescent="0.25">
      <c r="B2" s="63" t="s">
        <v>95</v>
      </c>
      <c r="C2" s="63"/>
      <c r="D2" s="63"/>
      <c r="E2" s="63"/>
      <c r="F2" s="63"/>
      <c r="G2" s="63"/>
      <c r="H2" s="63"/>
      <c r="I2" s="63"/>
      <c r="J2" s="63"/>
      <c r="K2" s="63"/>
      <c r="L2" s="63"/>
      <c r="M2" s="63"/>
      <c r="N2" s="63"/>
      <c r="O2" s="63"/>
      <c r="P2" s="63"/>
      <c r="Q2" s="63"/>
      <c r="R2" s="63"/>
      <c r="S2" s="63"/>
      <c r="T2" s="63"/>
      <c r="U2" s="63"/>
      <c r="V2" s="63"/>
      <c r="W2" s="63"/>
      <c r="X2" s="63"/>
      <c r="Y2" s="63"/>
      <c r="Z2" s="63"/>
      <c r="AA2" s="63"/>
      <c r="AB2" s="63"/>
      <c r="AC2" s="63"/>
      <c r="AD2" s="63"/>
      <c r="AE2" s="63"/>
    </row>
    <row r="3" spans="2:32" ht="20.100000000000001" customHeight="1" x14ac:dyDescent="0.25">
      <c r="B3" s="22" t="s">
        <v>96</v>
      </c>
      <c r="C3" s="67" t="str">
        <f>'29.09 Mukono-Seeta'!C3:G3</f>
        <v>MCC - C2 - STN074 - SONDE  ROAD</v>
      </c>
      <c r="D3" s="67"/>
      <c r="E3" s="67"/>
      <c r="F3" s="67"/>
      <c r="G3" s="67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72" t="s">
        <v>164</v>
      </c>
      <c r="E5" s="73"/>
      <c r="F5" s="41" t="s">
        <v>1</v>
      </c>
      <c r="G5" s="68" t="str">
        <f>'29.09 Mukono-Seeta'!G5:H5</f>
        <v>STATION 74</v>
      </c>
      <c r="H5" s="69"/>
      <c r="I5" s="14"/>
      <c r="J5" s="2" t="s">
        <v>5</v>
      </c>
      <c r="K5" s="68" t="str">
        <f>'29.09 Mukono-Seeta'!K5:L5</f>
        <v>VICTOR</v>
      </c>
      <c r="L5" s="69"/>
      <c r="M5" s="10"/>
      <c r="N5" s="10"/>
      <c r="O5" s="3"/>
      <c r="P5" s="3"/>
    </row>
    <row r="6" spans="2:32" ht="23.25" customHeight="1" x14ac:dyDescent="0.25">
      <c r="C6" s="2" t="s">
        <v>4</v>
      </c>
      <c r="D6" s="68" t="str">
        <f>'29.09 Mukono-Seeta'!D6:E6</f>
        <v>MUKONO</v>
      </c>
      <c r="E6" s="69"/>
      <c r="F6" s="2" t="s">
        <v>2</v>
      </c>
      <c r="G6" s="68" t="str">
        <f>'29.09 Mukono-Seeta'!G6:H6</f>
        <v>SEETA</v>
      </c>
      <c r="H6" s="69"/>
      <c r="J6" s="2" t="s">
        <v>21</v>
      </c>
      <c r="K6" s="68" t="str">
        <f>'29.09 Mukono-Seeta'!K6:L6</f>
        <v>Tracy</v>
      </c>
      <c r="L6" s="69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1" t="s">
        <v>88</v>
      </c>
      <c r="S8" s="61"/>
      <c r="T8" s="61"/>
      <c r="U8" s="61"/>
      <c r="V8" s="61"/>
      <c r="W8" s="61"/>
      <c r="X8" s="61"/>
      <c r="Y8" s="61"/>
      <c r="Z8" s="61"/>
      <c r="AA8" s="61"/>
      <c r="AB8" s="61"/>
      <c r="AC8" s="61"/>
      <c r="AD8" s="61"/>
      <c r="AE8" s="61"/>
      <c r="AF8" s="61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49">
        <f>AVERAGE('23.09 Mukono-Seeta'!C10,'24.09 Mukono-Seeta'!C10,'25.09 Mukono-Seeta'!C10,'27.09 Mukono-Seeta'!C10,'26.09 Mukono-Seeta-24h'!C10,'28.09 Mukono-Seeta-24h'!C10,'29.09 Mukono-Seeta'!C10)</f>
        <v>41.571428571428569</v>
      </c>
      <c r="D10" s="49">
        <f>AVERAGE('23.09 Mukono-Seeta'!D10,'24.09 Mukono-Seeta'!D10,'25.09 Mukono-Seeta'!D10,'27.09 Mukono-Seeta'!D10,'26.09 Mukono-Seeta-24h'!D10,'28.09 Mukono-Seeta-24h'!D10,'29.09 Mukono-Seeta'!D10)</f>
        <v>9.4285714285714288</v>
      </c>
      <c r="E10" s="49">
        <f>AVERAGE('23.09 Mukono-Seeta'!E10,'24.09 Mukono-Seeta'!E10,'25.09 Mukono-Seeta'!E10,'27.09 Mukono-Seeta'!E10,'26.09 Mukono-Seeta-24h'!E10,'28.09 Mukono-Seeta-24h'!E10,'29.09 Mukono-Seeta'!E10)</f>
        <v>7</v>
      </c>
      <c r="F10" s="49">
        <f>AVERAGE('23.09 Mukono-Seeta'!F10,'24.09 Mukono-Seeta'!F10,'25.09 Mukono-Seeta'!F10,'27.09 Mukono-Seeta'!F10,'26.09 Mukono-Seeta-24h'!F10,'28.09 Mukono-Seeta-24h'!F10,'29.09 Mukono-Seeta'!F10)</f>
        <v>27.857142857142858</v>
      </c>
      <c r="G10" s="49">
        <f>AVERAGE('23.09 Mukono-Seeta'!G10,'24.09 Mukono-Seeta'!G10,'25.09 Mukono-Seeta'!G10,'27.09 Mukono-Seeta'!G10,'26.09 Mukono-Seeta-24h'!G10,'28.09 Mukono-Seeta-24h'!G10,'29.09 Mukono-Seeta'!G10)</f>
        <v>3.8571428571428572</v>
      </c>
      <c r="H10" s="49">
        <f>AVERAGE('23.09 Mukono-Seeta'!H10,'24.09 Mukono-Seeta'!H10,'25.09 Mukono-Seeta'!H10,'27.09 Mukono-Seeta'!H10,'26.09 Mukono-Seeta-24h'!H10,'28.09 Mukono-Seeta-24h'!H10,'29.09 Mukono-Seeta'!H10)</f>
        <v>1.5714285714285714</v>
      </c>
      <c r="I10" s="49">
        <f>AVERAGE('23.09 Mukono-Seeta'!I10,'24.09 Mukono-Seeta'!I10,'25.09 Mukono-Seeta'!I10,'27.09 Mukono-Seeta'!I10,'26.09 Mukono-Seeta-24h'!I10,'28.09 Mukono-Seeta-24h'!I10,'29.09 Mukono-Seeta'!I10)</f>
        <v>2.5714285714285716</v>
      </c>
      <c r="J10" s="49">
        <f>AVERAGE('23.09 Mukono-Seeta'!J10,'24.09 Mukono-Seeta'!J10,'25.09 Mukono-Seeta'!J10,'27.09 Mukono-Seeta'!J10,'26.09 Mukono-Seeta-24h'!J10,'28.09 Mukono-Seeta-24h'!J10,'29.09 Mukono-Seeta'!J10)</f>
        <v>4.4285714285714288</v>
      </c>
      <c r="K10" s="49">
        <f>AVERAGE('23.09 Mukono-Seeta'!K10,'24.09 Mukono-Seeta'!K10,'25.09 Mukono-Seeta'!K10,'27.09 Mukono-Seeta'!K10,'26.09 Mukono-Seeta-24h'!K10,'28.09 Mukono-Seeta-24h'!K10,'29.09 Mukono-Seeta'!K10)</f>
        <v>2.1428571428571428</v>
      </c>
      <c r="L10" s="49">
        <f>AVERAGE('23.09 Mukono-Seeta'!L10,'24.09 Mukono-Seeta'!L10,'25.09 Mukono-Seeta'!L10,'27.09 Mukono-Seeta'!L10,'26.09 Mukono-Seeta-24h'!L10,'28.09 Mukono-Seeta-24h'!L10,'29.09 Mukono-Seeta'!L10)</f>
        <v>13.714285714285714</v>
      </c>
      <c r="M10" s="49">
        <f>AVERAGE('23.09 Mukono-Seeta'!M10,'24.09 Mukono-Seeta'!M10,'25.09 Mukono-Seeta'!M10,'27.09 Mukono-Seeta'!M10,'26.09 Mukono-Seeta-24h'!M10,'28.09 Mukono-Seeta-24h'!M10,'29.09 Mukono-Seeta'!M10)</f>
        <v>110.28571428571429</v>
      </c>
      <c r="N10" s="49">
        <f>AVERAGE('23.09 Mukono-Seeta'!N10,'24.09 Mukono-Seeta'!N10,'25.09 Mukono-Seeta'!N10,'27.09 Mukono-Seeta'!N10,'26.09 Mukono-Seeta-24h'!N10,'28.09 Mukono-Seeta-24h'!N10,'29.09 Mukono-Seeta'!N10)</f>
        <v>0</v>
      </c>
      <c r="O10" s="15">
        <f t="shared" ref="O10:O73" si="0">SUM(C10:L10,N10)</f>
        <v>114.14285714285714</v>
      </c>
      <c r="P10" s="15">
        <f t="shared" ref="P10:P73" si="1">SUM(C10:N10)</f>
        <v>224.42857142857144</v>
      </c>
      <c r="R10" s="1" t="s">
        <v>6</v>
      </c>
      <c r="S10" s="17">
        <f t="shared" ref="S10:AF10" si="2">SUM(C10:C13)</f>
        <v>112.14285714285714</v>
      </c>
      <c r="T10" s="17">
        <f t="shared" si="2"/>
        <v>33.571428571428577</v>
      </c>
      <c r="U10" s="17">
        <f t="shared" si="2"/>
        <v>23.571428571428573</v>
      </c>
      <c r="V10" s="17">
        <f t="shared" si="2"/>
        <v>139.71428571428572</v>
      </c>
      <c r="W10" s="17">
        <f t="shared" si="2"/>
        <v>9.8571428571428559</v>
      </c>
      <c r="X10" s="17">
        <f t="shared" si="2"/>
        <v>2.5714285714285712</v>
      </c>
      <c r="Y10" s="17">
        <f t="shared" si="2"/>
        <v>9.5714285714285712</v>
      </c>
      <c r="Z10" s="17">
        <f t="shared" si="2"/>
        <v>12.714285714285714</v>
      </c>
      <c r="AA10" s="17">
        <f t="shared" si="2"/>
        <v>9.5714285714285712</v>
      </c>
      <c r="AB10" s="17">
        <f t="shared" si="2"/>
        <v>57.714285714285708</v>
      </c>
      <c r="AC10" s="17">
        <f t="shared" si="2"/>
        <v>503.14285714285722</v>
      </c>
      <c r="AD10" s="17">
        <f t="shared" si="2"/>
        <v>0</v>
      </c>
      <c r="AE10" s="31">
        <f t="shared" si="2"/>
        <v>410.99999999999994</v>
      </c>
      <c r="AF10" s="31">
        <f t="shared" si="2"/>
        <v>914.14285714285711</v>
      </c>
    </row>
    <row r="11" spans="2:32" s="6" customFormat="1" ht="23.1" customHeight="1" x14ac:dyDescent="0.25">
      <c r="B11" s="23" t="s">
        <v>38</v>
      </c>
      <c r="C11" s="49">
        <f>AVERAGE('23.09 Mukono-Seeta'!C11,'24.09 Mukono-Seeta'!C11,'25.09 Mukono-Seeta'!C11,'27.09 Mukono-Seeta'!C11,'26.09 Mukono-Seeta-24h'!C11,'28.09 Mukono-Seeta-24h'!C11,'29.09 Mukono-Seeta'!C11)</f>
        <v>21.142857142857142</v>
      </c>
      <c r="D11" s="49">
        <f>AVERAGE('23.09 Mukono-Seeta'!D11,'24.09 Mukono-Seeta'!D11,'25.09 Mukono-Seeta'!D11,'27.09 Mukono-Seeta'!D11,'26.09 Mukono-Seeta-24h'!D11,'28.09 Mukono-Seeta-24h'!D11,'29.09 Mukono-Seeta'!D11)</f>
        <v>7</v>
      </c>
      <c r="E11" s="49">
        <f>AVERAGE('23.09 Mukono-Seeta'!E11,'24.09 Mukono-Seeta'!E11,'25.09 Mukono-Seeta'!E11,'27.09 Mukono-Seeta'!E11,'26.09 Mukono-Seeta-24h'!E11,'28.09 Mukono-Seeta-24h'!E11,'29.09 Mukono-Seeta'!E11)</f>
        <v>4.7142857142857144</v>
      </c>
      <c r="F11" s="49">
        <f>AVERAGE('23.09 Mukono-Seeta'!F11,'24.09 Mukono-Seeta'!F11,'25.09 Mukono-Seeta'!F11,'27.09 Mukono-Seeta'!F11,'26.09 Mukono-Seeta-24h'!F11,'28.09 Mukono-Seeta-24h'!F11,'29.09 Mukono-Seeta'!F11)</f>
        <v>35.857142857142854</v>
      </c>
      <c r="G11" s="49">
        <f>AVERAGE('23.09 Mukono-Seeta'!G11,'24.09 Mukono-Seeta'!G11,'25.09 Mukono-Seeta'!G11,'27.09 Mukono-Seeta'!G11,'26.09 Mukono-Seeta-24h'!G11,'28.09 Mukono-Seeta-24h'!G11,'29.09 Mukono-Seeta'!G11)</f>
        <v>1.7142857142857142</v>
      </c>
      <c r="H11" s="49">
        <f>AVERAGE('23.09 Mukono-Seeta'!H11,'24.09 Mukono-Seeta'!H11,'25.09 Mukono-Seeta'!H11,'27.09 Mukono-Seeta'!H11,'26.09 Mukono-Seeta-24h'!H11,'28.09 Mukono-Seeta-24h'!H11,'29.09 Mukono-Seeta'!H11)</f>
        <v>0.14285714285714285</v>
      </c>
      <c r="I11" s="49">
        <f>AVERAGE('23.09 Mukono-Seeta'!I11,'24.09 Mukono-Seeta'!I11,'25.09 Mukono-Seeta'!I11,'27.09 Mukono-Seeta'!I11,'26.09 Mukono-Seeta-24h'!I11,'28.09 Mukono-Seeta-24h'!I11,'29.09 Mukono-Seeta'!I11)</f>
        <v>1.7142857142857142</v>
      </c>
      <c r="J11" s="49">
        <f>AVERAGE('23.09 Mukono-Seeta'!J11,'24.09 Mukono-Seeta'!J11,'25.09 Mukono-Seeta'!J11,'27.09 Mukono-Seeta'!J11,'26.09 Mukono-Seeta-24h'!J11,'28.09 Mukono-Seeta-24h'!J11,'29.09 Mukono-Seeta'!J11)</f>
        <v>2.5714285714285716</v>
      </c>
      <c r="K11" s="49">
        <f>AVERAGE('23.09 Mukono-Seeta'!K11,'24.09 Mukono-Seeta'!K11,'25.09 Mukono-Seeta'!K11,'27.09 Mukono-Seeta'!K11,'26.09 Mukono-Seeta-24h'!K11,'28.09 Mukono-Seeta-24h'!K11,'29.09 Mukono-Seeta'!K11)</f>
        <v>2.1428571428571428</v>
      </c>
      <c r="L11" s="49">
        <f>AVERAGE('23.09 Mukono-Seeta'!L11,'24.09 Mukono-Seeta'!L11,'25.09 Mukono-Seeta'!L11,'27.09 Mukono-Seeta'!L11,'26.09 Mukono-Seeta-24h'!L11,'28.09 Mukono-Seeta-24h'!L11,'29.09 Mukono-Seeta'!L11)</f>
        <v>16.285714285714285</v>
      </c>
      <c r="M11" s="49">
        <f>AVERAGE('23.09 Mukono-Seeta'!M11,'24.09 Mukono-Seeta'!M11,'25.09 Mukono-Seeta'!M11,'27.09 Mukono-Seeta'!M11,'26.09 Mukono-Seeta-24h'!M11,'28.09 Mukono-Seeta-24h'!M11,'29.09 Mukono-Seeta'!M11)</f>
        <v>106.42857142857143</v>
      </c>
      <c r="N11" s="49">
        <f>AVERAGE('23.09 Mukono-Seeta'!N11,'24.09 Mukono-Seeta'!N11,'25.09 Mukono-Seeta'!N11,'27.09 Mukono-Seeta'!N11,'26.09 Mukono-Seeta-24h'!N11,'28.09 Mukono-Seeta-24h'!N11,'29.09 Mukono-Seeta'!N11)</f>
        <v>0</v>
      </c>
      <c r="O11" s="15">
        <f t="shared" si="0"/>
        <v>93.285714285714249</v>
      </c>
      <c r="P11" s="15">
        <f t="shared" si="1"/>
        <v>199.71428571428567</v>
      </c>
      <c r="R11" s="1" t="s">
        <v>7</v>
      </c>
      <c r="S11" s="17">
        <f t="shared" ref="S11:AF11" si="3">SUM(C14:C17)</f>
        <v>95.428571428571416</v>
      </c>
      <c r="T11" s="17">
        <f t="shared" si="3"/>
        <v>42.571428571428569</v>
      </c>
      <c r="U11" s="17">
        <f t="shared" si="3"/>
        <v>19.285714285714285</v>
      </c>
      <c r="V11" s="17">
        <f t="shared" si="3"/>
        <v>172.57142857142856</v>
      </c>
      <c r="W11" s="17">
        <f t="shared" si="3"/>
        <v>9.5714285714285712</v>
      </c>
      <c r="X11" s="17">
        <f t="shared" si="3"/>
        <v>3.5714285714285712</v>
      </c>
      <c r="Y11" s="17">
        <f t="shared" si="3"/>
        <v>17</v>
      </c>
      <c r="Z11" s="17">
        <f t="shared" si="3"/>
        <v>14.857142857142858</v>
      </c>
      <c r="AA11" s="17">
        <f t="shared" si="3"/>
        <v>13.571428571428571</v>
      </c>
      <c r="AB11" s="17">
        <f t="shared" si="3"/>
        <v>60.857142857142854</v>
      </c>
      <c r="AC11" s="17">
        <f t="shared" si="3"/>
        <v>567.85714285714289</v>
      </c>
      <c r="AD11" s="17">
        <f t="shared" si="3"/>
        <v>0</v>
      </c>
      <c r="AE11" s="31">
        <f t="shared" si="3"/>
        <v>449.28571428571433</v>
      </c>
      <c r="AF11" s="31">
        <f t="shared" si="3"/>
        <v>1017.1428571428572</v>
      </c>
    </row>
    <row r="12" spans="2:32" ht="23.1" customHeight="1" x14ac:dyDescent="0.25">
      <c r="B12" s="23" t="s">
        <v>39</v>
      </c>
      <c r="C12" s="49">
        <f>AVERAGE('23.09 Mukono-Seeta'!C12,'24.09 Mukono-Seeta'!C12,'25.09 Mukono-Seeta'!C12,'27.09 Mukono-Seeta'!C12,'26.09 Mukono-Seeta-24h'!C12,'28.09 Mukono-Seeta-24h'!C12,'29.09 Mukono-Seeta'!C12)</f>
        <v>23.714285714285715</v>
      </c>
      <c r="D12" s="49">
        <f>AVERAGE('23.09 Mukono-Seeta'!D12,'24.09 Mukono-Seeta'!D12,'25.09 Mukono-Seeta'!D12,'27.09 Mukono-Seeta'!D12,'26.09 Mukono-Seeta-24h'!D12,'28.09 Mukono-Seeta-24h'!D12,'29.09 Mukono-Seeta'!D12)</f>
        <v>8.8571428571428577</v>
      </c>
      <c r="E12" s="49">
        <f>AVERAGE('23.09 Mukono-Seeta'!E12,'24.09 Mukono-Seeta'!E12,'25.09 Mukono-Seeta'!E12,'27.09 Mukono-Seeta'!E12,'26.09 Mukono-Seeta-24h'!E12,'28.09 Mukono-Seeta-24h'!E12,'29.09 Mukono-Seeta'!E12)</f>
        <v>4.8571428571428568</v>
      </c>
      <c r="F12" s="49">
        <f>AVERAGE('23.09 Mukono-Seeta'!F12,'24.09 Mukono-Seeta'!F12,'25.09 Mukono-Seeta'!F12,'27.09 Mukono-Seeta'!F12,'26.09 Mukono-Seeta-24h'!F12,'28.09 Mukono-Seeta-24h'!F12,'29.09 Mukono-Seeta'!F12)</f>
        <v>41.571428571428569</v>
      </c>
      <c r="G12" s="49">
        <f>AVERAGE('23.09 Mukono-Seeta'!G12,'24.09 Mukono-Seeta'!G12,'25.09 Mukono-Seeta'!G12,'27.09 Mukono-Seeta'!G12,'26.09 Mukono-Seeta-24h'!G12,'28.09 Mukono-Seeta-24h'!G12,'29.09 Mukono-Seeta'!G12)</f>
        <v>2.7142857142857144</v>
      </c>
      <c r="H12" s="49">
        <f>AVERAGE('23.09 Mukono-Seeta'!H12,'24.09 Mukono-Seeta'!H12,'25.09 Mukono-Seeta'!H12,'27.09 Mukono-Seeta'!H12,'26.09 Mukono-Seeta-24h'!H12,'28.09 Mukono-Seeta-24h'!H12,'29.09 Mukono-Seeta'!H12)</f>
        <v>0.5714285714285714</v>
      </c>
      <c r="I12" s="49">
        <f>AVERAGE('23.09 Mukono-Seeta'!I12,'24.09 Mukono-Seeta'!I12,'25.09 Mukono-Seeta'!I12,'27.09 Mukono-Seeta'!I12,'26.09 Mukono-Seeta-24h'!I12,'28.09 Mukono-Seeta-24h'!I12,'29.09 Mukono-Seeta'!I12)</f>
        <v>1.7142857142857142</v>
      </c>
      <c r="J12" s="49">
        <f>AVERAGE('23.09 Mukono-Seeta'!J12,'24.09 Mukono-Seeta'!J12,'25.09 Mukono-Seeta'!J12,'27.09 Mukono-Seeta'!J12,'26.09 Mukono-Seeta-24h'!J12,'28.09 Mukono-Seeta-24h'!J12,'29.09 Mukono-Seeta'!J12)</f>
        <v>3.1428571428571428</v>
      </c>
      <c r="K12" s="49">
        <f>AVERAGE('23.09 Mukono-Seeta'!K12,'24.09 Mukono-Seeta'!K12,'25.09 Mukono-Seeta'!K12,'27.09 Mukono-Seeta'!K12,'26.09 Mukono-Seeta-24h'!K12,'28.09 Mukono-Seeta-24h'!K12,'29.09 Mukono-Seeta'!K12)</f>
        <v>2.8571428571428572</v>
      </c>
      <c r="L12" s="49">
        <f>AVERAGE('23.09 Mukono-Seeta'!L12,'24.09 Mukono-Seeta'!L12,'25.09 Mukono-Seeta'!L12,'27.09 Mukono-Seeta'!L12,'26.09 Mukono-Seeta-24h'!L12,'28.09 Mukono-Seeta-24h'!L12,'29.09 Mukono-Seeta'!L12)</f>
        <v>15.142857142857142</v>
      </c>
      <c r="M12" s="49">
        <f>AVERAGE('23.09 Mukono-Seeta'!M12,'24.09 Mukono-Seeta'!M12,'25.09 Mukono-Seeta'!M12,'27.09 Mukono-Seeta'!M12,'26.09 Mukono-Seeta-24h'!M12,'28.09 Mukono-Seeta-24h'!M12,'29.09 Mukono-Seeta'!M12)</f>
        <v>132.57142857142858</v>
      </c>
      <c r="N12" s="49">
        <f>AVERAGE('23.09 Mukono-Seeta'!N12,'24.09 Mukono-Seeta'!N12,'25.09 Mukono-Seeta'!N12,'27.09 Mukono-Seeta'!N12,'26.09 Mukono-Seeta-24h'!N12,'28.09 Mukono-Seeta-24h'!N12,'29.09 Mukono-Seeta'!N12)</f>
        <v>0</v>
      </c>
      <c r="O12" s="15">
        <f t="shared" si="0"/>
        <v>105.14285714285712</v>
      </c>
      <c r="P12" s="15">
        <f t="shared" si="1"/>
        <v>237.71428571428572</v>
      </c>
      <c r="R12" s="1" t="s">
        <v>8</v>
      </c>
      <c r="S12" s="17">
        <f t="shared" ref="S12:AF12" si="4">SUM(C18:C21)</f>
        <v>82</v>
      </c>
      <c r="T12" s="17">
        <f t="shared" si="4"/>
        <v>36.857142857142861</v>
      </c>
      <c r="U12" s="17">
        <f t="shared" si="4"/>
        <v>25.857142857142858</v>
      </c>
      <c r="V12" s="17">
        <f t="shared" si="4"/>
        <v>140.57142857142858</v>
      </c>
      <c r="W12" s="17">
        <f t="shared" si="4"/>
        <v>7.2857142857142847</v>
      </c>
      <c r="X12" s="17">
        <f t="shared" si="4"/>
        <v>3.714285714285714</v>
      </c>
      <c r="Y12" s="17">
        <f t="shared" si="4"/>
        <v>20.428571428571427</v>
      </c>
      <c r="Z12" s="17">
        <f t="shared" si="4"/>
        <v>19.428571428571431</v>
      </c>
      <c r="AA12" s="17">
        <f t="shared" si="4"/>
        <v>15.714285714285715</v>
      </c>
      <c r="AB12" s="17">
        <f t="shared" si="4"/>
        <v>59.714285714285708</v>
      </c>
      <c r="AC12" s="17">
        <f t="shared" si="4"/>
        <v>539.28571428571433</v>
      </c>
      <c r="AD12" s="17">
        <f t="shared" si="4"/>
        <v>0</v>
      </c>
      <c r="AE12" s="31">
        <f t="shared" si="4"/>
        <v>411.57142857142856</v>
      </c>
      <c r="AF12" s="31">
        <f t="shared" si="4"/>
        <v>950.85714285714289</v>
      </c>
    </row>
    <row r="13" spans="2:32" ht="23.1" customHeight="1" x14ac:dyDescent="0.25">
      <c r="B13" s="23" t="s">
        <v>40</v>
      </c>
      <c r="C13" s="49">
        <f>AVERAGE('23.09 Mukono-Seeta'!C13,'24.09 Mukono-Seeta'!C13,'25.09 Mukono-Seeta'!C13,'27.09 Mukono-Seeta'!C13,'26.09 Mukono-Seeta-24h'!C13,'28.09 Mukono-Seeta-24h'!C13,'29.09 Mukono-Seeta'!C13)</f>
        <v>25.714285714285715</v>
      </c>
      <c r="D13" s="49">
        <f>AVERAGE('23.09 Mukono-Seeta'!D13,'24.09 Mukono-Seeta'!D13,'25.09 Mukono-Seeta'!D13,'27.09 Mukono-Seeta'!D13,'26.09 Mukono-Seeta-24h'!D13,'28.09 Mukono-Seeta-24h'!D13,'29.09 Mukono-Seeta'!D13)</f>
        <v>8.2857142857142865</v>
      </c>
      <c r="E13" s="49">
        <f>AVERAGE('23.09 Mukono-Seeta'!E13,'24.09 Mukono-Seeta'!E13,'25.09 Mukono-Seeta'!E13,'27.09 Mukono-Seeta'!E13,'26.09 Mukono-Seeta-24h'!E13,'28.09 Mukono-Seeta-24h'!E13,'29.09 Mukono-Seeta'!E13)</f>
        <v>7</v>
      </c>
      <c r="F13" s="49">
        <f>AVERAGE('23.09 Mukono-Seeta'!F13,'24.09 Mukono-Seeta'!F13,'25.09 Mukono-Seeta'!F13,'27.09 Mukono-Seeta'!F13,'26.09 Mukono-Seeta-24h'!F13,'28.09 Mukono-Seeta-24h'!F13,'29.09 Mukono-Seeta'!F13)</f>
        <v>34.428571428571431</v>
      </c>
      <c r="G13" s="49">
        <f>AVERAGE('23.09 Mukono-Seeta'!G13,'24.09 Mukono-Seeta'!G13,'25.09 Mukono-Seeta'!G13,'27.09 Mukono-Seeta'!G13,'26.09 Mukono-Seeta-24h'!G13,'28.09 Mukono-Seeta-24h'!G13,'29.09 Mukono-Seeta'!G13)</f>
        <v>1.5714285714285714</v>
      </c>
      <c r="H13" s="49">
        <f>AVERAGE('23.09 Mukono-Seeta'!H13,'24.09 Mukono-Seeta'!H13,'25.09 Mukono-Seeta'!H13,'27.09 Mukono-Seeta'!H13,'26.09 Mukono-Seeta-24h'!H13,'28.09 Mukono-Seeta-24h'!H13,'29.09 Mukono-Seeta'!H13)</f>
        <v>0.2857142857142857</v>
      </c>
      <c r="I13" s="49">
        <f>AVERAGE('23.09 Mukono-Seeta'!I13,'24.09 Mukono-Seeta'!I13,'25.09 Mukono-Seeta'!I13,'27.09 Mukono-Seeta'!I13,'26.09 Mukono-Seeta-24h'!I13,'28.09 Mukono-Seeta-24h'!I13,'29.09 Mukono-Seeta'!I13)</f>
        <v>3.5714285714285716</v>
      </c>
      <c r="J13" s="49">
        <f>AVERAGE('23.09 Mukono-Seeta'!J13,'24.09 Mukono-Seeta'!J13,'25.09 Mukono-Seeta'!J13,'27.09 Mukono-Seeta'!J13,'26.09 Mukono-Seeta-24h'!J13,'28.09 Mukono-Seeta-24h'!J13,'29.09 Mukono-Seeta'!J13)</f>
        <v>2.5714285714285716</v>
      </c>
      <c r="K13" s="49">
        <f>AVERAGE('23.09 Mukono-Seeta'!K13,'24.09 Mukono-Seeta'!K13,'25.09 Mukono-Seeta'!K13,'27.09 Mukono-Seeta'!K13,'26.09 Mukono-Seeta-24h'!K13,'28.09 Mukono-Seeta-24h'!K13,'29.09 Mukono-Seeta'!K13)</f>
        <v>2.4285714285714284</v>
      </c>
      <c r="L13" s="49">
        <f>AVERAGE('23.09 Mukono-Seeta'!L13,'24.09 Mukono-Seeta'!L13,'25.09 Mukono-Seeta'!L13,'27.09 Mukono-Seeta'!L13,'26.09 Mukono-Seeta-24h'!L13,'28.09 Mukono-Seeta-24h'!L13,'29.09 Mukono-Seeta'!L13)</f>
        <v>12.571428571428571</v>
      </c>
      <c r="M13" s="49">
        <f>AVERAGE('23.09 Mukono-Seeta'!M13,'24.09 Mukono-Seeta'!M13,'25.09 Mukono-Seeta'!M13,'27.09 Mukono-Seeta'!M13,'26.09 Mukono-Seeta-24h'!M13,'28.09 Mukono-Seeta-24h'!M13,'29.09 Mukono-Seeta'!M13)</f>
        <v>153.85714285714286</v>
      </c>
      <c r="N13" s="49">
        <f>AVERAGE('23.09 Mukono-Seeta'!N13,'24.09 Mukono-Seeta'!N13,'25.09 Mukono-Seeta'!N13,'27.09 Mukono-Seeta'!N13,'26.09 Mukono-Seeta-24h'!N13,'28.09 Mukono-Seeta-24h'!N13,'29.09 Mukono-Seeta'!N13)</f>
        <v>0</v>
      </c>
      <c r="O13" s="15">
        <f t="shared" si="0"/>
        <v>98.428571428571431</v>
      </c>
      <c r="P13" s="15">
        <f t="shared" si="1"/>
        <v>252.28571428571428</v>
      </c>
      <c r="R13" s="1" t="s">
        <v>9</v>
      </c>
      <c r="S13" s="17">
        <f t="shared" ref="S13:AF13" si="5">SUM(C22:C25)</f>
        <v>79.571428571428569</v>
      </c>
      <c r="T13" s="17">
        <f t="shared" si="5"/>
        <v>37.857142857142861</v>
      </c>
      <c r="U13" s="17">
        <f t="shared" si="5"/>
        <v>21</v>
      </c>
      <c r="V13" s="17">
        <f t="shared" si="5"/>
        <v>151.71428571428572</v>
      </c>
      <c r="W13" s="17">
        <f t="shared" si="5"/>
        <v>6</v>
      </c>
      <c r="X13" s="17">
        <f t="shared" si="5"/>
        <v>1.5714285714285714</v>
      </c>
      <c r="Y13" s="17">
        <f t="shared" si="5"/>
        <v>23.142857142857139</v>
      </c>
      <c r="Z13" s="17">
        <f t="shared" si="5"/>
        <v>16.571428571428569</v>
      </c>
      <c r="AA13" s="17">
        <f t="shared" si="5"/>
        <v>13</v>
      </c>
      <c r="AB13" s="17">
        <f t="shared" si="5"/>
        <v>60.285714285714292</v>
      </c>
      <c r="AC13" s="17">
        <f t="shared" si="5"/>
        <v>460.57142857142856</v>
      </c>
      <c r="AD13" s="17">
        <f t="shared" si="5"/>
        <v>0</v>
      </c>
      <c r="AE13" s="31">
        <f t="shared" si="5"/>
        <v>410.71428571428567</v>
      </c>
      <c r="AF13" s="31">
        <f t="shared" si="5"/>
        <v>871.28571428571422</v>
      </c>
    </row>
    <row r="14" spans="2:32" ht="23.1" customHeight="1" x14ac:dyDescent="0.25">
      <c r="B14" s="23" t="s">
        <v>41</v>
      </c>
      <c r="C14" s="49">
        <f>AVERAGE('23.09 Mukono-Seeta'!C14,'24.09 Mukono-Seeta'!C14,'25.09 Mukono-Seeta'!C14,'27.09 Mukono-Seeta'!C14,'26.09 Mukono-Seeta-24h'!C14,'28.09 Mukono-Seeta-24h'!C14,'29.09 Mukono-Seeta'!C14)</f>
        <v>22</v>
      </c>
      <c r="D14" s="49">
        <f>AVERAGE('23.09 Mukono-Seeta'!D14,'24.09 Mukono-Seeta'!D14,'25.09 Mukono-Seeta'!D14,'27.09 Mukono-Seeta'!D14,'26.09 Mukono-Seeta-24h'!D14,'28.09 Mukono-Seeta-24h'!D14,'29.09 Mukono-Seeta'!D14)</f>
        <v>10.142857142857142</v>
      </c>
      <c r="E14" s="49">
        <f>AVERAGE('23.09 Mukono-Seeta'!E14,'24.09 Mukono-Seeta'!E14,'25.09 Mukono-Seeta'!E14,'27.09 Mukono-Seeta'!E14,'26.09 Mukono-Seeta-24h'!E14,'28.09 Mukono-Seeta-24h'!E14,'29.09 Mukono-Seeta'!E14)</f>
        <v>3.5714285714285716</v>
      </c>
      <c r="F14" s="49">
        <f>AVERAGE('23.09 Mukono-Seeta'!F14,'24.09 Mukono-Seeta'!F14,'25.09 Mukono-Seeta'!F14,'27.09 Mukono-Seeta'!F14,'26.09 Mukono-Seeta-24h'!F14,'28.09 Mukono-Seeta-24h'!F14,'29.09 Mukono-Seeta'!F14)</f>
        <v>39.285714285714285</v>
      </c>
      <c r="G14" s="49">
        <f>AVERAGE('23.09 Mukono-Seeta'!G14,'24.09 Mukono-Seeta'!G14,'25.09 Mukono-Seeta'!G14,'27.09 Mukono-Seeta'!G14,'26.09 Mukono-Seeta-24h'!G14,'28.09 Mukono-Seeta-24h'!G14,'29.09 Mukono-Seeta'!G14)</f>
        <v>2</v>
      </c>
      <c r="H14" s="49">
        <f>AVERAGE('23.09 Mukono-Seeta'!H14,'24.09 Mukono-Seeta'!H14,'25.09 Mukono-Seeta'!H14,'27.09 Mukono-Seeta'!H14,'26.09 Mukono-Seeta-24h'!H14,'28.09 Mukono-Seeta-24h'!H14,'29.09 Mukono-Seeta'!H14)</f>
        <v>1.4285714285714286</v>
      </c>
      <c r="I14" s="49">
        <f>AVERAGE('23.09 Mukono-Seeta'!I14,'24.09 Mukono-Seeta'!I14,'25.09 Mukono-Seeta'!I14,'27.09 Mukono-Seeta'!I14,'26.09 Mukono-Seeta-24h'!I14,'28.09 Mukono-Seeta-24h'!I14,'29.09 Mukono-Seeta'!I14)</f>
        <v>3.7142857142857144</v>
      </c>
      <c r="J14" s="49">
        <f>AVERAGE('23.09 Mukono-Seeta'!J14,'24.09 Mukono-Seeta'!J14,'25.09 Mukono-Seeta'!J14,'27.09 Mukono-Seeta'!J14,'26.09 Mukono-Seeta-24h'!J14,'28.09 Mukono-Seeta-24h'!J14,'29.09 Mukono-Seeta'!J14)</f>
        <v>3.8571428571428572</v>
      </c>
      <c r="K14" s="49">
        <f>AVERAGE('23.09 Mukono-Seeta'!K14,'24.09 Mukono-Seeta'!K14,'25.09 Mukono-Seeta'!K14,'27.09 Mukono-Seeta'!K14,'26.09 Mukono-Seeta-24h'!K14,'28.09 Mukono-Seeta-24h'!K14,'29.09 Mukono-Seeta'!K14)</f>
        <v>3.8571428571428572</v>
      </c>
      <c r="L14" s="49">
        <f>AVERAGE('23.09 Mukono-Seeta'!L14,'24.09 Mukono-Seeta'!L14,'25.09 Mukono-Seeta'!L14,'27.09 Mukono-Seeta'!L14,'26.09 Mukono-Seeta-24h'!L14,'28.09 Mukono-Seeta-24h'!L14,'29.09 Mukono-Seeta'!L14)</f>
        <v>17.714285714285715</v>
      </c>
      <c r="M14" s="49">
        <f>AVERAGE('23.09 Mukono-Seeta'!M14,'24.09 Mukono-Seeta'!M14,'25.09 Mukono-Seeta'!M14,'27.09 Mukono-Seeta'!M14,'26.09 Mukono-Seeta-24h'!M14,'28.09 Mukono-Seeta-24h'!M14,'29.09 Mukono-Seeta'!M14)</f>
        <v>146.42857142857142</v>
      </c>
      <c r="N14" s="49">
        <f>AVERAGE('23.09 Mukono-Seeta'!N14,'24.09 Mukono-Seeta'!N14,'25.09 Mukono-Seeta'!N14,'27.09 Mukono-Seeta'!N14,'26.09 Mukono-Seeta-24h'!N14,'28.09 Mukono-Seeta-24h'!N14,'29.09 Mukono-Seeta'!N14)</f>
        <v>0</v>
      </c>
      <c r="O14" s="15">
        <f t="shared" si="0"/>
        <v>107.57142857142858</v>
      </c>
      <c r="P14" s="15">
        <f t="shared" si="1"/>
        <v>254</v>
      </c>
      <c r="R14" s="1" t="s">
        <v>10</v>
      </c>
      <c r="S14" s="17">
        <f t="shared" ref="S14:AF14" si="6">SUM(C26:C29)</f>
        <v>81.285714285714292</v>
      </c>
      <c r="T14" s="17">
        <f t="shared" si="6"/>
        <v>43.571428571428577</v>
      </c>
      <c r="U14" s="17">
        <f t="shared" si="6"/>
        <v>29.285714285714288</v>
      </c>
      <c r="V14" s="17">
        <f t="shared" si="6"/>
        <v>174.57142857142858</v>
      </c>
      <c r="W14" s="17">
        <f t="shared" si="6"/>
        <v>6.2857142857142856</v>
      </c>
      <c r="X14" s="17">
        <f t="shared" si="6"/>
        <v>1</v>
      </c>
      <c r="Y14" s="17">
        <f t="shared" si="6"/>
        <v>26.428571428571431</v>
      </c>
      <c r="Z14" s="17">
        <f t="shared" si="6"/>
        <v>21.857142857142858</v>
      </c>
      <c r="AA14" s="17">
        <f t="shared" si="6"/>
        <v>19.142857142857142</v>
      </c>
      <c r="AB14" s="17">
        <f t="shared" si="6"/>
        <v>52.285714285714278</v>
      </c>
      <c r="AC14" s="17">
        <f t="shared" si="6"/>
        <v>460.42857142857144</v>
      </c>
      <c r="AD14" s="17">
        <f t="shared" si="6"/>
        <v>0.14285714285714285</v>
      </c>
      <c r="AE14" s="31">
        <f t="shared" si="6"/>
        <v>455.85714285714283</v>
      </c>
      <c r="AF14" s="31">
        <f t="shared" si="6"/>
        <v>916.28571428571422</v>
      </c>
    </row>
    <row r="15" spans="2:32" ht="23.1" customHeight="1" x14ac:dyDescent="0.25">
      <c r="B15" s="23" t="s">
        <v>42</v>
      </c>
      <c r="C15" s="49">
        <f>AVERAGE('23.09 Mukono-Seeta'!C15,'24.09 Mukono-Seeta'!C15,'25.09 Mukono-Seeta'!C15,'27.09 Mukono-Seeta'!C15,'26.09 Mukono-Seeta-24h'!C15,'28.09 Mukono-Seeta-24h'!C15,'29.09 Mukono-Seeta'!C15)</f>
        <v>26.428571428571427</v>
      </c>
      <c r="D15" s="49">
        <f>AVERAGE('23.09 Mukono-Seeta'!D15,'24.09 Mukono-Seeta'!D15,'25.09 Mukono-Seeta'!D15,'27.09 Mukono-Seeta'!D15,'26.09 Mukono-Seeta-24h'!D15,'28.09 Mukono-Seeta-24h'!D15,'29.09 Mukono-Seeta'!D15)</f>
        <v>9.5714285714285712</v>
      </c>
      <c r="E15" s="49">
        <f>AVERAGE('23.09 Mukono-Seeta'!E15,'24.09 Mukono-Seeta'!E15,'25.09 Mukono-Seeta'!E15,'27.09 Mukono-Seeta'!E15,'26.09 Mukono-Seeta-24h'!E15,'28.09 Mukono-Seeta-24h'!E15,'29.09 Mukono-Seeta'!E15)</f>
        <v>3.8571428571428572</v>
      </c>
      <c r="F15" s="49">
        <f>AVERAGE('23.09 Mukono-Seeta'!F15,'24.09 Mukono-Seeta'!F15,'25.09 Mukono-Seeta'!F15,'27.09 Mukono-Seeta'!F15,'26.09 Mukono-Seeta-24h'!F15,'28.09 Mukono-Seeta-24h'!F15,'29.09 Mukono-Seeta'!F15)</f>
        <v>40.285714285714285</v>
      </c>
      <c r="G15" s="49">
        <f>AVERAGE('23.09 Mukono-Seeta'!G15,'24.09 Mukono-Seeta'!G15,'25.09 Mukono-Seeta'!G15,'27.09 Mukono-Seeta'!G15,'26.09 Mukono-Seeta-24h'!G15,'28.09 Mukono-Seeta-24h'!G15,'29.09 Mukono-Seeta'!G15)</f>
        <v>2</v>
      </c>
      <c r="H15" s="49">
        <f>AVERAGE('23.09 Mukono-Seeta'!H15,'24.09 Mukono-Seeta'!H15,'25.09 Mukono-Seeta'!H15,'27.09 Mukono-Seeta'!H15,'26.09 Mukono-Seeta-24h'!H15,'28.09 Mukono-Seeta-24h'!H15,'29.09 Mukono-Seeta'!H15)</f>
        <v>0.8571428571428571</v>
      </c>
      <c r="I15" s="49">
        <f>AVERAGE('23.09 Mukono-Seeta'!I15,'24.09 Mukono-Seeta'!I15,'25.09 Mukono-Seeta'!I15,'27.09 Mukono-Seeta'!I15,'26.09 Mukono-Seeta-24h'!I15,'28.09 Mukono-Seeta-24h'!I15,'29.09 Mukono-Seeta'!I15)</f>
        <v>3.8571428571428572</v>
      </c>
      <c r="J15" s="49">
        <f>AVERAGE('23.09 Mukono-Seeta'!J15,'24.09 Mukono-Seeta'!J15,'25.09 Mukono-Seeta'!J15,'27.09 Mukono-Seeta'!J15,'26.09 Mukono-Seeta-24h'!J15,'28.09 Mukono-Seeta-24h'!J15,'29.09 Mukono-Seeta'!J15)</f>
        <v>3.7142857142857144</v>
      </c>
      <c r="K15" s="49">
        <f>AVERAGE('23.09 Mukono-Seeta'!K15,'24.09 Mukono-Seeta'!K15,'25.09 Mukono-Seeta'!K15,'27.09 Mukono-Seeta'!K15,'26.09 Mukono-Seeta-24h'!K15,'28.09 Mukono-Seeta-24h'!K15,'29.09 Mukono-Seeta'!K15)</f>
        <v>3.2857142857142856</v>
      </c>
      <c r="L15" s="49">
        <f>AVERAGE('23.09 Mukono-Seeta'!L15,'24.09 Mukono-Seeta'!L15,'25.09 Mukono-Seeta'!L15,'27.09 Mukono-Seeta'!L15,'26.09 Mukono-Seeta-24h'!L15,'28.09 Mukono-Seeta-24h'!L15,'29.09 Mukono-Seeta'!L15)</f>
        <v>13.857142857142858</v>
      </c>
      <c r="M15" s="49">
        <f>AVERAGE('23.09 Mukono-Seeta'!M15,'24.09 Mukono-Seeta'!M15,'25.09 Mukono-Seeta'!M15,'27.09 Mukono-Seeta'!M15,'26.09 Mukono-Seeta-24h'!M15,'28.09 Mukono-Seeta-24h'!M15,'29.09 Mukono-Seeta'!M15)</f>
        <v>138.14285714285714</v>
      </c>
      <c r="N15" s="49">
        <f>AVERAGE('23.09 Mukono-Seeta'!N15,'24.09 Mukono-Seeta'!N15,'25.09 Mukono-Seeta'!N15,'27.09 Mukono-Seeta'!N15,'26.09 Mukono-Seeta-24h'!N15,'28.09 Mukono-Seeta-24h'!N15,'29.09 Mukono-Seeta'!N15)</f>
        <v>0</v>
      </c>
      <c r="O15" s="15">
        <f t="shared" si="0"/>
        <v>107.71428571428572</v>
      </c>
      <c r="P15" s="15">
        <f t="shared" si="1"/>
        <v>245.85714285714286</v>
      </c>
      <c r="R15" s="1" t="s">
        <v>11</v>
      </c>
      <c r="S15" s="17">
        <f t="shared" ref="S15:AF15" si="7">SUM(C30:C33)</f>
        <v>93.142857142857139</v>
      </c>
      <c r="T15" s="17">
        <f t="shared" si="7"/>
        <v>43.428571428571431</v>
      </c>
      <c r="U15" s="17">
        <f t="shared" si="7"/>
        <v>26.142857142857146</v>
      </c>
      <c r="V15" s="17">
        <f t="shared" si="7"/>
        <v>148.71428571428572</v>
      </c>
      <c r="W15" s="17">
        <f t="shared" si="7"/>
        <v>7.8571428571428577</v>
      </c>
      <c r="X15" s="17">
        <f t="shared" si="7"/>
        <v>2.7142857142857144</v>
      </c>
      <c r="Y15" s="17">
        <f t="shared" si="7"/>
        <v>31.857142857142858</v>
      </c>
      <c r="Z15" s="17">
        <f t="shared" si="7"/>
        <v>29.000000000000004</v>
      </c>
      <c r="AA15" s="17">
        <f t="shared" si="7"/>
        <v>16</v>
      </c>
      <c r="AB15" s="17">
        <f t="shared" si="7"/>
        <v>60</v>
      </c>
      <c r="AC15" s="17">
        <f t="shared" si="7"/>
        <v>402.85714285714283</v>
      </c>
      <c r="AD15" s="17">
        <f t="shared" si="7"/>
        <v>0</v>
      </c>
      <c r="AE15" s="31">
        <f t="shared" si="7"/>
        <v>458.85714285714283</v>
      </c>
      <c r="AF15" s="31">
        <f t="shared" si="7"/>
        <v>861.71428571428578</v>
      </c>
    </row>
    <row r="16" spans="2:32" ht="23.1" customHeight="1" x14ac:dyDescent="0.25">
      <c r="B16" s="23" t="s">
        <v>43</v>
      </c>
      <c r="C16" s="49">
        <f>AVERAGE('23.09 Mukono-Seeta'!C16,'24.09 Mukono-Seeta'!C16,'25.09 Mukono-Seeta'!C16,'27.09 Mukono-Seeta'!C16,'26.09 Mukono-Seeta-24h'!C16,'28.09 Mukono-Seeta-24h'!C16,'29.09 Mukono-Seeta'!C16)</f>
        <v>25.714285714285715</v>
      </c>
      <c r="D16" s="49">
        <f>AVERAGE('23.09 Mukono-Seeta'!D16,'24.09 Mukono-Seeta'!D16,'25.09 Mukono-Seeta'!D16,'27.09 Mukono-Seeta'!D16,'26.09 Mukono-Seeta-24h'!D16,'28.09 Mukono-Seeta-24h'!D16,'29.09 Mukono-Seeta'!D16)</f>
        <v>13</v>
      </c>
      <c r="E16" s="49">
        <f>AVERAGE('23.09 Mukono-Seeta'!E16,'24.09 Mukono-Seeta'!E16,'25.09 Mukono-Seeta'!E16,'27.09 Mukono-Seeta'!E16,'26.09 Mukono-Seeta-24h'!E16,'28.09 Mukono-Seeta-24h'!E16,'29.09 Mukono-Seeta'!E16)</f>
        <v>7.5714285714285712</v>
      </c>
      <c r="F16" s="49">
        <f>AVERAGE('23.09 Mukono-Seeta'!F16,'24.09 Mukono-Seeta'!F16,'25.09 Mukono-Seeta'!F16,'27.09 Mukono-Seeta'!F16,'26.09 Mukono-Seeta-24h'!F16,'28.09 Mukono-Seeta-24h'!F16,'29.09 Mukono-Seeta'!F16)</f>
        <v>49.857142857142854</v>
      </c>
      <c r="G16" s="49">
        <f>AVERAGE('23.09 Mukono-Seeta'!G16,'24.09 Mukono-Seeta'!G16,'25.09 Mukono-Seeta'!G16,'27.09 Mukono-Seeta'!G16,'26.09 Mukono-Seeta-24h'!G16,'28.09 Mukono-Seeta-24h'!G16,'29.09 Mukono-Seeta'!G16)</f>
        <v>3.7142857142857144</v>
      </c>
      <c r="H16" s="49">
        <f>AVERAGE('23.09 Mukono-Seeta'!H16,'24.09 Mukono-Seeta'!H16,'25.09 Mukono-Seeta'!H16,'27.09 Mukono-Seeta'!H16,'26.09 Mukono-Seeta-24h'!H16,'28.09 Mukono-Seeta-24h'!H16,'29.09 Mukono-Seeta'!H16)</f>
        <v>0.42857142857142855</v>
      </c>
      <c r="I16" s="49">
        <f>AVERAGE('23.09 Mukono-Seeta'!I16,'24.09 Mukono-Seeta'!I16,'25.09 Mukono-Seeta'!I16,'27.09 Mukono-Seeta'!I16,'26.09 Mukono-Seeta-24h'!I16,'28.09 Mukono-Seeta-24h'!I16,'29.09 Mukono-Seeta'!I16)</f>
        <v>5.4285714285714288</v>
      </c>
      <c r="J16" s="49">
        <f>AVERAGE('23.09 Mukono-Seeta'!J16,'24.09 Mukono-Seeta'!J16,'25.09 Mukono-Seeta'!J16,'27.09 Mukono-Seeta'!J16,'26.09 Mukono-Seeta-24h'!J16,'28.09 Mukono-Seeta-24h'!J16,'29.09 Mukono-Seeta'!J16)</f>
        <v>3.8571428571428572</v>
      </c>
      <c r="K16" s="49">
        <f>AVERAGE('23.09 Mukono-Seeta'!K16,'24.09 Mukono-Seeta'!K16,'25.09 Mukono-Seeta'!K16,'27.09 Mukono-Seeta'!K16,'26.09 Mukono-Seeta-24h'!K16,'28.09 Mukono-Seeta-24h'!K16,'29.09 Mukono-Seeta'!K16)</f>
        <v>2.4285714285714284</v>
      </c>
      <c r="L16" s="49">
        <f>AVERAGE('23.09 Mukono-Seeta'!L16,'24.09 Mukono-Seeta'!L16,'25.09 Mukono-Seeta'!L16,'27.09 Mukono-Seeta'!L16,'26.09 Mukono-Seeta-24h'!L16,'28.09 Mukono-Seeta-24h'!L16,'29.09 Mukono-Seeta'!L16)</f>
        <v>15.714285714285714</v>
      </c>
      <c r="M16" s="49">
        <f>AVERAGE('23.09 Mukono-Seeta'!M16,'24.09 Mukono-Seeta'!M16,'25.09 Mukono-Seeta'!M16,'27.09 Mukono-Seeta'!M16,'26.09 Mukono-Seeta-24h'!M16,'28.09 Mukono-Seeta-24h'!M16,'29.09 Mukono-Seeta'!M16)</f>
        <v>145</v>
      </c>
      <c r="N16" s="49">
        <f>AVERAGE('23.09 Mukono-Seeta'!N16,'24.09 Mukono-Seeta'!N16,'25.09 Mukono-Seeta'!N16,'27.09 Mukono-Seeta'!N16,'26.09 Mukono-Seeta-24h'!N16,'28.09 Mukono-Seeta-24h'!N16,'29.09 Mukono-Seeta'!N16)</f>
        <v>0</v>
      </c>
      <c r="O16" s="15">
        <f t="shared" si="0"/>
        <v>127.71428571428571</v>
      </c>
      <c r="P16" s="15">
        <f t="shared" si="1"/>
        <v>272.71428571428572</v>
      </c>
      <c r="R16" s="1" t="s">
        <v>12</v>
      </c>
      <c r="S16" s="17">
        <f t="shared" ref="S16:AF16" si="8">SUM(C34:C37)</f>
        <v>97</v>
      </c>
      <c r="T16" s="17">
        <f t="shared" si="8"/>
        <v>51.285714285714292</v>
      </c>
      <c r="U16" s="17">
        <f t="shared" si="8"/>
        <v>26.857142857142861</v>
      </c>
      <c r="V16" s="17">
        <f t="shared" si="8"/>
        <v>162.85714285714286</v>
      </c>
      <c r="W16" s="17">
        <f t="shared" si="8"/>
        <v>7.4285714285714288</v>
      </c>
      <c r="X16" s="17">
        <f t="shared" si="8"/>
        <v>2.8571428571428572</v>
      </c>
      <c r="Y16" s="17">
        <f t="shared" si="8"/>
        <v>26.857142857142861</v>
      </c>
      <c r="Z16" s="17">
        <f t="shared" si="8"/>
        <v>24</v>
      </c>
      <c r="AA16" s="17">
        <f t="shared" si="8"/>
        <v>20.714285714285715</v>
      </c>
      <c r="AB16" s="17">
        <f t="shared" si="8"/>
        <v>44.428571428571431</v>
      </c>
      <c r="AC16" s="17">
        <f t="shared" si="8"/>
        <v>328.85714285714283</v>
      </c>
      <c r="AD16" s="17">
        <f t="shared" si="8"/>
        <v>0.14285714285714285</v>
      </c>
      <c r="AE16" s="31">
        <f t="shared" si="8"/>
        <v>464.42857142857139</v>
      </c>
      <c r="AF16" s="31">
        <f t="shared" si="8"/>
        <v>793.28571428571433</v>
      </c>
    </row>
    <row r="17" spans="2:32" ht="23.1" customHeight="1" x14ac:dyDescent="0.25">
      <c r="B17" s="23" t="s">
        <v>44</v>
      </c>
      <c r="C17" s="49">
        <f>AVERAGE('23.09 Mukono-Seeta'!C17,'24.09 Mukono-Seeta'!C17,'25.09 Mukono-Seeta'!C17,'27.09 Mukono-Seeta'!C17,'26.09 Mukono-Seeta-24h'!C17,'28.09 Mukono-Seeta-24h'!C17,'29.09 Mukono-Seeta'!C17)</f>
        <v>21.285714285714285</v>
      </c>
      <c r="D17" s="49">
        <f>AVERAGE('23.09 Mukono-Seeta'!D17,'24.09 Mukono-Seeta'!D17,'25.09 Mukono-Seeta'!D17,'27.09 Mukono-Seeta'!D17,'26.09 Mukono-Seeta-24h'!D17,'28.09 Mukono-Seeta-24h'!D17,'29.09 Mukono-Seeta'!D17)</f>
        <v>9.8571428571428577</v>
      </c>
      <c r="E17" s="49">
        <f>AVERAGE('23.09 Mukono-Seeta'!E17,'24.09 Mukono-Seeta'!E17,'25.09 Mukono-Seeta'!E17,'27.09 Mukono-Seeta'!E17,'26.09 Mukono-Seeta-24h'!E17,'28.09 Mukono-Seeta-24h'!E17,'29.09 Mukono-Seeta'!E17)</f>
        <v>4.2857142857142856</v>
      </c>
      <c r="F17" s="49">
        <f>AVERAGE('23.09 Mukono-Seeta'!F17,'24.09 Mukono-Seeta'!F17,'25.09 Mukono-Seeta'!F17,'27.09 Mukono-Seeta'!F17,'26.09 Mukono-Seeta-24h'!F17,'28.09 Mukono-Seeta-24h'!F17,'29.09 Mukono-Seeta'!F17)</f>
        <v>43.142857142857146</v>
      </c>
      <c r="G17" s="49">
        <f>AVERAGE('23.09 Mukono-Seeta'!G17,'24.09 Mukono-Seeta'!G17,'25.09 Mukono-Seeta'!G17,'27.09 Mukono-Seeta'!G17,'26.09 Mukono-Seeta-24h'!G17,'28.09 Mukono-Seeta-24h'!G17,'29.09 Mukono-Seeta'!G17)</f>
        <v>1.8571428571428572</v>
      </c>
      <c r="H17" s="49">
        <f>AVERAGE('23.09 Mukono-Seeta'!H17,'24.09 Mukono-Seeta'!H17,'25.09 Mukono-Seeta'!H17,'27.09 Mukono-Seeta'!H17,'26.09 Mukono-Seeta-24h'!H17,'28.09 Mukono-Seeta-24h'!H17,'29.09 Mukono-Seeta'!H17)</f>
        <v>0.8571428571428571</v>
      </c>
      <c r="I17" s="49">
        <f>AVERAGE('23.09 Mukono-Seeta'!I17,'24.09 Mukono-Seeta'!I17,'25.09 Mukono-Seeta'!I17,'27.09 Mukono-Seeta'!I17,'26.09 Mukono-Seeta-24h'!I17,'28.09 Mukono-Seeta-24h'!I17,'29.09 Mukono-Seeta'!I17)</f>
        <v>4</v>
      </c>
      <c r="J17" s="49">
        <f>AVERAGE('23.09 Mukono-Seeta'!J17,'24.09 Mukono-Seeta'!J17,'25.09 Mukono-Seeta'!J17,'27.09 Mukono-Seeta'!J17,'26.09 Mukono-Seeta-24h'!J17,'28.09 Mukono-Seeta-24h'!J17,'29.09 Mukono-Seeta'!J17)</f>
        <v>3.4285714285714284</v>
      </c>
      <c r="K17" s="49">
        <f>AVERAGE('23.09 Mukono-Seeta'!K17,'24.09 Mukono-Seeta'!K17,'25.09 Mukono-Seeta'!K17,'27.09 Mukono-Seeta'!K17,'26.09 Mukono-Seeta-24h'!K17,'28.09 Mukono-Seeta-24h'!K17,'29.09 Mukono-Seeta'!K17)</f>
        <v>4</v>
      </c>
      <c r="L17" s="49">
        <f>AVERAGE('23.09 Mukono-Seeta'!L17,'24.09 Mukono-Seeta'!L17,'25.09 Mukono-Seeta'!L17,'27.09 Mukono-Seeta'!L17,'26.09 Mukono-Seeta-24h'!L17,'28.09 Mukono-Seeta-24h'!L17,'29.09 Mukono-Seeta'!L17)</f>
        <v>13.571428571428571</v>
      </c>
      <c r="M17" s="49">
        <f>AVERAGE('23.09 Mukono-Seeta'!M17,'24.09 Mukono-Seeta'!M17,'25.09 Mukono-Seeta'!M17,'27.09 Mukono-Seeta'!M17,'26.09 Mukono-Seeta-24h'!M17,'28.09 Mukono-Seeta-24h'!M17,'29.09 Mukono-Seeta'!M17)</f>
        <v>138.28571428571428</v>
      </c>
      <c r="N17" s="49">
        <f>AVERAGE('23.09 Mukono-Seeta'!N17,'24.09 Mukono-Seeta'!N17,'25.09 Mukono-Seeta'!N17,'27.09 Mukono-Seeta'!N17,'26.09 Mukono-Seeta-24h'!N17,'28.09 Mukono-Seeta-24h'!N17,'29.09 Mukono-Seeta'!N17)</f>
        <v>0</v>
      </c>
      <c r="O17" s="15">
        <f t="shared" si="0"/>
        <v>106.28571428571431</v>
      </c>
      <c r="P17" s="15">
        <f t="shared" si="1"/>
        <v>244.57142857142858</v>
      </c>
      <c r="R17" s="1" t="s">
        <v>13</v>
      </c>
      <c r="S17" s="17">
        <f t="shared" ref="S17:AF17" si="9">SUM(C38:C41)</f>
        <v>104.42857142857143</v>
      </c>
      <c r="T17" s="17">
        <f t="shared" si="9"/>
        <v>57.428571428571431</v>
      </c>
      <c r="U17" s="17">
        <f t="shared" si="9"/>
        <v>32.571428571428569</v>
      </c>
      <c r="V17" s="17">
        <f t="shared" si="9"/>
        <v>167</v>
      </c>
      <c r="W17" s="17">
        <f t="shared" si="9"/>
        <v>5.2857142857142865</v>
      </c>
      <c r="X17" s="17">
        <f t="shared" si="9"/>
        <v>4</v>
      </c>
      <c r="Y17" s="17">
        <f t="shared" si="9"/>
        <v>32.142857142857139</v>
      </c>
      <c r="Z17" s="17">
        <f t="shared" si="9"/>
        <v>27</v>
      </c>
      <c r="AA17" s="17">
        <f t="shared" si="9"/>
        <v>18.714285714285715</v>
      </c>
      <c r="AB17" s="17">
        <f t="shared" si="9"/>
        <v>49.857142857142854</v>
      </c>
      <c r="AC17" s="17">
        <f t="shared" si="9"/>
        <v>350.14285714285717</v>
      </c>
      <c r="AD17" s="17">
        <f t="shared" si="9"/>
        <v>0.2857142857142857</v>
      </c>
      <c r="AE17" s="31">
        <f t="shared" si="9"/>
        <v>498.71428571428567</v>
      </c>
      <c r="AF17" s="31">
        <f t="shared" si="9"/>
        <v>848.85714285714278</v>
      </c>
    </row>
    <row r="18" spans="2:32" ht="23.1" customHeight="1" x14ac:dyDescent="0.25">
      <c r="B18" s="23" t="s">
        <v>45</v>
      </c>
      <c r="C18" s="49">
        <f>AVERAGE('23.09 Mukono-Seeta'!C18,'24.09 Mukono-Seeta'!C18,'25.09 Mukono-Seeta'!C18,'27.09 Mukono-Seeta'!C18,'26.09 Mukono-Seeta-24h'!C18,'28.09 Mukono-Seeta-24h'!C18,'29.09 Mukono-Seeta'!C18)</f>
        <v>23.428571428571427</v>
      </c>
      <c r="D18" s="49">
        <f>AVERAGE('23.09 Mukono-Seeta'!D18,'24.09 Mukono-Seeta'!D18,'25.09 Mukono-Seeta'!D18,'27.09 Mukono-Seeta'!D18,'26.09 Mukono-Seeta-24h'!D18,'28.09 Mukono-Seeta-24h'!D18,'29.09 Mukono-Seeta'!D18)</f>
        <v>8.7142857142857135</v>
      </c>
      <c r="E18" s="49">
        <f>AVERAGE('23.09 Mukono-Seeta'!E18,'24.09 Mukono-Seeta'!E18,'25.09 Mukono-Seeta'!E18,'27.09 Mukono-Seeta'!E18,'26.09 Mukono-Seeta-24h'!E18,'28.09 Mukono-Seeta-24h'!E18,'29.09 Mukono-Seeta'!E18)</f>
        <v>9.5714285714285712</v>
      </c>
      <c r="F18" s="49">
        <f>AVERAGE('23.09 Mukono-Seeta'!F18,'24.09 Mukono-Seeta'!F18,'25.09 Mukono-Seeta'!F18,'27.09 Mukono-Seeta'!F18,'26.09 Mukono-Seeta-24h'!F18,'28.09 Mukono-Seeta-24h'!F18,'29.09 Mukono-Seeta'!F18)</f>
        <v>36.857142857142854</v>
      </c>
      <c r="G18" s="49">
        <f>AVERAGE('23.09 Mukono-Seeta'!G18,'24.09 Mukono-Seeta'!G18,'25.09 Mukono-Seeta'!G18,'27.09 Mukono-Seeta'!G18,'26.09 Mukono-Seeta-24h'!G18,'28.09 Mukono-Seeta-24h'!G18,'29.09 Mukono-Seeta'!G18)</f>
        <v>2.2857142857142856</v>
      </c>
      <c r="H18" s="49">
        <f>AVERAGE('23.09 Mukono-Seeta'!H18,'24.09 Mukono-Seeta'!H18,'25.09 Mukono-Seeta'!H18,'27.09 Mukono-Seeta'!H18,'26.09 Mukono-Seeta-24h'!H18,'28.09 Mukono-Seeta-24h'!H18,'29.09 Mukono-Seeta'!H18)</f>
        <v>0.7142857142857143</v>
      </c>
      <c r="I18" s="49">
        <f>AVERAGE('23.09 Mukono-Seeta'!I18,'24.09 Mukono-Seeta'!I18,'25.09 Mukono-Seeta'!I18,'27.09 Mukono-Seeta'!I18,'26.09 Mukono-Seeta-24h'!I18,'28.09 Mukono-Seeta-24h'!I18,'29.09 Mukono-Seeta'!I18)</f>
        <v>3.8571428571428572</v>
      </c>
      <c r="J18" s="49">
        <f>AVERAGE('23.09 Mukono-Seeta'!J18,'24.09 Mukono-Seeta'!J18,'25.09 Mukono-Seeta'!J18,'27.09 Mukono-Seeta'!J18,'26.09 Mukono-Seeta-24h'!J18,'28.09 Mukono-Seeta-24h'!J18,'29.09 Mukono-Seeta'!J18)</f>
        <v>5.1428571428571432</v>
      </c>
      <c r="K18" s="49">
        <f>AVERAGE('23.09 Mukono-Seeta'!K18,'24.09 Mukono-Seeta'!K18,'25.09 Mukono-Seeta'!K18,'27.09 Mukono-Seeta'!K18,'26.09 Mukono-Seeta-24h'!K18,'28.09 Mukono-Seeta-24h'!K18,'29.09 Mukono-Seeta'!K18)</f>
        <v>3.5714285714285716</v>
      </c>
      <c r="L18" s="49">
        <f>AVERAGE('23.09 Mukono-Seeta'!L18,'24.09 Mukono-Seeta'!L18,'25.09 Mukono-Seeta'!L18,'27.09 Mukono-Seeta'!L18,'26.09 Mukono-Seeta-24h'!L18,'28.09 Mukono-Seeta-24h'!L18,'29.09 Mukono-Seeta'!L18)</f>
        <v>15.714285714285714</v>
      </c>
      <c r="M18" s="49">
        <f>AVERAGE('23.09 Mukono-Seeta'!M18,'24.09 Mukono-Seeta'!M18,'25.09 Mukono-Seeta'!M18,'27.09 Mukono-Seeta'!M18,'26.09 Mukono-Seeta-24h'!M18,'28.09 Mukono-Seeta-24h'!M18,'29.09 Mukono-Seeta'!M18)</f>
        <v>140.57142857142858</v>
      </c>
      <c r="N18" s="49">
        <f>AVERAGE('23.09 Mukono-Seeta'!N18,'24.09 Mukono-Seeta'!N18,'25.09 Mukono-Seeta'!N18,'27.09 Mukono-Seeta'!N18,'26.09 Mukono-Seeta-24h'!N18,'28.09 Mukono-Seeta-24h'!N18,'29.09 Mukono-Seeta'!N18)</f>
        <v>0</v>
      </c>
      <c r="O18" s="15">
        <f t="shared" si="0"/>
        <v>109.85714285714283</v>
      </c>
      <c r="P18" s="15">
        <f t="shared" si="1"/>
        <v>250.42857142857142</v>
      </c>
      <c r="R18" s="1" t="s">
        <v>14</v>
      </c>
      <c r="S18" s="17">
        <f t="shared" ref="S18:AF18" si="10">SUM(C42:C45)</f>
        <v>100.57142857142856</v>
      </c>
      <c r="T18" s="17">
        <f t="shared" si="10"/>
        <v>60.142857142857139</v>
      </c>
      <c r="U18" s="17">
        <f t="shared" si="10"/>
        <v>32.285714285714285</v>
      </c>
      <c r="V18" s="17">
        <f t="shared" si="10"/>
        <v>165.14285714285714</v>
      </c>
      <c r="W18" s="17">
        <f t="shared" si="10"/>
        <v>5.2857142857142856</v>
      </c>
      <c r="X18" s="17">
        <f t="shared" si="10"/>
        <v>1.4285714285714284</v>
      </c>
      <c r="Y18" s="17">
        <f t="shared" si="10"/>
        <v>24</v>
      </c>
      <c r="Z18" s="17">
        <f t="shared" si="10"/>
        <v>18.857142857142858</v>
      </c>
      <c r="AA18" s="17">
        <f t="shared" si="10"/>
        <v>15.428571428571429</v>
      </c>
      <c r="AB18" s="17">
        <f t="shared" si="10"/>
        <v>62</v>
      </c>
      <c r="AC18" s="17">
        <f t="shared" si="10"/>
        <v>364.57142857142856</v>
      </c>
      <c r="AD18" s="17">
        <f t="shared" si="10"/>
        <v>0.2857142857142857</v>
      </c>
      <c r="AE18" s="31">
        <f t="shared" si="10"/>
        <v>485.42857142857144</v>
      </c>
      <c r="AF18" s="31">
        <f t="shared" si="10"/>
        <v>850</v>
      </c>
    </row>
    <row r="19" spans="2:32" ht="23.1" customHeight="1" x14ac:dyDescent="0.25">
      <c r="B19" s="23" t="s">
        <v>46</v>
      </c>
      <c r="C19" s="49">
        <f>AVERAGE('23.09 Mukono-Seeta'!C19,'24.09 Mukono-Seeta'!C19,'25.09 Mukono-Seeta'!C19,'27.09 Mukono-Seeta'!C19,'26.09 Mukono-Seeta-24h'!C19,'28.09 Mukono-Seeta-24h'!C19,'29.09 Mukono-Seeta'!C19)</f>
        <v>15.428571428571429</v>
      </c>
      <c r="D19" s="49">
        <f>AVERAGE('23.09 Mukono-Seeta'!D19,'24.09 Mukono-Seeta'!D19,'25.09 Mukono-Seeta'!D19,'27.09 Mukono-Seeta'!D19,'26.09 Mukono-Seeta-24h'!D19,'28.09 Mukono-Seeta-24h'!D19,'29.09 Mukono-Seeta'!D19)</f>
        <v>8</v>
      </c>
      <c r="E19" s="49">
        <f>AVERAGE('23.09 Mukono-Seeta'!E19,'24.09 Mukono-Seeta'!E19,'25.09 Mukono-Seeta'!E19,'27.09 Mukono-Seeta'!E19,'26.09 Mukono-Seeta-24h'!E19,'28.09 Mukono-Seeta-24h'!E19,'29.09 Mukono-Seeta'!E19)</f>
        <v>4.4285714285714288</v>
      </c>
      <c r="F19" s="49">
        <f>AVERAGE('23.09 Mukono-Seeta'!F19,'24.09 Mukono-Seeta'!F19,'25.09 Mukono-Seeta'!F19,'27.09 Mukono-Seeta'!F19,'26.09 Mukono-Seeta-24h'!F19,'28.09 Mukono-Seeta-24h'!F19,'29.09 Mukono-Seeta'!F19)</f>
        <v>33.714285714285715</v>
      </c>
      <c r="G19" s="49">
        <f>AVERAGE('23.09 Mukono-Seeta'!G19,'24.09 Mukono-Seeta'!G19,'25.09 Mukono-Seeta'!G19,'27.09 Mukono-Seeta'!G19,'26.09 Mukono-Seeta-24h'!G19,'28.09 Mukono-Seeta-24h'!G19,'29.09 Mukono-Seeta'!G19)</f>
        <v>1.8571428571428572</v>
      </c>
      <c r="H19" s="49">
        <f>AVERAGE('23.09 Mukono-Seeta'!H19,'24.09 Mukono-Seeta'!H19,'25.09 Mukono-Seeta'!H19,'27.09 Mukono-Seeta'!H19,'26.09 Mukono-Seeta-24h'!H19,'28.09 Mukono-Seeta-24h'!H19,'29.09 Mukono-Seeta'!H19)</f>
        <v>0.42857142857142855</v>
      </c>
      <c r="I19" s="49">
        <f>AVERAGE('23.09 Mukono-Seeta'!I19,'24.09 Mukono-Seeta'!I19,'25.09 Mukono-Seeta'!I19,'27.09 Mukono-Seeta'!I19,'26.09 Mukono-Seeta-24h'!I19,'28.09 Mukono-Seeta-24h'!I19,'29.09 Mukono-Seeta'!I19)</f>
        <v>4.8571428571428568</v>
      </c>
      <c r="J19" s="49">
        <f>AVERAGE('23.09 Mukono-Seeta'!J19,'24.09 Mukono-Seeta'!J19,'25.09 Mukono-Seeta'!J19,'27.09 Mukono-Seeta'!J19,'26.09 Mukono-Seeta-24h'!J19,'28.09 Mukono-Seeta-24h'!J19,'29.09 Mukono-Seeta'!J19)</f>
        <v>4.4285714285714288</v>
      </c>
      <c r="K19" s="49">
        <f>AVERAGE('23.09 Mukono-Seeta'!K19,'24.09 Mukono-Seeta'!K19,'25.09 Mukono-Seeta'!K19,'27.09 Mukono-Seeta'!K19,'26.09 Mukono-Seeta-24h'!K19,'28.09 Mukono-Seeta-24h'!K19,'29.09 Mukono-Seeta'!K19)</f>
        <v>2.7142857142857144</v>
      </c>
      <c r="L19" s="49">
        <f>AVERAGE('23.09 Mukono-Seeta'!L19,'24.09 Mukono-Seeta'!L19,'25.09 Mukono-Seeta'!L19,'27.09 Mukono-Seeta'!L19,'26.09 Mukono-Seeta-24h'!L19,'28.09 Mukono-Seeta-24h'!L19,'29.09 Mukono-Seeta'!L19)</f>
        <v>10.714285714285714</v>
      </c>
      <c r="M19" s="49">
        <f>AVERAGE('23.09 Mukono-Seeta'!M19,'24.09 Mukono-Seeta'!M19,'25.09 Mukono-Seeta'!M19,'27.09 Mukono-Seeta'!M19,'26.09 Mukono-Seeta-24h'!M19,'28.09 Mukono-Seeta-24h'!M19,'29.09 Mukono-Seeta'!M19)</f>
        <v>140.85714285714286</v>
      </c>
      <c r="N19" s="49">
        <f>AVERAGE('23.09 Mukono-Seeta'!N19,'24.09 Mukono-Seeta'!N19,'25.09 Mukono-Seeta'!N19,'27.09 Mukono-Seeta'!N19,'26.09 Mukono-Seeta-24h'!N19,'28.09 Mukono-Seeta-24h'!N19,'29.09 Mukono-Seeta'!N19)</f>
        <v>0</v>
      </c>
      <c r="O19" s="15">
        <f t="shared" si="0"/>
        <v>86.571428571428569</v>
      </c>
      <c r="P19" s="15">
        <f t="shared" si="1"/>
        <v>227.42857142857144</v>
      </c>
      <c r="R19" s="1" t="s">
        <v>15</v>
      </c>
      <c r="S19" s="17">
        <f t="shared" ref="S19:AF19" si="11">SUM(C46:C49)</f>
        <v>117.28571428571428</v>
      </c>
      <c r="T19" s="17">
        <f t="shared" si="11"/>
        <v>66.285714285714292</v>
      </c>
      <c r="U19" s="17">
        <f t="shared" si="11"/>
        <v>37.285714285714285</v>
      </c>
      <c r="V19" s="17">
        <f t="shared" si="11"/>
        <v>175.14285714285717</v>
      </c>
      <c r="W19" s="17">
        <f t="shared" si="11"/>
        <v>12.285714285714285</v>
      </c>
      <c r="X19" s="17">
        <f t="shared" si="11"/>
        <v>3.5714285714285712</v>
      </c>
      <c r="Y19" s="17">
        <f t="shared" si="11"/>
        <v>25.714285714285712</v>
      </c>
      <c r="Z19" s="17">
        <f t="shared" si="11"/>
        <v>23.714285714285712</v>
      </c>
      <c r="AA19" s="17">
        <f t="shared" si="11"/>
        <v>15.714285714285715</v>
      </c>
      <c r="AB19" s="17">
        <f t="shared" si="11"/>
        <v>41.142857142857146</v>
      </c>
      <c r="AC19" s="17">
        <f t="shared" si="11"/>
        <v>399.28571428571433</v>
      </c>
      <c r="AD19" s="17">
        <f t="shared" si="11"/>
        <v>0.14285714285714285</v>
      </c>
      <c r="AE19" s="31">
        <f t="shared" si="11"/>
        <v>518.28571428571422</v>
      </c>
      <c r="AF19" s="31">
        <f t="shared" si="11"/>
        <v>917.57142857142844</v>
      </c>
    </row>
    <row r="20" spans="2:32" ht="23.1" customHeight="1" x14ac:dyDescent="0.25">
      <c r="B20" s="23" t="s">
        <v>47</v>
      </c>
      <c r="C20" s="49">
        <f>AVERAGE('23.09 Mukono-Seeta'!C20,'24.09 Mukono-Seeta'!C20,'25.09 Mukono-Seeta'!C20,'27.09 Mukono-Seeta'!C20,'26.09 Mukono-Seeta-24h'!C20,'28.09 Mukono-Seeta-24h'!C20,'29.09 Mukono-Seeta'!C20)</f>
        <v>17.142857142857142</v>
      </c>
      <c r="D20" s="49">
        <f>AVERAGE('23.09 Mukono-Seeta'!D20,'24.09 Mukono-Seeta'!D20,'25.09 Mukono-Seeta'!D20,'27.09 Mukono-Seeta'!D20,'26.09 Mukono-Seeta-24h'!D20,'28.09 Mukono-Seeta-24h'!D20,'29.09 Mukono-Seeta'!D20)</f>
        <v>9.7142857142857135</v>
      </c>
      <c r="E20" s="49">
        <f>AVERAGE('23.09 Mukono-Seeta'!E20,'24.09 Mukono-Seeta'!E20,'25.09 Mukono-Seeta'!E20,'27.09 Mukono-Seeta'!E20,'26.09 Mukono-Seeta-24h'!E20,'28.09 Mukono-Seeta-24h'!E20,'29.09 Mukono-Seeta'!E20)</f>
        <v>6</v>
      </c>
      <c r="F20" s="49">
        <f>AVERAGE('23.09 Mukono-Seeta'!F20,'24.09 Mukono-Seeta'!F20,'25.09 Mukono-Seeta'!F20,'27.09 Mukono-Seeta'!F20,'26.09 Mukono-Seeta-24h'!F20,'28.09 Mukono-Seeta-24h'!F20,'29.09 Mukono-Seeta'!F20)</f>
        <v>38.142857142857146</v>
      </c>
      <c r="G20" s="49">
        <f>AVERAGE('23.09 Mukono-Seeta'!G20,'24.09 Mukono-Seeta'!G20,'25.09 Mukono-Seeta'!G20,'27.09 Mukono-Seeta'!G20,'26.09 Mukono-Seeta-24h'!G20,'28.09 Mukono-Seeta-24h'!G20,'29.09 Mukono-Seeta'!G20)</f>
        <v>1</v>
      </c>
      <c r="H20" s="49">
        <f>AVERAGE('23.09 Mukono-Seeta'!H20,'24.09 Mukono-Seeta'!H20,'25.09 Mukono-Seeta'!H20,'27.09 Mukono-Seeta'!H20,'26.09 Mukono-Seeta-24h'!H20,'28.09 Mukono-Seeta-24h'!H20,'29.09 Mukono-Seeta'!H20)</f>
        <v>0.2857142857142857</v>
      </c>
      <c r="I20" s="49">
        <f>AVERAGE('23.09 Mukono-Seeta'!I20,'24.09 Mukono-Seeta'!I20,'25.09 Mukono-Seeta'!I20,'27.09 Mukono-Seeta'!I20,'26.09 Mukono-Seeta-24h'!I20,'28.09 Mukono-Seeta-24h'!I20,'29.09 Mukono-Seeta'!I20)</f>
        <v>5.7142857142857144</v>
      </c>
      <c r="J20" s="49">
        <f>AVERAGE('23.09 Mukono-Seeta'!J20,'24.09 Mukono-Seeta'!J20,'25.09 Mukono-Seeta'!J20,'27.09 Mukono-Seeta'!J20,'26.09 Mukono-Seeta-24h'!J20,'28.09 Mukono-Seeta-24h'!J20,'29.09 Mukono-Seeta'!J20)</f>
        <v>4.8571428571428568</v>
      </c>
      <c r="K20" s="49">
        <f>AVERAGE('23.09 Mukono-Seeta'!K20,'24.09 Mukono-Seeta'!K20,'25.09 Mukono-Seeta'!K20,'27.09 Mukono-Seeta'!K20,'26.09 Mukono-Seeta-24h'!K20,'28.09 Mukono-Seeta-24h'!K20,'29.09 Mukono-Seeta'!K20)</f>
        <v>3.2857142857142856</v>
      </c>
      <c r="L20" s="49">
        <f>AVERAGE('23.09 Mukono-Seeta'!L20,'24.09 Mukono-Seeta'!L20,'25.09 Mukono-Seeta'!L20,'27.09 Mukono-Seeta'!L20,'26.09 Mukono-Seeta-24h'!L20,'28.09 Mukono-Seeta-24h'!L20,'29.09 Mukono-Seeta'!L20)</f>
        <v>17.285714285714285</v>
      </c>
      <c r="M20" s="49">
        <f>AVERAGE('23.09 Mukono-Seeta'!M20,'24.09 Mukono-Seeta'!M20,'25.09 Mukono-Seeta'!M20,'27.09 Mukono-Seeta'!M20,'26.09 Mukono-Seeta-24h'!M20,'28.09 Mukono-Seeta-24h'!M20,'29.09 Mukono-Seeta'!M20)</f>
        <v>135.85714285714286</v>
      </c>
      <c r="N20" s="49">
        <f>AVERAGE('23.09 Mukono-Seeta'!N20,'24.09 Mukono-Seeta'!N20,'25.09 Mukono-Seeta'!N20,'27.09 Mukono-Seeta'!N20,'26.09 Mukono-Seeta-24h'!N20,'28.09 Mukono-Seeta-24h'!N20,'29.09 Mukono-Seeta'!N20)</f>
        <v>0</v>
      </c>
      <c r="O20" s="15">
        <f t="shared" si="0"/>
        <v>103.42857142857144</v>
      </c>
      <c r="P20" s="15">
        <f t="shared" si="1"/>
        <v>239.28571428571431</v>
      </c>
      <c r="R20" s="1" t="s">
        <v>16</v>
      </c>
      <c r="S20" s="17">
        <f t="shared" ref="S20:AF20" si="12">SUM(C50:C53)</f>
        <v>116.28571428571428</v>
      </c>
      <c r="T20" s="17">
        <f t="shared" si="12"/>
        <v>64.857142857142861</v>
      </c>
      <c r="U20" s="17">
        <f t="shared" si="12"/>
        <v>31.571428571428569</v>
      </c>
      <c r="V20" s="17">
        <f t="shared" si="12"/>
        <v>199.57142857142856</v>
      </c>
      <c r="W20" s="17">
        <f t="shared" si="12"/>
        <v>14</v>
      </c>
      <c r="X20" s="17">
        <f t="shared" si="12"/>
        <v>4</v>
      </c>
      <c r="Y20" s="17">
        <f t="shared" si="12"/>
        <v>23.571428571428573</v>
      </c>
      <c r="Z20" s="17">
        <f t="shared" si="12"/>
        <v>23</v>
      </c>
      <c r="AA20" s="17">
        <f t="shared" si="12"/>
        <v>15.142857142857142</v>
      </c>
      <c r="AB20" s="17">
        <f t="shared" si="12"/>
        <v>45</v>
      </c>
      <c r="AC20" s="17">
        <f t="shared" si="12"/>
        <v>473.71428571428578</v>
      </c>
      <c r="AD20" s="17">
        <f t="shared" si="12"/>
        <v>0</v>
      </c>
      <c r="AE20" s="31">
        <f t="shared" si="12"/>
        <v>537</v>
      </c>
      <c r="AF20" s="31">
        <f t="shared" si="12"/>
        <v>1010.7142857142857</v>
      </c>
    </row>
    <row r="21" spans="2:32" ht="23.1" customHeight="1" x14ac:dyDescent="0.25">
      <c r="B21" s="23" t="s">
        <v>48</v>
      </c>
      <c r="C21" s="49">
        <f>AVERAGE('23.09 Mukono-Seeta'!C21,'24.09 Mukono-Seeta'!C21,'25.09 Mukono-Seeta'!C21,'27.09 Mukono-Seeta'!C21,'26.09 Mukono-Seeta-24h'!C21,'28.09 Mukono-Seeta-24h'!C21,'29.09 Mukono-Seeta'!C21)</f>
        <v>26</v>
      </c>
      <c r="D21" s="49">
        <f>AVERAGE('23.09 Mukono-Seeta'!D21,'24.09 Mukono-Seeta'!D21,'25.09 Mukono-Seeta'!D21,'27.09 Mukono-Seeta'!D21,'26.09 Mukono-Seeta-24h'!D21,'28.09 Mukono-Seeta-24h'!D21,'29.09 Mukono-Seeta'!D21)</f>
        <v>10.428571428571429</v>
      </c>
      <c r="E21" s="49">
        <f>AVERAGE('23.09 Mukono-Seeta'!E21,'24.09 Mukono-Seeta'!E21,'25.09 Mukono-Seeta'!E21,'27.09 Mukono-Seeta'!E21,'26.09 Mukono-Seeta-24h'!E21,'28.09 Mukono-Seeta-24h'!E21,'29.09 Mukono-Seeta'!E21)</f>
        <v>5.8571428571428568</v>
      </c>
      <c r="F21" s="49">
        <f>AVERAGE('23.09 Mukono-Seeta'!F21,'24.09 Mukono-Seeta'!F21,'25.09 Mukono-Seeta'!F21,'27.09 Mukono-Seeta'!F21,'26.09 Mukono-Seeta-24h'!F21,'28.09 Mukono-Seeta-24h'!F21,'29.09 Mukono-Seeta'!F21)</f>
        <v>31.857142857142858</v>
      </c>
      <c r="G21" s="49">
        <f>AVERAGE('23.09 Mukono-Seeta'!G21,'24.09 Mukono-Seeta'!G21,'25.09 Mukono-Seeta'!G21,'27.09 Mukono-Seeta'!G21,'26.09 Mukono-Seeta-24h'!G21,'28.09 Mukono-Seeta-24h'!G21,'29.09 Mukono-Seeta'!G21)</f>
        <v>2.1428571428571428</v>
      </c>
      <c r="H21" s="49">
        <f>AVERAGE('23.09 Mukono-Seeta'!H21,'24.09 Mukono-Seeta'!H21,'25.09 Mukono-Seeta'!H21,'27.09 Mukono-Seeta'!H21,'26.09 Mukono-Seeta-24h'!H21,'28.09 Mukono-Seeta-24h'!H21,'29.09 Mukono-Seeta'!H21)</f>
        <v>2.2857142857142856</v>
      </c>
      <c r="I21" s="49">
        <f>AVERAGE('23.09 Mukono-Seeta'!I21,'24.09 Mukono-Seeta'!I21,'25.09 Mukono-Seeta'!I21,'27.09 Mukono-Seeta'!I21,'26.09 Mukono-Seeta-24h'!I21,'28.09 Mukono-Seeta-24h'!I21,'29.09 Mukono-Seeta'!I21)</f>
        <v>6</v>
      </c>
      <c r="J21" s="49">
        <f>AVERAGE('23.09 Mukono-Seeta'!J21,'24.09 Mukono-Seeta'!J21,'25.09 Mukono-Seeta'!J21,'27.09 Mukono-Seeta'!J21,'26.09 Mukono-Seeta-24h'!J21,'28.09 Mukono-Seeta-24h'!J21,'29.09 Mukono-Seeta'!J21)</f>
        <v>5</v>
      </c>
      <c r="K21" s="49">
        <f>AVERAGE('23.09 Mukono-Seeta'!K21,'24.09 Mukono-Seeta'!K21,'25.09 Mukono-Seeta'!K21,'27.09 Mukono-Seeta'!K21,'26.09 Mukono-Seeta-24h'!K21,'28.09 Mukono-Seeta-24h'!K21,'29.09 Mukono-Seeta'!K21)</f>
        <v>6.1428571428571432</v>
      </c>
      <c r="L21" s="49">
        <f>AVERAGE('23.09 Mukono-Seeta'!L21,'24.09 Mukono-Seeta'!L21,'25.09 Mukono-Seeta'!L21,'27.09 Mukono-Seeta'!L21,'26.09 Mukono-Seeta-24h'!L21,'28.09 Mukono-Seeta-24h'!L21,'29.09 Mukono-Seeta'!L21)</f>
        <v>16</v>
      </c>
      <c r="M21" s="49">
        <f>AVERAGE('23.09 Mukono-Seeta'!M21,'24.09 Mukono-Seeta'!M21,'25.09 Mukono-Seeta'!M21,'27.09 Mukono-Seeta'!M21,'26.09 Mukono-Seeta-24h'!M21,'28.09 Mukono-Seeta-24h'!M21,'29.09 Mukono-Seeta'!M21)</f>
        <v>122</v>
      </c>
      <c r="N21" s="49">
        <f>AVERAGE('23.09 Mukono-Seeta'!N21,'24.09 Mukono-Seeta'!N21,'25.09 Mukono-Seeta'!N21,'27.09 Mukono-Seeta'!N21,'26.09 Mukono-Seeta-24h'!N21,'28.09 Mukono-Seeta-24h'!N21,'29.09 Mukono-Seeta'!N21)</f>
        <v>0</v>
      </c>
      <c r="O21" s="15">
        <f t="shared" si="0"/>
        <v>111.71428571428571</v>
      </c>
      <c r="P21" s="15">
        <f t="shared" si="1"/>
        <v>233.71428571428572</v>
      </c>
      <c r="R21" s="1" t="s">
        <v>20</v>
      </c>
      <c r="S21" s="34">
        <f t="shared" ref="S21:AF21" si="13">SUM(C54:C57)</f>
        <v>108.14285714285714</v>
      </c>
      <c r="T21" s="17">
        <f t="shared" si="13"/>
        <v>47.428571428571431</v>
      </c>
      <c r="U21" s="17">
        <f t="shared" si="13"/>
        <v>35.571428571428569</v>
      </c>
      <c r="V21" s="17">
        <f t="shared" si="13"/>
        <v>202.14285714285714</v>
      </c>
      <c r="W21" s="17">
        <f t="shared" si="13"/>
        <v>11.285714285714285</v>
      </c>
      <c r="X21" s="17">
        <f t="shared" si="13"/>
        <v>3.7142857142857144</v>
      </c>
      <c r="Y21" s="17">
        <f t="shared" si="13"/>
        <v>24.142857142857142</v>
      </c>
      <c r="Z21" s="17">
        <f t="shared" si="13"/>
        <v>25.285714285714285</v>
      </c>
      <c r="AA21" s="17">
        <f t="shared" si="13"/>
        <v>15.142857142857144</v>
      </c>
      <c r="AB21" s="17">
        <f t="shared" si="13"/>
        <v>38.857142857142854</v>
      </c>
      <c r="AC21" s="17">
        <f t="shared" si="13"/>
        <v>475.71428571428567</v>
      </c>
      <c r="AD21" s="17">
        <f t="shared" si="13"/>
        <v>0.14285714285714285</v>
      </c>
      <c r="AE21" s="31">
        <f t="shared" si="13"/>
        <v>511.85714285714295</v>
      </c>
      <c r="AF21" s="31">
        <f t="shared" si="13"/>
        <v>987.57142857142867</v>
      </c>
    </row>
    <row r="22" spans="2:32" ht="23.1" customHeight="1" x14ac:dyDescent="0.25">
      <c r="B22" s="23" t="s">
        <v>49</v>
      </c>
      <c r="C22" s="49">
        <f>AVERAGE('23.09 Mukono-Seeta'!C22,'24.09 Mukono-Seeta'!C22,'25.09 Mukono-Seeta'!C22,'27.09 Mukono-Seeta'!C22,'26.09 Mukono-Seeta-24h'!C22,'28.09 Mukono-Seeta-24h'!C22,'29.09 Mukono-Seeta'!C22)</f>
        <v>17.285714285714285</v>
      </c>
      <c r="D22" s="49">
        <f>AVERAGE('23.09 Mukono-Seeta'!D22,'24.09 Mukono-Seeta'!D22,'25.09 Mukono-Seeta'!D22,'27.09 Mukono-Seeta'!D22,'26.09 Mukono-Seeta-24h'!D22,'28.09 Mukono-Seeta-24h'!D22,'29.09 Mukono-Seeta'!D22)</f>
        <v>8</v>
      </c>
      <c r="E22" s="49">
        <f>AVERAGE('23.09 Mukono-Seeta'!E22,'24.09 Mukono-Seeta'!E22,'25.09 Mukono-Seeta'!E22,'27.09 Mukono-Seeta'!E22,'26.09 Mukono-Seeta-24h'!E22,'28.09 Mukono-Seeta-24h'!E22,'29.09 Mukono-Seeta'!E22)</f>
        <v>3.7142857142857144</v>
      </c>
      <c r="F22" s="49">
        <f>AVERAGE('23.09 Mukono-Seeta'!F22,'24.09 Mukono-Seeta'!F22,'25.09 Mukono-Seeta'!F22,'27.09 Mukono-Seeta'!F22,'26.09 Mukono-Seeta-24h'!F22,'28.09 Mukono-Seeta-24h'!F22,'29.09 Mukono-Seeta'!F22)</f>
        <v>32.714285714285715</v>
      </c>
      <c r="G22" s="49">
        <f>AVERAGE('23.09 Mukono-Seeta'!G22,'24.09 Mukono-Seeta'!G22,'25.09 Mukono-Seeta'!G22,'27.09 Mukono-Seeta'!G22,'26.09 Mukono-Seeta-24h'!G22,'28.09 Mukono-Seeta-24h'!G22,'29.09 Mukono-Seeta'!G22)</f>
        <v>1</v>
      </c>
      <c r="H22" s="49">
        <f>AVERAGE('23.09 Mukono-Seeta'!H22,'24.09 Mukono-Seeta'!H22,'25.09 Mukono-Seeta'!H22,'27.09 Mukono-Seeta'!H22,'26.09 Mukono-Seeta-24h'!H22,'28.09 Mukono-Seeta-24h'!H22,'29.09 Mukono-Seeta'!H22)</f>
        <v>0.14285714285714285</v>
      </c>
      <c r="I22" s="49">
        <f>AVERAGE('23.09 Mukono-Seeta'!I22,'24.09 Mukono-Seeta'!I22,'25.09 Mukono-Seeta'!I22,'27.09 Mukono-Seeta'!I22,'26.09 Mukono-Seeta-24h'!I22,'28.09 Mukono-Seeta-24h'!I22,'29.09 Mukono-Seeta'!I22)</f>
        <v>4.1428571428571432</v>
      </c>
      <c r="J22" s="49">
        <f>AVERAGE('23.09 Mukono-Seeta'!J22,'24.09 Mukono-Seeta'!J22,'25.09 Mukono-Seeta'!J22,'27.09 Mukono-Seeta'!J22,'26.09 Mukono-Seeta-24h'!J22,'28.09 Mukono-Seeta-24h'!J22,'29.09 Mukono-Seeta'!J22)</f>
        <v>3.5714285714285716</v>
      </c>
      <c r="K22" s="49">
        <f>AVERAGE('23.09 Mukono-Seeta'!K22,'24.09 Mukono-Seeta'!K22,'25.09 Mukono-Seeta'!K22,'27.09 Mukono-Seeta'!K22,'26.09 Mukono-Seeta-24h'!K22,'28.09 Mukono-Seeta-24h'!K22,'29.09 Mukono-Seeta'!K22)</f>
        <v>1.8571428571428572</v>
      </c>
      <c r="L22" s="49">
        <f>AVERAGE('23.09 Mukono-Seeta'!L22,'24.09 Mukono-Seeta'!L22,'25.09 Mukono-Seeta'!L22,'27.09 Mukono-Seeta'!L22,'26.09 Mukono-Seeta-24h'!L22,'28.09 Mukono-Seeta-24h'!L22,'29.09 Mukono-Seeta'!L22)</f>
        <v>12.428571428571429</v>
      </c>
      <c r="M22" s="49">
        <f>AVERAGE('23.09 Mukono-Seeta'!M22,'24.09 Mukono-Seeta'!M22,'25.09 Mukono-Seeta'!M22,'27.09 Mukono-Seeta'!M22,'26.09 Mukono-Seeta-24h'!M22,'28.09 Mukono-Seeta-24h'!M22,'29.09 Mukono-Seeta'!M22)</f>
        <v>101.57142857142857</v>
      </c>
      <c r="N22" s="49">
        <f>AVERAGE('23.09 Mukono-Seeta'!N22,'24.09 Mukono-Seeta'!N22,'25.09 Mukono-Seeta'!N22,'27.09 Mukono-Seeta'!N22,'26.09 Mukono-Seeta-24h'!N22,'28.09 Mukono-Seeta-24h'!N22,'29.09 Mukono-Seeta'!N22)</f>
        <v>0</v>
      </c>
      <c r="O22" s="15">
        <f t="shared" si="0"/>
        <v>84.857142857142861</v>
      </c>
      <c r="P22" s="15">
        <f t="shared" si="1"/>
        <v>186.42857142857144</v>
      </c>
      <c r="R22" s="1" t="s">
        <v>146</v>
      </c>
      <c r="S22" s="34">
        <f>SUM(C58:C61)</f>
        <v>115</v>
      </c>
      <c r="T22" s="34">
        <f t="shared" ref="T22:AF22" si="14">SUM(D58:D61)</f>
        <v>67</v>
      </c>
      <c r="U22" s="34">
        <f t="shared" si="14"/>
        <v>22.5</v>
      </c>
      <c r="V22" s="34">
        <f t="shared" si="14"/>
        <v>124</v>
      </c>
      <c r="W22" s="34">
        <f t="shared" si="14"/>
        <v>6.5</v>
      </c>
      <c r="X22" s="34">
        <f t="shared" si="14"/>
        <v>4.5</v>
      </c>
      <c r="Y22" s="34">
        <f t="shared" si="14"/>
        <v>38</v>
      </c>
      <c r="Z22" s="34">
        <f t="shared" si="14"/>
        <v>23.5</v>
      </c>
      <c r="AA22" s="34">
        <f t="shared" si="14"/>
        <v>9.5</v>
      </c>
      <c r="AB22" s="34">
        <f t="shared" si="14"/>
        <v>31</v>
      </c>
      <c r="AC22" s="34">
        <f t="shared" si="14"/>
        <v>341</v>
      </c>
      <c r="AD22" s="34">
        <f t="shared" si="14"/>
        <v>0</v>
      </c>
      <c r="AE22" s="31">
        <f t="shared" si="14"/>
        <v>441.5</v>
      </c>
      <c r="AF22" s="31">
        <f t="shared" si="14"/>
        <v>782.5</v>
      </c>
    </row>
    <row r="23" spans="2:32" ht="23.1" customHeight="1" x14ac:dyDescent="0.25">
      <c r="B23" s="23" t="s">
        <v>50</v>
      </c>
      <c r="C23" s="49">
        <f>AVERAGE('23.09 Mukono-Seeta'!C23,'24.09 Mukono-Seeta'!C23,'25.09 Mukono-Seeta'!C23,'27.09 Mukono-Seeta'!C23,'26.09 Mukono-Seeta-24h'!C23,'28.09 Mukono-Seeta-24h'!C23,'29.09 Mukono-Seeta'!C23)</f>
        <v>21.714285714285715</v>
      </c>
      <c r="D23" s="49">
        <f>AVERAGE('23.09 Mukono-Seeta'!D23,'24.09 Mukono-Seeta'!D23,'25.09 Mukono-Seeta'!D23,'27.09 Mukono-Seeta'!D23,'26.09 Mukono-Seeta-24h'!D23,'28.09 Mukono-Seeta-24h'!D23,'29.09 Mukono-Seeta'!D23)</f>
        <v>10.428571428571429</v>
      </c>
      <c r="E23" s="49">
        <f>AVERAGE('23.09 Mukono-Seeta'!E23,'24.09 Mukono-Seeta'!E23,'25.09 Mukono-Seeta'!E23,'27.09 Mukono-Seeta'!E23,'26.09 Mukono-Seeta-24h'!E23,'28.09 Mukono-Seeta-24h'!E23,'29.09 Mukono-Seeta'!E23)</f>
        <v>5.5714285714285712</v>
      </c>
      <c r="F23" s="49">
        <f>AVERAGE('23.09 Mukono-Seeta'!F23,'24.09 Mukono-Seeta'!F23,'25.09 Mukono-Seeta'!F23,'27.09 Mukono-Seeta'!F23,'26.09 Mukono-Seeta-24h'!F23,'28.09 Mukono-Seeta-24h'!F23,'29.09 Mukono-Seeta'!F23)</f>
        <v>40.428571428571431</v>
      </c>
      <c r="G23" s="49">
        <f>AVERAGE('23.09 Mukono-Seeta'!G23,'24.09 Mukono-Seeta'!G23,'25.09 Mukono-Seeta'!G23,'27.09 Mukono-Seeta'!G23,'26.09 Mukono-Seeta-24h'!G23,'28.09 Mukono-Seeta-24h'!G23,'29.09 Mukono-Seeta'!G23)</f>
        <v>2.2857142857142856</v>
      </c>
      <c r="H23" s="49">
        <f>AVERAGE('23.09 Mukono-Seeta'!H23,'24.09 Mukono-Seeta'!H23,'25.09 Mukono-Seeta'!H23,'27.09 Mukono-Seeta'!H23,'26.09 Mukono-Seeta-24h'!H23,'28.09 Mukono-Seeta-24h'!H23,'29.09 Mukono-Seeta'!H23)</f>
        <v>0.42857142857142855</v>
      </c>
      <c r="I23" s="49">
        <f>AVERAGE('23.09 Mukono-Seeta'!I23,'24.09 Mukono-Seeta'!I23,'25.09 Mukono-Seeta'!I23,'27.09 Mukono-Seeta'!I23,'26.09 Mukono-Seeta-24h'!I23,'28.09 Mukono-Seeta-24h'!I23,'29.09 Mukono-Seeta'!I23)</f>
        <v>5.8571428571428568</v>
      </c>
      <c r="J23" s="49">
        <f>AVERAGE('23.09 Mukono-Seeta'!J23,'24.09 Mukono-Seeta'!J23,'25.09 Mukono-Seeta'!J23,'27.09 Mukono-Seeta'!J23,'26.09 Mukono-Seeta-24h'!J23,'28.09 Mukono-Seeta-24h'!J23,'29.09 Mukono-Seeta'!J23)</f>
        <v>3.1428571428571428</v>
      </c>
      <c r="K23" s="49">
        <f>AVERAGE('23.09 Mukono-Seeta'!K23,'24.09 Mukono-Seeta'!K23,'25.09 Mukono-Seeta'!K23,'27.09 Mukono-Seeta'!K23,'26.09 Mukono-Seeta-24h'!K23,'28.09 Mukono-Seeta-24h'!K23,'29.09 Mukono-Seeta'!K23)</f>
        <v>3.1428571428571428</v>
      </c>
      <c r="L23" s="49">
        <f>AVERAGE('23.09 Mukono-Seeta'!L23,'24.09 Mukono-Seeta'!L23,'25.09 Mukono-Seeta'!L23,'27.09 Mukono-Seeta'!L23,'26.09 Mukono-Seeta-24h'!L23,'28.09 Mukono-Seeta-24h'!L23,'29.09 Mukono-Seeta'!L23)</f>
        <v>15.428571428571429</v>
      </c>
      <c r="M23" s="49">
        <f>AVERAGE('23.09 Mukono-Seeta'!M23,'24.09 Mukono-Seeta'!M23,'25.09 Mukono-Seeta'!M23,'27.09 Mukono-Seeta'!M23,'26.09 Mukono-Seeta-24h'!M23,'28.09 Mukono-Seeta-24h'!M23,'29.09 Mukono-Seeta'!M23)</f>
        <v>117.14285714285714</v>
      </c>
      <c r="N23" s="49">
        <f>AVERAGE('23.09 Mukono-Seeta'!N23,'24.09 Mukono-Seeta'!N23,'25.09 Mukono-Seeta'!N23,'27.09 Mukono-Seeta'!N23,'26.09 Mukono-Seeta-24h'!N23,'28.09 Mukono-Seeta-24h'!N23,'29.09 Mukono-Seeta'!N23)</f>
        <v>0</v>
      </c>
      <c r="O23" s="15">
        <f t="shared" si="0"/>
        <v>108.42857142857143</v>
      </c>
      <c r="P23" s="15">
        <f t="shared" si="1"/>
        <v>225.57142857142856</v>
      </c>
      <c r="R23" s="1" t="s">
        <v>147</v>
      </c>
      <c r="S23" s="34">
        <f>SUM(C62:C65)</f>
        <v>126.5</v>
      </c>
      <c r="T23" s="34">
        <f t="shared" ref="T23:AF23" si="15">SUM(D62:D65)</f>
        <v>81</v>
      </c>
      <c r="U23" s="34">
        <f t="shared" si="15"/>
        <v>26</v>
      </c>
      <c r="V23" s="34">
        <f t="shared" si="15"/>
        <v>131</v>
      </c>
      <c r="W23" s="34">
        <f t="shared" si="15"/>
        <v>8.5</v>
      </c>
      <c r="X23" s="34">
        <f t="shared" si="15"/>
        <v>7.5</v>
      </c>
      <c r="Y23" s="34">
        <f t="shared" si="15"/>
        <v>28</v>
      </c>
      <c r="Z23" s="34">
        <f t="shared" si="15"/>
        <v>24.5</v>
      </c>
      <c r="AA23" s="34">
        <f t="shared" si="15"/>
        <v>12</v>
      </c>
      <c r="AB23" s="34">
        <f t="shared" si="15"/>
        <v>16</v>
      </c>
      <c r="AC23" s="34">
        <f t="shared" si="15"/>
        <v>297.5</v>
      </c>
      <c r="AD23" s="34">
        <f t="shared" si="15"/>
        <v>0</v>
      </c>
      <c r="AE23" s="31">
        <f t="shared" si="15"/>
        <v>461</v>
      </c>
      <c r="AF23" s="31">
        <f t="shared" si="15"/>
        <v>758.5</v>
      </c>
    </row>
    <row r="24" spans="2:32" ht="23.1" customHeight="1" x14ac:dyDescent="0.25">
      <c r="B24" s="23" t="s">
        <v>51</v>
      </c>
      <c r="C24" s="49">
        <f>AVERAGE('23.09 Mukono-Seeta'!C24,'24.09 Mukono-Seeta'!C24,'25.09 Mukono-Seeta'!C24,'27.09 Mukono-Seeta'!C24,'26.09 Mukono-Seeta-24h'!C24,'28.09 Mukono-Seeta-24h'!C24,'29.09 Mukono-Seeta'!C24)</f>
        <v>20.142857142857142</v>
      </c>
      <c r="D24" s="49">
        <f>AVERAGE('23.09 Mukono-Seeta'!D24,'24.09 Mukono-Seeta'!D24,'25.09 Mukono-Seeta'!D24,'27.09 Mukono-Seeta'!D24,'26.09 Mukono-Seeta-24h'!D24,'28.09 Mukono-Seeta-24h'!D24,'29.09 Mukono-Seeta'!D24)</f>
        <v>10</v>
      </c>
      <c r="E24" s="49">
        <f>AVERAGE('23.09 Mukono-Seeta'!E24,'24.09 Mukono-Seeta'!E24,'25.09 Mukono-Seeta'!E24,'27.09 Mukono-Seeta'!E24,'26.09 Mukono-Seeta-24h'!E24,'28.09 Mukono-Seeta-24h'!E24,'29.09 Mukono-Seeta'!E24)</f>
        <v>6.5714285714285712</v>
      </c>
      <c r="F24" s="49">
        <f>AVERAGE('23.09 Mukono-Seeta'!F24,'24.09 Mukono-Seeta'!F24,'25.09 Mukono-Seeta'!F24,'27.09 Mukono-Seeta'!F24,'26.09 Mukono-Seeta-24h'!F24,'28.09 Mukono-Seeta-24h'!F24,'29.09 Mukono-Seeta'!F24)</f>
        <v>42.857142857142854</v>
      </c>
      <c r="G24" s="49">
        <f>AVERAGE('23.09 Mukono-Seeta'!G24,'24.09 Mukono-Seeta'!G24,'25.09 Mukono-Seeta'!G24,'27.09 Mukono-Seeta'!G24,'26.09 Mukono-Seeta-24h'!G24,'28.09 Mukono-Seeta-24h'!G24,'29.09 Mukono-Seeta'!G24)</f>
        <v>1</v>
      </c>
      <c r="H24" s="49">
        <f>AVERAGE('23.09 Mukono-Seeta'!H24,'24.09 Mukono-Seeta'!H24,'25.09 Mukono-Seeta'!H24,'27.09 Mukono-Seeta'!H24,'26.09 Mukono-Seeta-24h'!H24,'28.09 Mukono-Seeta-24h'!H24,'29.09 Mukono-Seeta'!H24)</f>
        <v>0.42857142857142855</v>
      </c>
      <c r="I24" s="49">
        <f>AVERAGE('23.09 Mukono-Seeta'!I24,'24.09 Mukono-Seeta'!I24,'25.09 Mukono-Seeta'!I24,'27.09 Mukono-Seeta'!I24,'26.09 Mukono-Seeta-24h'!I24,'28.09 Mukono-Seeta-24h'!I24,'29.09 Mukono-Seeta'!I24)</f>
        <v>7.5714285714285712</v>
      </c>
      <c r="J24" s="49">
        <f>AVERAGE('23.09 Mukono-Seeta'!J24,'24.09 Mukono-Seeta'!J24,'25.09 Mukono-Seeta'!J24,'27.09 Mukono-Seeta'!J24,'26.09 Mukono-Seeta-24h'!J24,'28.09 Mukono-Seeta-24h'!J24,'29.09 Mukono-Seeta'!J24)</f>
        <v>4.4285714285714288</v>
      </c>
      <c r="K24" s="49">
        <f>AVERAGE('23.09 Mukono-Seeta'!K24,'24.09 Mukono-Seeta'!K24,'25.09 Mukono-Seeta'!K24,'27.09 Mukono-Seeta'!K24,'26.09 Mukono-Seeta-24h'!K24,'28.09 Mukono-Seeta-24h'!K24,'29.09 Mukono-Seeta'!K24)</f>
        <v>4.2857142857142856</v>
      </c>
      <c r="L24" s="49">
        <f>AVERAGE('23.09 Mukono-Seeta'!L24,'24.09 Mukono-Seeta'!L24,'25.09 Mukono-Seeta'!L24,'27.09 Mukono-Seeta'!L24,'26.09 Mukono-Seeta-24h'!L24,'28.09 Mukono-Seeta-24h'!L24,'29.09 Mukono-Seeta'!L24)</f>
        <v>16</v>
      </c>
      <c r="M24" s="49">
        <f>AVERAGE('23.09 Mukono-Seeta'!M24,'24.09 Mukono-Seeta'!M24,'25.09 Mukono-Seeta'!M24,'27.09 Mukono-Seeta'!M24,'26.09 Mukono-Seeta-24h'!M24,'28.09 Mukono-Seeta-24h'!M24,'29.09 Mukono-Seeta'!M24)</f>
        <v>125</v>
      </c>
      <c r="N24" s="49">
        <f>AVERAGE('23.09 Mukono-Seeta'!N24,'24.09 Mukono-Seeta'!N24,'25.09 Mukono-Seeta'!N24,'27.09 Mukono-Seeta'!N24,'26.09 Mukono-Seeta-24h'!N24,'28.09 Mukono-Seeta-24h'!N24,'29.09 Mukono-Seeta'!N24)</f>
        <v>0</v>
      </c>
      <c r="O24" s="15">
        <f t="shared" si="0"/>
        <v>113.28571428571429</v>
      </c>
      <c r="P24" s="15">
        <f t="shared" si="1"/>
        <v>238.28571428571428</v>
      </c>
      <c r="R24" s="1" t="s">
        <v>148</v>
      </c>
      <c r="S24" s="34">
        <f>SUM(C66:C69)</f>
        <v>135</v>
      </c>
      <c r="T24" s="34">
        <f t="shared" ref="T24:AF24" si="16">SUM(D66:D69)</f>
        <v>85</v>
      </c>
      <c r="U24" s="34">
        <f t="shared" si="16"/>
        <v>24.5</v>
      </c>
      <c r="V24" s="34">
        <f t="shared" si="16"/>
        <v>119.5</v>
      </c>
      <c r="W24" s="34">
        <f t="shared" si="16"/>
        <v>7.5</v>
      </c>
      <c r="X24" s="34">
        <f t="shared" si="16"/>
        <v>1.5</v>
      </c>
      <c r="Y24" s="34">
        <f t="shared" si="16"/>
        <v>40.5</v>
      </c>
      <c r="Z24" s="34">
        <f t="shared" si="16"/>
        <v>25</v>
      </c>
      <c r="AA24" s="34">
        <f t="shared" si="16"/>
        <v>6.5</v>
      </c>
      <c r="AB24" s="34">
        <f t="shared" si="16"/>
        <v>24</v>
      </c>
      <c r="AC24" s="34">
        <f t="shared" si="16"/>
        <v>185.5</v>
      </c>
      <c r="AD24" s="34">
        <f t="shared" si="16"/>
        <v>0</v>
      </c>
      <c r="AE24" s="31">
        <f t="shared" si="16"/>
        <v>469</v>
      </c>
      <c r="AF24" s="31">
        <f t="shared" si="16"/>
        <v>654.5</v>
      </c>
    </row>
    <row r="25" spans="2:32" ht="23.1" customHeight="1" x14ac:dyDescent="0.25">
      <c r="B25" s="23" t="s">
        <v>52</v>
      </c>
      <c r="C25" s="49">
        <f>AVERAGE('23.09 Mukono-Seeta'!C25,'24.09 Mukono-Seeta'!C25,'25.09 Mukono-Seeta'!C25,'27.09 Mukono-Seeta'!C25,'26.09 Mukono-Seeta-24h'!C25,'28.09 Mukono-Seeta-24h'!C25,'29.09 Mukono-Seeta'!C25)</f>
        <v>20.428571428571427</v>
      </c>
      <c r="D25" s="49">
        <f>AVERAGE('23.09 Mukono-Seeta'!D25,'24.09 Mukono-Seeta'!D25,'25.09 Mukono-Seeta'!D25,'27.09 Mukono-Seeta'!D25,'26.09 Mukono-Seeta-24h'!D25,'28.09 Mukono-Seeta-24h'!D25,'29.09 Mukono-Seeta'!D25)</f>
        <v>9.4285714285714288</v>
      </c>
      <c r="E25" s="49">
        <f>AVERAGE('23.09 Mukono-Seeta'!E25,'24.09 Mukono-Seeta'!E25,'25.09 Mukono-Seeta'!E25,'27.09 Mukono-Seeta'!E25,'26.09 Mukono-Seeta-24h'!E25,'28.09 Mukono-Seeta-24h'!E25,'29.09 Mukono-Seeta'!E25)</f>
        <v>5.1428571428571432</v>
      </c>
      <c r="F25" s="49">
        <f>AVERAGE('23.09 Mukono-Seeta'!F25,'24.09 Mukono-Seeta'!F25,'25.09 Mukono-Seeta'!F25,'27.09 Mukono-Seeta'!F25,'26.09 Mukono-Seeta-24h'!F25,'28.09 Mukono-Seeta-24h'!F25,'29.09 Mukono-Seeta'!F25)</f>
        <v>35.714285714285715</v>
      </c>
      <c r="G25" s="49">
        <f>AVERAGE('23.09 Mukono-Seeta'!G25,'24.09 Mukono-Seeta'!G25,'25.09 Mukono-Seeta'!G25,'27.09 Mukono-Seeta'!G25,'26.09 Mukono-Seeta-24h'!G25,'28.09 Mukono-Seeta-24h'!G25,'29.09 Mukono-Seeta'!G25)</f>
        <v>1.7142857142857142</v>
      </c>
      <c r="H25" s="49">
        <f>AVERAGE('23.09 Mukono-Seeta'!H25,'24.09 Mukono-Seeta'!H25,'25.09 Mukono-Seeta'!H25,'27.09 Mukono-Seeta'!H25,'26.09 Mukono-Seeta-24h'!H25,'28.09 Mukono-Seeta-24h'!H25,'29.09 Mukono-Seeta'!H25)</f>
        <v>0.5714285714285714</v>
      </c>
      <c r="I25" s="49">
        <f>AVERAGE('23.09 Mukono-Seeta'!I25,'24.09 Mukono-Seeta'!I25,'25.09 Mukono-Seeta'!I25,'27.09 Mukono-Seeta'!I25,'26.09 Mukono-Seeta-24h'!I25,'28.09 Mukono-Seeta-24h'!I25,'29.09 Mukono-Seeta'!I25)</f>
        <v>5.5714285714285712</v>
      </c>
      <c r="J25" s="49">
        <f>AVERAGE('23.09 Mukono-Seeta'!J25,'24.09 Mukono-Seeta'!J25,'25.09 Mukono-Seeta'!J25,'27.09 Mukono-Seeta'!J25,'26.09 Mukono-Seeta-24h'!J25,'28.09 Mukono-Seeta-24h'!J25,'29.09 Mukono-Seeta'!J25)</f>
        <v>5.4285714285714288</v>
      </c>
      <c r="K25" s="49">
        <f>AVERAGE('23.09 Mukono-Seeta'!K25,'24.09 Mukono-Seeta'!K25,'25.09 Mukono-Seeta'!K25,'27.09 Mukono-Seeta'!K25,'26.09 Mukono-Seeta-24h'!K25,'28.09 Mukono-Seeta-24h'!K25,'29.09 Mukono-Seeta'!K25)</f>
        <v>3.7142857142857144</v>
      </c>
      <c r="L25" s="49">
        <f>AVERAGE('23.09 Mukono-Seeta'!L25,'24.09 Mukono-Seeta'!L25,'25.09 Mukono-Seeta'!L25,'27.09 Mukono-Seeta'!L25,'26.09 Mukono-Seeta-24h'!L25,'28.09 Mukono-Seeta-24h'!L25,'29.09 Mukono-Seeta'!L25)</f>
        <v>16.428571428571427</v>
      </c>
      <c r="M25" s="49">
        <f>AVERAGE('23.09 Mukono-Seeta'!M25,'24.09 Mukono-Seeta'!M25,'25.09 Mukono-Seeta'!M25,'27.09 Mukono-Seeta'!M25,'26.09 Mukono-Seeta-24h'!M25,'28.09 Mukono-Seeta-24h'!M25,'29.09 Mukono-Seeta'!M25)</f>
        <v>116.85714285714286</v>
      </c>
      <c r="N25" s="49">
        <f>AVERAGE('23.09 Mukono-Seeta'!N25,'24.09 Mukono-Seeta'!N25,'25.09 Mukono-Seeta'!N25,'27.09 Mukono-Seeta'!N25,'26.09 Mukono-Seeta-24h'!N25,'28.09 Mukono-Seeta-24h'!N25,'29.09 Mukono-Seeta'!N25)</f>
        <v>0</v>
      </c>
      <c r="O25" s="15">
        <f t="shared" si="0"/>
        <v>104.14285714285714</v>
      </c>
      <c r="P25" s="15">
        <f t="shared" si="1"/>
        <v>221</v>
      </c>
      <c r="R25" s="1" t="s">
        <v>149</v>
      </c>
      <c r="S25" s="34">
        <f>SUM(C70:C73)</f>
        <v>114</v>
      </c>
      <c r="T25" s="34">
        <f t="shared" ref="T25:AF25" si="17">SUM(D70:D73)</f>
        <v>73</v>
      </c>
      <c r="U25" s="34">
        <f t="shared" si="17"/>
        <v>41.5</v>
      </c>
      <c r="V25" s="34">
        <f t="shared" si="17"/>
        <v>104</v>
      </c>
      <c r="W25" s="34">
        <f t="shared" si="17"/>
        <v>7.5</v>
      </c>
      <c r="X25" s="34">
        <f t="shared" si="17"/>
        <v>11</v>
      </c>
      <c r="Y25" s="34">
        <f t="shared" si="17"/>
        <v>34</v>
      </c>
      <c r="Z25" s="34">
        <f t="shared" si="17"/>
        <v>22.5</v>
      </c>
      <c r="AA25" s="34">
        <f t="shared" si="17"/>
        <v>12</v>
      </c>
      <c r="AB25" s="34">
        <f t="shared" si="17"/>
        <v>51.5</v>
      </c>
      <c r="AC25" s="34">
        <f t="shared" si="17"/>
        <v>89.5</v>
      </c>
      <c r="AD25" s="34">
        <f t="shared" si="17"/>
        <v>0</v>
      </c>
      <c r="AE25" s="31">
        <f t="shared" si="17"/>
        <v>471</v>
      </c>
      <c r="AF25" s="31">
        <f t="shared" si="17"/>
        <v>560.5</v>
      </c>
    </row>
    <row r="26" spans="2:32" ht="23.1" customHeight="1" x14ac:dyDescent="0.25">
      <c r="B26" s="23" t="s">
        <v>53</v>
      </c>
      <c r="C26" s="49">
        <f>AVERAGE('23.09 Mukono-Seeta'!C26,'24.09 Mukono-Seeta'!C26,'25.09 Mukono-Seeta'!C26,'27.09 Mukono-Seeta'!C26,'26.09 Mukono-Seeta-24h'!C26,'28.09 Mukono-Seeta-24h'!C26,'29.09 Mukono-Seeta'!C26)</f>
        <v>19</v>
      </c>
      <c r="D26" s="49">
        <f>AVERAGE('23.09 Mukono-Seeta'!D26,'24.09 Mukono-Seeta'!D26,'25.09 Mukono-Seeta'!D26,'27.09 Mukono-Seeta'!D26,'26.09 Mukono-Seeta-24h'!D26,'28.09 Mukono-Seeta-24h'!D26,'29.09 Mukono-Seeta'!D26)</f>
        <v>10.285714285714286</v>
      </c>
      <c r="E26" s="49">
        <f>AVERAGE('23.09 Mukono-Seeta'!E26,'24.09 Mukono-Seeta'!E26,'25.09 Mukono-Seeta'!E26,'27.09 Mukono-Seeta'!E26,'26.09 Mukono-Seeta-24h'!E26,'28.09 Mukono-Seeta-24h'!E26,'29.09 Mukono-Seeta'!E26)</f>
        <v>8</v>
      </c>
      <c r="F26" s="49">
        <f>AVERAGE('23.09 Mukono-Seeta'!F26,'24.09 Mukono-Seeta'!F26,'25.09 Mukono-Seeta'!F26,'27.09 Mukono-Seeta'!F26,'26.09 Mukono-Seeta-24h'!F26,'28.09 Mukono-Seeta-24h'!F26,'29.09 Mukono-Seeta'!F26)</f>
        <v>46</v>
      </c>
      <c r="G26" s="49">
        <f>AVERAGE('23.09 Mukono-Seeta'!G26,'24.09 Mukono-Seeta'!G26,'25.09 Mukono-Seeta'!G26,'27.09 Mukono-Seeta'!G26,'26.09 Mukono-Seeta-24h'!G26,'28.09 Mukono-Seeta-24h'!G26,'29.09 Mukono-Seeta'!G26)</f>
        <v>1.1428571428571428</v>
      </c>
      <c r="H26" s="49">
        <f>AVERAGE('23.09 Mukono-Seeta'!H26,'24.09 Mukono-Seeta'!H26,'25.09 Mukono-Seeta'!H26,'27.09 Mukono-Seeta'!H26,'26.09 Mukono-Seeta-24h'!H26,'28.09 Mukono-Seeta-24h'!H26,'29.09 Mukono-Seeta'!H26)</f>
        <v>0.7142857142857143</v>
      </c>
      <c r="I26" s="49">
        <f>AVERAGE('23.09 Mukono-Seeta'!I26,'24.09 Mukono-Seeta'!I26,'25.09 Mukono-Seeta'!I26,'27.09 Mukono-Seeta'!I26,'26.09 Mukono-Seeta-24h'!I26,'28.09 Mukono-Seeta-24h'!I26,'29.09 Mukono-Seeta'!I26)</f>
        <v>4.4285714285714288</v>
      </c>
      <c r="J26" s="49">
        <f>AVERAGE('23.09 Mukono-Seeta'!J26,'24.09 Mukono-Seeta'!J26,'25.09 Mukono-Seeta'!J26,'27.09 Mukono-Seeta'!J26,'26.09 Mukono-Seeta-24h'!J26,'28.09 Mukono-Seeta-24h'!J26,'29.09 Mukono-Seeta'!J26)</f>
        <v>4.8571428571428568</v>
      </c>
      <c r="K26" s="49">
        <f>AVERAGE('23.09 Mukono-Seeta'!K26,'24.09 Mukono-Seeta'!K26,'25.09 Mukono-Seeta'!K26,'27.09 Mukono-Seeta'!K26,'26.09 Mukono-Seeta-24h'!K26,'28.09 Mukono-Seeta-24h'!K26,'29.09 Mukono-Seeta'!K26)</f>
        <v>7.2857142857142856</v>
      </c>
      <c r="L26" s="49">
        <f>AVERAGE('23.09 Mukono-Seeta'!L26,'24.09 Mukono-Seeta'!L26,'25.09 Mukono-Seeta'!L26,'27.09 Mukono-Seeta'!L26,'26.09 Mukono-Seeta-24h'!L26,'28.09 Mukono-Seeta-24h'!L26,'29.09 Mukono-Seeta'!L26)</f>
        <v>10.714285714285714</v>
      </c>
      <c r="M26" s="49">
        <f>AVERAGE('23.09 Mukono-Seeta'!M26,'24.09 Mukono-Seeta'!M26,'25.09 Mukono-Seeta'!M26,'27.09 Mukono-Seeta'!M26,'26.09 Mukono-Seeta-24h'!M26,'28.09 Mukono-Seeta-24h'!M26,'29.09 Mukono-Seeta'!M26)</f>
        <v>117.14285714285714</v>
      </c>
      <c r="N26" s="49">
        <f>AVERAGE('23.09 Mukono-Seeta'!N26,'24.09 Mukono-Seeta'!N26,'25.09 Mukono-Seeta'!N26,'27.09 Mukono-Seeta'!N26,'26.09 Mukono-Seeta-24h'!N26,'28.09 Mukono-Seeta-24h'!N26,'29.09 Mukono-Seeta'!N26)</f>
        <v>0</v>
      </c>
      <c r="O26" s="15">
        <f t="shared" si="0"/>
        <v>112.42857142857142</v>
      </c>
      <c r="P26" s="15">
        <f t="shared" si="1"/>
        <v>229.57142857142856</v>
      </c>
      <c r="R26" s="1" t="s">
        <v>150</v>
      </c>
      <c r="S26" s="34">
        <f>SUM(C74:C77)</f>
        <v>84</v>
      </c>
      <c r="T26" s="34">
        <f t="shared" ref="T26:AF26" si="18">SUM(D74:D77)</f>
        <v>54</v>
      </c>
      <c r="U26" s="34">
        <f t="shared" si="18"/>
        <v>15.5</v>
      </c>
      <c r="V26" s="34">
        <f t="shared" si="18"/>
        <v>92</v>
      </c>
      <c r="W26" s="34">
        <f t="shared" si="18"/>
        <v>9</v>
      </c>
      <c r="X26" s="34">
        <f t="shared" si="18"/>
        <v>6.5</v>
      </c>
      <c r="Y26" s="34">
        <f t="shared" si="18"/>
        <v>34</v>
      </c>
      <c r="Z26" s="34">
        <f t="shared" si="18"/>
        <v>23</v>
      </c>
      <c r="AA26" s="34">
        <f t="shared" si="18"/>
        <v>8.5</v>
      </c>
      <c r="AB26" s="34">
        <f t="shared" si="18"/>
        <v>26</v>
      </c>
      <c r="AC26" s="34">
        <f t="shared" si="18"/>
        <v>71.5</v>
      </c>
      <c r="AD26" s="34">
        <f t="shared" si="18"/>
        <v>0</v>
      </c>
      <c r="AE26" s="31">
        <f t="shared" si="18"/>
        <v>352.5</v>
      </c>
      <c r="AF26" s="31">
        <f t="shared" si="18"/>
        <v>424</v>
      </c>
    </row>
    <row r="27" spans="2:32" ht="23.1" customHeight="1" x14ac:dyDescent="0.25">
      <c r="B27" s="23" t="s">
        <v>54</v>
      </c>
      <c r="C27" s="49">
        <f>AVERAGE('23.09 Mukono-Seeta'!C27,'24.09 Mukono-Seeta'!C27,'25.09 Mukono-Seeta'!C27,'27.09 Mukono-Seeta'!C27,'26.09 Mukono-Seeta-24h'!C27,'28.09 Mukono-Seeta-24h'!C27,'29.09 Mukono-Seeta'!C27)</f>
        <v>23.571428571428573</v>
      </c>
      <c r="D27" s="49">
        <f>AVERAGE('23.09 Mukono-Seeta'!D27,'24.09 Mukono-Seeta'!D27,'25.09 Mukono-Seeta'!D27,'27.09 Mukono-Seeta'!D27,'26.09 Mukono-Seeta-24h'!D27,'28.09 Mukono-Seeta-24h'!D27,'29.09 Mukono-Seeta'!D27)</f>
        <v>12.142857142857142</v>
      </c>
      <c r="E27" s="49">
        <f>AVERAGE('23.09 Mukono-Seeta'!E27,'24.09 Mukono-Seeta'!E27,'25.09 Mukono-Seeta'!E27,'27.09 Mukono-Seeta'!E27,'26.09 Mukono-Seeta-24h'!E27,'28.09 Mukono-Seeta-24h'!E27,'29.09 Mukono-Seeta'!E27)</f>
        <v>7.7142857142857144</v>
      </c>
      <c r="F27" s="49">
        <f>AVERAGE('23.09 Mukono-Seeta'!F27,'24.09 Mukono-Seeta'!F27,'25.09 Mukono-Seeta'!F27,'27.09 Mukono-Seeta'!F27,'26.09 Mukono-Seeta-24h'!F27,'28.09 Mukono-Seeta-24h'!F27,'29.09 Mukono-Seeta'!F27)</f>
        <v>40.857142857142854</v>
      </c>
      <c r="G27" s="49">
        <f>AVERAGE('23.09 Mukono-Seeta'!G27,'24.09 Mukono-Seeta'!G27,'25.09 Mukono-Seeta'!G27,'27.09 Mukono-Seeta'!G27,'26.09 Mukono-Seeta-24h'!G27,'28.09 Mukono-Seeta-24h'!G27,'29.09 Mukono-Seeta'!G27)</f>
        <v>1.1428571428571428</v>
      </c>
      <c r="H27" s="49">
        <f>AVERAGE('23.09 Mukono-Seeta'!H27,'24.09 Mukono-Seeta'!H27,'25.09 Mukono-Seeta'!H27,'27.09 Mukono-Seeta'!H27,'26.09 Mukono-Seeta-24h'!H27,'28.09 Mukono-Seeta-24h'!H27,'29.09 Mukono-Seeta'!H27)</f>
        <v>0</v>
      </c>
      <c r="I27" s="49">
        <f>AVERAGE('23.09 Mukono-Seeta'!I27,'24.09 Mukono-Seeta'!I27,'25.09 Mukono-Seeta'!I27,'27.09 Mukono-Seeta'!I27,'26.09 Mukono-Seeta-24h'!I27,'28.09 Mukono-Seeta-24h'!I27,'29.09 Mukono-Seeta'!I27)</f>
        <v>8.8571428571428577</v>
      </c>
      <c r="J27" s="49">
        <f>AVERAGE('23.09 Mukono-Seeta'!J27,'24.09 Mukono-Seeta'!J27,'25.09 Mukono-Seeta'!J27,'27.09 Mukono-Seeta'!J27,'26.09 Mukono-Seeta-24h'!J27,'28.09 Mukono-Seeta-24h'!J27,'29.09 Mukono-Seeta'!J27)</f>
        <v>4.1428571428571432</v>
      </c>
      <c r="K27" s="49">
        <f>AVERAGE('23.09 Mukono-Seeta'!K27,'24.09 Mukono-Seeta'!K27,'25.09 Mukono-Seeta'!K27,'27.09 Mukono-Seeta'!K27,'26.09 Mukono-Seeta-24h'!K27,'28.09 Mukono-Seeta-24h'!K27,'29.09 Mukono-Seeta'!K27)</f>
        <v>5</v>
      </c>
      <c r="L27" s="49">
        <f>AVERAGE('23.09 Mukono-Seeta'!L27,'24.09 Mukono-Seeta'!L27,'25.09 Mukono-Seeta'!L27,'27.09 Mukono-Seeta'!L27,'26.09 Mukono-Seeta-24h'!L27,'28.09 Mukono-Seeta-24h'!L27,'29.09 Mukono-Seeta'!L27)</f>
        <v>16.142857142857142</v>
      </c>
      <c r="M27" s="49">
        <f>AVERAGE('23.09 Mukono-Seeta'!M27,'24.09 Mukono-Seeta'!M27,'25.09 Mukono-Seeta'!M27,'27.09 Mukono-Seeta'!M27,'26.09 Mukono-Seeta-24h'!M27,'28.09 Mukono-Seeta-24h'!M27,'29.09 Mukono-Seeta'!M27)</f>
        <v>125.14285714285714</v>
      </c>
      <c r="N27" s="49">
        <f>AVERAGE('23.09 Mukono-Seeta'!N27,'24.09 Mukono-Seeta'!N27,'25.09 Mukono-Seeta'!N27,'27.09 Mukono-Seeta'!N27,'26.09 Mukono-Seeta-24h'!N27,'28.09 Mukono-Seeta-24h'!N27,'29.09 Mukono-Seeta'!N27)</f>
        <v>0.14285714285714285</v>
      </c>
      <c r="O27" s="15">
        <f t="shared" si="0"/>
        <v>119.71428571428569</v>
      </c>
      <c r="P27" s="15">
        <f t="shared" si="1"/>
        <v>244.85714285714283</v>
      </c>
      <c r="R27" s="1" t="s">
        <v>151</v>
      </c>
      <c r="S27" s="34">
        <f>SUM(C78:C81)</f>
        <v>50.5</v>
      </c>
      <c r="T27" s="34">
        <f t="shared" ref="T27:AF27" si="19">SUM(D78:D81)</f>
        <v>21.5</v>
      </c>
      <c r="U27" s="34">
        <f t="shared" si="19"/>
        <v>15</v>
      </c>
      <c r="V27" s="34">
        <f t="shared" si="19"/>
        <v>43</v>
      </c>
      <c r="W27" s="34">
        <f t="shared" si="19"/>
        <v>3.5</v>
      </c>
      <c r="X27" s="34">
        <f t="shared" si="19"/>
        <v>1</v>
      </c>
      <c r="Y27" s="34">
        <f t="shared" si="19"/>
        <v>21</v>
      </c>
      <c r="Z27" s="34">
        <f t="shared" si="19"/>
        <v>25.5</v>
      </c>
      <c r="AA27" s="34">
        <f t="shared" si="19"/>
        <v>6.5</v>
      </c>
      <c r="AB27" s="34">
        <f t="shared" si="19"/>
        <v>16.5</v>
      </c>
      <c r="AC27" s="34">
        <f t="shared" si="19"/>
        <v>34</v>
      </c>
      <c r="AD27" s="34">
        <f t="shared" si="19"/>
        <v>0</v>
      </c>
      <c r="AE27" s="31">
        <f t="shared" si="19"/>
        <v>204</v>
      </c>
      <c r="AF27" s="31">
        <f t="shared" si="19"/>
        <v>238</v>
      </c>
    </row>
    <row r="28" spans="2:32" ht="23.1" customHeight="1" x14ac:dyDescent="0.25">
      <c r="B28" s="23" t="s">
        <v>55</v>
      </c>
      <c r="C28" s="49">
        <f>AVERAGE('23.09 Mukono-Seeta'!C28,'24.09 Mukono-Seeta'!C28,'25.09 Mukono-Seeta'!C28,'27.09 Mukono-Seeta'!C28,'26.09 Mukono-Seeta-24h'!C28,'28.09 Mukono-Seeta-24h'!C28,'29.09 Mukono-Seeta'!C28)</f>
        <v>20.857142857142858</v>
      </c>
      <c r="D28" s="49">
        <f>AVERAGE('23.09 Mukono-Seeta'!D28,'24.09 Mukono-Seeta'!D28,'25.09 Mukono-Seeta'!D28,'27.09 Mukono-Seeta'!D28,'26.09 Mukono-Seeta-24h'!D28,'28.09 Mukono-Seeta-24h'!D28,'29.09 Mukono-Seeta'!D28)</f>
        <v>12.428571428571429</v>
      </c>
      <c r="E28" s="49">
        <f>AVERAGE('23.09 Mukono-Seeta'!E28,'24.09 Mukono-Seeta'!E28,'25.09 Mukono-Seeta'!E28,'27.09 Mukono-Seeta'!E28,'26.09 Mukono-Seeta-24h'!E28,'28.09 Mukono-Seeta-24h'!E28,'29.09 Mukono-Seeta'!E28)</f>
        <v>6.4285714285714288</v>
      </c>
      <c r="F28" s="49">
        <f>AVERAGE('23.09 Mukono-Seeta'!F28,'24.09 Mukono-Seeta'!F28,'25.09 Mukono-Seeta'!F28,'27.09 Mukono-Seeta'!F28,'26.09 Mukono-Seeta-24h'!F28,'28.09 Mukono-Seeta-24h'!F28,'29.09 Mukono-Seeta'!F28)</f>
        <v>44.714285714285715</v>
      </c>
      <c r="G28" s="49">
        <f>AVERAGE('23.09 Mukono-Seeta'!G28,'24.09 Mukono-Seeta'!G28,'25.09 Mukono-Seeta'!G28,'27.09 Mukono-Seeta'!G28,'26.09 Mukono-Seeta-24h'!G28,'28.09 Mukono-Seeta-24h'!G28,'29.09 Mukono-Seeta'!G28)</f>
        <v>1.2857142857142858</v>
      </c>
      <c r="H28" s="49">
        <f>AVERAGE('23.09 Mukono-Seeta'!H28,'24.09 Mukono-Seeta'!H28,'25.09 Mukono-Seeta'!H28,'27.09 Mukono-Seeta'!H28,'26.09 Mukono-Seeta-24h'!H28,'28.09 Mukono-Seeta-24h'!H28,'29.09 Mukono-Seeta'!H28)</f>
        <v>0.14285714285714285</v>
      </c>
      <c r="I28" s="49">
        <f>AVERAGE('23.09 Mukono-Seeta'!I28,'24.09 Mukono-Seeta'!I28,'25.09 Mukono-Seeta'!I28,'27.09 Mukono-Seeta'!I28,'26.09 Mukono-Seeta-24h'!I28,'28.09 Mukono-Seeta-24h'!I28,'29.09 Mukono-Seeta'!I28)</f>
        <v>6.5714285714285712</v>
      </c>
      <c r="J28" s="49">
        <f>AVERAGE('23.09 Mukono-Seeta'!J28,'24.09 Mukono-Seeta'!J28,'25.09 Mukono-Seeta'!J28,'27.09 Mukono-Seeta'!J28,'26.09 Mukono-Seeta-24h'!J28,'28.09 Mukono-Seeta-24h'!J28,'29.09 Mukono-Seeta'!J28)</f>
        <v>6.4285714285714288</v>
      </c>
      <c r="K28" s="49">
        <f>AVERAGE('23.09 Mukono-Seeta'!K28,'24.09 Mukono-Seeta'!K28,'25.09 Mukono-Seeta'!K28,'27.09 Mukono-Seeta'!K28,'26.09 Mukono-Seeta-24h'!K28,'28.09 Mukono-Seeta-24h'!K28,'29.09 Mukono-Seeta'!K28)</f>
        <v>2.7142857142857144</v>
      </c>
      <c r="L28" s="49">
        <f>AVERAGE('23.09 Mukono-Seeta'!L28,'24.09 Mukono-Seeta'!L28,'25.09 Mukono-Seeta'!L28,'27.09 Mukono-Seeta'!L28,'26.09 Mukono-Seeta-24h'!L28,'28.09 Mukono-Seeta-24h'!L28,'29.09 Mukono-Seeta'!L28)</f>
        <v>14.285714285714286</v>
      </c>
      <c r="M28" s="49">
        <f>AVERAGE('23.09 Mukono-Seeta'!M28,'24.09 Mukono-Seeta'!M28,'25.09 Mukono-Seeta'!M28,'27.09 Mukono-Seeta'!M28,'26.09 Mukono-Seeta-24h'!M28,'28.09 Mukono-Seeta-24h'!M28,'29.09 Mukono-Seeta'!M28)</f>
        <v>109.14285714285714</v>
      </c>
      <c r="N28" s="49">
        <f>AVERAGE('23.09 Mukono-Seeta'!N28,'24.09 Mukono-Seeta'!N28,'25.09 Mukono-Seeta'!N28,'27.09 Mukono-Seeta'!N28,'26.09 Mukono-Seeta-24h'!N28,'28.09 Mukono-Seeta-24h'!N28,'29.09 Mukono-Seeta'!N28)</f>
        <v>0</v>
      </c>
      <c r="O28" s="15">
        <f t="shared" si="0"/>
        <v>115.85714285714286</v>
      </c>
      <c r="P28" s="15">
        <f t="shared" si="1"/>
        <v>225</v>
      </c>
      <c r="R28" s="1" t="s">
        <v>152</v>
      </c>
      <c r="S28" s="34">
        <f>SUM(C82:C85)</f>
        <v>29</v>
      </c>
      <c r="T28" s="34">
        <f t="shared" ref="T28:AF28" si="20">SUM(D82:D85)</f>
        <v>14.5</v>
      </c>
      <c r="U28" s="34">
        <f t="shared" si="20"/>
        <v>8.5</v>
      </c>
      <c r="V28" s="34">
        <f t="shared" si="20"/>
        <v>21</v>
      </c>
      <c r="W28" s="34">
        <f t="shared" si="20"/>
        <v>3.5</v>
      </c>
      <c r="X28" s="34">
        <f t="shared" si="20"/>
        <v>1.5</v>
      </c>
      <c r="Y28" s="34">
        <f t="shared" si="20"/>
        <v>20.5</v>
      </c>
      <c r="Z28" s="34">
        <f t="shared" si="20"/>
        <v>19</v>
      </c>
      <c r="AA28" s="34">
        <f t="shared" si="20"/>
        <v>2.5</v>
      </c>
      <c r="AB28" s="34">
        <f t="shared" si="20"/>
        <v>17.5</v>
      </c>
      <c r="AC28" s="34">
        <f t="shared" si="20"/>
        <v>39.5</v>
      </c>
      <c r="AD28" s="34">
        <f t="shared" si="20"/>
        <v>0</v>
      </c>
      <c r="AE28" s="31">
        <f t="shared" si="20"/>
        <v>137.5</v>
      </c>
      <c r="AF28" s="31">
        <f t="shared" si="20"/>
        <v>177</v>
      </c>
    </row>
    <row r="29" spans="2:32" ht="23.1" customHeight="1" x14ac:dyDescent="0.25">
      <c r="B29" s="23" t="s">
        <v>56</v>
      </c>
      <c r="C29" s="49">
        <f>AVERAGE('23.09 Mukono-Seeta'!C29,'24.09 Mukono-Seeta'!C29,'25.09 Mukono-Seeta'!C29,'27.09 Mukono-Seeta'!C29,'26.09 Mukono-Seeta-24h'!C29,'28.09 Mukono-Seeta-24h'!C29,'29.09 Mukono-Seeta'!C29)</f>
        <v>17.857142857142858</v>
      </c>
      <c r="D29" s="49">
        <f>AVERAGE('23.09 Mukono-Seeta'!D29,'24.09 Mukono-Seeta'!D29,'25.09 Mukono-Seeta'!D29,'27.09 Mukono-Seeta'!D29,'26.09 Mukono-Seeta-24h'!D29,'28.09 Mukono-Seeta-24h'!D29,'29.09 Mukono-Seeta'!D29)</f>
        <v>8.7142857142857135</v>
      </c>
      <c r="E29" s="49">
        <f>AVERAGE('23.09 Mukono-Seeta'!E29,'24.09 Mukono-Seeta'!E29,'25.09 Mukono-Seeta'!E29,'27.09 Mukono-Seeta'!E29,'26.09 Mukono-Seeta-24h'!E29,'28.09 Mukono-Seeta-24h'!E29,'29.09 Mukono-Seeta'!E29)</f>
        <v>7.1428571428571432</v>
      </c>
      <c r="F29" s="49">
        <f>AVERAGE('23.09 Mukono-Seeta'!F29,'24.09 Mukono-Seeta'!F29,'25.09 Mukono-Seeta'!F29,'27.09 Mukono-Seeta'!F29,'26.09 Mukono-Seeta-24h'!F29,'28.09 Mukono-Seeta-24h'!F29,'29.09 Mukono-Seeta'!F29)</f>
        <v>43</v>
      </c>
      <c r="G29" s="49">
        <f>AVERAGE('23.09 Mukono-Seeta'!G29,'24.09 Mukono-Seeta'!G29,'25.09 Mukono-Seeta'!G29,'27.09 Mukono-Seeta'!G29,'26.09 Mukono-Seeta-24h'!G29,'28.09 Mukono-Seeta-24h'!G29,'29.09 Mukono-Seeta'!G29)</f>
        <v>2.7142857142857144</v>
      </c>
      <c r="H29" s="49">
        <f>AVERAGE('23.09 Mukono-Seeta'!H29,'24.09 Mukono-Seeta'!H29,'25.09 Mukono-Seeta'!H29,'27.09 Mukono-Seeta'!H29,'26.09 Mukono-Seeta-24h'!H29,'28.09 Mukono-Seeta-24h'!H29,'29.09 Mukono-Seeta'!H29)</f>
        <v>0.14285714285714285</v>
      </c>
      <c r="I29" s="49">
        <f>AVERAGE('23.09 Mukono-Seeta'!I29,'24.09 Mukono-Seeta'!I29,'25.09 Mukono-Seeta'!I29,'27.09 Mukono-Seeta'!I29,'26.09 Mukono-Seeta-24h'!I29,'28.09 Mukono-Seeta-24h'!I29,'29.09 Mukono-Seeta'!I29)</f>
        <v>6.5714285714285712</v>
      </c>
      <c r="J29" s="49">
        <f>AVERAGE('23.09 Mukono-Seeta'!J29,'24.09 Mukono-Seeta'!J29,'25.09 Mukono-Seeta'!J29,'27.09 Mukono-Seeta'!J29,'26.09 Mukono-Seeta-24h'!J29,'28.09 Mukono-Seeta-24h'!J29,'29.09 Mukono-Seeta'!J29)</f>
        <v>6.4285714285714288</v>
      </c>
      <c r="K29" s="49">
        <f>AVERAGE('23.09 Mukono-Seeta'!K29,'24.09 Mukono-Seeta'!K29,'25.09 Mukono-Seeta'!K29,'27.09 Mukono-Seeta'!K29,'26.09 Mukono-Seeta-24h'!K29,'28.09 Mukono-Seeta-24h'!K29,'29.09 Mukono-Seeta'!K29)</f>
        <v>4.1428571428571432</v>
      </c>
      <c r="L29" s="49">
        <f>AVERAGE('23.09 Mukono-Seeta'!L29,'24.09 Mukono-Seeta'!L29,'25.09 Mukono-Seeta'!L29,'27.09 Mukono-Seeta'!L29,'26.09 Mukono-Seeta-24h'!L29,'28.09 Mukono-Seeta-24h'!L29,'29.09 Mukono-Seeta'!L29)</f>
        <v>11.142857142857142</v>
      </c>
      <c r="M29" s="49">
        <f>AVERAGE('23.09 Mukono-Seeta'!M29,'24.09 Mukono-Seeta'!M29,'25.09 Mukono-Seeta'!M29,'27.09 Mukono-Seeta'!M29,'26.09 Mukono-Seeta-24h'!M29,'28.09 Mukono-Seeta-24h'!M29,'29.09 Mukono-Seeta'!M29)</f>
        <v>109</v>
      </c>
      <c r="N29" s="49">
        <f>AVERAGE('23.09 Mukono-Seeta'!N29,'24.09 Mukono-Seeta'!N29,'25.09 Mukono-Seeta'!N29,'27.09 Mukono-Seeta'!N29,'26.09 Mukono-Seeta-24h'!N29,'28.09 Mukono-Seeta-24h'!N29,'29.09 Mukono-Seeta'!N29)</f>
        <v>0</v>
      </c>
      <c r="O29" s="15">
        <f t="shared" si="0"/>
        <v>107.85714285714285</v>
      </c>
      <c r="P29" s="15">
        <f t="shared" si="1"/>
        <v>216.85714285714283</v>
      </c>
      <c r="R29" s="1" t="s">
        <v>153</v>
      </c>
      <c r="S29" s="34">
        <f>SUM(C86:C89)</f>
        <v>23.5</v>
      </c>
      <c r="T29" s="34">
        <f t="shared" ref="T29:AF29" si="21">SUM(D86:D89)</f>
        <v>12</v>
      </c>
      <c r="U29" s="34">
        <f t="shared" si="21"/>
        <v>5.5</v>
      </c>
      <c r="V29" s="34">
        <f t="shared" si="21"/>
        <v>14.5</v>
      </c>
      <c r="W29" s="34">
        <f t="shared" si="21"/>
        <v>2</v>
      </c>
      <c r="X29" s="34">
        <f t="shared" si="21"/>
        <v>4.5</v>
      </c>
      <c r="Y29" s="34">
        <f t="shared" si="21"/>
        <v>18.5</v>
      </c>
      <c r="Z29" s="34">
        <f t="shared" si="21"/>
        <v>10.5</v>
      </c>
      <c r="AA29" s="34">
        <f t="shared" si="21"/>
        <v>7</v>
      </c>
      <c r="AB29" s="34">
        <f t="shared" si="21"/>
        <v>14.5</v>
      </c>
      <c r="AC29" s="34">
        <f t="shared" si="21"/>
        <v>21</v>
      </c>
      <c r="AD29" s="34">
        <f t="shared" si="21"/>
        <v>0</v>
      </c>
      <c r="AE29" s="31">
        <f t="shared" si="21"/>
        <v>112.5</v>
      </c>
      <c r="AF29" s="31">
        <f t="shared" si="21"/>
        <v>133.5</v>
      </c>
    </row>
    <row r="30" spans="2:32" ht="23.1" customHeight="1" x14ac:dyDescent="0.25">
      <c r="B30" s="23" t="s">
        <v>57</v>
      </c>
      <c r="C30" s="49">
        <f>AVERAGE('23.09 Mukono-Seeta'!C30,'24.09 Mukono-Seeta'!C30,'25.09 Mukono-Seeta'!C30,'27.09 Mukono-Seeta'!C30,'26.09 Mukono-Seeta-24h'!C30,'28.09 Mukono-Seeta-24h'!C30,'29.09 Mukono-Seeta'!C30)</f>
        <v>24.285714285714285</v>
      </c>
      <c r="D30" s="49">
        <f>AVERAGE('23.09 Mukono-Seeta'!D30,'24.09 Mukono-Seeta'!D30,'25.09 Mukono-Seeta'!D30,'27.09 Mukono-Seeta'!D30,'26.09 Mukono-Seeta-24h'!D30,'28.09 Mukono-Seeta-24h'!D30,'29.09 Mukono-Seeta'!D30)</f>
        <v>10.428571428571429</v>
      </c>
      <c r="E30" s="49">
        <f>AVERAGE('23.09 Mukono-Seeta'!E30,'24.09 Mukono-Seeta'!E30,'25.09 Mukono-Seeta'!E30,'27.09 Mukono-Seeta'!E30,'26.09 Mukono-Seeta-24h'!E30,'28.09 Mukono-Seeta-24h'!E30,'29.09 Mukono-Seeta'!E30)</f>
        <v>7.4285714285714288</v>
      </c>
      <c r="F30" s="49">
        <f>AVERAGE('23.09 Mukono-Seeta'!F30,'24.09 Mukono-Seeta'!F30,'25.09 Mukono-Seeta'!F30,'27.09 Mukono-Seeta'!F30,'26.09 Mukono-Seeta-24h'!F30,'28.09 Mukono-Seeta-24h'!F30,'29.09 Mukono-Seeta'!F30)</f>
        <v>38.428571428571431</v>
      </c>
      <c r="G30" s="49">
        <f>AVERAGE('23.09 Mukono-Seeta'!G30,'24.09 Mukono-Seeta'!G30,'25.09 Mukono-Seeta'!G30,'27.09 Mukono-Seeta'!G30,'26.09 Mukono-Seeta-24h'!G30,'28.09 Mukono-Seeta-24h'!G30,'29.09 Mukono-Seeta'!G30)</f>
        <v>1.2857142857142858</v>
      </c>
      <c r="H30" s="49">
        <f>AVERAGE('23.09 Mukono-Seeta'!H30,'24.09 Mukono-Seeta'!H30,'25.09 Mukono-Seeta'!H30,'27.09 Mukono-Seeta'!H30,'26.09 Mukono-Seeta-24h'!H30,'28.09 Mukono-Seeta-24h'!H30,'29.09 Mukono-Seeta'!H30)</f>
        <v>1</v>
      </c>
      <c r="I30" s="49">
        <f>AVERAGE('23.09 Mukono-Seeta'!I30,'24.09 Mukono-Seeta'!I30,'25.09 Mukono-Seeta'!I30,'27.09 Mukono-Seeta'!I30,'26.09 Mukono-Seeta-24h'!I30,'28.09 Mukono-Seeta-24h'!I30,'29.09 Mukono-Seeta'!I30)</f>
        <v>9.1428571428571423</v>
      </c>
      <c r="J30" s="49">
        <f>AVERAGE('23.09 Mukono-Seeta'!J30,'24.09 Mukono-Seeta'!J30,'25.09 Mukono-Seeta'!J30,'27.09 Mukono-Seeta'!J30,'26.09 Mukono-Seeta-24h'!J30,'28.09 Mukono-Seeta-24h'!J30,'29.09 Mukono-Seeta'!J30)</f>
        <v>7.1428571428571432</v>
      </c>
      <c r="K30" s="49">
        <f>AVERAGE('23.09 Mukono-Seeta'!K30,'24.09 Mukono-Seeta'!K30,'25.09 Mukono-Seeta'!K30,'27.09 Mukono-Seeta'!K30,'26.09 Mukono-Seeta-24h'!K30,'28.09 Mukono-Seeta-24h'!K30,'29.09 Mukono-Seeta'!K30)</f>
        <v>6.1428571428571432</v>
      </c>
      <c r="L30" s="49">
        <f>AVERAGE('23.09 Mukono-Seeta'!L30,'24.09 Mukono-Seeta'!L30,'25.09 Mukono-Seeta'!L30,'27.09 Mukono-Seeta'!L30,'26.09 Mukono-Seeta-24h'!L30,'28.09 Mukono-Seeta-24h'!L30,'29.09 Mukono-Seeta'!L30)</f>
        <v>19.857142857142858</v>
      </c>
      <c r="M30" s="49">
        <f>AVERAGE('23.09 Mukono-Seeta'!M30,'24.09 Mukono-Seeta'!M30,'25.09 Mukono-Seeta'!M30,'27.09 Mukono-Seeta'!M30,'26.09 Mukono-Seeta-24h'!M30,'28.09 Mukono-Seeta-24h'!M30,'29.09 Mukono-Seeta'!M30)</f>
        <v>117</v>
      </c>
      <c r="N30" s="49">
        <f>AVERAGE('23.09 Mukono-Seeta'!N30,'24.09 Mukono-Seeta'!N30,'25.09 Mukono-Seeta'!N30,'27.09 Mukono-Seeta'!N30,'26.09 Mukono-Seeta-24h'!N30,'28.09 Mukono-Seeta-24h'!N30,'29.09 Mukono-Seeta'!N30)</f>
        <v>0</v>
      </c>
      <c r="O30" s="15">
        <f t="shared" si="0"/>
        <v>125.14285714285715</v>
      </c>
      <c r="P30" s="15">
        <f t="shared" si="1"/>
        <v>242.14285714285717</v>
      </c>
      <c r="R30" s="1" t="s">
        <v>154</v>
      </c>
      <c r="S30" s="34">
        <f>SUM(C90:C93)</f>
        <v>18.5</v>
      </c>
      <c r="T30" s="34">
        <f t="shared" ref="T30:AF30" si="22">SUM(D90:D93)</f>
        <v>9.5</v>
      </c>
      <c r="U30" s="34">
        <f t="shared" si="22"/>
        <v>7.5</v>
      </c>
      <c r="V30" s="34">
        <f t="shared" si="22"/>
        <v>14</v>
      </c>
      <c r="W30" s="34">
        <f t="shared" si="22"/>
        <v>0</v>
      </c>
      <c r="X30" s="34">
        <f t="shared" si="22"/>
        <v>3.5</v>
      </c>
      <c r="Y30" s="34">
        <f t="shared" si="22"/>
        <v>7.5</v>
      </c>
      <c r="Z30" s="34">
        <f t="shared" si="22"/>
        <v>16</v>
      </c>
      <c r="AA30" s="34">
        <f t="shared" si="22"/>
        <v>6</v>
      </c>
      <c r="AB30" s="34">
        <f t="shared" si="22"/>
        <v>22.5</v>
      </c>
      <c r="AC30" s="34">
        <f t="shared" si="22"/>
        <v>19.5</v>
      </c>
      <c r="AD30" s="34">
        <f t="shared" si="22"/>
        <v>0</v>
      </c>
      <c r="AE30" s="31">
        <f t="shared" si="22"/>
        <v>105</v>
      </c>
      <c r="AF30" s="31">
        <f t="shared" si="22"/>
        <v>124.5</v>
      </c>
    </row>
    <row r="31" spans="2:32" ht="23.1" customHeight="1" x14ac:dyDescent="0.25">
      <c r="B31" s="24" t="s">
        <v>58</v>
      </c>
      <c r="C31" s="49">
        <f>AVERAGE('23.09 Mukono-Seeta'!C31,'24.09 Mukono-Seeta'!C31,'25.09 Mukono-Seeta'!C31,'27.09 Mukono-Seeta'!C31,'26.09 Mukono-Seeta-24h'!C31,'28.09 Mukono-Seeta-24h'!C31,'29.09 Mukono-Seeta'!C31)</f>
        <v>23</v>
      </c>
      <c r="D31" s="49">
        <f>AVERAGE('23.09 Mukono-Seeta'!D31,'24.09 Mukono-Seeta'!D31,'25.09 Mukono-Seeta'!D31,'27.09 Mukono-Seeta'!D31,'26.09 Mukono-Seeta-24h'!D31,'28.09 Mukono-Seeta-24h'!D31,'29.09 Mukono-Seeta'!D31)</f>
        <v>11.142857142857142</v>
      </c>
      <c r="E31" s="49">
        <f>AVERAGE('23.09 Mukono-Seeta'!E31,'24.09 Mukono-Seeta'!E31,'25.09 Mukono-Seeta'!E31,'27.09 Mukono-Seeta'!E31,'26.09 Mukono-Seeta-24h'!E31,'28.09 Mukono-Seeta-24h'!E31,'29.09 Mukono-Seeta'!E31)</f>
        <v>6.1428571428571432</v>
      </c>
      <c r="F31" s="49">
        <f>AVERAGE('23.09 Mukono-Seeta'!F31,'24.09 Mukono-Seeta'!F31,'25.09 Mukono-Seeta'!F31,'27.09 Mukono-Seeta'!F31,'26.09 Mukono-Seeta-24h'!F31,'28.09 Mukono-Seeta-24h'!F31,'29.09 Mukono-Seeta'!F31)</f>
        <v>39.714285714285715</v>
      </c>
      <c r="G31" s="49">
        <f>AVERAGE('23.09 Mukono-Seeta'!G31,'24.09 Mukono-Seeta'!G31,'25.09 Mukono-Seeta'!G31,'27.09 Mukono-Seeta'!G31,'26.09 Mukono-Seeta-24h'!G31,'28.09 Mukono-Seeta-24h'!G31,'29.09 Mukono-Seeta'!G31)</f>
        <v>1.8571428571428572</v>
      </c>
      <c r="H31" s="49">
        <f>AVERAGE('23.09 Mukono-Seeta'!H31,'24.09 Mukono-Seeta'!H31,'25.09 Mukono-Seeta'!H31,'27.09 Mukono-Seeta'!H31,'26.09 Mukono-Seeta-24h'!H31,'28.09 Mukono-Seeta-24h'!H31,'29.09 Mukono-Seeta'!H31)</f>
        <v>1.4285714285714286</v>
      </c>
      <c r="I31" s="49">
        <f>AVERAGE('23.09 Mukono-Seeta'!I31,'24.09 Mukono-Seeta'!I31,'25.09 Mukono-Seeta'!I31,'27.09 Mukono-Seeta'!I31,'26.09 Mukono-Seeta-24h'!I31,'28.09 Mukono-Seeta-24h'!I31,'29.09 Mukono-Seeta'!I31)</f>
        <v>8.2857142857142865</v>
      </c>
      <c r="J31" s="49">
        <f>AVERAGE('23.09 Mukono-Seeta'!J31,'24.09 Mukono-Seeta'!J31,'25.09 Mukono-Seeta'!J31,'27.09 Mukono-Seeta'!J31,'26.09 Mukono-Seeta-24h'!J31,'28.09 Mukono-Seeta-24h'!J31,'29.09 Mukono-Seeta'!J31)</f>
        <v>8.4285714285714288</v>
      </c>
      <c r="K31" s="49">
        <f>AVERAGE('23.09 Mukono-Seeta'!K31,'24.09 Mukono-Seeta'!K31,'25.09 Mukono-Seeta'!K31,'27.09 Mukono-Seeta'!K31,'26.09 Mukono-Seeta-24h'!K31,'28.09 Mukono-Seeta-24h'!K31,'29.09 Mukono-Seeta'!K31)</f>
        <v>3.4285714285714284</v>
      </c>
      <c r="L31" s="49">
        <f>AVERAGE('23.09 Mukono-Seeta'!L31,'24.09 Mukono-Seeta'!L31,'25.09 Mukono-Seeta'!L31,'27.09 Mukono-Seeta'!L31,'26.09 Mukono-Seeta-24h'!L31,'28.09 Mukono-Seeta-24h'!L31,'29.09 Mukono-Seeta'!L31)</f>
        <v>11.571428571428571</v>
      </c>
      <c r="M31" s="49">
        <f>AVERAGE('23.09 Mukono-Seeta'!M31,'24.09 Mukono-Seeta'!M31,'25.09 Mukono-Seeta'!M31,'27.09 Mukono-Seeta'!M31,'26.09 Mukono-Seeta-24h'!M31,'28.09 Mukono-Seeta-24h'!M31,'29.09 Mukono-Seeta'!M31)</f>
        <v>90.857142857142861</v>
      </c>
      <c r="N31" s="49">
        <f>AVERAGE('23.09 Mukono-Seeta'!N31,'24.09 Mukono-Seeta'!N31,'25.09 Mukono-Seeta'!N31,'27.09 Mukono-Seeta'!N31,'26.09 Mukono-Seeta-24h'!N31,'28.09 Mukono-Seeta-24h'!N31,'29.09 Mukono-Seeta'!N31)</f>
        <v>0</v>
      </c>
      <c r="O31" s="15">
        <f t="shared" si="0"/>
        <v>115.00000000000001</v>
      </c>
      <c r="P31" s="15">
        <f t="shared" si="1"/>
        <v>205.85714285714289</v>
      </c>
      <c r="R31" s="1" t="s">
        <v>155</v>
      </c>
      <c r="S31" s="34">
        <f>SUM(C94:C97)</f>
        <v>20.5</v>
      </c>
      <c r="T31" s="34">
        <f t="shared" ref="T31:AF31" si="23">SUM(D94:D97)</f>
        <v>4</v>
      </c>
      <c r="U31" s="34">
        <f t="shared" si="23"/>
        <v>6.5</v>
      </c>
      <c r="V31" s="34">
        <f t="shared" si="23"/>
        <v>35</v>
      </c>
      <c r="W31" s="34">
        <f t="shared" si="23"/>
        <v>3</v>
      </c>
      <c r="X31" s="34">
        <f t="shared" si="23"/>
        <v>4.5</v>
      </c>
      <c r="Y31" s="34">
        <f t="shared" si="23"/>
        <v>10</v>
      </c>
      <c r="Z31" s="34">
        <f t="shared" si="23"/>
        <v>11.5</v>
      </c>
      <c r="AA31" s="34">
        <f t="shared" si="23"/>
        <v>4.5</v>
      </c>
      <c r="AB31" s="34">
        <f t="shared" si="23"/>
        <v>35</v>
      </c>
      <c r="AC31" s="34">
        <f t="shared" si="23"/>
        <v>22</v>
      </c>
      <c r="AD31" s="34">
        <f t="shared" si="23"/>
        <v>0</v>
      </c>
      <c r="AE31" s="31">
        <f t="shared" si="23"/>
        <v>134.5</v>
      </c>
      <c r="AF31" s="31">
        <f t="shared" si="23"/>
        <v>156.5</v>
      </c>
    </row>
    <row r="32" spans="2:32" ht="23.1" customHeight="1" x14ac:dyDescent="0.25">
      <c r="B32" s="24" t="s">
        <v>59</v>
      </c>
      <c r="C32" s="49">
        <f>AVERAGE('23.09 Mukono-Seeta'!C32,'24.09 Mukono-Seeta'!C32,'25.09 Mukono-Seeta'!C32,'27.09 Mukono-Seeta'!C32,'26.09 Mukono-Seeta-24h'!C32,'28.09 Mukono-Seeta-24h'!C32,'29.09 Mukono-Seeta'!C32)</f>
        <v>24.285714285714285</v>
      </c>
      <c r="D32" s="49">
        <f>AVERAGE('23.09 Mukono-Seeta'!D32,'24.09 Mukono-Seeta'!D32,'25.09 Mukono-Seeta'!D32,'27.09 Mukono-Seeta'!D32,'26.09 Mukono-Seeta-24h'!D32,'28.09 Mukono-Seeta-24h'!D32,'29.09 Mukono-Seeta'!D32)</f>
        <v>13.428571428571429</v>
      </c>
      <c r="E32" s="49">
        <f>AVERAGE('23.09 Mukono-Seeta'!E32,'24.09 Mukono-Seeta'!E32,'25.09 Mukono-Seeta'!E32,'27.09 Mukono-Seeta'!E32,'26.09 Mukono-Seeta-24h'!E32,'28.09 Mukono-Seeta-24h'!E32,'29.09 Mukono-Seeta'!E32)</f>
        <v>7.5714285714285712</v>
      </c>
      <c r="F32" s="49">
        <f>AVERAGE('23.09 Mukono-Seeta'!F32,'24.09 Mukono-Seeta'!F32,'25.09 Mukono-Seeta'!F32,'27.09 Mukono-Seeta'!F32,'26.09 Mukono-Seeta-24h'!F32,'28.09 Mukono-Seeta-24h'!F32,'29.09 Mukono-Seeta'!F32)</f>
        <v>36</v>
      </c>
      <c r="G32" s="49">
        <f>AVERAGE('23.09 Mukono-Seeta'!G32,'24.09 Mukono-Seeta'!G32,'25.09 Mukono-Seeta'!G32,'27.09 Mukono-Seeta'!G32,'26.09 Mukono-Seeta-24h'!G32,'28.09 Mukono-Seeta-24h'!G32,'29.09 Mukono-Seeta'!G32)</f>
        <v>2</v>
      </c>
      <c r="H32" s="49">
        <f>AVERAGE('23.09 Mukono-Seeta'!H32,'24.09 Mukono-Seeta'!H32,'25.09 Mukono-Seeta'!H32,'27.09 Mukono-Seeta'!H32,'26.09 Mukono-Seeta-24h'!H32,'28.09 Mukono-Seeta-24h'!H32,'29.09 Mukono-Seeta'!H32)</f>
        <v>0.14285714285714285</v>
      </c>
      <c r="I32" s="49">
        <f>AVERAGE('23.09 Mukono-Seeta'!I32,'24.09 Mukono-Seeta'!I32,'25.09 Mukono-Seeta'!I32,'27.09 Mukono-Seeta'!I32,'26.09 Mukono-Seeta-24h'!I32,'28.09 Mukono-Seeta-24h'!I32,'29.09 Mukono-Seeta'!I32)</f>
        <v>7.5714285714285712</v>
      </c>
      <c r="J32" s="49">
        <f>AVERAGE('23.09 Mukono-Seeta'!J32,'24.09 Mukono-Seeta'!J32,'25.09 Mukono-Seeta'!J32,'27.09 Mukono-Seeta'!J32,'26.09 Mukono-Seeta-24h'!J32,'28.09 Mukono-Seeta-24h'!J32,'29.09 Mukono-Seeta'!J32)</f>
        <v>6.5714285714285712</v>
      </c>
      <c r="K32" s="49">
        <f>AVERAGE('23.09 Mukono-Seeta'!K32,'24.09 Mukono-Seeta'!K32,'25.09 Mukono-Seeta'!K32,'27.09 Mukono-Seeta'!K32,'26.09 Mukono-Seeta-24h'!K32,'28.09 Mukono-Seeta-24h'!K32,'29.09 Mukono-Seeta'!K32)</f>
        <v>3.1428571428571428</v>
      </c>
      <c r="L32" s="49">
        <f>AVERAGE('23.09 Mukono-Seeta'!L32,'24.09 Mukono-Seeta'!L32,'25.09 Mukono-Seeta'!L32,'27.09 Mukono-Seeta'!L32,'26.09 Mukono-Seeta-24h'!L32,'28.09 Mukono-Seeta-24h'!L32,'29.09 Mukono-Seeta'!L32)</f>
        <v>18.428571428571427</v>
      </c>
      <c r="M32" s="49">
        <f>AVERAGE('23.09 Mukono-Seeta'!M32,'24.09 Mukono-Seeta'!M32,'25.09 Mukono-Seeta'!M32,'27.09 Mukono-Seeta'!M32,'26.09 Mukono-Seeta-24h'!M32,'28.09 Mukono-Seeta-24h'!M32,'29.09 Mukono-Seeta'!M32)</f>
        <v>105.71428571428571</v>
      </c>
      <c r="N32" s="49">
        <f>AVERAGE('23.09 Mukono-Seeta'!N32,'24.09 Mukono-Seeta'!N32,'25.09 Mukono-Seeta'!N32,'27.09 Mukono-Seeta'!N32,'26.09 Mukono-Seeta-24h'!N32,'28.09 Mukono-Seeta-24h'!N32,'29.09 Mukono-Seeta'!N32)</f>
        <v>0</v>
      </c>
      <c r="O32" s="15">
        <f t="shared" si="0"/>
        <v>119.14285714285712</v>
      </c>
      <c r="P32" s="15">
        <f t="shared" si="1"/>
        <v>224.85714285714283</v>
      </c>
      <c r="R32" s="1" t="s">
        <v>156</v>
      </c>
      <c r="S32" s="34">
        <f>SUM(C98:C101)</f>
        <v>45.5</v>
      </c>
      <c r="T32" s="34">
        <f t="shared" ref="T32:AF32" si="24">SUM(D98:D101)</f>
        <v>29</v>
      </c>
      <c r="U32" s="34">
        <f t="shared" si="24"/>
        <v>12.5</v>
      </c>
      <c r="V32" s="34">
        <f t="shared" si="24"/>
        <v>104</v>
      </c>
      <c r="W32" s="34">
        <f t="shared" si="24"/>
        <v>11.5</v>
      </c>
      <c r="X32" s="34">
        <f t="shared" si="24"/>
        <v>6</v>
      </c>
      <c r="Y32" s="34">
        <f t="shared" si="24"/>
        <v>14.5</v>
      </c>
      <c r="Z32" s="34">
        <f t="shared" si="24"/>
        <v>22.5</v>
      </c>
      <c r="AA32" s="34">
        <f t="shared" si="24"/>
        <v>10</v>
      </c>
      <c r="AB32" s="34">
        <f t="shared" si="24"/>
        <v>58.5</v>
      </c>
      <c r="AC32" s="34">
        <f t="shared" si="24"/>
        <v>36</v>
      </c>
      <c r="AD32" s="34">
        <f t="shared" si="24"/>
        <v>0</v>
      </c>
      <c r="AE32" s="31">
        <f t="shared" si="24"/>
        <v>314</v>
      </c>
      <c r="AF32" s="31">
        <f t="shared" si="24"/>
        <v>350</v>
      </c>
    </row>
    <row r="33" spans="2:32" ht="23.1" customHeight="1" x14ac:dyDescent="0.25">
      <c r="B33" s="23" t="s">
        <v>60</v>
      </c>
      <c r="C33" s="49">
        <f>AVERAGE('23.09 Mukono-Seeta'!C33,'24.09 Mukono-Seeta'!C33,'25.09 Mukono-Seeta'!C33,'27.09 Mukono-Seeta'!C33,'26.09 Mukono-Seeta-24h'!C33,'28.09 Mukono-Seeta-24h'!C33,'29.09 Mukono-Seeta'!C33)</f>
        <v>21.571428571428573</v>
      </c>
      <c r="D33" s="49">
        <f>AVERAGE('23.09 Mukono-Seeta'!D33,'24.09 Mukono-Seeta'!D33,'25.09 Mukono-Seeta'!D33,'27.09 Mukono-Seeta'!D33,'26.09 Mukono-Seeta-24h'!D33,'28.09 Mukono-Seeta-24h'!D33,'29.09 Mukono-Seeta'!D33)</f>
        <v>8.4285714285714288</v>
      </c>
      <c r="E33" s="49">
        <f>AVERAGE('23.09 Mukono-Seeta'!E33,'24.09 Mukono-Seeta'!E33,'25.09 Mukono-Seeta'!E33,'27.09 Mukono-Seeta'!E33,'26.09 Mukono-Seeta-24h'!E33,'28.09 Mukono-Seeta-24h'!E33,'29.09 Mukono-Seeta'!E33)</f>
        <v>5</v>
      </c>
      <c r="F33" s="49">
        <f>AVERAGE('23.09 Mukono-Seeta'!F33,'24.09 Mukono-Seeta'!F33,'25.09 Mukono-Seeta'!F33,'27.09 Mukono-Seeta'!F33,'26.09 Mukono-Seeta-24h'!F33,'28.09 Mukono-Seeta-24h'!F33,'29.09 Mukono-Seeta'!F33)</f>
        <v>34.571428571428569</v>
      </c>
      <c r="G33" s="49">
        <f>AVERAGE('23.09 Mukono-Seeta'!G33,'24.09 Mukono-Seeta'!G33,'25.09 Mukono-Seeta'!G33,'27.09 Mukono-Seeta'!G33,'26.09 Mukono-Seeta-24h'!G33,'28.09 Mukono-Seeta-24h'!G33,'29.09 Mukono-Seeta'!G33)</f>
        <v>2.7142857142857144</v>
      </c>
      <c r="H33" s="49">
        <f>AVERAGE('23.09 Mukono-Seeta'!H33,'24.09 Mukono-Seeta'!H33,'25.09 Mukono-Seeta'!H33,'27.09 Mukono-Seeta'!H33,'26.09 Mukono-Seeta-24h'!H33,'28.09 Mukono-Seeta-24h'!H33,'29.09 Mukono-Seeta'!H33)</f>
        <v>0.14285714285714285</v>
      </c>
      <c r="I33" s="49">
        <f>AVERAGE('23.09 Mukono-Seeta'!I33,'24.09 Mukono-Seeta'!I33,'25.09 Mukono-Seeta'!I33,'27.09 Mukono-Seeta'!I33,'26.09 Mukono-Seeta-24h'!I33,'28.09 Mukono-Seeta-24h'!I33,'29.09 Mukono-Seeta'!I33)</f>
        <v>6.8571428571428568</v>
      </c>
      <c r="J33" s="49">
        <f>AVERAGE('23.09 Mukono-Seeta'!J33,'24.09 Mukono-Seeta'!J33,'25.09 Mukono-Seeta'!J33,'27.09 Mukono-Seeta'!J33,'26.09 Mukono-Seeta-24h'!J33,'28.09 Mukono-Seeta-24h'!J33,'29.09 Mukono-Seeta'!J33)</f>
        <v>6.8571428571428568</v>
      </c>
      <c r="K33" s="49">
        <f>AVERAGE('23.09 Mukono-Seeta'!K33,'24.09 Mukono-Seeta'!K33,'25.09 Mukono-Seeta'!K33,'27.09 Mukono-Seeta'!K33,'26.09 Mukono-Seeta-24h'!K33,'28.09 Mukono-Seeta-24h'!K33,'29.09 Mukono-Seeta'!K33)</f>
        <v>3.2857142857142856</v>
      </c>
      <c r="L33" s="49">
        <f>AVERAGE('23.09 Mukono-Seeta'!L33,'24.09 Mukono-Seeta'!L33,'25.09 Mukono-Seeta'!L33,'27.09 Mukono-Seeta'!L33,'26.09 Mukono-Seeta-24h'!L33,'28.09 Mukono-Seeta-24h'!L33,'29.09 Mukono-Seeta'!L33)</f>
        <v>10.142857142857142</v>
      </c>
      <c r="M33" s="49">
        <f>AVERAGE('23.09 Mukono-Seeta'!M33,'24.09 Mukono-Seeta'!M33,'25.09 Mukono-Seeta'!M33,'27.09 Mukono-Seeta'!M33,'26.09 Mukono-Seeta-24h'!M33,'28.09 Mukono-Seeta-24h'!M33,'29.09 Mukono-Seeta'!M33)</f>
        <v>89.285714285714292</v>
      </c>
      <c r="N33" s="49">
        <f>AVERAGE('23.09 Mukono-Seeta'!N33,'24.09 Mukono-Seeta'!N33,'25.09 Mukono-Seeta'!N33,'27.09 Mukono-Seeta'!N33,'26.09 Mukono-Seeta-24h'!N33,'28.09 Mukono-Seeta-24h'!N33,'29.09 Mukono-Seeta'!N33)</f>
        <v>0</v>
      </c>
      <c r="O33" s="15">
        <f t="shared" si="0"/>
        <v>99.571428571428569</v>
      </c>
      <c r="P33" s="15">
        <f t="shared" si="1"/>
        <v>188.85714285714286</v>
      </c>
      <c r="R33" s="1" t="s">
        <v>157</v>
      </c>
      <c r="S33" s="34">
        <f>SUM(C102:C105)</f>
        <v>111</v>
      </c>
      <c r="T33" s="34">
        <f t="shared" ref="T33:AF33" si="25">SUM(D102:D105)</f>
        <v>64.5</v>
      </c>
      <c r="U33" s="34">
        <f t="shared" si="25"/>
        <v>24</v>
      </c>
      <c r="V33" s="34">
        <f t="shared" si="25"/>
        <v>166</v>
      </c>
      <c r="W33" s="34">
        <f t="shared" si="25"/>
        <v>15.5</v>
      </c>
      <c r="X33" s="34">
        <f t="shared" si="25"/>
        <v>3.5</v>
      </c>
      <c r="Y33" s="34">
        <f t="shared" si="25"/>
        <v>18.5</v>
      </c>
      <c r="Z33" s="34">
        <f t="shared" si="25"/>
        <v>13</v>
      </c>
      <c r="AA33" s="34">
        <f t="shared" si="25"/>
        <v>18.5</v>
      </c>
      <c r="AB33" s="34">
        <f t="shared" si="25"/>
        <v>115</v>
      </c>
      <c r="AC33" s="34">
        <f t="shared" si="25"/>
        <v>97.5</v>
      </c>
      <c r="AD33" s="34">
        <f t="shared" si="25"/>
        <v>0</v>
      </c>
      <c r="AE33" s="31">
        <f t="shared" si="25"/>
        <v>549.5</v>
      </c>
      <c r="AF33" s="31">
        <f t="shared" si="25"/>
        <v>647</v>
      </c>
    </row>
    <row r="34" spans="2:32" ht="23.1" customHeight="1" x14ac:dyDescent="0.25">
      <c r="B34" s="24" t="s">
        <v>61</v>
      </c>
      <c r="C34" s="49">
        <f>AVERAGE('23.09 Mukono-Seeta'!C34,'24.09 Mukono-Seeta'!C34,'25.09 Mukono-Seeta'!C34,'27.09 Mukono-Seeta'!C34,'26.09 Mukono-Seeta-24h'!C34,'28.09 Mukono-Seeta-24h'!C34,'29.09 Mukono-Seeta'!C34)</f>
        <v>20.857142857142858</v>
      </c>
      <c r="D34" s="49">
        <f>AVERAGE('23.09 Mukono-Seeta'!D34,'24.09 Mukono-Seeta'!D34,'25.09 Mukono-Seeta'!D34,'27.09 Mukono-Seeta'!D34,'26.09 Mukono-Seeta-24h'!D34,'28.09 Mukono-Seeta-24h'!D34,'29.09 Mukono-Seeta'!D34)</f>
        <v>13.285714285714286</v>
      </c>
      <c r="E34" s="49">
        <f>AVERAGE('23.09 Mukono-Seeta'!E34,'24.09 Mukono-Seeta'!E34,'25.09 Mukono-Seeta'!E34,'27.09 Mukono-Seeta'!E34,'26.09 Mukono-Seeta-24h'!E34,'28.09 Mukono-Seeta-24h'!E34,'29.09 Mukono-Seeta'!E34)</f>
        <v>7.1428571428571432</v>
      </c>
      <c r="F34" s="49">
        <f>AVERAGE('23.09 Mukono-Seeta'!F34,'24.09 Mukono-Seeta'!F34,'25.09 Mukono-Seeta'!F34,'27.09 Mukono-Seeta'!F34,'26.09 Mukono-Seeta-24h'!F34,'28.09 Mukono-Seeta-24h'!F34,'29.09 Mukono-Seeta'!F34)</f>
        <v>39.285714285714285</v>
      </c>
      <c r="G34" s="49">
        <f>AVERAGE('23.09 Mukono-Seeta'!G34,'24.09 Mukono-Seeta'!G34,'25.09 Mukono-Seeta'!G34,'27.09 Mukono-Seeta'!G34,'26.09 Mukono-Seeta-24h'!G34,'28.09 Mukono-Seeta-24h'!G34,'29.09 Mukono-Seeta'!G34)</f>
        <v>2.4285714285714284</v>
      </c>
      <c r="H34" s="49">
        <f>AVERAGE('23.09 Mukono-Seeta'!H34,'24.09 Mukono-Seeta'!H34,'25.09 Mukono-Seeta'!H34,'27.09 Mukono-Seeta'!H34,'26.09 Mukono-Seeta-24h'!H34,'28.09 Mukono-Seeta-24h'!H34,'29.09 Mukono-Seeta'!H34)</f>
        <v>0.2857142857142857</v>
      </c>
      <c r="I34" s="49">
        <f>AVERAGE('23.09 Mukono-Seeta'!I34,'24.09 Mukono-Seeta'!I34,'25.09 Mukono-Seeta'!I34,'27.09 Mukono-Seeta'!I34,'26.09 Mukono-Seeta-24h'!I34,'28.09 Mukono-Seeta-24h'!I34,'29.09 Mukono-Seeta'!I34)</f>
        <v>6.7142857142857144</v>
      </c>
      <c r="J34" s="49">
        <f>AVERAGE('23.09 Mukono-Seeta'!J34,'24.09 Mukono-Seeta'!J34,'25.09 Mukono-Seeta'!J34,'27.09 Mukono-Seeta'!J34,'26.09 Mukono-Seeta-24h'!J34,'28.09 Mukono-Seeta-24h'!J34,'29.09 Mukono-Seeta'!J34)</f>
        <v>7.7142857142857144</v>
      </c>
      <c r="K34" s="49">
        <f>AVERAGE('23.09 Mukono-Seeta'!K34,'24.09 Mukono-Seeta'!K34,'25.09 Mukono-Seeta'!K34,'27.09 Mukono-Seeta'!K34,'26.09 Mukono-Seeta-24h'!K34,'28.09 Mukono-Seeta-24h'!K34,'29.09 Mukono-Seeta'!K34)</f>
        <v>6.7142857142857144</v>
      </c>
      <c r="L34" s="49">
        <f>AVERAGE('23.09 Mukono-Seeta'!L34,'24.09 Mukono-Seeta'!L34,'25.09 Mukono-Seeta'!L34,'27.09 Mukono-Seeta'!L34,'26.09 Mukono-Seeta-24h'!L34,'28.09 Mukono-Seeta-24h'!L34,'29.09 Mukono-Seeta'!L34)</f>
        <v>10.285714285714286</v>
      </c>
      <c r="M34" s="49">
        <f>AVERAGE('23.09 Mukono-Seeta'!M34,'24.09 Mukono-Seeta'!M34,'25.09 Mukono-Seeta'!M34,'27.09 Mukono-Seeta'!M34,'26.09 Mukono-Seeta-24h'!M34,'28.09 Mukono-Seeta-24h'!M34,'29.09 Mukono-Seeta'!M34)</f>
        <v>82.285714285714292</v>
      </c>
      <c r="N34" s="49">
        <f>AVERAGE('23.09 Mukono-Seeta'!N34,'24.09 Mukono-Seeta'!N34,'25.09 Mukono-Seeta'!N34,'27.09 Mukono-Seeta'!N34,'26.09 Mukono-Seeta-24h'!N34,'28.09 Mukono-Seeta-24h'!N34,'29.09 Mukono-Seeta'!N34)</f>
        <v>0</v>
      </c>
      <c r="O34" s="15">
        <f t="shared" si="0"/>
        <v>114.71428571428572</v>
      </c>
      <c r="P34" s="15">
        <f t="shared" si="1"/>
        <v>197</v>
      </c>
      <c r="R34" s="38" t="s">
        <v>90</v>
      </c>
      <c r="S34" s="39">
        <f t="shared" ref="S34:AF34" si="26">MAX(S10:S12)</f>
        <v>112.14285714285714</v>
      </c>
      <c r="T34" s="39">
        <f t="shared" si="26"/>
        <v>42.571428571428569</v>
      </c>
      <c r="U34" s="39">
        <f t="shared" si="26"/>
        <v>25.857142857142858</v>
      </c>
      <c r="V34" s="39">
        <f t="shared" si="26"/>
        <v>172.57142857142856</v>
      </c>
      <c r="W34" s="39">
        <f t="shared" si="26"/>
        <v>9.8571428571428559</v>
      </c>
      <c r="X34" s="39">
        <f t="shared" si="26"/>
        <v>3.714285714285714</v>
      </c>
      <c r="Y34" s="39">
        <f t="shared" si="26"/>
        <v>20.428571428571427</v>
      </c>
      <c r="Z34" s="39">
        <f t="shared" si="26"/>
        <v>19.428571428571431</v>
      </c>
      <c r="AA34" s="39">
        <f t="shared" si="26"/>
        <v>15.714285714285715</v>
      </c>
      <c r="AB34" s="39">
        <f t="shared" si="26"/>
        <v>60.857142857142854</v>
      </c>
      <c r="AC34" s="39">
        <f t="shared" si="26"/>
        <v>567.85714285714289</v>
      </c>
      <c r="AD34" s="39">
        <f t="shared" si="26"/>
        <v>0</v>
      </c>
      <c r="AE34" s="40">
        <f t="shared" si="26"/>
        <v>449.28571428571433</v>
      </c>
      <c r="AF34" s="40">
        <f t="shared" si="26"/>
        <v>1017.1428571428572</v>
      </c>
    </row>
    <row r="35" spans="2:32" ht="23.1" customHeight="1" x14ac:dyDescent="0.25">
      <c r="B35" s="24" t="s">
        <v>62</v>
      </c>
      <c r="C35" s="49">
        <f>AVERAGE('23.09 Mukono-Seeta'!C35,'24.09 Mukono-Seeta'!C35,'25.09 Mukono-Seeta'!C35,'27.09 Mukono-Seeta'!C35,'26.09 Mukono-Seeta-24h'!C35,'28.09 Mukono-Seeta-24h'!C35,'29.09 Mukono-Seeta'!C35)</f>
        <v>26.857142857142858</v>
      </c>
      <c r="D35" s="49">
        <f>AVERAGE('23.09 Mukono-Seeta'!D35,'24.09 Mukono-Seeta'!D35,'25.09 Mukono-Seeta'!D35,'27.09 Mukono-Seeta'!D35,'26.09 Mukono-Seeta-24h'!D35,'28.09 Mukono-Seeta-24h'!D35,'29.09 Mukono-Seeta'!D35)</f>
        <v>12.428571428571429</v>
      </c>
      <c r="E35" s="49">
        <f>AVERAGE('23.09 Mukono-Seeta'!E35,'24.09 Mukono-Seeta'!E35,'25.09 Mukono-Seeta'!E35,'27.09 Mukono-Seeta'!E35,'26.09 Mukono-Seeta-24h'!E35,'28.09 Mukono-Seeta-24h'!E35,'29.09 Mukono-Seeta'!E35)</f>
        <v>6.1428571428571432</v>
      </c>
      <c r="F35" s="49">
        <f>AVERAGE('23.09 Mukono-Seeta'!F35,'24.09 Mukono-Seeta'!F35,'25.09 Mukono-Seeta'!F35,'27.09 Mukono-Seeta'!F35,'26.09 Mukono-Seeta-24h'!F35,'28.09 Mukono-Seeta-24h'!F35,'29.09 Mukono-Seeta'!F35)</f>
        <v>40.714285714285715</v>
      </c>
      <c r="G35" s="49">
        <f>AVERAGE('23.09 Mukono-Seeta'!G35,'24.09 Mukono-Seeta'!G35,'25.09 Mukono-Seeta'!G35,'27.09 Mukono-Seeta'!G35,'26.09 Mukono-Seeta-24h'!G35,'28.09 Mukono-Seeta-24h'!G35,'29.09 Mukono-Seeta'!G35)</f>
        <v>2</v>
      </c>
      <c r="H35" s="49">
        <f>AVERAGE('23.09 Mukono-Seeta'!H35,'24.09 Mukono-Seeta'!H35,'25.09 Mukono-Seeta'!H35,'27.09 Mukono-Seeta'!H35,'26.09 Mukono-Seeta-24h'!H35,'28.09 Mukono-Seeta-24h'!H35,'29.09 Mukono-Seeta'!H35)</f>
        <v>1</v>
      </c>
      <c r="I35" s="49">
        <f>AVERAGE('23.09 Mukono-Seeta'!I35,'24.09 Mukono-Seeta'!I35,'25.09 Mukono-Seeta'!I35,'27.09 Mukono-Seeta'!I35,'26.09 Mukono-Seeta-24h'!I35,'28.09 Mukono-Seeta-24h'!I35,'29.09 Mukono-Seeta'!I35)</f>
        <v>8.8571428571428577</v>
      </c>
      <c r="J35" s="49">
        <f>AVERAGE('23.09 Mukono-Seeta'!J35,'24.09 Mukono-Seeta'!J35,'25.09 Mukono-Seeta'!J35,'27.09 Mukono-Seeta'!J35,'26.09 Mukono-Seeta-24h'!J35,'28.09 Mukono-Seeta-24h'!J35,'29.09 Mukono-Seeta'!J35)</f>
        <v>5.7142857142857144</v>
      </c>
      <c r="K35" s="49">
        <f>AVERAGE('23.09 Mukono-Seeta'!K35,'24.09 Mukono-Seeta'!K35,'25.09 Mukono-Seeta'!K35,'27.09 Mukono-Seeta'!K35,'26.09 Mukono-Seeta-24h'!K35,'28.09 Mukono-Seeta-24h'!K35,'29.09 Mukono-Seeta'!K35)</f>
        <v>4.8571428571428568</v>
      </c>
      <c r="L35" s="49">
        <f>AVERAGE('23.09 Mukono-Seeta'!L35,'24.09 Mukono-Seeta'!L35,'25.09 Mukono-Seeta'!L35,'27.09 Mukono-Seeta'!L35,'26.09 Mukono-Seeta-24h'!L35,'28.09 Mukono-Seeta-24h'!L35,'29.09 Mukono-Seeta'!L35)</f>
        <v>10.142857142857142</v>
      </c>
      <c r="M35" s="49">
        <f>AVERAGE('23.09 Mukono-Seeta'!M35,'24.09 Mukono-Seeta'!M35,'25.09 Mukono-Seeta'!M35,'27.09 Mukono-Seeta'!M35,'26.09 Mukono-Seeta-24h'!M35,'28.09 Mukono-Seeta-24h'!M35,'29.09 Mukono-Seeta'!M35)</f>
        <v>83</v>
      </c>
      <c r="N35" s="49">
        <f>AVERAGE('23.09 Mukono-Seeta'!N35,'24.09 Mukono-Seeta'!N35,'25.09 Mukono-Seeta'!N35,'27.09 Mukono-Seeta'!N35,'26.09 Mukono-Seeta-24h'!N35,'28.09 Mukono-Seeta-24h'!N35,'29.09 Mukono-Seeta'!N35)</f>
        <v>0.14285714285714285</v>
      </c>
      <c r="O35" s="15">
        <f t="shared" si="0"/>
        <v>118.85714285714285</v>
      </c>
      <c r="P35" s="15">
        <f t="shared" si="1"/>
        <v>201.85714285714286</v>
      </c>
      <c r="R35" s="38" t="s">
        <v>91</v>
      </c>
      <c r="S35" s="39">
        <f t="shared" ref="S35:AF35" si="27">MAX(S13:S18)</f>
        <v>104.42857142857143</v>
      </c>
      <c r="T35" s="39">
        <f t="shared" si="27"/>
        <v>60.142857142857139</v>
      </c>
      <c r="U35" s="39">
        <f t="shared" si="27"/>
        <v>32.571428571428569</v>
      </c>
      <c r="V35" s="39">
        <f t="shared" si="27"/>
        <v>174.57142857142858</v>
      </c>
      <c r="W35" s="39">
        <f t="shared" si="27"/>
        <v>7.8571428571428577</v>
      </c>
      <c r="X35" s="39">
        <f t="shared" si="27"/>
        <v>4</v>
      </c>
      <c r="Y35" s="39">
        <f t="shared" si="27"/>
        <v>32.142857142857139</v>
      </c>
      <c r="Z35" s="39">
        <f t="shared" si="27"/>
        <v>29.000000000000004</v>
      </c>
      <c r="AA35" s="39">
        <f t="shared" si="27"/>
        <v>20.714285714285715</v>
      </c>
      <c r="AB35" s="39">
        <f t="shared" si="27"/>
        <v>62</v>
      </c>
      <c r="AC35" s="39">
        <f t="shared" si="27"/>
        <v>460.57142857142856</v>
      </c>
      <c r="AD35" s="39">
        <f t="shared" si="27"/>
        <v>0.2857142857142857</v>
      </c>
      <c r="AE35" s="40">
        <f t="shared" si="27"/>
        <v>498.71428571428567</v>
      </c>
      <c r="AF35" s="40">
        <f t="shared" si="27"/>
        <v>916.28571428571422</v>
      </c>
    </row>
    <row r="36" spans="2:32" ht="23.1" customHeight="1" x14ac:dyDescent="0.25">
      <c r="B36" s="24" t="s">
        <v>63</v>
      </c>
      <c r="C36" s="49">
        <f>AVERAGE('23.09 Mukono-Seeta'!C36,'24.09 Mukono-Seeta'!C36,'25.09 Mukono-Seeta'!C36,'27.09 Mukono-Seeta'!C36,'26.09 Mukono-Seeta-24h'!C36,'28.09 Mukono-Seeta-24h'!C36,'29.09 Mukono-Seeta'!C36)</f>
        <v>26.428571428571427</v>
      </c>
      <c r="D36" s="49">
        <f>AVERAGE('23.09 Mukono-Seeta'!D36,'24.09 Mukono-Seeta'!D36,'25.09 Mukono-Seeta'!D36,'27.09 Mukono-Seeta'!D36,'26.09 Mukono-Seeta-24h'!D36,'28.09 Mukono-Seeta-24h'!D36,'29.09 Mukono-Seeta'!D36)</f>
        <v>12.142857142857142</v>
      </c>
      <c r="E36" s="49">
        <f>AVERAGE('23.09 Mukono-Seeta'!E36,'24.09 Mukono-Seeta'!E36,'25.09 Mukono-Seeta'!E36,'27.09 Mukono-Seeta'!E36,'26.09 Mukono-Seeta-24h'!E36,'28.09 Mukono-Seeta-24h'!E36,'29.09 Mukono-Seeta'!E36)</f>
        <v>7.1428571428571432</v>
      </c>
      <c r="F36" s="49">
        <f>AVERAGE('23.09 Mukono-Seeta'!F36,'24.09 Mukono-Seeta'!F36,'25.09 Mukono-Seeta'!F36,'27.09 Mukono-Seeta'!F36,'26.09 Mukono-Seeta-24h'!F36,'28.09 Mukono-Seeta-24h'!F36,'29.09 Mukono-Seeta'!F36)</f>
        <v>41.714285714285715</v>
      </c>
      <c r="G36" s="49">
        <f>AVERAGE('23.09 Mukono-Seeta'!G36,'24.09 Mukono-Seeta'!G36,'25.09 Mukono-Seeta'!G36,'27.09 Mukono-Seeta'!G36,'26.09 Mukono-Seeta-24h'!G36,'28.09 Mukono-Seeta-24h'!G36,'29.09 Mukono-Seeta'!G36)</f>
        <v>1</v>
      </c>
      <c r="H36" s="49">
        <f>AVERAGE('23.09 Mukono-Seeta'!H36,'24.09 Mukono-Seeta'!H36,'25.09 Mukono-Seeta'!H36,'27.09 Mukono-Seeta'!H36,'26.09 Mukono-Seeta-24h'!H36,'28.09 Mukono-Seeta-24h'!H36,'29.09 Mukono-Seeta'!H36)</f>
        <v>0.7142857142857143</v>
      </c>
      <c r="I36" s="49">
        <f>AVERAGE('23.09 Mukono-Seeta'!I36,'24.09 Mukono-Seeta'!I36,'25.09 Mukono-Seeta'!I36,'27.09 Mukono-Seeta'!I36,'26.09 Mukono-Seeta-24h'!I36,'28.09 Mukono-Seeta-24h'!I36,'29.09 Mukono-Seeta'!I36)</f>
        <v>5.7142857142857144</v>
      </c>
      <c r="J36" s="49">
        <f>AVERAGE('23.09 Mukono-Seeta'!J36,'24.09 Mukono-Seeta'!J36,'25.09 Mukono-Seeta'!J36,'27.09 Mukono-Seeta'!J36,'26.09 Mukono-Seeta-24h'!J36,'28.09 Mukono-Seeta-24h'!J36,'29.09 Mukono-Seeta'!J36)</f>
        <v>6.4285714285714288</v>
      </c>
      <c r="K36" s="49">
        <f>AVERAGE('23.09 Mukono-Seeta'!K36,'24.09 Mukono-Seeta'!K36,'25.09 Mukono-Seeta'!K36,'27.09 Mukono-Seeta'!K36,'26.09 Mukono-Seeta-24h'!K36,'28.09 Mukono-Seeta-24h'!K36,'29.09 Mukono-Seeta'!K36)</f>
        <v>4.7142857142857144</v>
      </c>
      <c r="L36" s="49">
        <f>AVERAGE('23.09 Mukono-Seeta'!L36,'24.09 Mukono-Seeta'!L36,'25.09 Mukono-Seeta'!L36,'27.09 Mukono-Seeta'!L36,'26.09 Mukono-Seeta-24h'!L36,'28.09 Mukono-Seeta-24h'!L36,'29.09 Mukono-Seeta'!L36)</f>
        <v>10.285714285714286</v>
      </c>
      <c r="M36" s="49">
        <f>AVERAGE('23.09 Mukono-Seeta'!M36,'24.09 Mukono-Seeta'!M36,'25.09 Mukono-Seeta'!M36,'27.09 Mukono-Seeta'!M36,'26.09 Mukono-Seeta-24h'!M36,'28.09 Mukono-Seeta-24h'!M36,'29.09 Mukono-Seeta'!M36)</f>
        <v>76.142857142857139</v>
      </c>
      <c r="N36" s="49">
        <f>AVERAGE('23.09 Mukono-Seeta'!N36,'24.09 Mukono-Seeta'!N36,'25.09 Mukono-Seeta'!N36,'27.09 Mukono-Seeta'!N36,'26.09 Mukono-Seeta-24h'!N36,'28.09 Mukono-Seeta-24h'!N36,'29.09 Mukono-Seeta'!N36)</f>
        <v>0</v>
      </c>
      <c r="O36" s="15">
        <f t="shared" si="0"/>
        <v>116.28571428571428</v>
      </c>
      <c r="P36" s="15">
        <f t="shared" si="1"/>
        <v>192.42857142857142</v>
      </c>
      <c r="R36" s="38" t="s">
        <v>92</v>
      </c>
      <c r="S36" s="39">
        <f t="shared" ref="S36:AF36" si="28">MAX(S19:S21)</f>
        <v>117.28571428571428</v>
      </c>
      <c r="T36" s="39">
        <f t="shared" si="28"/>
        <v>66.285714285714292</v>
      </c>
      <c r="U36" s="39">
        <f t="shared" si="28"/>
        <v>37.285714285714285</v>
      </c>
      <c r="V36" s="39">
        <f t="shared" si="28"/>
        <v>202.14285714285714</v>
      </c>
      <c r="W36" s="39">
        <f t="shared" si="28"/>
        <v>14</v>
      </c>
      <c r="X36" s="39">
        <f t="shared" si="28"/>
        <v>4</v>
      </c>
      <c r="Y36" s="39">
        <f t="shared" si="28"/>
        <v>25.714285714285712</v>
      </c>
      <c r="Z36" s="39">
        <f t="shared" si="28"/>
        <v>25.285714285714285</v>
      </c>
      <c r="AA36" s="39">
        <f t="shared" si="28"/>
        <v>15.714285714285715</v>
      </c>
      <c r="AB36" s="39">
        <f t="shared" si="28"/>
        <v>45</v>
      </c>
      <c r="AC36" s="39">
        <f t="shared" si="28"/>
        <v>475.71428571428567</v>
      </c>
      <c r="AD36" s="39">
        <f t="shared" si="28"/>
        <v>0.14285714285714285</v>
      </c>
      <c r="AE36" s="40">
        <f t="shared" si="28"/>
        <v>537</v>
      </c>
      <c r="AF36" s="40">
        <f t="shared" si="28"/>
        <v>1010.7142857142857</v>
      </c>
    </row>
    <row r="37" spans="2:32" ht="23.1" customHeight="1" x14ac:dyDescent="0.25">
      <c r="B37" s="23" t="s">
        <v>64</v>
      </c>
      <c r="C37" s="49">
        <f>AVERAGE('23.09 Mukono-Seeta'!C37,'24.09 Mukono-Seeta'!C37,'25.09 Mukono-Seeta'!C37,'27.09 Mukono-Seeta'!C37,'26.09 Mukono-Seeta-24h'!C37,'28.09 Mukono-Seeta-24h'!C37,'29.09 Mukono-Seeta'!C37)</f>
        <v>22.857142857142858</v>
      </c>
      <c r="D37" s="49">
        <f>AVERAGE('23.09 Mukono-Seeta'!D37,'24.09 Mukono-Seeta'!D37,'25.09 Mukono-Seeta'!D37,'27.09 Mukono-Seeta'!D37,'26.09 Mukono-Seeta-24h'!D37,'28.09 Mukono-Seeta-24h'!D37,'29.09 Mukono-Seeta'!D37)</f>
        <v>13.428571428571429</v>
      </c>
      <c r="E37" s="49">
        <f>AVERAGE('23.09 Mukono-Seeta'!E37,'24.09 Mukono-Seeta'!E37,'25.09 Mukono-Seeta'!E37,'27.09 Mukono-Seeta'!E37,'26.09 Mukono-Seeta-24h'!E37,'28.09 Mukono-Seeta-24h'!E37,'29.09 Mukono-Seeta'!E37)</f>
        <v>6.4285714285714288</v>
      </c>
      <c r="F37" s="49">
        <f>AVERAGE('23.09 Mukono-Seeta'!F37,'24.09 Mukono-Seeta'!F37,'25.09 Mukono-Seeta'!F37,'27.09 Mukono-Seeta'!F37,'26.09 Mukono-Seeta-24h'!F37,'28.09 Mukono-Seeta-24h'!F37,'29.09 Mukono-Seeta'!F37)</f>
        <v>41.142857142857146</v>
      </c>
      <c r="G37" s="49">
        <f>AVERAGE('23.09 Mukono-Seeta'!G37,'24.09 Mukono-Seeta'!G37,'25.09 Mukono-Seeta'!G37,'27.09 Mukono-Seeta'!G37,'26.09 Mukono-Seeta-24h'!G37,'28.09 Mukono-Seeta-24h'!G37,'29.09 Mukono-Seeta'!G37)</f>
        <v>2</v>
      </c>
      <c r="H37" s="49">
        <f>AVERAGE('23.09 Mukono-Seeta'!H37,'24.09 Mukono-Seeta'!H37,'25.09 Mukono-Seeta'!H37,'27.09 Mukono-Seeta'!H37,'26.09 Mukono-Seeta-24h'!H37,'28.09 Mukono-Seeta-24h'!H37,'29.09 Mukono-Seeta'!H37)</f>
        <v>0.8571428571428571</v>
      </c>
      <c r="I37" s="49">
        <f>AVERAGE('23.09 Mukono-Seeta'!I37,'24.09 Mukono-Seeta'!I37,'25.09 Mukono-Seeta'!I37,'27.09 Mukono-Seeta'!I37,'26.09 Mukono-Seeta-24h'!I37,'28.09 Mukono-Seeta-24h'!I37,'29.09 Mukono-Seeta'!I37)</f>
        <v>5.5714285714285712</v>
      </c>
      <c r="J37" s="49">
        <f>AVERAGE('23.09 Mukono-Seeta'!J37,'24.09 Mukono-Seeta'!J37,'25.09 Mukono-Seeta'!J37,'27.09 Mukono-Seeta'!J37,'26.09 Mukono-Seeta-24h'!J37,'28.09 Mukono-Seeta-24h'!J37,'29.09 Mukono-Seeta'!J37)</f>
        <v>4.1428571428571432</v>
      </c>
      <c r="K37" s="49">
        <f>AVERAGE('23.09 Mukono-Seeta'!K37,'24.09 Mukono-Seeta'!K37,'25.09 Mukono-Seeta'!K37,'27.09 Mukono-Seeta'!K37,'26.09 Mukono-Seeta-24h'!K37,'28.09 Mukono-Seeta-24h'!K37,'29.09 Mukono-Seeta'!K37)</f>
        <v>4.4285714285714288</v>
      </c>
      <c r="L37" s="49">
        <f>AVERAGE('23.09 Mukono-Seeta'!L37,'24.09 Mukono-Seeta'!L37,'25.09 Mukono-Seeta'!L37,'27.09 Mukono-Seeta'!L37,'26.09 Mukono-Seeta-24h'!L37,'28.09 Mukono-Seeta-24h'!L37,'29.09 Mukono-Seeta'!L37)</f>
        <v>13.714285714285714</v>
      </c>
      <c r="M37" s="49">
        <f>AVERAGE('23.09 Mukono-Seeta'!M37,'24.09 Mukono-Seeta'!M37,'25.09 Mukono-Seeta'!M37,'27.09 Mukono-Seeta'!M37,'26.09 Mukono-Seeta-24h'!M37,'28.09 Mukono-Seeta-24h'!M37,'29.09 Mukono-Seeta'!M37)</f>
        <v>87.428571428571431</v>
      </c>
      <c r="N37" s="49">
        <f>AVERAGE('23.09 Mukono-Seeta'!N37,'24.09 Mukono-Seeta'!N37,'25.09 Mukono-Seeta'!N37,'27.09 Mukono-Seeta'!N37,'26.09 Mukono-Seeta-24h'!N37,'28.09 Mukono-Seeta-24h'!N37,'29.09 Mukono-Seeta'!N37)</f>
        <v>0</v>
      </c>
      <c r="O37" s="15">
        <f t="shared" si="0"/>
        <v>114.57142857142857</v>
      </c>
      <c r="P37" s="15">
        <f t="shared" si="1"/>
        <v>202</v>
      </c>
      <c r="R37" s="37" t="s">
        <v>85</v>
      </c>
      <c r="S37" s="35">
        <f t="shared" ref="S37:AF37" si="29">SUM(S10:S12)</f>
        <v>289.57142857142856</v>
      </c>
      <c r="T37" s="16">
        <f t="shared" si="29"/>
        <v>113</v>
      </c>
      <c r="U37" s="16">
        <f t="shared" si="29"/>
        <v>68.714285714285722</v>
      </c>
      <c r="V37" s="16">
        <f t="shared" si="29"/>
        <v>452.85714285714289</v>
      </c>
      <c r="W37" s="16">
        <f t="shared" si="29"/>
        <v>26.714285714285712</v>
      </c>
      <c r="X37" s="16">
        <f t="shared" si="29"/>
        <v>9.8571428571428559</v>
      </c>
      <c r="Y37" s="16">
        <f t="shared" si="29"/>
        <v>47</v>
      </c>
      <c r="Z37" s="16">
        <f t="shared" si="29"/>
        <v>47</v>
      </c>
      <c r="AA37" s="16">
        <f t="shared" si="29"/>
        <v>38.857142857142861</v>
      </c>
      <c r="AB37" s="16">
        <f t="shared" si="29"/>
        <v>178.28571428571428</v>
      </c>
      <c r="AC37" s="16">
        <f t="shared" si="29"/>
        <v>1610.2857142857142</v>
      </c>
      <c r="AD37" s="16">
        <f t="shared" si="29"/>
        <v>0</v>
      </c>
      <c r="AE37" s="32">
        <f t="shared" si="29"/>
        <v>1271.8571428571427</v>
      </c>
      <c r="AF37" s="32">
        <f t="shared" si="29"/>
        <v>2882.1428571428569</v>
      </c>
    </row>
    <row r="38" spans="2:32" ht="23.1" customHeight="1" x14ac:dyDescent="0.25">
      <c r="B38" s="24" t="s">
        <v>65</v>
      </c>
      <c r="C38" s="49">
        <f>AVERAGE('23.09 Mukono-Seeta'!C38,'24.09 Mukono-Seeta'!C38,'25.09 Mukono-Seeta'!C38,'27.09 Mukono-Seeta'!C38,'26.09 Mukono-Seeta-24h'!C38,'28.09 Mukono-Seeta-24h'!C38,'29.09 Mukono-Seeta'!C38)</f>
        <v>27.142857142857142</v>
      </c>
      <c r="D38" s="49">
        <f>AVERAGE('23.09 Mukono-Seeta'!D38,'24.09 Mukono-Seeta'!D38,'25.09 Mukono-Seeta'!D38,'27.09 Mukono-Seeta'!D38,'26.09 Mukono-Seeta-24h'!D38,'28.09 Mukono-Seeta-24h'!D38,'29.09 Mukono-Seeta'!D38)</f>
        <v>15.714285714285714</v>
      </c>
      <c r="E38" s="49">
        <f>AVERAGE('23.09 Mukono-Seeta'!E38,'24.09 Mukono-Seeta'!E38,'25.09 Mukono-Seeta'!E38,'27.09 Mukono-Seeta'!E38,'26.09 Mukono-Seeta-24h'!E38,'28.09 Mukono-Seeta-24h'!E38,'29.09 Mukono-Seeta'!E38)</f>
        <v>7.7142857142857144</v>
      </c>
      <c r="F38" s="49">
        <f>AVERAGE('23.09 Mukono-Seeta'!F38,'24.09 Mukono-Seeta'!F38,'25.09 Mukono-Seeta'!F38,'27.09 Mukono-Seeta'!F38,'26.09 Mukono-Seeta-24h'!F38,'28.09 Mukono-Seeta-24h'!F38,'29.09 Mukono-Seeta'!F38)</f>
        <v>43.857142857142854</v>
      </c>
      <c r="G38" s="49">
        <f>AVERAGE('23.09 Mukono-Seeta'!G38,'24.09 Mukono-Seeta'!G38,'25.09 Mukono-Seeta'!G38,'27.09 Mukono-Seeta'!G38,'26.09 Mukono-Seeta-24h'!G38,'28.09 Mukono-Seeta-24h'!G38,'29.09 Mukono-Seeta'!G38)</f>
        <v>1.2857142857142858</v>
      </c>
      <c r="H38" s="49">
        <f>AVERAGE('23.09 Mukono-Seeta'!H38,'24.09 Mukono-Seeta'!H38,'25.09 Mukono-Seeta'!H38,'27.09 Mukono-Seeta'!H38,'26.09 Mukono-Seeta-24h'!H38,'28.09 Mukono-Seeta-24h'!H38,'29.09 Mukono-Seeta'!H38)</f>
        <v>0</v>
      </c>
      <c r="I38" s="49">
        <f>AVERAGE('23.09 Mukono-Seeta'!I38,'24.09 Mukono-Seeta'!I38,'25.09 Mukono-Seeta'!I38,'27.09 Mukono-Seeta'!I38,'26.09 Mukono-Seeta-24h'!I38,'28.09 Mukono-Seeta-24h'!I38,'29.09 Mukono-Seeta'!I38)</f>
        <v>7.2857142857142856</v>
      </c>
      <c r="J38" s="49">
        <f>AVERAGE('23.09 Mukono-Seeta'!J38,'24.09 Mukono-Seeta'!J38,'25.09 Mukono-Seeta'!J38,'27.09 Mukono-Seeta'!J38,'26.09 Mukono-Seeta-24h'!J38,'28.09 Mukono-Seeta-24h'!J38,'29.09 Mukono-Seeta'!J38)</f>
        <v>6.5714285714285712</v>
      </c>
      <c r="K38" s="49">
        <f>AVERAGE('23.09 Mukono-Seeta'!K38,'24.09 Mukono-Seeta'!K38,'25.09 Mukono-Seeta'!K38,'27.09 Mukono-Seeta'!K38,'26.09 Mukono-Seeta-24h'!K38,'28.09 Mukono-Seeta-24h'!K38,'29.09 Mukono-Seeta'!K38)</f>
        <v>6</v>
      </c>
      <c r="L38" s="49">
        <f>AVERAGE('23.09 Mukono-Seeta'!L38,'24.09 Mukono-Seeta'!L38,'25.09 Mukono-Seeta'!L38,'27.09 Mukono-Seeta'!L38,'26.09 Mukono-Seeta-24h'!L38,'28.09 Mukono-Seeta-24h'!L38,'29.09 Mukono-Seeta'!L38)</f>
        <v>13.428571428571429</v>
      </c>
      <c r="M38" s="49">
        <f>AVERAGE('23.09 Mukono-Seeta'!M38,'24.09 Mukono-Seeta'!M38,'25.09 Mukono-Seeta'!M38,'27.09 Mukono-Seeta'!M38,'26.09 Mukono-Seeta-24h'!M38,'28.09 Mukono-Seeta-24h'!M38,'29.09 Mukono-Seeta'!M38)</f>
        <v>89.428571428571431</v>
      </c>
      <c r="N38" s="49">
        <f>AVERAGE('23.09 Mukono-Seeta'!N38,'24.09 Mukono-Seeta'!N38,'25.09 Mukono-Seeta'!N38,'27.09 Mukono-Seeta'!N38,'26.09 Mukono-Seeta-24h'!N38,'28.09 Mukono-Seeta-24h'!N38,'29.09 Mukono-Seeta'!N38)</f>
        <v>0.2857142857142857</v>
      </c>
      <c r="O38" s="15">
        <f t="shared" si="0"/>
        <v>129.28571428571428</v>
      </c>
      <c r="P38" s="15">
        <f t="shared" si="1"/>
        <v>218.71428571428572</v>
      </c>
      <c r="R38" s="28" t="s">
        <v>86</v>
      </c>
      <c r="S38" s="16">
        <f t="shared" ref="S38:AF38" si="30">SUM(S13:S18)</f>
        <v>556</v>
      </c>
      <c r="T38" s="16">
        <f t="shared" si="30"/>
        <v>293.71428571428578</v>
      </c>
      <c r="U38" s="16">
        <f t="shared" si="30"/>
        <v>168.14285714285717</v>
      </c>
      <c r="V38" s="16">
        <f t="shared" si="30"/>
        <v>970</v>
      </c>
      <c r="W38" s="16">
        <f t="shared" si="30"/>
        <v>38.142857142857139</v>
      </c>
      <c r="X38" s="16">
        <f t="shared" si="30"/>
        <v>13.571428571428571</v>
      </c>
      <c r="Y38" s="16">
        <f t="shared" si="30"/>
        <v>164.42857142857144</v>
      </c>
      <c r="Z38" s="16">
        <f t="shared" si="30"/>
        <v>137.28571428571428</v>
      </c>
      <c r="AA38" s="16">
        <f t="shared" si="30"/>
        <v>103.00000000000001</v>
      </c>
      <c r="AB38" s="16">
        <f t="shared" si="30"/>
        <v>328.85714285714283</v>
      </c>
      <c r="AC38" s="16">
        <f t="shared" si="30"/>
        <v>2367.4285714285716</v>
      </c>
      <c r="AD38" s="16">
        <f t="shared" si="30"/>
        <v>0.8571428571428571</v>
      </c>
      <c r="AE38" s="32">
        <f t="shared" si="30"/>
        <v>2774</v>
      </c>
      <c r="AF38" s="32">
        <f t="shared" si="30"/>
        <v>5141.4285714285716</v>
      </c>
    </row>
    <row r="39" spans="2:32" ht="23.1" customHeight="1" x14ac:dyDescent="0.25">
      <c r="B39" s="24" t="s">
        <v>66</v>
      </c>
      <c r="C39" s="49">
        <f>AVERAGE('23.09 Mukono-Seeta'!C39,'24.09 Mukono-Seeta'!C39,'25.09 Mukono-Seeta'!C39,'27.09 Mukono-Seeta'!C39,'26.09 Mukono-Seeta-24h'!C39,'28.09 Mukono-Seeta-24h'!C39,'29.09 Mukono-Seeta'!C39)</f>
        <v>26.285714285714285</v>
      </c>
      <c r="D39" s="49">
        <f>AVERAGE('23.09 Mukono-Seeta'!D39,'24.09 Mukono-Seeta'!D39,'25.09 Mukono-Seeta'!D39,'27.09 Mukono-Seeta'!D39,'26.09 Mukono-Seeta-24h'!D39,'28.09 Mukono-Seeta-24h'!D39,'29.09 Mukono-Seeta'!D39)</f>
        <v>17.714285714285715</v>
      </c>
      <c r="E39" s="49">
        <f>AVERAGE('23.09 Mukono-Seeta'!E39,'24.09 Mukono-Seeta'!E39,'25.09 Mukono-Seeta'!E39,'27.09 Mukono-Seeta'!E39,'26.09 Mukono-Seeta-24h'!E39,'28.09 Mukono-Seeta-24h'!E39,'29.09 Mukono-Seeta'!E39)</f>
        <v>10.142857142857142</v>
      </c>
      <c r="F39" s="49">
        <f>AVERAGE('23.09 Mukono-Seeta'!F39,'24.09 Mukono-Seeta'!F39,'25.09 Mukono-Seeta'!F39,'27.09 Mukono-Seeta'!F39,'26.09 Mukono-Seeta-24h'!F39,'28.09 Mukono-Seeta-24h'!F39,'29.09 Mukono-Seeta'!F39)</f>
        <v>38.142857142857146</v>
      </c>
      <c r="G39" s="49">
        <f>AVERAGE('23.09 Mukono-Seeta'!G39,'24.09 Mukono-Seeta'!G39,'25.09 Mukono-Seeta'!G39,'27.09 Mukono-Seeta'!G39,'26.09 Mukono-Seeta-24h'!G39,'28.09 Mukono-Seeta-24h'!G39,'29.09 Mukono-Seeta'!G39)</f>
        <v>1.2857142857142858</v>
      </c>
      <c r="H39" s="49">
        <f>AVERAGE('23.09 Mukono-Seeta'!H39,'24.09 Mukono-Seeta'!H39,'25.09 Mukono-Seeta'!H39,'27.09 Mukono-Seeta'!H39,'26.09 Mukono-Seeta-24h'!H39,'28.09 Mukono-Seeta-24h'!H39,'29.09 Mukono-Seeta'!H39)</f>
        <v>2.4285714285714284</v>
      </c>
      <c r="I39" s="49">
        <f>AVERAGE('23.09 Mukono-Seeta'!I39,'24.09 Mukono-Seeta'!I39,'25.09 Mukono-Seeta'!I39,'27.09 Mukono-Seeta'!I39,'26.09 Mukono-Seeta-24h'!I39,'28.09 Mukono-Seeta-24h'!I39,'29.09 Mukono-Seeta'!I39)</f>
        <v>8.5714285714285712</v>
      </c>
      <c r="J39" s="49">
        <f>AVERAGE('23.09 Mukono-Seeta'!J39,'24.09 Mukono-Seeta'!J39,'25.09 Mukono-Seeta'!J39,'27.09 Mukono-Seeta'!J39,'26.09 Mukono-Seeta-24h'!J39,'28.09 Mukono-Seeta-24h'!J39,'29.09 Mukono-Seeta'!J39)</f>
        <v>7.2857142857142856</v>
      </c>
      <c r="K39" s="49">
        <f>AVERAGE('23.09 Mukono-Seeta'!K39,'24.09 Mukono-Seeta'!K39,'25.09 Mukono-Seeta'!K39,'27.09 Mukono-Seeta'!K39,'26.09 Mukono-Seeta-24h'!K39,'28.09 Mukono-Seeta-24h'!K39,'29.09 Mukono-Seeta'!K39)</f>
        <v>5.7142857142857144</v>
      </c>
      <c r="L39" s="49">
        <f>AVERAGE('23.09 Mukono-Seeta'!L39,'24.09 Mukono-Seeta'!L39,'25.09 Mukono-Seeta'!L39,'27.09 Mukono-Seeta'!L39,'26.09 Mukono-Seeta-24h'!L39,'28.09 Mukono-Seeta-24h'!L39,'29.09 Mukono-Seeta'!L39)</f>
        <v>11.857142857142858</v>
      </c>
      <c r="M39" s="49">
        <f>AVERAGE('23.09 Mukono-Seeta'!M39,'24.09 Mukono-Seeta'!M39,'25.09 Mukono-Seeta'!M39,'27.09 Mukono-Seeta'!M39,'26.09 Mukono-Seeta-24h'!M39,'28.09 Mukono-Seeta-24h'!M39,'29.09 Mukono-Seeta'!M39)</f>
        <v>91</v>
      </c>
      <c r="N39" s="49">
        <f>AVERAGE('23.09 Mukono-Seeta'!N39,'24.09 Mukono-Seeta'!N39,'25.09 Mukono-Seeta'!N39,'27.09 Mukono-Seeta'!N39,'26.09 Mukono-Seeta-24h'!N39,'28.09 Mukono-Seeta-24h'!N39,'29.09 Mukono-Seeta'!N39)</f>
        <v>0</v>
      </c>
      <c r="O39" s="15">
        <f t="shared" si="0"/>
        <v>129.42857142857142</v>
      </c>
      <c r="P39" s="15">
        <f t="shared" si="1"/>
        <v>220.42857142857142</v>
      </c>
      <c r="R39" s="29" t="s">
        <v>87</v>
      </c>
      <c r="S39" s="16">
        <f t="shared" ref="S39:AF39" si="31">SUM(S19:S21)</f>
        <v>341.71428571428567</v>
      </c>
      <c r="T39" s="16">
        <f t="shared" si="31"/>
        <v>178.57142857142861</v>
      </c>
      <c r="U39" s="16">
        <f t="shared" si="31"/>
        <v>104.42857142857143</v>
      </c>
      <c r="V39" s="16">
        <f t="shared" si="31"/>
        <v>576.85714285714289</v>
      </c>
      <c r="W39" s="16">
        <f t="shared" si="31"/>
        <v>37.571428571428569</v>
      </c>
      <c r="X39" s="16">
        <f t="shared" si="31"/>
        <v>11.285714285714285</v>
      </c>
      <c r="Y39" s="16">
        <f t="shared" si="31"/>
        <v>73.428571428571431</v>
      </c>
      <c r="Z39" s="16">
        <f t="shared" si="31"/>
        <v>72</v>
      </c>
      <c r="AA39" s="16">
        <f t="shared" si="31"/>
        <v>46</v>
      </c>
      <c r="AB39" s="16">
        <f t="shared" si="31"/>
        <v>125</v>
      </c>
      <c r="AC39" s="16">
        <f t="shared" si="31"/>
        <v>1348.7142857142858</v>
      </c>
      <c r="AD39" s="16">
        <f t="shared" si="31"/>
        <v>0.2857142857142857</v>
      </c>
      <c r="AE39" s="32">
        <f t="shared" si="31"/>
        <v>1567.1428571428571</v>
      </c>
      <c r="AF39" s="32">
        <f t="shared" si="31"/>
        <v>2915.8571428571431</v>
      </c>
    </row>
    <row r="40" spans="2:32" ht="23.1" customHeight="1" x14ac:dyDescent="0.25">
      <c r="B40" s="24" t="s">
        <v>67</v>
      </c>
      <c r="C40" s="49">
        <f>AVERAGE('23.09 Mukono-Seeta'!C40,'24.09 Mukono-Seeta'!C40,'25.09 Mukono-Seeta'!C40,'27.09 Mukono-Seeta'!C40,'26.09 Mukono-Seeta-24h'!C40,'28.09 Mukono-Seeta-24h'!C40,'29.09 Mukono-Seeta'!C40)</f>
        <v>22.571428571428573</v>
      </c>
      <c r="D40" s="49">
        <f>AVERAGE('23.09 Mukono-Seeta'!D40,'24.09 Mukono-Seeta'!D40,'25.09 Mukono-Seeta'!D40,'27.09 Mukono-Seeta'!D40,'26.09 Mukono-Seeta-24h'!D40,'28.09 Mukono-Seeta-24h'!D40,'29.09 Mukono-Seeta'!D40)</f>
        <v>10.428571428571429</v>
      </c>
      <c r="E40" s="49">
        <f>AVERAGE('23.09 Mukono-Seeta'!E40,'24.09 Mukono-Seeta'!E40,'25.09 Mukono-Seeta'!E40,'27.09 Mukono-Seeta'!E40,'26.09 Mukono-Seeta-24h'!E40,'28.09 Mukono-Seeta-24h'!E40,'29.09 Mukono-Seeta'!E40)</f>
        <v>5.7142857142857144</v>
      </c>
      <c r="F40" s="49">
        <f>AVERAGE('23.09 Mukono-Seeta'!F40,'24.09 Mukono-Seeta'!F40,'25.09 Mukono-Seeta'!F40,'27.09 Mukono-Seeta'!F40,'26.09 Mukono-Seeta-24h'!F40,'28.09 Mukono-Seeta-24h'!F40,'29.09 Mukono-Seeta'!F40)</f>
        <v>36.285714285714285</v>
      </c>
      <c r="G40" s="49">
        <f>AVERAGE('23.09 Mukono-Seeta'!G40,'24.09 Mukono-Seeta'!G40,'25.09 Mukono-Seeta'!G40,'27.09 Mukono-Seeta'!G40,'26.09 Mukono-Seeta-24h'!G40,'28.09 Mukono-Seeta-24h'!G40,'29.09 Mukono-Seeta'!G40)</f>
        <v>1.5714285714285714</v>
      </c>
      <c r="H40" s="49">
        <f>AVERAGE('23.09 Mukono-Seeta'!H40,'24.09 Mukono-Seeta'!H40,'25.09 Mukono-Seeta'!H40,'27.09 Mukono-Seeta'!H40,'26.09 Mukono-Seeta-24h'!H40,'28.09 Mukono-Seeta-24h'!H40,'29.09 Mukono-Seeta'!H40)</f>
        <v>0.5714285714285714</v>
      </c>
      <c r="I40" s="49">
        <f>AVERAGE('23.09 Mukono-Seeta'!I40,'24.09 Mukono-Seeta'!I40,'25.09 Mukono-Seeta'!I40,'27.09 Mukono-Seeta'!I40,'26.09 Mukono-Seeta-24h'!I40,'28.09 Mukono-Seeta-24h'!I40,'29.09 Mukono-Seeta'!I40)</f>
        <v>8.1428571428571423</v>
      </c>
      <c r="J40" s="49">
        <f>AVERAGE('23.09 Mukono-Seeta'!J40,'24.09 Mukono-Seeta'!J40,'25.09 Mukono-Seeta'!J40,'27.09 Mukono-Seeta'!J40,'26.09 Mukono-Seeta-24h'!J40,'28.09 Mukono-Seeta-24h'!J40,'29.09 Mukono-Seeta'!J40)</f>
        <v>5.5714285714285712</v>
      </c>
      <c r="K40" s="49">
        <f>AVERAGE('23.09 Mukono-Seeta'!K40,'24.09 Mukono-Seeta'!K40,'25.09 Mukono-Seeta'!K40,'27.09 Mukono-Seeta'!K40,'26.09 Mukono-Seeta-24h'!K40,'28.09 Mukono-Seeta-24h'!K40,'29.09 Mukono-Seeta'!K40)</f>
        <v>3.2857142857142856</v>
      </c>
      <c r="L40" s="49">
        <f>AVERAGE('23.09 Mukono-Seeta'!L40,'24.09 Mukono-Seeta'!L40,'25.09 Mukono-Seeta'!L40,'27.09 Mukono-Seeta'!L40,'26.09 Mukono-Seeta-24h'!L40,'28.09 Mukono-Seeta-24h'!L40,'29.09 Mukono-Seeta'!L40)</f>
        <v>12.857142857142858</v>
      </c>
      <c r="M40" s="49">
        <f>AVERAGE('23.09 Mukono-Seeta'!M40,'24.09 Mukono-Seeta'!M40,'25.09 Mukono-Seeta'!M40,'27.09 Mukono-Seeta'!M40,'26.09 Mukono-Seeta-24h'!M40,'28.09 Mukono-Seeta-24h'!M40,'29.09 Mukono-Seeta'!M40)</f>
        <v>73.142857142857139</v>
      </c>
      <c r="N40" s="49">
        <f>AVERAGE('23.09 Mukono-Seeta'!N40,'24.09 Mukono-Seeta'!N40,'25.09 Mukono-Seeta'!N40,'27.09 Mukono-Seeta'!N40,'26.09 Mukono-Seeta-24h'!N40,'28.09 Mukono-Seeta-24h'!N40,'29.09 Mukono-Seeta'!N40)</f>
        <v>0</v>
      </c>
      <c r="O40" s="15">
        <f t="shared" si="0"/>
        <v>107</v>
      </c>
      <c r="P40" s="15">
        <f t="shared" si="1"/>
        <v>180.14285714285714</v>
      </c>
      <c r="R40" s="5" t="s">
        <v>17</v>
      </c>
      <c r="S40" s="16">
        <f t="shared" ref="S40:AF40" si="32">SUM(S10:S21)</f>
        <v>1187.2857142857142</v>
      </c>
      <c r="T40" s="16">
        <f t="shared" si="32"/>
        <v>585.28571428571433</v>
      </c>
      <c r="U40" s="16">
        <f t="shared" si="32"/>
        <v>341.28571428571428</v>
      </c>
      <c r="V40" s="16">
        <f t="shared" si="32"/>
        <v>1999.7142857142856</v>
      </c>
      <c r="W40" s="16">
        <f t="shared" si="32"/>
        <v>102.42857142857142</v>
      </c>
      <c r="X40" s="16">
        <f t="shared" si="32"/>
        <v>34.714285714285715</v>
      </c>
      <c r="Y40" s="16">
        <f t="shared" si="32"/>
        <v>284.85714285714289</v>
      </c>
      <c r="Z40" s="16">
        <f t="shared" si="32"/>
        <v>256.28571428571433</v>
      </c>
      <c r="AA40" s="16">
        <f t="shared" si="32"/>
        <v>187.85714285714286</v>
      </c>
      <c r="AB40" s="16">
        <f t="shared" si="32"/>
        <v>632.14285714285711</v>
      </c>
      <c r="AC40" s="16">
        <f t="shared" si="32"/>
        <v>5326.4285714285716</v>
      </c>
      <c r="AD40" s="16">
        <f t="shared" si="32"/>
        <v>1.1428571428571428</v>
      </c>
      <c r="AE40" s="32">
        <f t="shared" si="32"/>
        <v>5613</v>
      </c>
      <c r="AF40" s="32">
        <f t="shared" si="32"/>
        <v>10939.428571428572</v>
      </c>
    </row>
    <row r="41" spans="2:32" ht="23.1" customHeight="1" x14ac:dyDescent="0.25">
      <c r="B41" s="23" t="s">
        <v>68</v>
      </c>
      <c r="C41" s="49">
        <f>AVERAGE('23.09 Mukono-Seeta'!C41,'24.09 Mukono-Seeta'!C41,'25.09 Mukono-Seeta'!C41,'27.09 Mukono-Seeta'!C41,'26.09 Mukono-Seeta-24h'!C41,'28.09 Mukono-Seeta-24h'!C41,'29.09 Mukono-Seeta'!C41)</f>
        <v>28.428571428571427</v>
      </c>
      <c r="D41" s="49">
        <f>AVERAGE('23.09 Mukono-Seeta'!D41,'24.09 Mukono-Seeta'!D41,'25.09 Mukono-Seeta'!D41,'27.09 Mukono-Seeta'!D41,'26.09 Mukono-Seeta-24h'!D41,'28.09 Mukono-Seeta-24h'!D41,'29.09 Mukono-Seeta'!D41)</f>
        <v>13.571428571428571</v>
      </c>
      <c r="E41" s="49">
        <f>AVERAGE('23.09 Mukono-Seeta'!E41,'24.09 Mukono-Seeta'!E41,'25.09 Mukono-Seeta'!E41,'27.09 Mukono-Seeta'!E41,'26.09 Mukono-Seeta-24h'!E41,'28.09 Mukono-Seeta-24h'!E41,'29.09 Mukono-Seeta'!E41)</f>
        <v>9</v>
      </c>
      <c r="F41" s="49">
        <f>AVERAGE('23.09 Mukono-Seeta'!F41,'24.09 Mukono-Seeta'!F41,'25.09 Mukono-Seeta'!F41,'27.09 Mukono-Seeta'!F41,'26.09 Mukono-Seeta-24h'!F41,'28.09 Mukono-Seeta-24h'!F41,'29.09 Mukono-Seeta'!F41)</f>
        <v>48.714285714285715</v>
      </c>
      <c r="G41" s="49">
        <f>AVERAGE('23.09 Mukono-Seeta'!G41,'24.09 Mukono-Seeta'!G41,'25.09 Mukono-Seeta'!G41,'27.09 Mukono-Seeta'!G41,'26.09 Mukono-Seeta-24h'!G41,'28.09 Mukono-Seeta-24h'!G41,'29.09 Mukono-Seeta'!G41)</f>
        <v>1.1428571428571428</v>
      </c>
      <c r="H41" s="49">
        <f>AVERAGE('23.09 Mukono-Seeta'!H41,'24.09 Mukono-Seeta'!H41,'25.09 Mukono-Seeta'!H41,'27.09 Mukono-Seeta'!H41,'26.09 Mukono-Seeta-24h'!H41,'28.09 Mukono-Seeta-24h'!H41,'29.09 Mukono-Seeta'!H41)</f>
        <v>1</v>
      </c>
      <c r="I41" s="49">
        <f>AVERAGE('23.09 Mukono-Seeta'!I41,'24.09 Mukono-Seeta'!I41,'25.09 Mukono-Seeta'!I41,'27.09 Mukono-Seeta'!I41,'26.09 Mukono-Seeta-24h'!I41,'28.09 Mukono-Seeta-24h'!I41,'29.09 Mukono-Seeta'!I41)</f>
        <v>8.1428571428571423</v>
      </c>
      <c r="J41" s="49">
        <f>AVERAGE('23.09 Mukono-Seeta'!J41,'24.09 Mukono-Seeta'!J41,'25.09 Mukono-Seeta'!J41,'27.09 Mukono-Seeta'!J41,'26.09 Mukono-Seeta-24h'!J41,'28.09 Mukono-Seeta-24h'!J41,'29.09 Mukono-Seeta'!J41)</f>
        <v>7.5714285714285712</v>
      </c>
      <c r="K41" s="49">
        <f>AVERAGE('23.09 Mukono-Seeta'!K41,'24.09 Mukono-Seeta'!K41,'25.09 Mukono-Seeta'!K41,'27.09 Mukono-Seeta'!K41,'26.09 Mukono-Seeta-24h'!K41,'28.09 Mukono-Seeta-24h'!K41,'29.09 Mukono-Seeta'!K41)</f>
        <v>3.7142857142857144</v>
      </c>
      <c r="L41" s="49">
        <f>AVERAGE('23.09 Mukono-Seeta'!L41,'24.09 Mukono-Seeta'!L41,'25.09 Mukono-Seeta'!L41,'27.09 Mukono-Seeta'!L41,'26.09 Mukono-Seeta-24h'!L41,'28.09 Mukono-Seeta-24h'!L41,'29.09 Mukono-Seeta'!L41)</f>
        <v>11.714285714285714</v>
      </c>
      <c r="M41" s="49">
        <f>AVERAGE('23.09 Mukono-Seeta'!M41,'24.09 Mukono-Seeta'!M41,'25.09 Mukono-Seeta'!M41,'27.09 Mukono-Seeta'!M41,'26.09 Mukono-Seeta-24h'!M41,'28.09 Mukono-Seeta-24h'!M41,'29.09 Mukono-Seeta'!M41)</f>
        <v>96.571428571428569</v>
      </c>
      <c r="N41" s="49">
        <f>AVERAGE('23.09 Mukono-Seeta'!N41,'24.09 Mukono-Seeta'!N41,'25.09 Mukono-Seeta'!N41,'27.09 Mukono-Seeta'!N41,'26.09 Mukono-Seeta-24h'!N41,'28.09 Mukono-Seeta-24h'!N41,'29.09 Mukono-Seeta'!N41)</f>
        <v>0</v>
      </c>
      <c r="O41" s="15">
        <f t="shared" si="0"/>
        <v>133</v>
      </c>
      <c r="P41" s="15">
        <f t="shared" si="1"/>
        <v>229.57142857142856</v>
      </c>
      <c r="R41" s="5" t="s">
        <v>185</v>
      </c>
      <c r="S41" s="16">
        <f>SUM(S10:S33)</f>
        <v>2060.2857142857142</v>
      </c>
      <c r="T41" s="16">
        <f t="shared" ref="T41:AD41" si="33">SUM(T10:T33)</f>
        <v>1100.2857142857142</v>
      </c>
      <c r="U41" s="16">
        <f t="shared" si="33"/>
        <v>550.78571428571422</v>
      </c>
      <c r="V41" s="16">
        <f t="shared" si="33"/>
        <v>2967.7142857142853</v>
      </c>
      <c r="W41" s="16">
        <f t="shared" si="33"/>
        <v>180.42857142857142</v>
      </c>
      <c r="X41" s="16">
        <f t="shared" si="33"/>
        <v>90.214285714285722</v>
      </c>
      <c r="Y41" s="16">
        <f t="shared" si="33"/>
        <v>569.85714285714289</v>
      </c>
      <c r="Z41" s="16">
        <f t="shared" si="33"/>
        <v>492.78571428571433</v>
      </c>
      <c r="AA41" s="16">
        <f t="shared" si="33"/>
        <v>291.35714285714289</v>
      </c>
      <c r="AB41" s="16">
        <f t="shared" si="33"/>
        <v>1060.1428571428571</v>
      </c>
      <c r="AC41" s="16">
        <f t="shared" si="33"/>
        <v>6580.9285714285716</v>
      </c>
      <c r="AD41" s="16">
        <f t="shared" si="33"/>
        <v>1.1428571428571428</v>
      </c>
      <c r="AE41" s="32">
        <f>SUM(AE10:AE33)</f>
        <v>9365</v>
      </c>
      <c r="AF41" s="32">
        <f>SUM(AF10:AF33)</f>
        <v>15945.928571428572</v>
      </c>
    </row>
    <row r="42" spans="2:32" ht="23.1" customHeight="1" x14ac:dyDescent="0.25">
      <c r="B42" s="24" t="s">
        <v>69</v>
      </c>
      <c r="C42" s="49">
        <f>AVERAGE('23.09 Mukono-Seeta'!C42,'24.09 Mukono-Seeta'!C42,'25.09 Mukono-Seeta'!C42,'27.09 Mukono-Seeta'!C42,'26.09 Mukono-Seeta-24h'!C42,'28.09 Mukono-Seeta-24h'!C42,'29.09 Mukono-Seeta'!C42)</f>
        <v>24</v>
      </c>
      <c r="D42" s="49">
        <f>AVERAGE('23.09 Mukono-Seeta'!D42,'24.09 Mukono-Seeta'!D42,'25.09 Mukono-Seeta'!D42,'27.09 Mukono-Seeta'!D42,'26.09 Mukono-Seeta-24h'!D42,'28.09 Mukono-Seeta-24h'!D42,'29.09 Mukono-Seeta'!D42)</f>
        <v>13.714285714285714</v>
      </c>
      <c r="E42" s="49">
        <f>AVERAGE('23.09 Mukono-Seeta'!E42,'24.09 Mukono-Seeta'!E42,'25.09 Mukono-Seeta'!E42,'27.09 Mukono-Seeta'!E42,'26.09 Mukono-Seeta-24h'!E42,'28.09 Mukono-Seeta-24h'!E42,'29.09 Mukono-Seeta'!E42)</f>
        <v>7.2857142857142856</v>
      </c>
      <c r="F42" s="49">
        <f>AVERAGE('23.09 Mukono-Seeta'!F42,'24.09 Mukono-Seeta'!F42,'25.09 Mukono-Seeta'!F42,'27.09 Mukono-Seeta'!F42,'26.09 Mukono-Seeta-24h'!F42,'28.09 Mukono-Seeta-24h'!F42,'29.09 Mukono-Seeta'!F42)</f>
        <v>43.714285714285715</v>
      </c>
      <c r="G42" s="49">
        <f>AVERAGE('23.09 Mukono-Seeta'!G42,'24.09 Mukono-Seeta'!G42,'25.09 Mukono-Seeta'!G42,'27.09 Mukono-Seeta'!G42,'26.09 Mukono-Seeta-24h'!G42,'28.09 Mukono-Seeta-24h'!G42,'29.09 Mukono-Seeta'!G42)</f>
        <v>1.8571428571428572</v>
      </c>
      <c r="H42" s="49">
        <f>AVERAGE('23.09 Mukono-Seeta'!H42,'24.09 Mukono-Seeta'!H42,'25.09 Mukono-Seeta'!H42,'27.09 Mukono-Seeta'!H42,'26.09 Mukono-Seeta-24h'!H42,'28.09 Mukono-Seeta-24h'!H42,'29.09 Mukono-Seeta'!H42)</f>
        <v>0.42857142857142855</v>
      </c>
      <c r="I42" s="49">
        <f>AVERAGE('23.09 Mukono-Seeta'!I42,'24.09 Mukono-Seeta'!I42,'25.09 Mukono-Seeta'!I42,'27.09 Mukono-Seeta'!I42,'26.09 Mukono-Seeta-24h'!I42,'28.09 Mukono-Seeta-24h'!I42,'29.09 Mukono-Seeta'!I42)</f>
        <v>5.8571428571428568</v>
      </c>
      <c r="J42" s="49">
        <f>AVERAGE('23.09 Mukono-Seeta'!J42,'24.09 Mukono-Seeta'!J42,'25.09 Mukono-Seeta'!J42,'27.09 Mukono-Seeta'!J42,'26.09 Mukono-Seeta-24h'!J42,'28.09 Mukono-Seeta-24h'!J42,'29.09 Mukono-Seeta'!J42)</f>
        <v>3.8571428571428572</v>
      </c>
      <c r="K42" s="49">
        <f>AVERAGE('23.09 Mukono-Seeta'!K42,'24.09 Mukono-Seeta'!K42,'25.09 Mukono-Seeta'!K42,'27.09 Mukono-Seeta'!K42,'26.09 Mukono-Seeta-24h'!K42,'28.09 Mukono-Seeta-24h'!K42,'29.09 Mukono-Seeta'!K42)</f>
        <v>3.7142857142857144</v>
      </c>
      <c r="L42" s="49">
        <f>AVERAGE('23.09 Mukono-Seeta'!L42,'24.09 Mukono-Seeta'!L42,'25.09 Mukono-Seeta'!L42,'27.09 Mukono-Seeta'!L42,'26.09 Mukono-Seeta-24h'!L42,'28.09 Mukono-Seeta-24h'!L42,'29.09 Mukono-Seeta'!L42)</f>
        <v>14.428571428571429</v>
      </c>
      <c r="M42" s="49">
        <f>AVERAGE('23.09 Mukono-Seeta'!M42,'24.09 Mukono-Seeta'!M42,'25.09 Mukono-Seeta'!M42,'27.09 Mukono-Seeta'!M42,'26.09 Mukono-Seeta-24h'!M42,'28.09 Mukono-Seeta-24h'!M42,'29.09 Mukono-Seeta'!M42)</f>
        <v>95.714285714285708</v>
      </c>
      <c r="N42" s="49">
        <f>AVERAGE('23.09 Mukono-Seeta'!N42,'24.09 Mukono-Seeta'!N42,'25.09 Mukono-Seeta'!N42,'27.09 Mukono-Seeta'!N42,'26.09 Mukono-Seeta-24h'!N42,'28.09 Mukono-Seeta-24h'!N42,'29.09 Mukono-Seeta'!N42)</f>
        <v>0</v>
      </c>
      <c r="O42" s="15">
        <f t="shared" si="0"/>
        <v>118.85714285714288</v>
      </c>
      <c r="P42" s="15">
        <f t="shared" si="1"/>
        <v>214.57142857142858</v>
      </c>
      <c r="R42" s="5" t="s">
        <v>160</v>
      </c>
      <c r="S42" s="48">
        <f>S41/S40</f>
        <v>1.7352905787510529</v>
      </c>
      <c r="T42" s="48">
        <f t="shared" ref="T42:AF42" si="34">T41/T40</f>
        <v>1.8799121308274345</v>
      </c>
      <c r="U42" s="48">
        <f t="shared" si="34"/>
        <v>1.6138551695269987</v>
      </c>
      <c r="V42" s="48">
        <f t="shared" si="34"/>
        <v>1.4840691527361052</v>
      </c>
      <c r="W42" s="48">
        <f t="shared" si="34"/>
        <v>1.7615062761506277</v>
      </c>
      <c r="X42" s="48">
        <f t="shared" si="34"/>
        <v>2.5987654320987654</v>
      </c>
      <c r="Y42" s="48">
        <f t="shared" si="34"/>
        <v>2.0005015045135406</v>
      </c>
      <c r="Z42" s="48">
        <f t="shared" si="34"/>
        <v>1.922798216276477</v>
      </c>
      <c r="AA42" s="48">
        <f t="shared" si="34"/>
        <v>1.5509505703422055</v>
      </c>
      <c r="AB42" s="48">
        <f t="shared" si="34"/>
        <v>1.6770621468926554</v>
      </c>
      <c r="AC42" s="48">
        <f t="shared" si="34"/>
        <v>1.2355236690358053</v>
      </c>
      <c r="AD42" s="48">
        <f t="shared" si="34"/>
        <v>1</v>
      </c>
      <c r="AE42" s="55">
        <f t="shared" si="34"/>
        <v>1.6684482451451987</v>
      </c>
      <c r="AF42" s="55">
        <f t="shared" si="34"/>
        <v>1.4576564458838277</v>
      </c>
    </row>
    <row r="43" spans="2:32" ht="23.1" customHeight="1" x14ac:dyDescent="0.25">
      <c r="B43" s="23" t="s">
        <v>70</v>
      </c>
      <c r="C43" s="49">
        <f>AVERAGE('23.09 Mukono-Seeta'!C43,'24.09 Mukono-Seeta'!C43,'25.09 Mukono-Seeta'!C43,'27.09 Mukono-Seeta'!C43,'26.09 Mukono-Seeta-24h'!C43,'28.09 Mukono-Seeta-24h'!C43,'29.09 Mukono-Seeta'!C43)</f>
        <v>22.285714285714285</v>
      </c>
      <c r="D43" s="49">
        <f>AVERAGE('23.09 Mukono-Seeta'!D43,'24.09 Mukono-Seeta'!D43,'25.09 Mukono-Seeta'!D43,'27.09 Mukono-Seeta'!D43,'26.09 Mukono-Seeta-24h'!D43,'28.09 Mukono-Seeta-24h'!D43,'29.09 Mukono-Seeta'!D43)</f>
        <v>13.285714285714286</v>
      </c>
      <c r="E43" s="49">
        <f>AVERAGE('23.09 Mukono-Seeta'!E43,'24.09 Mukono-Seeta'!E43,'25.09 Mukono-Seeta'!E43,'27.09 Mukono-Seeta'!E43,'26.09 Mukono-Seeta-24h'!E43,'28.09 Mukono-Seeta-24h'!E43,'29.09 Mukono-Seeta'!E43)</f>
        <v>7.8571428571428568</v>
      </c>
      <c r="F43" s="49">
        <f>AVERAGE('23.09 Mukono-Seeta'!F43,'24.09 Mukono-Seeta'!F43,'25.09 Mukono-Seeta'!F43,'27.09 Mukono-Seeta'!F43,'26.09 Mukono-Seeta-24h'!F43,'28.09 Mukono-Seeta-24h'!F43,'29.09 Mukono-Seeta'!F43)</f>
        <v>42.571428571428569</v>
      </c>
      <c r="G43" s="49">
        <f>AVERAGE('23.09 Mukono-Seeta'!G43,'24.09 Mukono-Seeta'!G43,'25.09 Mukono-Seeta'!G43,'27.09 Mukono-Seeta'!G43,'26.09 Mukono-Seeta-24h'!G43,'28.09 Mukono-Seeta-24h'!G43,'29.09 Mukono-Seeta'!G43)</f>
        <v>1.1428571428571428</v>
      </c>
      <c r="H43" s="49">
        <f>AVERAGE('23.09 Mukono-Seeta'!H43,'24.09 Mukono-Seeta'!H43,'25.09 Mukono-Seeta'!H43,'27.09 Mukono-Seeta'!H43,'26.09 Mukono-Seeta-24h'!H43,'28.09 Mukono-Seeta-24h'!H43,'29.09 Mukono-Seeta'!H43)</f>
        <v>0.2857142857142857</v>
      </c>
      <c r="I43" s="49">
        <f>AVERAGE('23.09 Mukono-Seeta'!I43,'24.09 Mukono-Seeta'!I43,'25.09 Mukono-Seeta'!I43,'27.09 Mukono-Seeta'!I43,'26.09 Mukono-Seeta-24h'!I43,'28.09 Mukono-Seeta-24h'!I43,'29.09 Mukono-Seeta'!I43)</f>
        <v>7</v>
      </c>
      <c r="J43" s="49">
        <f>AVERAGE('23.09 Mukono-Seeta'!J43,'24.09 Mukono-Seeta'!J43,'25.09 Mukono-Seeta'!J43,'27.09 Mukono-Seeta'!J43,'26.09 Mukono-Seeta-24h'!J43,'28.09 Mukono-Seeta-24h'!J43,'29.09 Mukono-Seeta'!J43)</f>
        <v>5.7142857142857144</v>
      </c>
      <c r="K43" s="49">
        <f>AVERAGE('23.09 Mukono-Seeta'!K43,'24.09 Mukono-Seeta'!K43,'25.09 Mukono-Seeta'!K43,'27.09 Mukono-Seeta'!K43,'26.09 Mukono-Seeta-24h'!K43,'28.09 Mukono-Seeta-24h'!K43,'29.09 Mukono-Seeta'!K43)</f>
        <v>4.2857142857142856</v>
      </c>
      <c r="L43" s="49">
        <f>AVERAGE('23.09 Mukono-Seeta'!L43,'24.09 Mukono-Seeta'!L43,'25.09 Mukono-Seeta'!L43,'27.09 Mukono-Seeta'!L43,'26.09 Mukono-Seeta-24h'!L43,'28.09 Mukono-Seeta-24h'!L43,'29.09 Mukono-Seeta'!L43)</f>
        <v>15.142857142857142</v>
      </c>
      <c r="M43" s="49">
        <f>AVERAGE('23.09 Mukono-Seeta'!M43,'24.09 Mukono-Seeta'!M43,'25.09 Mukono-Seeta'!M43,'27.09 Mukono-Seeta'!M43,'26.09 Mukono-Seeta-24h'!M43,'28.09 Mukono-Seeta-24h'!M43,'29.09 Mukono-Seeta'!M43)</f>
        <v>79.857142857142861</v>
      </c>
      <c r="N43" s="49">
        <f>AVERAGE('23.09 Mukono-Seeta'!N43,'24.09 Mukono-Seeta'!N43,'25.09 Mukono-Seeta'!N43,'27.09 Mukono-Seeta'!N43,'26.09 Mukono-Seeta-24h'!N43,'28.09 Mukono-Seeta-24h'!N43,'29.09 Mukono-Seeta'!N43)</f>
        <v>0</v>
      </c>
      <c r="O43" s="15">
        <f t="shared" si="0"/>
        <v>119.57142857142857</v>
      </c>
      <c r="P43" s="15">
        <f t="shared" si="1"/>
        <v>199.42857142857144</v>
      </c>
    </row>
    <row r="44" spans="2:32" ht="23.1" customHeight="1" x14ac:dyDescent="0.25">
      <c r="B44" s="25" t="s">
        <v>71</v>
      </c>
      <c r="C44" s="49">
        <f>AVERAGE('23.09 Mukono-Seeta'!C44,'24.09 Mukono-Seeta'!C44,'25.09 Mukono-Seeta'!C44,'27.09 Mukono-Seeta'!C44,'26.09 Mukono-Seeta-24h'!C44,'28.09 Mukono-Seeta-24h'!C44,'29.09 Mukono-Seeta'!C44)</f>
        <v>20.428571428571427</v>
      </c>
      <c r="D44" s="49">
        <f>AVERAGE('23.09 Mukono-Seeta'!D44,'24.09 Mukono-Seeta'!D44,'25.09 Mukono-Seeta'!D44,'27.09 Mukono-Seeta'!D44,'26.09 Mukono-Seeta-24h'!D44,'28.09 Mukono-Seeta-24h'!D44,'29.09 Mukono-Seeta'!D44)</f>
        <v>14.285714285714286</v>
      </c>
      <c r="E44" s="49">
        <f>AVERAGE('23.09 Mukono-Seeta'!E44,'24.09 Mukono-Seeta'!E44,'25.09 Mukono-Seeta'!E44,'27.09 Mukono-Seeta'!E44,'26.09 Mukono-Seeta-24h'!E44,'28.09 Mukono-Seeta-24h'!E44,'29.09 Mukono-Seeta'!E44)</f>
        <v>7.5714285714285712</v>
      </c>
      <c r="F44" s="49">
        <f>AVERAGE('23.09 Mukono-Seeta'!F44,'24.09 Mukono-Seeta'!F44,'25.09 Mukono-Seeta'!F44,'27.09 Mukono-Seeta'!F44,'26.09 Mukono-Seeta-24h'!F44,'28.09 Mukono-Seeta-24h'!F44,'29.09 Mukono-Seeta'!F44)</f>
        <v>37.857142857142854</v>
      </c>
      <c r="G44" s="49">
        <f>AVERAGE('23.09 Mukono-Seeta'!G44,'24.09 Mukono-Seeta'!G44,'25.09 Mukono-Seeta'!G44,'27.09 Mukono-Seeta'!G44,'26.09 Mukono-Seeta-24h'!G44,'28.09 Mukono-Seeta-24h'!G44,'29.09 Mukono-Seeta'!G44)</f>
        <v>1.2857142857142858</v>
      </c>
      <c r="H44" s="49">
        <f>AVERAGE('23.09 Mukono-Seeta'!H44,'24.09 Mukono-Seeta'!H44,'25.09 Mukono-Seeta'!H44,'27.09 Mukono-Seeta'!H44,'26.09 Mukono-Seeta-24h'!H44,'28.09 Mukono-Seeta-24h'!H44,'29.09 Mukono-Seeta'!H44)</f>
        <v>0.14285714285714285</v>
      </c>
      <c r="I44" s="49">
        <f>AVERAGE('23.09 Mukono-Seeta'!I44,'24.09 Mukono-Seeta'!I44,'25.09 Mukono-Seeta'!I44,'27.09 Mukono-Seeta'!I44,'26.09 Mukono-Seeta-24h'!I44,'28.09 Mukono-Seeta-24h'!I44,'29.09 Mukono-Seeta'!I44)</f>
        <v>5.7142857142857144</v>
      </c>
      <c r="J44" s="49">
        <f>AVERAGE('23.09 Mukono-Seeta'!J44,'24.09 Mukono-Seeta'!J44,'25.09 Mukono-Seeta'!J44,'27.09 Mukono-Seeta'!J44,'26.09 Mukono-Seeta-24h'!J44,'28.09 Mukono-Seeta-24h'!J44,'29.09 Mukono-Seeta'!J44)</f>
        <v>5.2857142857142856</v>
      </c>
      <c r="K44" s="49">
        <f>AVERAGE('23.09 Mukono-Seeta'!K44,'24.09 Mukono-Seeta'!K44,'25.09 Mukono-Seeta'!K44,'27.09 Mukono-Seeta'!K44,'26.09 Mukono-Seeta-24h'!K44,'28.09 Mukono-Seeta-24h'!K44,'29.09 Mukono-Seeta'!K44)</f>
        <v>4</v>
      </c>
      <c r="L44" s="49">
        <f>AVERAGE('23.09 Mukono-Seeta'!L44,'24.09 Mukono-Seeta'!L44,'25.09 Mukono-Seeta'!L44,'27.09 Mukono-Seeta'!L44,'26.09 Mukono-Seeta-24h'!L44,'28.09 Mukono-Seeta-24h'!L44,'29.09 Mukono-Seeta'!L44)</f>
        <v>20.714285714285715</v>
      </c>
      <c r="M44" s="49">
        <f>AVERAGE('23.09 Mukono-Seeta'!M44,'24.09 Mukono-Seeta'!M44,'25.09 Mukono-Seeta'!M44,'27.09 Mukono-Seeta'!M44,'26.09 Mukono-Seeta-24h'!M44,'28.09 Mukono-Seeta-24h'!M44,'29.09 Mukono-Seeta'!M44)</f>
        <v>97.142857142857139</v>
      </c>
      <c r="N44" s="49">
        <f>AVERAGE('23.09 Mukono-Seeta'!N44,'24.09 Mukono-Seeta'!N44,'25.09 Mukono-Seeta'!N44,'27.09 Mukono-Seeta'!N44,'26.09 Mukono-Seeta-24h'!N44,'28.09 Mukono-Seeta-24h'!N44,'29.09 Mukono-Seeta'!N44)</f>
        <v>0</v>
      </c>
      <c r="O44" s="15">
        <f t="shared" si="0"/>
        <v>117.28571428571428</v>
      </c>
      <c r="P44" s="15">
        <f t="shared" si="1"/>
        <v>214.42857142857142</v>
      </c>
    </row>
    <row r="45" spans="2:32" ht="23.1" customHeight="1" x14ac:dyDescent="0.25">
      <c r="B45" s="23" t="s">
        <v>72</v>
      </c>
      <c r="C45" s="49">
        <f>AVERAGE('23.09 Mukono-Seeta'!C45,'24.09 Mukono-Seeta'!C45,'25.09 Mukono-Seeta'!C45,'27.09 Mukono-Seeta'!C45,'26.09 Mukono-Seeta-24h'!C45,'28.09 Mukono-Seeta-24h'!C45,'29.09 Mukono-Seeta'!C45)</f>
        <v>33.857142857142854</v>
      </c>
      <c r="D45" s="49">
        <f>AVERAGE('23.09 Mukono-Seeta'!D45,'24.09 Mukono-Seeta'!D45,'25.09 Mukono-Seeta'!D45,'27.09 Mukono-Seeta'!D45,'26.09 Mukono-Seeta-24h'!D45,'28.09 Mukono-Seeta-24h'!D45,'29.09 Mukono-Seeta'!D45)</f>
        <v>18.857142857142858</v>
      </c>
      <c r="E45" s="49">
        <f>AVERAGE('23.09 Mukono-Seeta'!E45,'24.09 Mukono-Seeta'!E45,'25.09 Mukono-Seeta'!E45,'27.09 Mukono-Seeta'!E45,'26.09 Mukono-Seeta-24h'!E45,'28.09 Mukono-Seeta-24h'!E45,'29.09 Mukono-Seeta'!E45)</f>
        <v>9.5714285714285712</v>
      </c>
      <c r="F45" s="49">
        <f>AVERAGE('23.09 Mukono-Seeta'!F45,'24.09 Mukono-Seeta'!F45,'25.09 Mukono-Seeta'!F45,'27.09 Mukono-Seeta'!F45,'26.09 Mukono-Seeta-24h'!F45,'28.09 Mukono-Seeta-24h'!F45,'29.09 Mukono-Seeta'!F45)</f>
        <v>41</v>
      </c>
      <c r="G45" s="49">
        <f>AVERAGE('23.09 Mukono-Seeta'!G45,'24.09 Mukono-Seeta'!G45,'25.09 Mukono-Seeta'!G45,'27.09 Mukono-Seeta'!G45,'26.09 Mukono-Seeta-24h'!G45,'28.09 Mukono-Seeta-24h'!G45,'29.09 Mukono-Seeta'!G45)</f>
        <v>1</v>
      </c>
      <c r="H45" s="49">
        <f>AVERAGE('23.09 Mukono-Seeta'!H45,'24.09 Mukono-Seeta'!H45,'25.09 Mukono-Seeta'!H45,'27.09 Mukono-Seeta'!H45,'26.09 Mukono-Seeta-24h'!H45,'28.09 Mukono-Seeta-24h'!H45,'29.09 Mukono-Seeta'!H45)</f>
        <v>0.5714285714285714</v>
      </c>
      <c r="I45" s="49">
        <f>AVERAGE('23.09 Mukono-Seeta'!I45,'24.09 Mukono-Seeta'!I45,'25.09 Mukono-Seeta'!I45,'27.09 Mukono-Seeta'!I45,'26.09 Mukono-Seeta-24h'!I45,'28.09 Mukono-Seeta-24h'!I45,'29.09 Mukono-Seeta'!I45)</f>
        <v>5.4285714285714288</v>
      </c>
      <c r="J45" s="49">
        <f>AVERAGE('23.09 Mukono-Seeta'!J45,'24.09 Mukono-Seeta'!J45,'25.09 Mukono-Seeta'!J45,'27.09 Mukono-Seeta'!J45,'26.09 Mukono-Seeta-24h'!J45,'28.09 Mukono-Seeta-24h'!J45,'29.09 Mukono-Seeta'!J45)</f>
        <v>4</v>
      </c>
      <c r="K45" s="49">
        <f>AVERAGE('23.09 Mukono-Seeta'!K45,'24.09 Mukono-Seeta'!K45,'25.09 Mukono-Seeta'!K45,'27.09 Mukono-Seeta'!K45,'26.09 Mukono-Seeta-24h'!K45,'28.09 Mukono-Seeta-24h'!K45,'29.09 Mukono-Seeta'!K45)</f>
        <v>3.4285714285714284</v>
      </c>
      <c r="L45" s="49">
        <f>AVERAGE('23.09 Mukono-Seeta'!L45,'24.09 Mukono-Seeta'!L45,'25.09 Mukono-Seeta'!L45,'27.09 Mukono-Seeta'!L45,'26.09 Mukono-Seeta-24h'!L45,'28.09 Mukono-Seeta-24h'!L45,'29.09 Mukono-Seeta'!L45)</f>
        <v>11.714285714285714</v>
      </c>
      <c r="M45" s="49">
        <f>AVERAGE('23.09 Mukono-Seeta'!M45,'24.09 Mukono-Seeta'!M45,'25.09 Mukono-Seeta'!M45,'27.09 Mukono-Seeta'!M45,'26.09 Mukono-Seeta-24h'!M45,'28.09 Mukono-Seeta-24h'!M45,'29.09 Mukono-Seeta'!M45)</f>
        <v>91.857142857142861</v>
      </c>
      <c r="N45" s="49">
        <f>AVERAGE('23.09 Mukono-Seeta'!N45,'24.09 Mukono-Seeta'!N45,'25.09 Mukono-Seeta'!N45,'27.09 Mukono-Seeta'!N45,'26.09 Mukono-Seeta-24h'!N45,'28.09 Mukono-Seeta-24h'!N45,'29.09 Mukono-Seeta'!N45)</f>
        <v>0.2857142857142857</v>
      </c>
      <c r="O45" s="15">
        <f t="shared" si="0"/>
        <v>129.71428571428569</v>
      </c>
      <c r="P45" s="15">
        <f t="shared" si="1"/>
        <v>221.57142857142856</v>
      </c>
    </row>
    <row r="46" spans="2:32" ht="23.1" customHeight="1" x14ac:dyDescent="0.25">
      <c r="B46" s="24" t="s">
        <v>73</v>
      </c>
      <c r="C46" s="49">
        <f>AVERAGE('23.09 Mukono-Seeta'!C46,'24.09 Mukono-Seeta'!C46,'25.09 Mukono-Seeta'!C46,'27.09 Mukono-Seeta'!C46,'26.09 Mukono-Seeta-24h'!C46,'28.09 Mukono-Seeta-24h'!C46,'29.09 Mukono-Seeta'!C46)</f>
        <v>23.714285714285715</v>
      </c>
      <c r="D46" s="49">
        <f>AVERAGE('23.09 Mukono-Seeta'!D46,'24.09 Mukono-Seeta'!D46,'25.09 Mukono-Seeta'!D46,'27.09 Mukono-Seeta'!D46,'26.09 Mukono-Seeta-24h'!D46,'28.09 Mukono-Seeta-24h'!D46,'29.09 Mukono-Seeta'!D46)</f>
        <v>14.857142857142858</v>
      </c>
      <c r="E46" s="49">
        <f>AVERAGE('23.09 Mukono-Seeta'!E46,'24.09 Mukono-Seeta'!E46,'25.09 Mukono-Seeta'!E46,'27.09 Mukono-Seeta'!E46,'26.09 Mukono-Seeta-24h'!E46,'28.09 Mukono-Seeta-24h'!E46,'29.09 Mukono-Seeta'!E46)</f>
        <v>9.2857142857142865</v>
      </c>
      <c r="F46" s="49">
        <f>AVERAGE('23.09 Mukono-Seeta'!F46,'24.09 Mukono-Seeta'!F46,'25.09 Mukono-Seeta'!F46,'27.09 Mukono-Seeta'!F46,'26.09 Mukono-Seeta-24h'!F46,'28.09 Mukono-Seeta-24h'!F46,'29.09 Mukono-Seeta'!F46)</f>
        <v>44.714285714285715</v>
      </c>
      <c r="G46" s="49">
        <f>AVERAGE('23.09 Mukono-Seeta'!G46,'24.09 Mukono-Seeta'!G46,'25.09 Mukono-Seeta'!G46,'27.09 Mukono-Seeta'!G46,'26.09 Mukono-Seeta-24h'!G46,'28.09 Mukono-Seeta-24h'!G46,'29.09 Mukono-Seeta'!G46)</f>
        <v>2.4285714285714284</v>
      </c>
      <c r="H46" s="49">
        <f>AVERAGE('23.09 Mukono-Seeta'!H46,'24.09 Mukono-Seeta'!H46,'25.09 Mukono-Seeta'!H46,'27.09 Mukono-Seeta'!H46,'26.09 Mukono-Seeta-24h'!H46,'28.09 Mukono-Seeta-24h'!H46,'29.09 Mukono-Seeta'!H46)</f>
        <v>0.8571428571428571</v>
      </c>
      <c r="I46" s="49">
        <f>AVERAGE('23.09 Mukono-Seeta'!I46,'24.09 Mukono-Seeta'!I46,'25.09 Mukono-Seeta'!I46,'27.09 Mukono-Seeta'!I46,'26.09 Mukono-Seeta-24h'!I46,'28.09 Mukono-Seeta-24h'!I46,'29.09 Mukono-Seeta'!I46)</f>
        <v>3.7142857142857144</v>
      </c>
      <c r="J46" s="49">
        <f>AVERAGE('23.09 Mukono-Seeta'!J46,'24.09 Mukono-Seeta'!J46,'25.09 Mukono-Seeta'!J46,'27.09 Mukono-Seeta'!J46,'26.09 Mukono-Seeta-24h'!J46,'28.09 Mukono-Seeta-24h'!J46,'29.09 Mukono-Seeta'!J46)</f>
        <v>6.1428571428571432</v>
      </c>
      <c r="K46" s="49">
        <f>AVERAGE('23.09 Mukono-Seeta'!K46,'24.09 Mukono-Seeta'!K46,'25.09 Mukono-Seeta'!K46,'27.09 Mukono-Seeta'!K46,'26.09 Mukono-Seeta-24h'!K46,'28.09 Mukono-Seeta-24h'!K46,'29.09 Mukono-Seeta'!K46)</f>
        <v>3.7142857142857144</v>
      </c>
      <c r="L46" s="49">
        <f>AVERAGE('23.09 Mukono-Seeta'!L46,'24.09 Mukono-Seeta'!L46,'25.09 Mukono-Seeta'!L46,'27.09 Mukono-Seeta'!L46,'26.09 Mukono-Seeta-24h'!L46,'28.09 Mukono-Seeta-24h'!L46,'29.09 Mukono-Seeta'!L46)</f>
        <v>12.571428571428571</v>
      </c>
      <c r="M46" s="49">
        <f>AVERAGE('23.09 Mukono-Seeta'!M46,'24.09 Mukono-Seeta'!M46,'25.09 Mukono-Seeta'!M46,'27.09 Mukono-Seeta'!M46,'26.09 Mukono-Seeta-24h'!M46,'28.09 Mukono-Seeta-24h'!M46,'29.09 Mukono-Seeta'!M46)</f>
        <v>103.85714285714286</v>
      </c>
      <c r="N46" s="49">
        <f>AVERAGE('23.09 Mukono-Seeta'!N46,'24.09 Mukono-Seeta'!N46,'25.09 Mukono-Seeta'!N46,'27.09 Mukono-Seeta'!N46,'26.09 Mukono-Seeta-24h'!N46,'28.09 Mukono-Seeta-24h'!N46,'29.09 Mukono-Seeta'!N46)</f>
        <v>0</v>
      </c>
      <c r="O46" s="15">
        <f t="shared" si="0"/>
        <v>121.99999999999999</v>
      </c>
      <c r="P46" s="15">
        <f t="shared" si="1"/>
        <v>225.85714285714283</v>
      </c>
      <c r="R46" s="8"/>
      <c r="T46"/>
    </row>
    <row r="47" spans="2:32" ht="23.1" customHeight="1" x14ac:dyDescent="0.25">
      <c r="B47" s="24" t="s">
        <v>74</v>
      </c>
      <c r="C47" s="49">
        <f>AVERAGE('23.09 Mukono-Seeta'!C47,'24.09 Mukono-Seeta'!C47,'25.09 Mukono-Seeta'!C47,'27.09 Mukono-Seeta'!C47,'26.09 Mukono-Seeta-24h'!C47,'28.09 Mukono-Seeta-24h'!C47,'29.09 Mukono-Seeta'!C47)</f>
        <v>32.428571428571431</v>
      </c>
      <c r="D47" s="49">
        <f>AVERAGE('23.09 Mukono-Seeta'!D47,'24.09 Mukono-Seeta'!D47,'25.09 Mukono-Seeta'!D47,'27.09 Mukono-Seeta'!D47,'26.09 Mukono-Seeta-24h'!D47,'28.09 Mukono-Seeta-24h'!D47,'29.09 Mukono-Seeta'!D47)</f>
        <v>18.857142857142858</v>
      </c>
      <c r="E47" s="49">
        <f>AVERAGE('23.09 Mukono-Seeta'!E47,'24.09 Mukono-Seeta'!E47,'25.09 Mukono-Seeta'!E47,'27.09 Mukono-Seeta'!E47,'26.09 Mukono-Seeta-24h'!E47,'28.09 Mukono-Seeta-24h'!E47,'29.09 Mukono-Seeta'!E47)</f>
        <v>11.428571428571429</v>
      </c>
      <c r="F47" s="49">
        <f>AVERAGE('23.09 Mukono-Seeta'!F47,'24.09 Mukono-Seeta'!F47,'25.09 Mukono-Seeta'!F47,'27.09 Mukono-Seeta'!F47,'26.09 Mukono-Seeta-24h'!F47,'28.09 Mukono-Seeta-24h'!F47,'29.09 Mukono-Seeta'!F47)</f>
        <v>47.142857142857146</v>
      </c>
      <c r="G47" s="49">
        <f>AVERAGE('23.09 Mukono-Seeta'!G47,'24.09 Mukono-Seeta'!G47,'25.09 Mukono-Seeta'!G47,'27.09 Mukono-Seeta'!G47,'26.09 Mukono-Seeta-24h'!G47,'28.09 Mukono-Seeta-24h'!G47,'29.09 Mukono-Seeta'!G47)</f>
        <v>1.7142857142857142</v>
      </c>
      <c r="H47" s="49">
        <f>AVERAGE('23.09 Mukono-Seeta'!H47,'24.09 Mukono-Seeta'!H47,'25.09 Mukono-Seeta'!H47,'27.09 Mukono-Seeta'!H47,'26.09 Mukono-Seeta-24h'!H47,'28.09 Mukono-Seeta-24h'!H47,'29.09 Mukono-Seeta'!H47)</f>
        <v>1.1428571428571428</v>
      </c>
      <c r="I47" s="49">
        <f>AVERAGE('23.09 Mukono-Seeta'!I47,'24.09 Mukono-Seeta'!I47,'25.09 Mukono-Seeta'!I47,'27.09 Mukono-Seeta'!I47,'26.09 Mukono-Seeta-24h'!I47,'28.09 Mukono-Seeta-24h'!I47,'29.09 Mukono-Seeta'!I47)</f>
        <v>7.8571428571428568</v>
      </c>
      <c r="J47" s="49">
        <f>AVERAGE('23.09 Mukono-Seeta'!J47,'24.09 Mukono-Seeta'!J47,'25.09 Mukono-Seeta'!J47,'27.09 Mukono-Seeta'!J47,'26.09 Mukono-Seeta-24h'!J47,'28.09 Mukono-Seeta-24h'!J47,'29.09 Mukono-Seeta'!J47)</f>
        <v>6</v>
      </c>
      <c r="K47" s="49">
        <f>AVERAGE('23.09 Mukono-Seeta'!K47,'24.09 Mukono-Seeta'!K47,'25.09 Mukono-Seeta'!K47,'27.09 Mukono-Seeta'!K47,'26.09 Mukono-Seeta-24h'!K47,'28.09 Mukono-Seeta-24h'!K47,'29.09 Mukono-Seeta'!K47)</f>
        <v>3.2857142857142856</v>
      </c>
      <c r="L47" s="49">
        <f>AVERAGE('23.09 Mukono-Seeta'!L47,'24.09 Mukono-Seeta'!L47,'25.09 Mukono-Seeta'!L47,'27.09 Mukono-Seeta'!L47,'26.09 Mukono-Seeta-24h'!L47,'28.09 Mukono-Seeta-24h'!L47,'29.09 Mukono-Seeta'!L47)</f>
        <v>11.428571428571429</v>
      </c>
      <c r="M47" s="49">
        <f>AVERAGE('23.09 Mukono-Seeta'!M47,'24.09 Mukono-Seeta'!M47,'25.09 Mukono-Seeta'!M47,'27.09 Mukono-Seeta'!M47,'26.09 Mukono-Seeta-24h'!M47,'28.09 Mukono-Seeta-24h'!M47,'29.09 Mukono-Seeta'!M47)</f>
        <v>96.285714285714292</v>
      </c>
      <c r="N47" s="49">
        <f>AVERAGE('23.09 Mukono-Seeta'!N47,'24.09 Mukono-Seeta'!N47,'25.09 Mukono-Seeta'!N47,'27.09 Mukono-Seeta'!N47,'26.09 Mukono-Seeta-24h'!N47,'28.09 Mukono-Seeta-24h'!N47,'29.09 Mukono-Seeta'!N47)</f>
        <v>0</v>
      </c>
      <c r="O47" s="15">
        <f t="shared" si="0"/>
        <v>141.28571428571428</v>
      </c>
      <c r="P47" s="15">
        <f t="shared" si="1"/>
        <v>237.57142857142856</v>
      </c>
      <c r="R47" s="8"/>
      <c r="T47"/>
    </row>
    <row r="48" spans="2:32" ht="23.1" customHeight="1" x14ac:dyDescent="0.25">
      <c r="B48" s="24" t="s">
        <v>75</v>
      </c>
      <c r="C48" s="49">
        <f>AVERAGE('23.09 Mukono-Seeta'!C48,'24.09 Mukono-Seeta'!C48,'25.09 Mukono-Seeta'!C48,'27.09 Mukono-Seeta'!C48,'26.09 Mukono-Seeta-24h'!C48,'28.09 Mukono-Seeta-24h'!C48,'29.09 Mukono-Seeta'!C48)</f>
        <v>27.285714285714285</v>
      </c>
      <c r="D48" s="49">
        <f>AVERAGE('23.09 Mukono-Seeta'!D48,'24.09 Mukono-Seeta'!D48,'25.09 Mukono-Seeta'!D48,'27.09 Mukono-Seeta'!D48,'26.09 Mukono-Seeta-24h'!D48,'28.09 Mukono-Seeta-24h'!D48,'29.09 Mukono-Seeta'!D48)</f>
        <v>17.714285714285715</v>
      </c>
      <c r="E48" s="49">
        <f>AVERAGE('23.09 Mukono-Seeta'!E48,'24.09 Mukono-Seeta'!E48,'25.09 Mukono-Seeta'!E48,'27.09 Mukono-Seeta'!E48,'26.09 Mukono-Seeta-24h'!E48,'28.09 Mukono-Seeta-24h'!E48,'29.09 Mukono-Seeta'!E48)</f>
        <v>7</v>
      </c>
      <c r="F48" s="49">
        <f>AVERAGE('23.09 Mukono-Seeta'!F48,'24.09 Mukono-Seeta'!F48,'25.09 Mukono-Seeta'!F48,'27.09 Mukono-Seeta'!F48,'26.09 Mukono-Seeta-24h'!F48,'28.09 Mukono-Seeta-24h'!F48,'29.09 Mukono-Seeta'!F48)</f>
        <v>41.714285714285715</v>
      </c>
      <c r="G48" s="49">
        <f>AVERAGE('23.09 Mukono-Seeta'!G48,'24.09 Mukono-Seeta'!G48,'25.09 Mukono-Seeta'!G48,'27.09 Mukono-Seeta'!G48,'26.09 Mukono-Seeta-24h'!G48,'28.09 Mukono-Seeta-24h'!G48,'29.09 Mukono-Seeta'!G48)</f>
        <v>3.4285714285714284</v>
      </c>
      <c r="H48" s="49">
        <f>AVERAGE('23.09 Mukono-Seeta'!H48,'24.09 Mukono-Seeta'!H48,'25.09 Mukono-Seeta'!H48,'27.09 Mukono-Seeta'!H48,'26.09 Mukono-Seeta-24h'!H48,'28.09 Mukono-Seeta-24h'!H48,'29.09 Mukono-Seeta'!H48)</f>
        <v>0.14285714285714285</v>
      </c>
      <c r="I48" s="49">
        <f>AVERAGE('23.09 Mukono-Seeta'!I48,'24.09 Mukono-Seeta'!I48,'25.09 Mukono-Seeta'!I48,'27.09 Mukono-Seeta'!I48,'26.09 Mukono-Seeta-24h'!I48,'28.09 Mukono-Seeta-24h'!I48,'29.09 Mukono-Seeta'!I48)</f>
        <v>6</v>
      </c>
      <c r="J48" s="49">
        <f>AVERAGE('23.09 Mukono-Seeta'!J48,'24.09 Mukono-Seeta'!J48,'25.09 Mukono-Seeta'!J48,'27.09 Mukono-Seeta'!J48,'26.09 Mukono-Seeta-24h'!J48,'28.09 Mukono-Seeta-24h'!J48,'29.09 Mukono-Seeta'!J48)</f>
        <v>5.4285714285714288</v>
      </c>
      <c r="K48" s="49">
        <f>AVERAGE('23.09 Mukono-Seeta'!K48,'24.09 Mukono-Seeta'!K48,'25.09 Mukono-Seeta'!K48,'27.09 Mukono-Seeta'!K48,'26.09 Mukono-Seeta-24h'!K48,'28.09 Mukono-Seeta-24h'!K48,'29.09 Mukono-Seeta'!K48)</f>
        <v>4.4285714285714288</v>
      </c>
      <c r="L48" s="49">
        <f>AVERAGE('23.09 Mukono-Seeta'!L48,'24.09 Mukono-Seeta'!L48,'25.09 Mukono-Seeta'!L48,'27.09 Mukono-Seeta'!L48,'26.09 Mukono-Seeta-24h'!L48,'28.09 Mukono-Seeta-24h'!L48,'29.09 Mukono-Seeta'!L48)</f>
        <v>8.7142857142857135</v>
      </c>
      <c r="M48" s="49">
        <f>AVERAGE('23.09 Mukono-Seeta'!M48,'24.09 Mukono-Seeta'!M48,'25.09 Mukono-Seeta'!M48,'27.09 Mukono-Seeta'!M48,'26.09 Mukono-Seeta-24h'!M48,'28.09 Mukono-Seeta-24h'!M48,'29.09 Mukono-Seeta'!M48)</f>
        <v>98.428571428571431</v>
      </c>
      <c r="N48" s="49">
        <f>AVERAGE('23.09 Mukono-Seeta'!N48,'24.09 Mukono-Seeta'!N48,'25.09 Mukono-Seeta'!N48,'27.09 Mukono-Seeta'!N48,'26.09 Mukono-Seeta-24h'!N48,'28.09 Mukono-Seeta-24h'!N48,'29.09 Mukono-Seeta'!N48)</f>
        <v>0</v>
      </c>
      <c r="O48" s="15">
        <f t="shared" si="0"/>
        <v>121.85714285714286</v>
      </c>
      <c r="P48" s="15">
        <f t="shared" si="1"/>
        <v>220.28571428571428</v>
      </c>
      <c r="R48" s="8"/>
      <c r="T48"/>
    </row>
    <row r="49" spans="2:20" ht="23.1" customHeight="1" x14ac:dyDescent="0.25">
      <c r="B49" s="23" t="s">
        <v>76</v>
      </c>
      <c r="C49" s="49">
        <f>AVERAGE('23.09 Mukono-Seeta'!C49,'24.09 Mukono-Seeta'!C49,'25.09 Mukono-Seeta'!C49,'27.09 Mukono-Seeta'!C49,'26.09 Mukono-Seeta-24h'!C49,'28.09 Mukono-Seeta-24h'!C49,'29.09 Mukono-Seeta'!C49)</f>
        <v>33.857142857142854</v>
      </c>
      <c r="D49" s="49">
        <f>AVERAGE('23.09 Mukono-Seeta'!D49,'24.09 Mukono-Seeta'!D49,'25.09 Mukono-Seeta'!D49,'27.09 Mukono-Seeta'!D49,'26.09 Mukono-Seeta-24h'!D49,'28.09 Mukono-Seeta-24h'!D49,'29.09 Mukono-Seeta'!D49)</f>
        <v>14.857142857142858</v>
      </c>
      <c r="E49" s="49">
        <f>AVERAGE('23.09 Mukono-Seeta'!E49,'24.09 Mukono-Seeta'!E49,'25.09 Mukono-Seeta'!E49,'27.09 Mukono-Seeta'!E49,'26.09 Mukono-Seeta-24h'!E49,'28.09 Mukono-Seeta-24h'!E49,'29.09 Mukono-Seeta'!E49)</f>
        <v>9.5714285714285712</v>
      </c>
      <c r="F49" s="49">
        <f>AVERAGE('23.09 Mukono-Seeta'!F49,'24.09 Mukono-Seeta'!F49,'25.09 Mukono-Seeta'!F49,'27.09 Mukono-Seeta'!F49,'26.09 Mukono-Seeta-24h'!F49,'28.09 Mukono-Seeta-24h'!F49,'29.09 Mukono-Seeta'!F49)</f>
        <v>41.571428571428569</v>
      </c>
      <c r="G49" s="49">
        <f>AVERAGE('23.09 Mukono-Seeta'!G49,'24.09 Mukono-Seeta'!G49,'25.09 Mukono-Seeta'!G49,'27.09 Mukono-Seeta'!G49,'26.09 Mukono-Seeta-24h'!G49,'28.09 Mukono-Seeta-24h'!G49,'29.09 Mukono-Seeta'!G49)</f>
        <v>4.7142857142857144</v>
      </c>
      <c r="H49" s="49">
        <f>AVERAGE('23.09 Mukono-Seeta'!H49,'24.09 Mukono-Seeta'!H49,'25.09 Mukono-Seeta'!H49,'27.09 Mukono-Seeta'!H49,'26.09 Mukono-Seeta-24h'!H49,'28.09 Mukono-Seeta-24h'!H49,'29.09 Mukono-Seeta'!H49)</f>
        <v>1.4285714285714286</v>
      </c>
      <c r="I49" s="49">
        <f>AVERAGE('23.09 Mukono-Seeta'!I49,'24.09 Mukono-Seeta'!I49,'25.09 Mukono-Seeta'!I49,'27.09 Mukono-Seeta'!I49,'26.09 Mukono-Seeta-24h'!I49,'28.09 Mukono-Seeta-24h'!I49,'29.09 Mukono-Seeta'!I49)</f>
        <v>8.1428571428571423</v>
      </c>
      <c r="J49" s="49">
        <f>AVERAGE('23.09 Mukono-Seeta'!J49,'24.09 Mukono-Seeta'!J49,'25.09 Mukono-Seeta'!J49,'27.09 Mukono-Seeta'!J49,'26.09 Mukono-Seeta-24h'!J49,'28.09 Mukono-Seeta-24h'!J49,'29.09 Mukono-Seeta'!J49)</f>
        <v>6.1428571428571432</v>
      </c>
      <c r="K49" s="49">
        <f>AVERAGE('23.09 Mukono-Seeta'!K49,'24.09 Mukono-Seeta'!K49,'25.09 Mukono-Seeta'!K49,'27.09 Mukono-Seeta'!K49,'26.09 Mukono-Seeta-24h'!K49,'28.09 Mukono-Seeta-24h'!K49,'29.09 Mukono-Seeta'!K49)</f>
        <v>4.2857142857142856</v>
      </c>
      <c r="L49" s="49">
        <f>AVERAGE('23.09 Mukono-Seeta'!L49,'24.09 Mukono-Seeta'!L49,'25.09 Mukono-Seeta'!L49,'27.09 Mukono-Seeta'!L49,'26.09 Mukono-Seeta-24h'!L49,'28.09 Mukono-Seeta-24h'!L49,'29.09 Mukono-Seeta'!L49)</f>
        <v>8.4285714285714288</v>
      </c>
      <c r="M49" s="49">
        <f>AVERAGE('23.09 Mukono-Seeta'!M49,'24.09 Mukono-Seeta'!M49,'25.09 Mukono-Seeta'!M49,'27.09 Mukono-Seeta'!M49,'26.09 Mukono-Seeta-24h'!M49,'28.09 Mukono-Seeta-24h'!M49,'29.09 Mukono-Seeta'!M49)</f>
        <v>100.71428571428571</v>
      </c>
      <c r="N49" s="49">
        <f>AVERAGE('23.09 Mukono-Seeta'!N49,'24.09 Mukono-Seeta'!N49,'25.09 Mukono-Seeta'!N49,'27.09 Mukono-Seeta'!N49,'26.09 Mukono-Seeta-24h'!N49,'28.09 Mukono-Seeta-24h'!N49,'29.09 Mukono-Seeta'!N49)</f>
        <v>0.14285714285714285</v>
      </c>
      <c r="O49" s="15">
        <f t="shared" si="0"/>
        <v>133.14285714285711</v>
      </c>
      <c r="P49" s="15">
        <f t="shared" si="1"/>
        <v>233.8571428571428</v>
      </c>
      <c r="R49" s="8"/>
      <c r="T49"/>
    </row>
    <row r="50" spans="2:20" ht="23.1" customHeight="1" x14ac:dyDescent="0.25">
      <c r="B50" s="24" t="s">
        <v>77</v>
      </c>
      <c r="C50" s="49">
        <f>AVERAGE('23.09 Mukono-Seeta'!C50,'24.09 Mukono-Seeta'!C50,'25.09 Mukono-Seeta'!C50,'27.09 Mukono-Seeta'!C50,'26.09 Mukono-Seeta-24h'!C50,'28.09 Mukono-Seeta-24h'!C50,'29.09 Mukono-Seeta'!C50)</f>
        <v>27.285714285714285</v>
      </c>
      <c r="D50" s="49">
        <f>AVERAGE('23.09 Mukono-Seeta'!D50,'24.09 Mukono-Seeta'!D50,'25.09 Mukono-Seeta'!D50,'27.09 Mukono-Seeta'!D50,'26.09 Mukono-Seeta-24h'!D50,'28.09 Mukono-Seeta-24h'!D50,'29.09 Mukono-Seeta'!D50)</f>
        <v>14.428571428571429</v>
      </c>
      <c r="E50" s="49">
        <f>AVERAGE('23.09 Mukono-Seeta'!E50,'24.09 Mukono-Seeta'!E50,'25.09 Mukono-Seeta'!E50,'27.09 Mukono-Seeta'!E50,'26.09 Mukono-Seeta-24h'!E50,'28.09 Mukono-Seeta-24h'!E50,'29.09 Mukono-Seeta'!E50)</f>
        <v>5.8571428571428568</v>
      </c>
      <c r="F50" s="49">
        <f>AVERAGE('23.09 Mukono-Seeta'!F50,'24.09 Mukono-Seeta'!F50,'25.09 Mukono-Seeta'!F50,'27.09 Mukono-Seeta'!F50,'26.09 Mukono-Seeta-24h'!F50,'28.09 Mukono-Seeta-24h'!F50,'29.09 Mukono-Seeta'!F50)</f>
        <v>43.714285714285715</v>
      </c>
      <c r="G50" s="49">
        <f>AVERAGE('23.09 Mukono-Seeta'!G50,'24.09 Mukono-Seeta'!G50,'25.09 Mukono-Seeta'!G50,'27.09 Mukono-Seeta'!G50,'26.09 Mukono-Seeta-24h'!G50,'28.09 Mukono-Seeta-24h'!G50,'29.09 Mukono-Seeta'!G50)</f>
        <v>2.4285714285714284</v>
      </c>
      <c r="H50" s="49">
        <f>AVERAGE('23.09 Mukono-Seeta'!H50,'24.09 Mukono-Seeta'!H50,'25.09 Mukono-Seeta'!H50,'27.09 Mukono-Seeta'!H50,'26.09 Mukono-Seeta-24h'!H50,'28.09 Mukono-Seeta-24h'!H50,'29.09 Mukono-Seeta'!H50)</f>
        <v>1.4285714285714286</v>
      </c>
      <c r="I50" s="49">
        <f>AVERAGE('23.09 Mukono-Seeta'!I50,'24.09 Mukono-Seeta'!I50,'25.09 Mukono-Seeta'!I50,'27.09 Mukono-Seeta'!I50,'26.09 Mukono-Seeta-24h'!I50,'28.09 Mukono-Seeta-24h'!I50,'29.09 Mukono-Seeta'!I50)</f>
        <v>6</v>
      </c>
      <c r="J50" s="49">
        <f>AVERAGE('23.09 Mukono-Seeta'!J50,'24.09 Mukono-Seeta'!J50,'25.09 Mukono-Seeta'!J50,'27.09 Mukono-Seeta'!J50,'26.09 Mukono-Seeta-24h'!J50,'28.09 Mukono-Seeta-24h'!J50,'29.09 Mukono-Seeta'!J50)</f>
        <v>5.4285714285714288</v>
      </c>
      <c r="K50" s="49">
        <f>AVERAGE('23.09 Mukono-Seeta'!K50,'24.09 Mukono-Seeta'!K50,'25.09 Mukono-Seeta'!K50,'27.09 Mukono-Seeta'!K50,'26.09 Mukono-Seeta-24h'!K50,'28.09 Mukono-Seeta-24h'!K50,'29.09 Mukono-Seeta'!K50)</f>
        <v>2.8571428571428572</v>
      </c>
      <c r="L50" s="49">
        <f>AVERAGE('23.09 Mukono-Seeta'!L50,'24.09 Mukono-Seeta'!L50,'25.09 Mukono-Seeta'!L50,'27.09 Mukono-Seeta'!L50,'26.09 Mukono-Seeta-24h'!L50,'28.09 Mukono-Seeta-24h'!L50,'29.09 Mukono-Seeta'!L50)</f>
        <v>9.2857142857142865</v>
      </c>
      <c r="M50" s="49">
        <f>AVERAGE('23.09 Mukono-Seeta'!M50,'24.09 Mukono-Seeta'!M50,'25.09 Mukono-Seeta'!M50,'27.09 Mukono-Seeta'!M50,'26.09 Mukono-Seeta-24h'!M50,'28.09 Mukono-Seeta-24h'!M50,'29.09 Mukono-Seeta'!M50)</f>
        <v>104.57142857142857</v>
      </c>
      <c r="N50" s="49">
        <f>AVERAGE('23.09 Mukono-Seeta'!N50,'24.09 Mukono-Seeta'!N50,'25.09 Mukono-Seeta'!N50,'27.09 Mukono-Seeta'!N50,'26.09 Mukono-Seeta-24h'!N50,'28.09 Mukono-Seeta-24h'!N50,'29.09 Mukono-Seeta'!N50)</f>
        <v>0</v>
      </c>
      <c r="O50" s="15">
        <f t="shared" si="0"/>
        <v>118.71428571428572</v>
      </c>
      <c r="P50" s="15">
        <f t="shared" si="1"/>
        <v>223.28571428571428</v>
      </c>
      <c r="R50" s="8"/>
      <c r="T50"/>
    </row>
    <row r="51" spans="2:20" ht="23.1" customHeight="1" x14ac:dyDescent="0.25">
      <c r="B51" s="24" t="s">
        <v>78</v>
      </c>
      <c r="C51" s="49">
        <f>AVERAGE('23.09 Mukono-Seeta'!C51,'24.09 Mukono-Seeta'!C51,'25.09 Mukono-Seeta'!C51,'27.09 Mukono-Seeta'!C51,'26.09 Mukono-Seeta-24h'!C51,'28.09 Mukono-Seeta-24h'!C51,'29.09 Mukono-Seeta'!C51)</f>
        <v>33.428571428571431</v>
      </c>
      <c r="D51" s="49">
        <f>AVERAGE('23.09 Mukono-Seeta'!D51,'24.09 Mukono-Seeta'!D51,'25.09 Mukono-Seeta'!D51,'27.09 Mukono-Seeta'!D51,'26.09 Mukono-Seeta-24h'!D51,'28.09 Mukono-Seeta-24h'!D51,'29.09 Mukono-Seeta'!D51)</f>
        <v>20.142857142857142</v>
      </c>
      <c r="E51" s="49">
        <f>AVERAGE('23.09 Mukono-Seeta'!E51,'24.09 Mukono-Seeta'!E51,'25.09 Mukono-Seeta'!E51,'27.09 Mukono-Seeta'!E51,'26.09 Mukono-Seeta-24h'!E51,'28.09 Mukono-Seeta-24h'!E51,'29.09 Mukono-Seeta'!E51)</f>
        <v>8.5714285714285712</v>
      </c>
      <c r="F51" s="49">
        <f>AVERAGE('23.09 Mukono-Seeta'!F51,'24.09 Mukono-Seeta'!F51,'25.09 Mukono-Seeta'!F51,'27.09 Mukono-Seeta'!F51,'26.09 Mukono-Seeta-24h'!F51,'28.09 Mukono-Seeta-24h'!F51,'29.09 Mukono-Seeta'!F51)</f>
        <v>49.714285714285715</v>
      </c>
      <c r="G51" s="49">
        <f>AVERAGE('23.09 Mukono-Seeta'!G51,'24.09 Mukono-Seeta'!G51,'25.09 Mukono-Seeta'!G51,'27.09 Mukono-Seeta'!G51,'26.09 Mukono-Seeta-24h'!G51,'28.09 Mukono-Seeta-24h'!G51,'29.09 Mukono-Seeta'!G51)</f>
        <v>3.8571428571428572</v>
      </c>
      <c r="H51" s="49">
        <f>AVERAGE('23.09 Mukono-Seeta'!H51,'24.09 Mukono-Seeta'!H51,'25.09 Mukono-Seeta'!H51,'27.09 Mukono-Seeta'!H51,'26.09 Mukono-Seeta-24h'!H51,'28.09 Mukono-Seeta-24h'!H51,'29.09 Mukono-Seeta'!H51)</f>
        <v>1.2857142857142858</v>
      </c>
      <c r="I51" s="49">
        <f>AVERAGE('23.09 Mukono-Seeta'!I51,'24.09 Mukono-Seeta'!I51,'25.09 Mukono-Seeta'!I51,'27.09 Mukono-Seeta'!I51,'26.09 Mukono-Seeta-24h'!I51,'28.09 Mukono-Seeta-24h'!I51,'29.09 Mukono-Seeta'!I51)</f>
        <v>6.7142857142857144</v>
      </c>
      <c r="J51" s="49">
        <f>AVERAGE('23.09 Mukono-Seeta'!J51,'24.09 Mukono-Seeta'!J51,'25.09 Mukono-Seeta'!J51,'27.09 Mukono-Seeta'!J51,'26.09 Mukono-Seeta-24h'!J51,'28.09 Mukono-Seeta-24h'!J51,'29.09 Mukono-Seeta'!J51)</f>
        <v>5.5714285714285712</v>
      </c>
      <c r="K51" s="49">
        <f>AVERAGE('23.09 Mukono-Seeta'!K51,'24.09 Mukono-Seeta'!K51,'25.09 Mukono-Seeta'!K51,'27.09 Mukono-Seeta'!K51,'26.09 Mukono-Seeta-24h'!K51,'28.09 Mukono-Seeta-24h'!K51,'29.09 Mukono-Seeta'!K51)</f>
        <v>4.7142857142857144</v>
      </c>
      <c r="L51" s="49">
        <f>AVERAGE('23.09 Mukono-Seeta'!L51,'24.09 Mukono-Seeta'!L51,'25.09 Mukono-Seeta'!L51,'27.09 Mukono-Seeta'!L51,'26.09 Mukono-Seeta-24h'!L51,'28.09 Mukono-Seeta-24h'!L51,'29.09 Mukono-Seeta'!L51)</f>
        <v>10.428571428571429</v>
      </c>
      <c r="M51" s="49">
        <f>AVERAGE('23.09 Mukono-Seeta'!M51,'24.09 Mukono-Seeta'!M51,'25.09 Mukono-Seeta'!M51,'27.09 Mukono-Seeta'!M51,'26.09 Mukono-Seeta-24h'!M51,'28.09 Mukono-Seeta-24h'!M51,'29.09 Mukono-Seeta'!M51)</f>
        <v>132.14285714285714</v>
      </c>
      <c r="N51" s="49">
        <f>AVERAGE('23.09 Mukono-Seeta'!N51,'24.09 Mukono-Seeta'!N51,'25.09 Mukono-Seeta'!N51,'27.09 Mukono-Seeta'!N51,'26.09 Mukono-Seeta-24h'!N51,'28.09 Mukono-Seeta-24h'!N51,'29.09 Mukono-Seeta'!N51)</f>
        <v>0</v>
      </c>
      <c r="O51" s="15">
        <f t="shared" si="0"/>
        <v>144.42857142857144</v>
      </c>
      <c r="P51" s="15">
        <f t="shared" si="1"/>
        <v>276.57142857142856</v>
      </c>
      <c r="R51" s="8"/>
      <c r="T51"/>
    </row>
    <row r="52" spans="2:20" ht="23.1" customHeight="1" x14ac:dyDescent="0.25">
      <c r="B52" s="24" t="s">
        <v>79</v>
      </c>
      <c r="C52" s="49">
        <f>AVERAGE('23.09 Mukono-Seeta'!C52,'24.09 Mukono-Seeta'!C52,'25.09 Mukono-Seeta'!C52,'27.09 Mukono-Seeta'!C52,'26.09 Mukono-Seeta-24h'!C52,'28.09 Mukono-Seeta-24h'!C52,'29.09 Mukono-Seeta'!C52)</f>
        <v>26.428571428571427</v>
      </c>
      <c r="D52" s="49">
        <f>AVERAGE('23.09 Mukono-Seeta'!D52,'24.09 Mukono-Seeta'!D52,'25.09 Mukono-Seeta'!D52,'27.09 Mukono-Seeta'!D52,'26.09 Mukono-Seeta-24h'!D52,'28.09 Mukono-Seeta-24h'!D52,'29.09 Mukono-Seeta'!D52)</f>
        <v>17</v>
      </c>
      <c r="E52" s="49">
        <f>AVERAGE('23.09 Mukono-Seeta'!E52,'24.09 Mukono-Seeta'!E52,'25.09 Mukono-Seeta'!E52,'27.09 Mukono-Seeta'!E52,'26.09 Mukono-Seeta-24h'!E52,'28.09 Mukono-Seeta-24h'!E52,'29.09 Mukono-Seeta'!E52)</f>
        <v>8</v>
      </c>
      <c r="F52" s="49">
        <f>AVERAGE('23.09 Mukono-Seeta'!F52,'24.09 Mukono-Seeta'!F52,'25.09 Mukono-Seeta'!F52,'27.09 Mukono-Seeta'!F52,'26.09 Mukono-Seeta-24h'!F52,'28.09 Mukono-Seeta-24h'!F52,'29.09 Mukono-Seeta'!F52)</f>
        <v>52.714285714285715</v>
      </c>
      <c r="G52" s="49">
        <f>AVERAGE('23.09 Mukono-Seeta'!G52,'24.09 Mukono-Seeta'!G52,'25.09 Mukono-Seeta'!G52,'27.09 Mukono-Seeta'!G52,'26.09 Mukono-Seeta-24h'!G52,'28.09 Mukono-Seeta-24h'!G52,'29.09 Mukono-Seeta'!G52)</f>
        <v>3.5714285714285716</v>
      </c>
      <c r="H52" s="49">
        <f>AVERAGE('23.09 Mukono-Seeta'!H52,'24.09 Mukono-Seeta'!H52,'25.09 Mukono-Seeta'!H52,'27.09 Mukono-Seeta'!H52,'26.09 Mukono-Seeta-24h'!H52,'28.09 Mukono-Seeta-24h'!H52,'29.09 Mukono-Seeta'!H52)</f>
        <v>0.8571428571428571</v>
      </c>
      <c r="I52" s="49">
        <f>AVERAGE('23.09 Mukono-Seeta'!I52,'24.09 Mukono-Seeta'!I52,'25.09 Mukono-Seeta'!I52,'27.09 Mukono-Seeta'!I52,'26.09 Mukono-Seeta-24h'!I52,'28.09 Mukono-Seeta-24h'!I52,'29.09 Mukono-Seeta'!I52)</f>
        <v>5</v>
      </c>
      <c r="J52" s="49">
        <f>AVERAGE('23.09 Mukono-Seeta'!J52,'24.09 Mukono-Seeta'!J52,'25.09 Mukono-Seeta'!J52,'27.09 Mukono-Seeta'!J52,'26.09 Mukono-Seeta-24h'!J52,'28.09 Mukono-Seeta-24h'!J52,'29.09 Mukono-Seeta'!J52)</f>
        <v>5.2857142857142856</v>
      </c>
      <c r="K52" s="49">
        <f>AVERAGE('23.09 Mukono-Seeta'!K52,'24.09 Mukono-Seeta'!K52,'25.09 Mukono-Seeta'!K52,'27.09 Mukono-Seeta'!K52,'26.09 Mukono-Seeta-24h'!K52,'28.09 Mukono-Seeta-24h'!K52,'29.09 Mukono-Seeta'!K52)</f>
        <v>3.7142857142857144</v>
      </c>
      <c r="L52" s="49">
        <f>AVERAGE('23.09 Mukono-Seeta'!L52,'24.09 Mukono-Seeta'!L52,'25.09 Mukono-Seeta'!L52,'27.09 Mukono-Seeta'!L52,'26.09 Mukono-Seeta-24h'!L52,'28.09 Mukono-Seeta-24h'!L52,'29.09 Mukono-Seeta'!L52)</f>
        <v>12.714285714285714</v>
      </c>
      <c r="M52" s="49">
        <f>AVERAGE('23.09 Mukono-Seeta'!M52,'24.09 Mukono-Seeta'!M52,'25.09 Mukono-Seeta'!M52,'27.09 Mukono-Seeta'!M52,'26.09 Mukono-Seeta-24h'!M52,'28.09 Mukono-Seeta-24h'!M52,'29.09 Mukono-Seeta'!M52)</f>
        <v>108.14285714285714</v>
      </c>
      <c r="N52" s="49">
        <f>AVERAGE('23.09 Mukono-Seeta'!N52,'24.09 Mukono-Seeta'!N52,'25.09 Mukono-Seeta'!N52,'27.09 Mukono-Seeta'!N52,'26.09 Mukono-Seeta-24h'!N52,'28.09 Mukono-Seeta-24h'!N52,'29.09 Mukono-Seeta'!N52)</f>
        <v>0</v>
      </c>
      <c r="O52" s="15">
        <f t="shared" si="0"/>
        <v>135.28571428571428</v>
      </c>
      <c r="P52" s="15">
        <f t="shared" si="1"/>
        <v>243.42857142857142</v>
      </c>
      <c r="R52" s="8"/>
      <c r="T52"/>
    </row>
    <row r="53" spans="2:20" ht="23.1" customHeight="1" x14ac:dyDescent="0.25">
      <c r="B53" s="23" t="s">
        <v>80</v>
      </c>
      <c r="C53" s="49">
        <f>AVERAGE('23.09 Mukono-Seeta'!C53,'24.09 Mukono-Seeta'!C53,'25.09 Mukono-Seeta'!C53,'27.09 Mukono-Seeta'!C53,'26.09 Mukono-Seeta-24h'!C53,'28.09 Mukono-Seeta-24h'!C53,'29.09 Mukono-Seeta'!C53)</f>
        <v>29.142857142857142</v>
      </c>
      <c r="D53" s="49">
        <f>AVERAGE('23.09 Mukono-Seeta'!D53,'24.09 Mukono-Seeta'!D53,'25.09 Mukono-Seeta'!D53,'27.09 Mukono-Seeta'!D53,'26.09 Mukono-Seeta-24h'!D53,'28.09 Mukono-Seeta-24h'!D53,'29.09 Mukono-Seeta'!D53)</f>
        <v>13.285714285714286</v>
      </c>
      <c r="E53" s="49">
        <f>AVERAGE('23.09 Mukono-Seeta'!E53,'24.09 Mukono-Seeta'!E53,'25.09 Mukono-Seeta'!E53,'27.09 Mukono-Seeta'!E53,'26.09 Mukono-Seeta-24h'!E53,'28.09 Mukono-Seeta-24h'!E53,'29.09 Mukono-Seeta'!E53)</f>
        <v>9.1428571428571423</v>
      </c>
      <c r="F53" s="49">
        <f>AVERAGE('23.09 Mukono-Seeta'!F53,'24.09 Mukono-Seeta'!F53,'25.09 Mukono-Seeta'!F53,'27.09 Mukono-Seeta'!F53,'26.09 Mukono-Seeta-24h'!F53,'28.09 Mukono-Seeta-24h'!F53,'29.09 Mukono-Seeta'!F53)</f>
        <v>53.428571428571431</v>
      </c>
      <c r="G53" s="49">
        <f>AVERAGE('23.09 Mukono-Seeta'!G53,'24.09 Mukono-Seeta'!G53,'25.09 Mukono-Seeta'!G53,'27.09 Mukono-Seeta'!G53,'26.09 Mukono-Seeta-24h'!G53,'28.09 Mukono-Seeta-24h'!G53,'29.09 Mukono-Seeta'!G53)</f>
        <v>4.1428571428571432</v>
      </c>
      <c r="H53" s="49">
        <f>AVERAGE('23.09 Mukono-Seeta'!H53,'24.09 Mukono-Seeta'!H53,'25.09 Mukono-Seeta'!H53,'27.09 Mukono-Seeta'!H53,'26.09 Mukono-Seeta-24h'!H53,'28.09 Mukono-Seeta-24h'!H53,'29.09 Mukono-Seeta'!H53)</f>
        <v>0.42857142857142855</v>
      </c>
      <c r="I53" s="49">
        <f>AVERAGE('23.09 Mukono-Seeta'!I53,'24.09 Mukono-Seeta'!I53,'25.09 Mukono-Seeta'!I53,'27.09 Mukono-Seeta'!I53,'26.09 Mukono-Seeta-24h'!I53,'28.09 Mukono-Seeta-24h'!I53,'29.09 Mukono-Seeta'!I53)</f>
        <v>5.8571428571428568</v>
      </c>
      <c r="J53" s="49">
        <f>AVERAGE('23.09 Mukono-Seeta'!J53,'24.09 Mukono-Seeta'!J53,'25.09 Mukono-Seeta'!J53,'27.09 Mukono-Seeta'!J53,'26.09 Mukono-Seeta-24h'!J53,'28.09 Mukono-Seeta-24h'!J53,'29.09 Mukono-Seeta'!J53)</f>
        <v>6.7142857142857144</v>
      </c>
      <c r="K53" s="49">
        <f>AVERAGE('23.09 Mukono-Seeta'!K53,'24.09 Mukono-Seeta'!K53,'25.09 Mukono-Seeta'!K53,'27.09 Mukono-Seeta'!K53,'26.09 Mukono-Seeta-24h'!K53,'28.09 Mukono-Seeta-24h'!K53,'29.09 Mukono-Seeta'!K53)</f>
        <v>3.8571428571428572</v>
      </c>
      <c r="L53" s="49">
        <f>AVERAGE('23.09 Mukono-Seeta'!L53,'24.09 Mukono-Seeta'!L53,'25.09 Mukono-Seeta'!L53,'27.09 Mukono-Seeta'!L53,'26.09 Mukono-Seeta-24h'!L53,'28.09 Mukono-Seeta-24h'!L53,'29.09 Mukono-Seeta'!L53)</f>
        <v>12.571428571428571</v>
      </c>
      <c r="M53" s="49">
        <f>AVERAGE('23.09 Mukono-Seeta'!M53,'24.09 Mukono-Seeta'!M53,'25.09 Mukono-Seeta'!M53,'27.09 Mukono-Seeta'!M53,'26.09 Mukono-Seeta-24h'!M53,'28.09 Mukono-Seeta-24h'!M53,'29.09 Mukono-Seeta'!M53)</f>
        <v>128.85714285714286</v>
      </c>
      <c r="N53" s="49">
        <f>AVERAGE('23.09 Mukono-Seeta'!N53,'24.09 Mukono-Seeta'!N53,'25.09 Mukono-Seeta'!N53,'27.09 Mukono-Seeta'!N53,'26.09 Mukono-Seeta-24h'!N53,'28.09 Mukono-Seeta-24h'!N53,'29.09 Mukono-Seeta'!N53)</f>
        <v>0</v>
      </c>
      <c r="O53" s="15">
        <f t="shared" si="0"/>
        <v>138.57142857142858</v>
      </c>
      <c r="P53" s="15">
        <f t="shared" si="1"/>
        <v>267.42857142857144</v>
      </c>
      <c r="R53" s="8"/>
      <c r="T53"/>
    </row>
    <row r="54" spans="2:20" ht="23.1" customHeight="1" x14ac:dyDescent="0.25">
      <c r="B54" s="23" t="s">
        <v>81</v>
      </c>
      <c r="C54" s="49">
        <f>AVERAGE('23.09 Mukono-Seeta'!C54,'24.09 Mukono-Seeta'!C54,'25.09 Mukono-Seeta'!C54,'27.09 Mukono-Seeta'!C54,'26.09 Mukono-Seeta-24h'!C54,'28.09 Mukono-Seeta-24h'!C54,'29.09 Mukono-Seeta'!C54)</f>
        <v>24.428571428571427</v>
      </c>
      <c r="D54" s="49">
        <f>AVERAGE('23.09 Mukono-Seeta'!D54,'24.09 Mukono-Seeta'!D54,'25.09 Mukono-Seeta'!D54,'27.09 Mukono-Seeta'!D54,'26.09 Mukono-Seeta-24h'!D54,'28.09 Mukono-Seeta-24h'!D54,'29.09 Mukono-Seeta'!D54)</f>
        <v>10.571428571428571</v>
      </c>
      <c r="E54" s="49">
        <f>AVERAGE('23.09 Mukono-Seeta'!E54,'24.09 Mukono-Seeta'!E54,'25.09 Mukono-Seeta'!E54,'27.09 Mukono-Seeta'!E54,'26.09 Mukono-Seeta-24h'!E54,'28.09 Mukono-Seeta-24h'!E54,'29.09 Mukono-Seeta'!E54)</f>
        <v>14.857142857142858</v>
      </c>
      <c r="F54" s="49">
        <f>AVERAGE('23.09 Mukono-Seeta'!F54,'24.09 Mukono-Seeta'!F54,'25.09 Mukono-Seeta'!F54,'27.09 Mukono-Seeta'!F54,'26.09 Mukono-Seeta-24h'!F54,'28.09 Mukono-Seeta-24h'!F54,'29.09 Mukono-Seeta'!F54)</f>
        <v>49.857142857142854</v>
      </c>
      <c r="G54" s="49">
        <f>AVERAGE('23.09 Mukono-Seeta'!G54,'24.09 Mukono-Seeta'!G54,'25.09 Mukono-Seeta'!G54,'27.09 Mukono-Seeta'!G54,'26.09 Mukono-Seeta-24h'!G54,'28.09 Mukono-Seeta-24h'!G54,'29.09 Mukono-Seeta'!G54)</f>
        <v>2.4285714285714284</v>
      </c>
      <c r="H54" s="49">
        <f>AVERAGE('23.09 Mukono-Seeta'!H54,'24.09 Mukono-Seeta'!H54,'25.09 Mukono-Seeta'!H54,'27.09 Mukono-Seeta'!H54,'26.09 Mukono-Seeta-24h'!H54,'28.09 Mukono-Seeta-24h'!H54,'29.09 Mukono-Seeta'!H54)</f>
        <v>1.4285714285714286</v>
      </c>
      <c r="I54" s="49">
        <f>AVERAGE('23.09 Mukono-Seeta'!I54,'24.09 Mukono-Seeta'!I54,'25.09 Mukono-Seeta'!I54,'27.09 Mukono-Seeta'!I54,'26.09 Mukono-Seeta-24h'!I54,'28.09 Mukono-Seeta-24h'!I54,'29.09 Mukono-Seeta'!I54)</f>
        <v>5.4285714285714288</v>
      </c>
      <c r="J54" s="49">
        <f>AVERAGE('23.09 Mukono-Seeta'!J54,'24.09 Mukono-Seeta'!J54,'25.09 Mukono-Seeta'!J54,'27.09 Mukono-Seeta'!J54,'26.09 Mukono-Seeta-24h'!J54,'28.09 Mukono-Seeta-24h'!J54,'29.09 Mukono-Seeta'!J54)</f>
        <v>6.5714285714285712</v>
      </c>
      <c r="K54" s="49">
        <f>AVERAGE('23.09 Mukono-Seeta'!K54,'24.09 Mukono-Seeta'!K54,'25.09 Mukono-Seeta'!K54,'27.09 Mukono-Seeta'!K54,'26.09 Mukono-Seeta-24h'!K54,'28.09 Mukono-Seeta-24h'!K54,'29.09 Mukono-Seeta'!K54)</f>
        <v>5.8571428571428568</v>
      </c>
      <c r="L54" s="49">
        <f>AVERAGE('23.09 Mukono-Seeta'!L54,'24.09 Mukono-Seeta'!L54,'25.09 Mukono-Seeta'!L54,'27.09 Mukono-Seeta'!L54,'26.09 Mukono-Seeta-24h'!L54,'28.09 Mukono-Seeta-24h'!L54,'29.09 Mukono-Seeta'!L54)</f>
        <v>9.1428571428571423</v>
      </c>
      <c r="M54" s="49">
        <f>AVERAGE('23.09 Mukono-Seeta'!M54,'24.09 Mukono-Seeta'!M54,'25.09 Mukono-Seeta'!M54,'27.09 Mukono-Seeta'!M54,'26.09 Mukono-Seeta-24h'!M54,'28.09 Mukono-Seeta-24h'!M54,'29.09 Mukono-Seeta'!M54)</f>
        <v>120.57142857142857</v>
      </c>
      <c r="N54" s="49">
        <f>AVERAGE('23.09 Mukono-Seeta'!N54,'24.09 Mukono-Seeta'!N54,'25.09 Mukono-Seeta'!N54,'27.09 Mukono-Seeta'!N54,'26.09 Mukono-Seeta-24h'!N54,'28.09 Mukono-Seeta-24h'!N54,'29.09 Mukono-Seeta'!N54)</f>
        <v>0.14285714285714285</v>
      </c>
      <c r="O54" s="15">
        <f t="shared" si="0"/>
        <v>130.71428571428572</v>
      </c>
      <c r="P54" s="15">
        <f t="shared" si="1"/>
        <v>251.28571428571431</v>
      </c>
      <c r="R54" s="8"/>
      <c r="T54"/>
    </row>
    <row r="55" spans="2:20" ht="23.1" customHeight="1" x14ac:dyDescent="0.25">
      <c r="B55" s="23" t="s">
        <v>82</v>
      </c>
      <c r="C55" s="49">
        <f>AVERAGE('23.09 Mukono-Seeta'!C55,'24.09 Mukono-Seeta'!C55,'25.09 Mukono-Seeta'!C55,'27.09 Mukono-Seeta'!C55,'26.09 Mukono-Seeta-24h'!C55,'28.09 Mukono-Seeta-24h'!C55,'29.09 Mukono-Seeta'!C55)</f>
        <v>32</v>
      </c>
      <c r="D55" s="49">
        <f>AVERAGE('23.09 Mukono-Seeta'!D55,'24.09 Mukono-Seeta'!D55,'25.09 Mukono-Seeta'!D55,'27.09 Mukono-Seeta'!D55,'26.09 Mukono-Seeta-24h'!D55,'28.09 Mukono-Seeta-24h'!D55,'29.09 Mukono-Seeta'!D55)</f>
        <v>15</v>
      </c>
      <c r="E55" s="49">
        <f>AVERAGE('23.09 Mukono-Seeta'!E55,'24.09 Mukono-Seeta'!E55,'25.09 Mukono-Seeta'!E55,'27.09 Mukono-Seeta'!E55,'26.09 Mukono-Seeta-24h'!E55,'28.09 Mukono-Seeta-24h'!E55,'29.09 Mukono-Seeta'!E55)</f>
        <v>7.7142857142857144</v>
      </c>
      <c r="F55" s="49">
        <f>AVERAGE('23.09 Mukono-Seeta'!F55,'24.09 Mukono-Seeta'!F55,'25.09 Mukono-Seeta'!F55,'27.09 Mukono-Seeta'!F55,'26.09 Mukono-Seeta-24h'!F55,'28.09 Mukono-Seeta-24h'!F55,'29.09 Mukono-Seeta'!F55)</f>
        <v>54.142857142857146</v>
      </c>
      <c r="G55" s="49">
        <f>AVERAGE('23.09 Mukono-Seeta'!G55,'24.09 Mukono-Seeta'!G55,'25.09 Mukono-Seeta'!G55,'27.09 Mukono-Seeta'!G55,'26.09 Mukono-Seeta-24h'!G55,'28.09 Mukono-Seeta-24h'!G55,'29.09 Mukono-Seeta'!G55)</f>
        <v>3.4285714285714284</v>
      </c>
      <c r="H55" s="49">
        <f>AVERAGE('23.09 Mukono-Seeta'!H55,'24.09 Mukono-Seeta'!H55,'25.09 Mukono-Seeta'!H55,'27.09 Mukono-Seeta'!H55,'26.09 Mukono-Seeta-24h'!H55,'28.09 Mukono-Seeta-24h'!H55,'29.09 Mukono-Seeta'!H55)</f>
        <v>0.42857142857142855</v>
      </c>
      <c r="I55" s="49">
        <f>AVERAGE('23.09 Mukono-Seeta'!I55,'24.09 Mukono-Seeta'!I55,'25.09 Mukono-Seeta'!I55,'27.09 Mukono-Seeta'!I55,'26.09 Mukono-Seeta-24h'!I55,'28.09 Mukono-Seeta-24h'!I55,'29.09 Mukono-Seeta'!I55)</f>
        <v>7</v>
      </c>
      <c r="J55" s="49">
        <f>AVERAGE('23.09 Mukono-Seeta'!J55,'24.09 Mukono-Seeta'!J55,'25.09 Mukono-Seeta'!J55,'27.09 Mukono-Seeta'!J55,'26.09 Mukono-Seeta-24h'!J55,'28.09 Mukono-Seeta-24h'!J55,'29.09 Mukono-Seeta'!J55)</f>
        <v>6.8571428571428568</v>
      </c>
      <c r="K55" s="49">
        <f>AVERAGE('23.09 Mukono-Seeta'!K55,'24.09 Mukono-Seeta'!K55,'25.09 Mukono-Seeta'!K55,'27.09 Mukono-Seeta'!K55,'26.09 Mukono-Seeta-24h'!K55,'28.09 Mukono-Seeta-24h'!K55,'29.09 Mukono-Seeta'!K55)</f>
        <v>3.5714285714285716</v>
      </c>
      <c r="L55" s="49">
        <f>AVERAGE('23.09 Mukono-Seeta'!L55,'24.09 Mukono-Seeta'!L55,'25.09 Mukono-Seeta'!L55,'27.09 Mukono-Seeta'!L55,'26.09 Mukono-Seeta-24h'!L55,'28.09 Mukono-Seeta-24h'!L55,'29.09 Mukono-Seeta'!L55)</f>
        <v>11.857142857142858</v>
      </c>
      <c r="M55" s="49">
        <f>AVERAGE('23.09 Mukono-Seeta'!M55,'24.09 Mukono-Seeta'!M55,'25.09 Mukono-Seeta'!M55,'27.09 Mukono-Seeta'!M55,'26.09 Mukono-Seeta-24h'!M55,'28.09 Mukono-Seeta-24h'!M55,'29.09 Mukono-Seeta'!M55)</f>
        <v>117.14285714285714</v>
      </c>
      <c r="N55" s="49">
        <f>AVERAGE('23.09 Mukono-Seeta'!N55,'24.09 Mukono-Seeta'!N55,'25.09 Mukono-Seeta'!N55,'27.09 Mukono-Seeta'!N55,'26.09 Mukono-Seeta-24h'!N55,'28.09 Mukono-Seeta-24h'!N55,'29.09 Mukono-Seeta'!N55)</f>
        <v>0</v>
      </c>
      <c r="O55" s="15">
        <f t="shared" si="0"/>
        <v>142.00000000000003</v>
      </c>
      <c r="P55" s="15">
        <f t="shared" si="1"/>
        <v>259.14285714285717</v>
      </c>
      <c r="R55" s="8"/>
      <c r="T55"/>
    </row>
    <row r="56" spans="2:20" ht="23.1" customHeight="1" x14ac:dyDescent="0.25">
      <c r="B56" s="23" t="s">
        <v>83</v>
      </c>
      <c r="C56" s="49">
        <f>AVERAGE('23.09 Mukono-Seeta'!C56,'24.09 Mukono-Seeta'!C56,'25.09 Mukono-Seeta'!C56,'27.09 Mukono-Seeta'!C56,'26.09 Mukono-Seeta-24h'!C56,'28.09 Mukono-Seeta-24h'!C56,'29.09 Mukono-Seeta'!C56)</f>
        <v>30.571428571428573</v>
      </c>
      <c r="D56" s="49">
        <f>AVERAGE('23.09 Mukono-Seeta'!D56,'24.09 Mukono-Seeta'!D56,'25.09 Mukono-Seeta'!D56,'27.09 Mukono-Seeta'!D56,'26.09 Mukono-Seeta-24h'!D56,'28.09 Mukono-Seeta-24h'!D56,'29.09 Mukono-Seeta'!D56)</f>
        <v>12.857142857142858</v>
      </c>
      <c r="E56" s="49">
        <f>AVERAGE('23.09 Mukono-Seeta'!E56,'24.09 Mukono-Seeta'!E56,'25.09 Mukono-Seeta'!E56,'27.09 Mukono-Seeta'!E56,'26.09 Mukono-Seeta-24h'!E56,'28.09 Mukono-Seeta-24h'!E56,'29.09 Mukono-Seeta'!E56)</f>
        <v>6.1428571428571432</v>
      </c>
      <c r="F56" s="49">
        <f>AVERAGE('23.09 Mukono-Seeta'!F56,'24.09 Mukono-Seeta'!F56,'25.09 Mukono-Seeta'!F56,'27.09 Mukono-Seeta'!F56,'26.09 Mukono-Seeta-24h'!F56,'28.09 Mukono-Seeta-24h'!F56,'29.09 Mukono-Seeta'!F56)</f>
        <v>55.285714285714285</v>
      </c>
      <c r="G56" s="49">
        <f>AVERAGE('23.09 Mukono-Seeta'!G56,'24.09 Mukono-Seeta'!G56,'25.09 Mukono-Seeta'!G56,'27.09 Mukono-Seeta'!G56,'26.09 Mukono-Seeta-24h'!G56,'28.09 Mukono-Seeta-24h'!G56,'29.09 Mukono-Seeta'!G56)</f>
        <v>3.2857142857142856</v>
      </c>
      <c r="H56" s="49">
        <f>AVERAGE('23.09 Mukono-Seeta'!H56,'24.09 Mukono-Seeta'!H56,'25.09 Mukono-Seeta'!H56,'27.09 Mukono-Seeta'!H56,'26.09 Mukono-Seeta-24h'!H56,'28.09 Mukono-Seeta-24h'!H56,'29.09 Mukono-Seeta'!H56)</f>
        <v>0.8571428571428571</v>
      </c>
      <c r="I56" s="49">
        <f>AVERAGE('23.09 Mukono-Seeta'!I56,'24.09 Mukono-Seeta'!I56,'25.09 Mukono-Seeta'!I56,'27.09 Mukono-Seeta'!I56,'26.09 Mukono-Seeta-24h'!I56,'28.09 Mukono-Seeta-24h'!I56,'29.09 Mukono-Seeta'!I56)</f>
        <v>5.5714285714285712</v>
      </c>
      <c r="J56" s="49">
        <f>AVERAGE('23.09 Mukono-Seeta'!J56,'24.09 Mukono-Seeta'!J56,'25.09 Mukono-Seeta'!J56,'27.09 Mukono-Seeta'!J56,'26.09 Mukono-Seeta-24h'!J56,'28.09 Mukono-Seeta-24h'!J56,'29.09 Mukono-Seeta'!J56)</f>
        <v>5</v>
      </c>
      <c r="K56" s="49">
        <f>AVERAGE('23.09 Mukono-Seeta'!K56,'24.09 Mukono-Seeta'!K56,'25.09 Mukono-Seeta'!K56,'27.09 Mukono-Seeta'!K56,'26.09 Mukono-Seeta-24h'!K56,'28.09 Mukono-Seeta-24h'!K56,'29.09 Mukono-Seeta'!K56)</f>
        <v>2.8571428571428572</v>
      </c>
      <c r="L56" s="49">
        <f>AVERAGE('23.09 Mukono-Seeta'!L56,'24.09 Mukono-Seeta'!L56,'25.09 Mukono-Seeta'!L56,'27.09 Mukono-Seeta'!L56,'26.09 Mukono-Seeta-24h'!L56,'28.09 Mukono-Seeta-24h'!L56,'29.09 Mukono-Seeta'!L56)</f>
        <v>9.5714285714285712</v>
      </c>
      <c r="M56" s="49">
        <f>AVERAGE('23.09 Mukono-Seeta'!M56,'24.09 Mukono-Seeta'!M56,'25.09 Mukono-Seeta'!M56,'27.09 Mukono-Seeta'!M56,'26.09 Mukono-Seeta-24h'!M56,'28.09 Mukono-Seeta-24h'!M56,'29.09 Mukono-Seeta'!M56)</f>
        <v>128.85714285714286</v>
      </c>
      <c r="N56" s="49">
        <f>AVERAGE('23.09 Mukono-Seeta'!N56,'24.09 Mukono-Seeta'!N56,'25.09 Mukono-Seeta'!N56,'27.09 Mukono-Seeta'!N56,'26.09 Mukono-Seeta-24h'!N56,'28.09 Mukono-Seeta-24h'!N56,'29.09 Mukono-Seeta'!N56)</f>
        <v>0</v>
      </c>
      <c r="O56" s="15">
        <f t="shared" si="0"/>
        <v>132.00000000000003</v>
      </c>
      <c r="P56" s="15">
        <f t="shared" si="1"/>
        <v>260.85714285714289</v>
      </c>
      <c r="R56" s="8"/>
      <c r="T56"/>
    </row>
    <row r="57" spans="2:20" ht="23.1" customHeight="1" x14ac:dyDescent="0.25">
      <c r="B57" s="23" t="s">
        <v>84</v>
      </c>
      <c r="C57" s="49">
        <f>AVERAGE('23.09 Mukono-Seeta'!C57,'24.09 Mukono-Seeta'!C57,'25.09 Mukono-Seeta'!C57,'27.09 Mukono-Seeta'!C57,'26.09 Mukono-Seeta-24h'!C57,'28.09 Mukono-Seeta-24h'!C57,'29.09 Mukono-Seeta'!C57)</f>
        <v>21.142857142857142</v>
      </c>
      <c r="D57" s="49">
        <f>AVERAGE('23.09 Mukono-Seeta'!D57,'24.09 Mukono-Seeta'!D57,'25.09 Mukono-Seeta'!D57,'27.09 Mukono-Seeta'!D57,'26.09 Mukono-Seeta-24h'!D57,'28.09 Mukono-Seeta-24h'!D57,'29.09 Mukono-Seeta'!D57)</f>
        <v>9</v>
      </c>
      <c r="E57" s="49">
        <f>AVERAGE('23.09 Mukono-Seeta'!E57,'24.09 Mukono-Seeta'!E57,'25.09 Mukono-Seeta'!E57,'27.09 Mukono-Seeta'!E57,'26.09 Mukono-Seeta-24h'!E57,'28.09 Mukono-Seeta-24h'!E57,'29.09 Mukono-Seeta'!E57)</f>
        <v>6.8571428571428568</v>
      </c>
      <c r="F57" s="49">
        <f>AVERAGE('23.09 Mukono-Seeta'!F57,'24.09 Mukono-Seeta'!F57,'25.09 Mukono-Seeta'!F57,'27.09 Mukono-Seeta'!F57,'26.09 Mukono-Seeta-24h'!F57,'28.09 Mukono-Seeta-24h'!F57,'29.09 Mukono-Seeta'!F57)</f>
        <v>42.857142857142854</v>
      </c>
      <c r="G57" s="49">
        <f>AVERAGE('23.09 Mukono-Seeta'!G57,'24.09 Mukono-Seeta'!G57,'25.09 Mukono-Seeta'!G57,'27.09 Mukono-Seeta'!G57,'26.09 Mukono-Seeta-24h'!G57,'28.09 Mukono-Seeta-24h'!G57,'29.09 Mukono-Seeta'!G57)</f>
        <v>2.1428571428571428</v>
      </c>
      <c r="H57" s="49">
        <f>AVERAGE('23.09 Mukono-Seeta'!H57,'24.09 Mukono-Seeta'!H57,'25.09 Mukono-Seeta'!H57,'27.09 Mukono-Seeta'!H57,'26.09 Mukono-Seeta-24h'!H57,'28.09 Mukono-Seeta-24h'!H57,'29.09 Mukono-Seeta'!H57)</f>
        <v>1</v>
      </c>
      <c r="I57" s="49">
        <f>AVERAGE('23.09 Mukono-Seeta'!I57,'24.09 Mukono-Seeta'!I57,'25.09 Mukono-Seeta'!I57,'27.09 Mukono-Seeta'!I57,'26.09 Mukono-Seeta-24h'!I57,'28.09 Mukono-Seeta-24h'!I57,'29.09 Mukono-Seeta'!I57)</f>
        <v>6.1428571428571432</v>
      </c>
      <c r="J57" s="49">
        <f>AVERAGE('23.09 Mukono-Seeta'!J57,'24.09 Mukono-Seeta'!J57,'25.09 Mukono-Seeta'!J57,'27.09 Mukono-Seeta'!J57,'26.09 Mukono-Seeta-24h'!J57,'28.09 Mukono-Seeta-24h'!J57,'29.09 Mukono-Seeta'!J57)</f>
        <v>6.8571428571428568</v>
      </c>
      <c r="K57" s="49">
        <f>AVERAGE('23.09 Mukono-Seeta'!K57,'24.09 Mukono-Seeta'!K57,'25.09 Mukono-Seeta'!K57,'27.09 Mukono-Seeta'!K57,'26.09 Mukono-Seeta-24h'!K57,'28.09 Mukono-Seeta-24h'!K57,'29.09 Mukono-Seeta'!K57)</f>
        <v>2.8571428571428572</v>
      </c>
      <c r="L57" s="49">
        <f>AVERAGE('23.09 Mukono-Seeta'!L57,'24.09 Mukono-Seeta'!L57,'25.09 Mukono-Seeta'!L57,'27.09 Mukono-Seeta'!L57,'26.09 Mukono-Seeta-24h'!L57,'28.09 Mukono-Seeta-24h'!L57,'29.09 Mukono-Seeta'!L57)</f>
        <v>8.2857142857142865</v>
      </c>
      <c r="M57" s="49">
        <f>AVERAGE('23.09 Mukono-Seeta'!M57,'24.09 Mukono-Seeta'!M57,'25.09 Mukono-Seeta'!M57,'27.09 Mukono-Seeta'!M57,'26.09 Mukono-Seeta-24h'!M57,'28.09 Mukono-Seeta-24h'!M57,'29.09 Mukono-Seeta'!M57)</f>
        <v>109.14285714285714</v>
      </c>
      <c r="N57" s="49">
        <f>AVERAGE('23.09 Mukono-Seeta'!N57,'24.09 Mukono-Seeta'!N57,'25.09 Mukono-Seeta'!N57,'27.09 Mukono-Seeta'!N57,'26.09 Mukono-Seeta-24h'!N57,'28.09 Mukono-Seeta-24h'!N57,'29.09 Mukono-Seeta'!N57)</f>
        <v>0</v>
      </c>
      <c r="O57" s="15">
        <f t="shared" si="0"/>
        <v>107.14285714285715</v>
      </c>
      <c r="P57" s="15">
        <f t="shared" si="1"/>
        <v>216.28571428571428</v>
      </c>
      <c r="R57" s="8"/>
      <c r="T57"/>
    </row>
    <row r="58" spans="2:20" ht="23.1" customHeight="1" x14ac:dyDescent="0.25">
      <c r="B58" s="23" t="s">
        <v>99</v>
      </c>
      <c r="C58" s="49">
        <f>AVERAGE('26.09 Mukono-Seeta-24h'!C58,'28.09 Mukono-Seeta-24h'!C58)</f>
        <v>27</v>
      </c>
      <c r="D58" s="49">
        <f>AVERAGE('26.09 Mukono-Seeta-24h'!D58,'28.09 Mukono-Seeta-24h'!D58)</f>
        <v>15</v>
      </c>
      <c r="E58" s="49">
        <f>AVERAGE('26.09 Mukono-Seeta-24h'!E58,'28.09 Mukono-Seeta-24h'!E58)</f>
        <v>6</v>
      </c>
      <c r="F58" s="49">
        <f>AVERAGE('26.09 Mukono-Seeta-24h'!F58,'28.09 Mukono-Seeta-24h'!F58)</f>
        <v>32</v>
      </c>
      <c r="G58" s="49">
        <f>AVERAGE('26.09 Mukono-Seeta-24h'!G58,'28.09 Mukono-Seeta-24h'!G58)</f>
        <v>2.5</v>
      </c>
      <c r="H58" s="49">
        <f>AVERAGE('26.09 Mukono-Seeta-24h'!H58,'28.09 Mukono-Seeta-24h'!H58)</f>
        <v>2.5</v>
      </c>
      <c r="I58" s="49">
        <f>AVERAGE('26.09 Mukono-Seeta-24h'!I58,'28.09 Mukono-Seeta-24h'!I58)</f>
        <v>8.5</v>
      </c>
      <c r="J58" s="49">
        <f>AVERAGE('26.09 Mukono-Seeta-24h'!J58,'28.09 Mukono-Seeta-24h'!J58)</f>
        <v>6</v>
      </c>
      <c r="K58" s="49">
        <f>AVERAGE('26.09 Mukono-Seeta-24h'!K58,'28.09 Mukono-Seeta-24h'!K58)</f>
        <v>2</v>
      </c>
      <c r="L58" s="49">
        <f>AVERAGE('26.09 Mukono-Seeta-24h'!L58,'28.09 Mukono-Seeta-24h'!L58)</f>
        <v>4</v>
      </c>
      <c r="M58" s="49">
        <f>AVERAGE('26.09 Mukono-Seeta-24h'!M58,'28.09 Mukono-Seeta-24h'!M58)</f>
        <v>96.5</v>
      </c>
      <c r="N58" s="49">
        <f>AVERAGE('26.09 Mukono-Seeta-24h'!N58,'28.09 Mukono-Seeta-24h'!N58)</f>
        <v>0</v>
      </c>
      <c r="O58" s="15">
        <f t="shared" si="0"/>
        <v>105.5</v>
      </c>
      <c r="P58" s="15">
        <f t="shared" si="1"/>
        <v>202</v>
      </c>
      <c r="R58" s="8"/>
      <c r="T58"/>
    </row>
    <row r="59" spans="2:20" ht="23.1" customHeight="1" x14ac:dyDescent="0.25">
      <c r="B59" s="23" t="s">
        <v>100</v>
      </c>
      <c r="C59" s="49">
        <f>AVERAGE('26.09 Mukono-Seeta-24h'!C59,'28.09 Mukono-Seeta-24h'!C59)</f>
        <v>35</v>
      </c>
      <c r="D59" s="49">
        <f>AVERAGE('26.09 Mukono-Seeta-24h'!D59,'28.09 Mukono-Seeta-24h'!D59)</f>
        <v>18</v>
      </c>
      <c r="E59" s="49">
        <f>AVERAGE('26.09 Mukono-Seeta-24h'!E59,'28.09 Mukono-Seeta-24h'!E59)</f>
        <v>7</v>
      </c>
      <c r="F59" s="49">
        <f>AVERAGE('26.09 Mukono-Seeta-24h'!F59,'28.09 Mukono-Seeta-24h'!F59)</f>
        <v>38.5</v>
      </c>
      <c r="G59" s="49">
        <f>AVERAGE('26.09 Mukono-Seeta-24h'!G59,'28.09 Mukono-Seeta-24h'!G59)</f>
        <v>2.5</v>
      </c>
      <c r="H59" s="49">
        <f>AVERAGE('26.09 Mukono-Seeta-24h'!H59,'28.09 Mukono-Seeta-24h'!H59)</f>
        <v>0.5</v>
      </c>
      <c r="I59" s="49">
        <f>AVERAGE('26.09 Mukono-Seeta-24h'!I59,'28.09 Mukono-Seeta-24h'!I59)</f>
        <v>12</v>
      </c>
      <c r="J59" s="49">
        <f>AVERAGE('26.09 Mukono-Seeta-24h'!J59,'28.09 Mukono-Seeta-24h'!J59)</f>
        <v>6</v>
      </c>
      <c r="K59" s="49">
        <f>AVERAGE('26.09 Mukono-Seeta-24h'!K59,'28.09 Mukono-Seeta-24h'!K59)</f>
        <v>2.5</v>
      </c>
      <c r="L59" s="49">
        <f>AVERAGE('26.09 Mukono-Seeta-24h'!L59,'28.09 Mukono-Seeta-24h'!L59)</f>
        <v>9</v>
      </c>
      <c r="M59" s="49">
        <f>AVERAGE('26.09 Mukono-Seeta-24h'!M59,'28.09 Mukono-Seeta-24h'!M59)</f>
        <v>72</v>
      </c>
      <c r="N59" s="49">
        <f>AVERAGE('26.09 Mukono-Seeta-24h'!N59,'28.09 Mukono-Seeta-24h'!N59)</f>
        <v>0</v>
      </c>
      <c r="O59" s="15">
        <f t="shared" si="0"/>
        <v>131</v>
      </c>
      <c r="P59" s="15">
        <f t="shared" si="1"/>
        <v>203</v>
      </c>
      <c r="R59" s="8"/>
      <c r="T59"/>
    </row>
    <row r="60" spans="2:20" ht="23.1" customHeight="1" x14ac:dyDescent="0.25">
      <c r="B60" s="23" t="s">
        <v>101</v>
      </c>
      <c r="C60" s="49">
        <f>AVERAGE('26.09 Mukono-Seeta-24h'!C60,'28.09 Mukono-Seeta-24h'!C60)</f>
        <v>28</v>
      </c>
      <c r="D60" s="49">
        <f>AVERAGE('26.09 Mukono-Seeta-24h'!D60,'28.09 Mukono-Seeta-24h'!D60)</f>
        <v>17.5</v>
      </c>
      <c r="E60" s="49">
        <f>AVERAGE('26.09 Mukono-Seeta-24h'!E60,'28.09 Mukono-Seeta-24h'!E60)</f>
        <v>7</v>
      </c>
      <c r="F60" s="49">
        <f>AVERAGE('26.09 Mukono-Seeta-24h'!F60,'28.09 Mukono-Seeta-24h'!F60)</f>
        <v>28.5</v>
      </c>
      <c r="G60" s="49">
        <f>AVERAGE('26.09 Mukono-Seeta-24h'!G60,'28.09 Mukono-Seeta-24h'!G60)</f>
        <v>1</v>
      </c>
      <c r="H60" s="49">
        <f>AVERAGE('26.09 Mukono-Seeta-24h'!H60,'28.09 Mukono-Seeta-24h'!H60)</f>
        <v>0</v>
      </c>
      <c r="I60" s="49">
        <f>AVERAGE('26.09 Mukono-Seeta-24h'!I60,'28.09 Mukono-Seeta-24h'!I60)</f>
        <v>7.5</v>
      </c>
      <c r="J60" s="49">
        <f>AVERAGE('26.09 Mukono-Seeta-24h'!J60,'28.09 Mukono-Seeta-24h'!J60)</f>
        <v>6.5</v>
      </c>
      <c r="K60" s="49">
        <f>AVERAGE('26.09 Mukono-Seeta-24h'!K60,'28.09 Mukono-Seeta-24h'!K60)</f>
        <v>2</v>
      </c>
      <c r="L60" s="49">
        <f>AVERAGE('26.09 Mukono-Seeta-24h'!L60,'28.09 Mukono-Seeta-24h'!L60)</f>
        <v>11</v>
      </c>
      <c r="M60" s="49">
        <f>AVERAGE('26.09 Mukono-Seeta-24h'!M60,'28.09 Mukono-Seeta-24h'!M60)</f>
        <v>100</v>
      </c>
      <c r="N60" s="49">
        <f>AVERAGE('26.09 Mukono-Seeta-24h'!N60,'28.09 Mukono-Seeta-24h'!N60)</f>
        <v>0</v>
      </c>
      <c r="O60" s="15">
        <f t="shared" si="0"/>
        <v>109</v>
      </c>
      <c r="P60" s="15">
        <f t="shared" si="1"/>
        <v>209</v>
      </c>
      <c r="R60" s="8"/>
      <c r="T60"/>
    </row>
    <row r="61" spans="2:20" ht="23.1" customHeight="1" x14ac:dyDescent="0.25">
      <c r="B61" s="23" t="s">
        <v>102</v>
      </c>
      <c r="C61" s="49">
        <f>AVERAGE('26.09 Mukono-Seeta-24h'!C61,'28.09 Mukono-Seeta-24h'!C61)</f>
        <v>25</v>
      </c>
      <c r="D61" s="49">
        <f>AVERAGE('26.09 Mukono-Seeta-24h'!D61,'28.09 Mukono-Seeta-24h'!D61)</f>
        <v>16.5</v>
      </c>
      <c r="E61" s="49">
        <f>AVERAGE('26.09 Mukono-Seeta-24h'!E61,'28.09 Mukono-Seeta-24h'!E61)</f>
        <v>2.5</v>
      </c>
      <c r="F61" s="49">
        <f>AVERAGE('26.09 Mukono-Seeta-24h'!F61,'28.09 Mukono-Seeta-24h'!F61)</f>
        <v>25</v>
      </c>
      <c r="G61" s="49">
        <f>AVERAGE('26.09 Mukono-Seeta-24h'!G61,'28.09 Mukono-Seeta-24h'!G61)</f>
        <v>0.5</v>
      </c>
      <c r="H61" s="49">
        <f>AVERAGE('26.09 Mukono-Seeta-24h'!H61,'28.09 Mukono-Seeta-24h'!H61)</f>
        <v>1.5</v>
      </c>
      <c r="I61" s="49">
        <f>AVERAGE('26.09 Mukono-Seeta-24h'!I61,'28.09 Mukono-Seeta-24h'!I61)</f>
        <v>10</v>
      </c>
      <c r="J61" s="49">
        <f>AVERAGE('26.09 Mukono-Seeta-24h'!J61,'28.09 Mukono-Seeta-24h'!J61)</f>
        <v>5</v>
      </c>
      <c r="K61" s="49">
        <f>AVERAGE('26.09 Mukono-Seeta-24h'!K61,'28.09 Mukono-Seeta-24h'!K61)</f>
        <v>3</v>
      </c>
      <c r="L61" s="49">
        <f>AVERAGE('26.09 Mukono-Seeta-24h'!L61,'28.09 Mukono-Seeta-24h'!L61)</f>
        <v>7</v>
      </c>
      <c r="M61" s="49">
        <f>AVERAGE('26.09 Mukono-Seeta-24h'!M61,'28.09 Mukono-Seeta-24h'!M61)</f>
        <v>72.5</v>
      </c>
      <c r="N61" s="49">
        <f>AVERAGE('26.09 Mukono-Seeta-24h'!N61,'28.09 Mukono-Seeta-24h'!N61)</f>
        <v>0</v>
      </c>
      <c r="O61" s="15">
        <f t="shared" si="0"/>
        <v>96</v>
      </c>
      <c r="P61" s="15">
        <f t="shared" si="1"/>
        <v>168.5</v>
      </c>
      <c r="R61" s="8"/>
      <c r="T61"/>
    </row>
    <row r="62" spans="2:20" ht="23.1" customHeight="1" x14ac:dyDescent="0.25">
      <c r="B62" s="23" t="s">
        <v>107</v>
      </c>
      <c r="C62" s="49">
        <f>AVERAGE('26.09 Mukono-Seeta-24h'!C62,'28.09 Mukono-Seeta-24h'!C62)</f>
        <v>34</v>
      </c>
      <c r="D62" s="49">
        <f>AVERAGE('26.09 Mukono-Seeta-24h'!D62,'28.09 Mukono-Seeta-24h'!D62)</f>
        <v>17</v>
      </c>
      <c r="E62" s="49">
        <f>AVERAGE('26.09 Mukono-Seeta-24h'!E62,'28.09 Mukono-Seeta-24h'!E62)</f>
        <v>7</v>
      </c>
      <c r="F62" s="49">
        <f>AVERAGE('26.09 Mukono-Seeta-24h'!F62,'28.09 Mukono-Seeta-24h'!F62)</f>
        <v>32</v>
      </c>
      <c r="G62" s="49">
        <f>AVERAGE('26.09 Mukono-Seeta-24h'!G62,'28.09 Mukono-Seeta-24h'!G62)</f>
        <v>2</v>
      </c>
      <c r="H62" s="49">
        <f>AVERAGE('26.09 Mukono-Seeta-24h'!H62,'28.09 Mukono-Seeta-24h'!H62)</f>
        <v>1</v>
      </c>
      <c r="I62" s="49">
        <f>AVERAGE('26.09 Mukono-Seeta-24h'!I62,'28.09 Mukono-Seeta-24h'!I62)</f>
        <v>7.5</v>
      </c>
      <c r="J62" s="49">
        <f>AVERAGE('26.09 Mukono-Seeta-24h'!J62,'28.09 Mukono-Seeta-24h'!J62)</f>
        <v>9.5</v>
      </c>
      <c r="K62" s="49">
        <f>AVERAGE('26.09 Mukono-Seeta-24h'!K62,'28.09 Mukono-Seeta-24h'!K62)</f>
        <v>2</v>
      </c>
      <c r="L62" s="49">
        <f>AVERAGE('26.09 Mukono-Seeta-24h'!L62,'28.09 Mukono-Seeta-24h'!L62)</f>
        <v>3.5</v>
      </c>
      <c r="M62" s="49">
        <f>AVERAGE('26.09 Mukono-Seeta-24h'!M62,'28.09 Mukono-Seeta-24h'!M62)</f>
        <v>103.5</v>
      </c>
      <c r="N62" s="49">
        <f>AVERAGE('26.09 Mukono-Seeta-24h'!N62,'28.09 Mukono-Seeta-24h'!N62)</f>
        <v>0</v>
      </c>
      <c r="O62" s="15">
        <f t="shared" si="0"/>
        <v>115.5</v>
      </c>
      <c r="P62" s="15">
        <f t="shared" si="1"/>
        <v>219</v>
      </c>
      <c r="R62" s="8"/>
      <c r="T62"/>
    </row>
    <row r="63" spans="2:20" ht="23.1" customHeight="1" x14ac:dyDescent="0.25">
      <c r="B63" s="23" t="s">
        <v>108</v>
      </c>
      <c r="C63" s="49">
        <f>AVERAGE('26.09 Mukono-Seeta-24h'!C63,'28.09 Mukono-Seeta-24h'!C63)</f>
        <v>33.5</v>
      </c>
      <c r="D63" s="49">
        <f>AVERAGE('26.09 Mukono-Seeta-24h'!D63,'28.09 Mukono-Seeta-24h'!D63)</f>
        <v>31</v>
      </c>
      <c r="E63" s="49">
        <f>AVERAGE('26.09 Mukono-Seeta-24h'!E63,'28.09 Mukono-Seeta-24h'!E63)</f>
        <v>6.5</v>
      </c>
      <c r="F63" s="49">
        <f>AVERAGE('26.09 Mukono-Seeta-24h'!F63,'28.09 Mukono-Seeta-24h'!F63)</f>
        <v>37</v>
      </c>
      <c r="G63" s="49">
        <f>AVERAGE('26.09 Mukono-Seeta-24h'!G63,'28.09 Mukono-Seeta-24h'!G63)</f>
        <v>2.5</v>
      </c>
      <c r="H63" s="49">
        <f>AVERAGE('26.09 Mukono-Seeta-24h'!H63,'28.09 Mukono-Seeta-24h'!H63)</f>
        <v>0.5</v>
      </c>
      <c r="I63" s="49">
        <f>AVERAGE('26.09 Mukono-Seeta-24h'!I63,'28.09 Mukono-Seeta-24h'!I63)</f>
        <v>9</v>
      </c>
      <c r="J63" s="49">
        <f>AVERAGE('26.09 Mukono-Seeta-24h'!J63,'28.09 Mukono-Seeta-24h'!J63)</f>
        <v>7</v>
      </c>
      <c r="K63" s="49">
        <f>AVERAGE('26.09 Mukono-Seeta-24h'!K63,'28.09 Mukono-Seeta-24h'!K63)</f>
        <v>0.5</v>
      </c>
      <c r="L63" s="49">
        <f>AVERAGE('26.09 Mukono-Seeta-24h'!L63,'28.09 Mukono-Seeta-24h'!L63)</f>
        <v>6.5</v>
      </c>
      <c r="M63" s="49">
        <f>AVERAGE('26.09 Mukono-Seeta-24h'!M63,'28.09 Mukono-Seeta-24h'!M63)</f>
        <v>77.5</v>
      </c>
      <c r="N63" s="49">
        <f>AVERAGE('26.09 Mukono-Seeta-24h'!N63,'28.09 Mukono-Seeta-24h'!N63)</f>
        <v>0</v>
      </c>
      <c r="O63" s="15">
        <f t="shared" si="0"/>
        <v>134</v>
      </c>
      <c r="P63" s="15">
        <f t="shared" si="1"/>
        <v>211.5</v>
      </c>
      <c r="R63" s="8"/>
      <c r="T63"/>
    </row>
    <row r="64" spans="2:20" ht="23.1" customHeight="1" x14ac:dyDescent="0.25">
      <c r="B64" s="23" t="s">
        <v>109</v>
      </c>
      <c r="C64" s="49">
        <f>AVERAGE('26.09 Mukono-Seeta-24h'!C64,'28.09 Mukono-Seeta-24h'!C64)</f>
        <v>32</v>
      </c>
      <c r="D64" s="49">
        <f>AVERAGE('26.09 Mukono-Seeta-24h'!D64,'28.09 Mukono-Seeta-24h'!D64)</f>
        <v>15.5</v>
      </c>
      <c r="E64" s="49">
        <f>AVERAGE('26.09 Mukono-Seeta-24h'!E64,'28.09 Mukono-Seeta-24h'!E64)</f>
        <v>6</v>
      </c>
      <c r="F64" s="49">
        <f>AVERAGE('26.09 Mukono-Seeta-24h'!F64,'28.09 Mukono-Seeta-24h'!F64)</f>
        <v>34</v>
      </c>
      <c r="G64" s="49">
        <f>AVERAGE('26.09 Mukono-Seeta-24h'!G64,'28.09 Mukono-Seeta-24h'!G64)</f>
        <v>1</v>
      </c>
      <c r="H64" s="49">
        <f>AVERAGE('26.09 Mukono-Seeta-24h'!H64,'28.09 Mukono-Seeta-24h'!H64)</f>
        <v>5</v>
      </c>
      <c r="I64" s="49">
        <f>AVERAGE('26.09 Mukono-Seeta-24h'!I64,'28.09 Mukono-Seeta-24h'!I64)</f>
        <v>8.5</v>
      </c>
      <c r="J64" s="49">
        <f>AVERAGE('26.09 Mukono-Seeta-24h'!J64,'28.09 Mukono-Seeta-24h'!J64)</f>
        <v>3</v>
      </c>
      <c r="K64" s="49">
        <f>AVERAGE('26.09 Mukono-Seeta-24h'!K64,'28.09 Mukono-Seeta-24h'!K64)</f>
        <v>5</v>
      </c>
      <c r="L64" s="49">
        <f>AVERAGE('26.09 Mukono-Seeta-24h'!L64,'28.09 Mukono-Seeta-24h'!L64)</f>
        <v>4</v>
      </c>
      <c r="M64" s="49">
        <f>AVERAGE('26.09 Mukono-Seeta-24h'!M64,'28.09 Mukono-Seeta-24h'!M64)</f>
        <v>82</v>
      </c>
      <c r="N64" s="49">
        <f>AVERAGE('26.09 Mukono-Seeta-24h'!N64,'28.09 Mukono-Seeta-24h'!N64)</f>
        <v>0</v>
      </c>
      <c r="O64" s="15">
        <f t="shared" si="0"/>
        <v>114</v>
      </c>
      <c r="P64" s="15">
        <f t="shared" si="1"/>
        <v>196</v>
      </c>
      <c r="R64" s="8"/>
      <c r="T64"/>
    </row>
    <row r="65" spans="2:20" ht="23.1" customHeight="1" x14ac:dyDescent="0.25">
      <c r="B65" s="23" t="s">
        <v>158</v>
      </c>
      <c r="C65" s="49">
        <f>AVERAGE('26.09 Mukono-Seeta-24h'!C65,'28.09 Mukono-Seeta-24h'!C65)</f>
        <v>27</v>
      </c>
      <c r="D65" s="49">
        <f>AVERAGE('26.09 Mukono-Seeta-24h'!D65,'28.09 Mukono-Seeta-24h'!D65)</f>
        <v>17.5</v>
      </c>
      <c r="E65" s="49">
        <f>AVERAGE('26.09 Mukono-Seeta-24h'!E65,'28.09 Mukono-Seeta-24h'!E65)</f>
        <v>6.5</v>
      </c>
      <c r="F65" s="49">
        <f>AVERAGE('26.09 Mukono-Seeta-24h'!F65,'28.09 Mukono-Seeta-24h'!F65)</f>
        <v>28</v>
      </c>
      <c r="G65" s="49">
        <f>AVERAGE('26.09 Mukono-Seeta-24h'!G65,'28.09 Mukono-Seeta-24h'!G65)</f>
        <v>3</v>
      </c>
      <c r="H65" s="49">
        <f>AVERAGE('26.09 Mukono-Seeta-24h'!H65,'28.09 Mukono-Seeta-24h'!H65)</f>
        <v>1</v>
      </c>
      <c r="I65" s="49">
        <f>AVERAGE('26.09 Mukono-Seeta-24h'!I65,'28.09 Mukono-Seeta-24h'!I65)</f>
        <v>3</v>
      </c>
      <c r="J65" s="49">
        <f>AVERAGE('26.09 Mukono-Seeta-24h'!J65,'28.09 Mukono-Seeta-24h'!J65)</f>
        <v>5</v>
      </c>
      <c r="K65" s="49">
        <f>AVERAGE('26.09 Mukono-Seeta-24h'!K65,'28.09 Mukono-Seeta-24h'!K65)</f>
        <v>4.5</v>
      </c>
      <c r="L65" s="49">
        <f>AVERAGE('26.09 Mukono-Seeta-24h'!L65,'28.09 Mukono-Seeta-24h'!L65)</f>
        <v>2</v>
      </c>
      <c r="M65" s="49">
        <f>AVERAGE('26.09 Mukono-Seeta-24h'!M65,'28.09 Mukono-Seeta-24h'!M65)</f>
        <v>34.5</v>
      </c>
      <c r="N65" s="49">
        <f>AVERAGE('26.09 Mukono-Seeta-24h'!N65,'28.09 Mukono-Seeta-24h'!N65)</f>
        <v>0</v>
      </c>
      <c r="O65" s="15">
        <f t="shared" si="0"/>
        <v>97.5</v>
      </c>
      <c r="P65" s="15">
        <f t="shared" si="1"/>
        <v>132</v>
      </c>
      <c r="R65" s="8"/>
      <c r="T65"/>
    </row>
    <row r="66" spans="2:20" ht="23.1" customHeight="1" x14ac:dyDescent="0.25">
      <c r="B66" s="23" t="s">
        <v>103</v>
      </c>
      <c r="C66" s="49">
        <f>AVERAGE('26.09 Mukono-Seeta-24h'!C66,'28.09 Mukono-Seeta-24h'!C66)</f>
        <v>24</v>
      </c>
      <c r="D66" s="49">
        <f>AVERAGE('26.09 Mukono-Seeta-24h'!D66,'28.09 Mukono-Seeta-24h'!D66)</f>
        <v>15.5</v>
      </c>
      <c r="E66" s="49">
        <f>AVERAGE('26.09 Mukono-Seeta-24h'!E66,'28.09 Mukono-Seeta-24h'!E66)</f>
        <v>4.5</v>
      </c>
      <c r="F66" s="49">
        <f>AVERAGE('26.09 Mukono-Seeta-24h'!F66,'28.09 Mukono-Seeta-24h'!F66)</f>
        <v>30.5</v>
      </c>
      <c r="G66" s="49">
        <f>AVERAGE('26.09 Mukono-Seeta-24h'!G66,'28.09 Mukono-Seeta-24h'!G66)</f>
        <v>3.5</v>
      </c>
      <c r="H66" s="49">
        <f>AVERAGE('26.09 Mukono-Seeta-24h'!H66,'28.09 Mukono-Seeta-24h'!H66)</f>
        <v>1</v>
      </c>
      <c r="I66" s="49">
        <f>AVERAGE('26.09 Mukono-Seeta-24h'!I66,'28.09 Mukono-Seeta-24h'!I66)</f>
        <v>11</v>
      </c>
      <c r="J66" s="49">
        <f>AVERAGE('26.09 Mukono-Seeta-24h'!J66,'28.09 Mukono-Seeta-24h'!J66)</f>
        <v>7.5</v>
      </c>
      <c r="K66" s="49">
        <f>AVERAGE('26.09 Mukono-Seeta-24h'!K66,'28.09 Mukono-Seeta-24h'!K66)</f>
        <v>2</v>
      </c>
      <c r="L66" s="49">
        <f>AVERAGE('26.09 Mukono-Seeta-24h'!L66,'28.09 Mukono-Seeta-24h'!L66)</f>
        <v>5</v>
      </c>
      <c r="M66" s="49">
        <f>AVERAGE('26.09 Mukono-Seeta-24h'!M66,'28.09 Mukono-Seeta-24h'!M66)</f>
        <v>46</v>
      </c>
      <c r="N66" s="49">
        <f>AVERAGE('26.09 Mukono-Seeta-24h'!N66,'28.09 Mukono-Seeta-24h'!N66)</f>
        <v>0</v>
      </c>
      <c r="O66" s="15">
        <f t="shared" si="0"/>
        <v>104.5</v>
      </c>
      <c r="P66" s="15">
        <f t="shared" si="1"/>
        <v>150.5</v>
      </c>
      <c r="R66" s="8"/>
      <c r="T66"/>
    </row>
    <row r="67" spans="2:20" ht="23.1" customHeight="1" x14ac:dyDescent="0.25">
      <c r="B67" s="23" t="s">
        <v>104</v>
      </c>
      <c r="C67" s="49">
        <f>AVERAGE('26.09 Mukono-Seeta-24h'!C67,'28.09 Mukono-Seeta-24h'!C67)</f>
        <v>40.5</v>
      </c>
      <c r="D67" s="49">
        <f>AVERAGE('26.09 Mukono-Seeta-24h'!D67,'28.09 Mukono-Seeta-24h'!D67)</f>
        <v>23.5</v>
      </c>
      <c r="E67" s="49">
        <f>AVERAGE('26.09 Mukono-Seeta-24h'!E67,'28.09 Mukono-Seeta-24h'!E67)</f>
        <v>7</v>
      </c>
      <c r="F67" s="49">
        <f>AVERAGE('26.09 Mukono-Seeta-24h'!F67,'28.09 Mukono-Seeta-24h'!F67)</f>
        <v>31</v>
      </c>
      <c r="G67" s="49">
        <f>AVERAGE('26.09 Mukono-Seeta-24h'!G67,'28.09 Mukono-Seeta-24h'!G67)</f>
        <v>1</v>
      </c>
      <c r="H67" s="49">
        <f>AVERAGE('26.09 Mukono-Seeta-24h'!H67,'28.09 Mukono-Seeta-24h'!H67)</f>
        <v>0</v>
      </c>
      <c r="I67" s="49">
        <f>AVERAGE('26.09 Mukono-Seeta-24h'!I67,'28.09 Mukono-Seeta-24h'!I67)</f>
        <v>13.5</v>
      </c>
      <c r="J67" s="49">
        <f>AVERAGE('26.09 Mukono-Seeta-24h'!J67,'28.09 Mukono-Seeta-24h'!J67)</f>
        <v>6</v>
      </c>
      <c r="K67" s="49">
        <f>AVERAGE('26.09 Mukono-Seeta-24h'!K67,'28.09 Mukono-Seeta-24h'!K67)</f>
        <v>0.5</v>
      </c>
      <c r="L67" s="49">
        <f>AVERAGE('26.09 Mukono-Seeta-24h'!L67,'28.09 Mukono-Seeta-24h'!L67)</f>
        <v>11</v>
      </c>
      <c r="M67" s="49">
        <f>AVERAGE('26.09 Mukono-Seeta-24h'!M67,'28.09 Mukono-Seeta-24h'!M67)</f>
        <v>53.5</v>
      </c>
      <c r="N67" s="49">
        <f>AVERAGE('26.09 Mukono-Seeta-24h'!N67,'28.09 Mukono-Seeta-24h'!N67)</f>
        <v>0</v>
      </c>
      <c r="O67" s="15">
        <f t="shared" si="0"/>
        <v>134</v>
      </c>
      <c r="P67" s="15">
        <f t="shared" si="1"/>
        <v>187.5</v>
      </c>
      <c r="R67" s="8"/>
      <c r="T67"/>
    </row>
    <row r="68" spans="2:20" ht="23.1" customHeight="1" x14ac:dyDescent="0.25">
      <c r="B68" s="23" t="s">
        <v>105</v>
      </c>
      <c r="C68" s="49">
        <f>AVERAGE('26.09 Mukono-Seeta-24h'!C68,'28.09 Mukono-Seeta-24h'!C68)</f>
        <v>41</v>
      </c>
      <c r="D68" s="49">
        <f>AVERAGE('26.09 Mukono-Seeta-24h'!D68,'28.09 Mukono-Seeta-24h'!D68)</f>
        <v>24</v>
      </c>
      <c r="E68" s="49">
        <f>AVERAGE('26.09 Mukono-Seeta-24h'!E68,'28.09 Mukono-Seeta-24h'!E68)</f>
        <v>5.5</v>
      </c>
      <c r="F68" s="49">
        <f>AVERAGE('26.09 Mukono-Seeta-24h'!F68,'28.09 Mukono-Seeta-24h'!F68)</f>
        <v>32</v>
      </c>
      <c r="G68" s="49">
        <f>AVERAGE('26.09 Mukono-Seeta-24h'!G68,'28.09 Mukono-Seeta-24h'!G68)</f>
        <v>1</v>
      </c>
      <c r="H68" s="49">
        <f>AVERAGE('26.09 Mukono-Seeta-24h'!H68,'28.09 Mukono-Seeta-24h'!H68)</f>
        <v>0</v>
      </c>
      <c r="I68" s="49">
        <f>AVERAGE('26.09 Mukono-Seeta-24h'!I68,'28.09 Mukono-Seeta-24h'!I68)</f>
        <v>8.5</v>
      </c>
      <c r="J68" s="49">
        <f>AVERAGE('26.09 Mukono-Seeta-24h'!J68,'28.09 Mukono-Seeta-24h'!J68)</f>
        <v>7.5</v>
      </c>
      <c r="K68" s="49">
        <f>AVERAGE('26.09 Mukono-Seeta-24h'!K68,'28.09 Mukono-Seeta-24h'!K68)</f>
        <v>2</v>
      </c>
      <c r="L68" s="49">
        <f>AVERAGE('26.09 Mukono-Seeta-24h'!L68,'28.09 Mukono-Seeta-24h'!L68)</f>
        <v>3.5</v>
      </c>
      <c r="M68" s="49">
        <f>AVERAGE('26.09 Mukono-Seeta-24h'!M68,'28.09 Mukono-Seeta-24h'!M68)</f>
        <v>53.5</v>
      </c>
      <c r="N68" s="49">
        <f>AVERAGE('26.09 Mukono-Seeta-24h'!N68,'28.09 Mukono-Seeta-24h'!N68)</f>
        <v>0</v>
      </c>
      <c r="O68" s="15">
        <f t="shared" si="0"/>
        <v>125</v>
      </c>
      <c r="P68" s="15">
        <f t="shared" si="1"/>
        <v>178.5</v>
      </c>
      <c r="R68" s="8"/>
      <c r="T68"/>
    </row>
    <row r="69" spans="2:20" ht="23.1" customHeight="1" x14ac:dyDescent="0.25">
      <c r="B69" s="23" t="s">
        <v>106</v>
      </c>
      <c r="C69" s="49">
        <f>AVERAGE('26.09 Mukono-Seeta-24h'!C69,'28.09 Mukono-Seeta-24h'!C69)</f>
        <v>29.5</v>
      </c>
      <c r="D69" s="49">
        <f>AVERAGE('26.09 Mukono-Seeta-24h'!D69,'28.09 Mukono-Seeta-24h'!D69)</f>
        <v>22</v>
      </c>
      <c r="E69" s="49">
        <f>AVERAGE('26.09 Mukono-Seeta-24h'!E69,'28.09 Mukono-Seeta-24h'!E69)</f>
        <v>7.5</v>
      </c>
      <c r="F69" s="49">
        <f>AVERAGE('26.09 Mukono-Seeta-24h'!F69,'28.09 Mukono-Seeta-24h'!F69)</f>
        <v>26</v>
      </c>
      <c r="G69" s="49">
        <f>AVERAGE('26.09 Mukono-Seeta-24h'!G69,'28.09 Mukono-Seeta-24h'!G69)</f>
        <v>2</v>
      </c>
      <c r="H69" s="49">
        <f>AVERAGE('26.09 Mukono-Seeta-24h'!H69,'28.09 Mukono-Seeta-24h'!H69)</f>
        <v>0.5</v>
      </c>
      <c r="I69" s="49">
        <f>AVERAGE('26.09 Mukono-Seeta-24h'!I69,'28.09 Mukono-Seeta-24h'!I69)</f>
        <v>7.5</v>
      </c>
      <c r="J69" s="49">
        <f>AVERAGE('26.09 Mukono-Seeta-24h'!J69,'28.09 Mukono-Seeta-24h'!J69)</f>
        <v>4</v>
      </c>
      <c r="K69" s="49">
        <f>AVERAGE('26.09 Mukono-Seeta-24h'!K69,'28.09 Mukono-Seeta-24h'!K69)</f>
        <v>2</v>
      </c>
      <c r="L69" s="49">
        <f>AVERAGE('26.09 Mukono-Seeta-24h'!L69,'28.09 Mukono-Seeta-24h'!L69)</f>
        <v>4.5</v>
      </c>
      <c r="M69" s="49">
        <f>AVERAGE('26.09 Mukono-Seeta-24h'!M69,'28.09 Mukono-Seeta-24h'!M69)</f>
        <v>32.5</v>
      </c>
      <c r="N69" s="49">
        <f>AVERAGE('26.09 Mukono-Seeta-24h'!N69,'28.09 Mukono-Seeta-24h'!N69)</f>
        <v>0</v>
      </c>
      <c r="O69" s="15">
        <f t="shared" si="0"/>
        <v>105.5</v>
      </c>
      <c r="P69" s="15">
        <f t="shared" si="1"/>
        <v>138</v>
      </c>
      <c r="R69" s="8"/>
      <c r="T69"/>
    </row>
    <row r="70" spans="2:20" ht="23.1" customHeight="1" x14ac:dyDescent="0.25">
      <c r="B70" s="23" t="s">
        <v>110</v>
      </c>
      <c r="C70" s="49">
        <f>AVERAGE('26.09 Mukono-Seeta-24h'!C70,'28.09 Mukono-Seeta-24h'!C70)</f>
        <v>21</v>
      </c>
      <c r="D70" s="49">
        <f>AVERAGE('26.09 Mukono-Seeta-24h'!D70,'28.09 Mukono-Seeta-24h'!D70)</f>
        <v>16</v>
      </c>
      <c r="E70" s="49">
        <f>AVERAGE('26.09 Mukono-Seeta-24h'!E70,'28.09 Mukono-Seeta-24h'!E70)</f>
        <v>21.5</v>
      </c>
      <c r="F70" s="49">
        <f>AVERAGE('26.09 Mukono-Seeta-24h'!F70,'28.09 Mukono-Seeta-24h'!F70)</f>
        <v>23</v>
      </c>
      <c r="G70" s="49">
        <f>AVERAGE('26.09 Mukono-Seeta-24h'!G70,'28.09 Mukono-Seeta-24h'!G70)</f>
        <v>2</v>
      </c>
      <c r="H70" s="49">
        <f>AVERAGE('26.09 Mukono-Seeta-24h'!H70,'28.09 Mukono-Seeta-24h'!H70)</f>
        <v>5.5</v>
      </c>
      <c r="I70" s="49">
        <f>AVERAGE('26.09 Mukono-Seeta-24h'!I70,'28.09 Mukono-Seeta-24h'!I70)</f>
        <v>7.5</v>
      </c>
      <c r="J70" s="49">
        <f>AVERAGE('26.09 Mukono-Seeta-24h'!J70,'28.09 Mukono-Seeta-24h'!J70)</f>
        <v>5</v>
      </c>
      <c r="K70" s="49">
        <f>AVERAGE('26.09 Mukono-Seeta-24h'!K70,'28.09 Mukono-Seeta-24h'!K70)</f>
        <v>4</v>
      </c>
      <c r="L70" s="49">
        <f>AVERAGE('26.09 Mukono-Seeta-24h'!L70,'28.09 Mukono-Seeta-24h'!L70)</f>
        <v>19.5</v>
      </c>
      <c r="M70" s="49">
        <f>AVERAGE('26.09 Mukono-Seeta-24h'!M70,'28.09 Mukono-Seeta-24h'!M70)</f>
        <v>22</v>
      </c>
      <c r="N70" s="49">
        <f>AVERAGE('26.09 Mukono-Seeta-24h'!N70,'28.09 Mukono-Seeta-24h'!N70)</f>
        <v>0</v>
      </c>
      <c r="O70" s="15">
        <f t="shared" si="0"/>
        <v>125</v>
      </c>
      <c r="P70" s="15">
        <f t="shared" si="1"/>
        <v>147</v>
      </c>
      <c r="R70" s="8"/>
      <c r="T70"/>
    </row>
    <row r="71" spans="2:20" ht="23.1" customHeight="1" x14ac:dyDescent="0.25">
      <c r="B71" s="23" t="s">
        <v>111</v>
      </c>
      <c r="C71" s="49">
        <f>AVERAGE('26.09 Mukono-Seeta-24h'!C71,'28.09 Mukono-Seeta-24h'!C71)</f>
        <v>33</v>
      </c>
      <c r="D71" s="49">
        <f>AVERAGE('26.09 Mukono-Seeta-24h'!D71,'28.09 Mukono-Seeta-24h'!D71)</f>
        <v>19.5</v>
      </c>
      <c r="E71" s="49">
        <f>AVERAGE('26.09 Mukono-Seeta-24h'!E71,'28.09 Mukono-Seeta-24h'!E71)</f>
        <v>5</v>
      </c>
      <c r="F71" s="49">
        <f>AVERAGE('26.09 Mukono-Seeta-24h'!F71,'28.09 Mukono-Seeta-24h'!F71)</f>
        <v>26</v>
      </c>
      <c r="G71" s="49">
        <f>AVERAGE('26.09 Mukono-Seeta-24h'!G71,'28.09 Mukono-Seeta-24h'!G71)</f>
        <v>2</v>
      </c>
      <c r="H71" s="49">
        <f>AVERAGE('26.09 Mukono-Seeta-24h'!H71,'28.09 Mukono-Seeta-24h'!H71)</f>
        <v>1</v>
      </c>
      <c r="I71" s="49">
        <f>AVERAGE('26.09 Mukono-Seeta-24h'!I71,'28.09 Mukono-Seeta-24h'!I71)</f>
        <v>11</v>
      </c>
      <c r="J71" s="49">
        <f>AVERAGE('26.09 Mukono-Seeta-24h'!J71,'28.09 Mukono-Seeta-24h'!J71)</f>
        <v>5</v>
      </c>
      <c r="K71" s="49">
        <f>AVERAGE('26.09 Mukono-Seeta-24h'!K71,'28.09 Mukono-Seeta-24h'!K71)</f>
        <v>2</v>
      </c>
      <c r="L71" s="49">
        <f>AVERAGE('26.09 Mukono-Seeta-24h'!L71,'28.09 Mukono-Seeta-24h'!L71)</f>
        <v>5.5</v>
      </c>
      <c r="M71" s="49">
        <f>AVERAGE('26.09 Mukono-Seeta-24h'!M71,'28.09 Mukono-Seeta-24h'!M71)</f>
        <v>27.5</v>
      </c>
      <c r="N71" s="49">
        <f>AVERAGE('26.09 Mukono-Seeta-24h'!N71,'28.09 Mukono-Seeta-24h'!N71)</f>
        <v>0</v>
      </c>
      <c r="O71" s="15">
        <f t="shared" si="0"/>
        <v>110</v>
      </c>
      <c r="P71" s="15">
        <f t="shared" si="1"/>
        <v>137.5</v>
      </c>
      <c r="R71" s="8"/>
      <c r="T71"/>
    </row>
    <row r="72" spans="2:20" ht="23.1" customHeight="1" x14ac:dyDescent="0.25">
      <c r="B72" s="23" t="s">
        <v>112</v>
      </c>
      <c r="C72" s="49">
        <f>AVERAGE('26.09 Mukono-Seeta-24h'!C72,'28.09 Mukono-Seeta-24h'!C72)</f>
        <v>31.5</v>
      </c>
      <c r="D72" s="49">
        <f>AVERAGE('26.09 Mukono-Seeta-24h'!D72,'28.09 Mukono-Seeta-24h'!D72)</f>
        <v>15</v>
      </c>
      <c r="E72" s="49">
        <f>AVERAGE('26.09 Mukono-Seeta-24h'!E72,'28.09 Mukono-Seeta-24h'!E72)</f>
        <v>7.5</v>
      </c>
      <c r="F72" s="49">
        <f>AVERAGE('26.09 Mukono-Seeta-24h'!F72,'28.09 Mukono-Seeta-24h'!F72)</f>
        <v>23.5</v>
      </c>
      <c r="G72" s="49">
        <f>AVERAGE('26.09 Mukono-Seeta-24h'!G72,'28.09 Mukono-Seeta-24h'!G72)</f>
        <v>2.5</v>
      </c>
      <c r="H72" s="49">
        <f>AVERAGE('26.09 Mukono-Seeta-24h'!H72,'28.09 Mukono-Seeta-24h'!H72)</f>
        <v>0</v>
      </c>
      <c r="I72" s="49">
        <f>AVERAGE('26.09 Mukono-Seeta-24h'!I72,'28.09 Mukono-Seeta-24h'!I72)</f>
        <v>5.5</v>
      </c>
      <c r="J72" s="49">
        <f>AVERAGE('26.09 Mukono-Seeta-24h'!J72,'28.09 Mukono-Seeta-24h'!J72)</f>
        <v>9.5</v>
      </c>
      <c r="K72" s="49">
        <f>AVERAGE('26.09 Mukono-Seeta-24h'!K72,'28.09 Mukono-Seeta-24h'!K72)</f>
        <v>2</v>
      </c>
      <c r="L72" s="49">
        <f>AVERAGE('26.09 Mukono-Seeta-24h'!L72,'28.09 Mukono-Seeta-24h'!L72)</f>
        <v>7.5</v>
      </c>
      <c r="M72" s="49">
        <f>AVERAGE('26.09 Mukono-Seeta-24h'!M72,'28.09 Mukono-Seeta-24h'!M72)</f>
        <v>29</v>
      </c>
      <c r="N72" s="49">
        <f>AVERAGE('26.09 Mukono-Seeta-24h'!N72,'28.09 Mukono-Seeta-24h'!N72)</f>
        <v>0</v>
      </c>
      <c r="O72" s="15">
        <f t="shared" si="0"/>
        <v>104.5</v>
      </c>
      <c r="P72" s="15">
        <f t="shared" si="1"/>
        <v>133.5</v>
      </c>
      <c r="R72" s="8"/>
      <c r="T72"/>
    </row>
    <row r="73" spans="2:20" ht="23.1" customHeight="1" x14ac:dyDescent="0.25">
      <c r="B73" s="23" t="s">
        <v>113</v>
      </c>
      <c r="C73" s="49">
        <f>AVERAGE('26.09 Mukono-Seeta-24h'!C73,'28.09 Mukono-Seeta-24h'!C73)</f>
        <v>28.5</v>
      </c>
      <c r="D73" s="49">
        <f>AVERAGE('26.09 Mukono-Seeta-24h'!D73,'28.09 Mukono-Seeta-24h'!D73)</f>
        <v>22.5</v>
      </c>
      <c r="E73" s="49">
        <f>AVERAGE('26.09 Mukono-Seeta-24h'!E73,'28.09 Mukono-Seeta-24h'!E73)</f>
        <v>7.5</v>
      </c>
      <c r="F73" s="49">
        <f>AVERAGE('26.09 Mukono-Seeta-24h'!F73,'28.09 Mukono-Seeta-24h'!F73)</f>
        <v>31.5</v>
      </c>
      <c r="G73" s="49">
        <f>AVERAGE('26.09 Mukono-Seeta-24h'!G73,'28.09 Mukono-Seeta-24h'!G73)</f>
        <v>1</v>
      </c>
      <c r="H73" s="49">
        <f>AVERAGE('26.09 Mukono-Seeta-24h'!H73,'28.09 Mukono-Seeta-24h'!H73)</f>
        <v>4.5</v>
      </c>
      <c r="I73" s="49">
        <f>AVERAGE('26.09 Mukono-Seeta-24h'!I73,'28.09 Mukono-Seeta-24h'!I73)</f>
        <v>10</v>
      </c>
      <c r="J73" s="49">
        <f>AVERAGE('26.09 Mukono-Seeta-24h'!J73,'28.09 Mukono-Seeta-24h'!J73)</f>
        <v>3</v>
      </c>
      <c r="K73" s="49">
        <f>AVERAGE('26.09 Mukono-Seeta-24h'!K73,'28.09 Mukono-Seeta-24h'!K73)</f>
        <v>4</v>
      </c>
      <c r="L73" s="49">
        <f>AVERAGE('26.09 Mukono-Seeta-24h'!L73,'28.09 Mukono-Seeta-24h'!L73)</f>
        <v>19</v>
      </c>
      <c r="M73" s="49">
        <f>AVERAGE('26.09 Mukono-Seeta-24h'!M73,'28.09 Mukono-Seeta-24h'!M73)</f>
        <v>11</v>
      </c>
      <c r="N73" s="49">
        <f>AVERAGE('26.09 Mukono-Seeta-24h'!N73,'28.09 Mukono-Seeta-24h'!N73)</f>
        <v>0</v>
      </c>
      <c r="O73" s="15">
        <f t="shared" si="0"/>
        <v>131.5</v>
      </c>
      <c r="P73" s="15">
        <f t="shared" si="1"/>
        <v>142.5</v>
      </c>
      <c r="R73" s="8"/>
      <c r="T73"/>
    </row>
    <row r="74" spans="2:20" ht="23.1" customHeight="1" x14ac:dyDescent="0.25">
      <c r="B74" s="23" t="s">
        <v>114</v>
      </c>
      <c r="C74" s="49">
        <f>AVERAGE('26.09 Mukono-Seeta-24h'!C74,'28.09 Mukono-Seeta-24h'!C74)</f>
        <v>27</v>
      </c>
      <c r="D74" s="49">
        <f>AVERAGE('26.09 Mukono-Seeta-24h'!D74,'28.09 Mukono-Seeta-24h'!D74)</f>
        <v>17.5</v>
      </c>
      <c r="E74" s="49">
        <f>AVERAGE('26.09 Mukono-Seeta-24h'!E74,'28.09 Mukono-Seeta-24h'!E74)</f>
        <v>3</v>
      </c>
      <c r="F74" s="49">
        <f>AVERAGE('26.09 Mukono-Seeta-24h'!F74,'28.09 Mukono-Seeta-24h'!F74)</f>
        <v>33.5</v>
      </c>
      <c r="G74" s="49">
        <f>AVERAGE('26.09 Mukono-Seeta-24h'!G74,'28.09 Mukono-Seeta-24h'!G74)</f>
        <v>3</v>
      </c>
      <c r="H74" s="49">
        <f>AVERAGE('26.09 Mukono-Seeta-24h'!H74,'28.09 Mukono-Seeta-24h'!H74)</f>
        <v>1</v>
      </c>
      <c r="I74" s="49">
        <f>AVERAGE('26.09 Mukono-Seeta-24h'!I74,'28.09 Mukono-Seeta-24h'!I74)</f>
        <v>13</v>
      </c>
      <c r="J74" s="49">
        <f>AVERAGE('26.09 Mukono-Seeta-24h'!J74,'28.09 Mukono-Seeta-24h'!J74)</f>
        <v>5.5</v>
      </c>
      <c r="K74" s="49">
        <f>AVERAGE('26.09 Mukono-Seeta-24h'!K74,'28.09 Mukono-Seeta-24h'!K74)</f>
        <v>2</v>
      </c>
      <c r="L74" s="49">
        <f>AVERAGE('26.09 Mukono-Seeta-24h'!L74,'28.09 Mukono-Seeta-24h'!L74)</f>
        <v>4.5</v>
      </c>
      <c r="M74" s="49">
        <f>AVERAGE('26.09 Mukono-Seeta-24h'!M74,'28.09 Mukono-Seeta-24h'!M74)</f>
        <v>17</v>
      </c>
      <c r="N74" s="49">
        <f>AVERAGE('26.09 Mukono-Seeta-24h'!N74,'28.09 Mukono-Seeta-24h'!N74)</f>
        <v>0</v>
      </c>
      <c r="O74" s="15">
        <f t="shared" ref="O74:O104" si="35">SUM(C74:L74,N74)</f>
        <v>110</v>
      </c>
      <c r="P74" s="15">
        <f t="shared" ref="P74:P104" si="36">SUM(C74:N74)</f>
        <v>127</v>
      </c>
      <c r="R74" s="8"/>
      <c r="T74"/>
    </row>
    <row r="75" spans="2:20" ht="23.1" customHeight="1" x14ac:dyDescent="0.25">
      <c r="B75" s="23" t="s">
        <v>115</v>
      </c>
      <c r="C75" s="49">
        <f>AVERAGE('26.09 Mukono-Seeta-24h'!C75,'28.09 Mukono-Seeta-24h'!C75)</f>
        <v>15</v>
      </c>
      <c r="D75" s="49">
        <f>AVERAGE('26.09 Mukono-Seeta-24h'!D75,'28.09 Mukono-Seeta-24h'!D75)</f>
        <v>14</v>
      </c>
      <c r="E75" s="49">
        <f>AVERAGE('26.09 Mukono-Seeta-24h'!E75,'28.09 Mukono-Seeta-24h'!E75)</f>
        <v>5</v>
      </c>
      <c r="F75" s="49">
        <f>AVERAGE('26.09 Mukono-Seeta-24h'!F75,'28.09 Mukono-Seeta-24h'!F75)</f>
        <v>19.5</v>
      </c>
      <c r="G75" s="49">
        <f>AVERAGE('26.09 Mukono-Seeta-24h'!G75,'28.09 Mukono-Seeta-24h'!G75)</f>
        <v>3</v>
      </c>
      <c r="H75" s="49">
        <f>AVERAGE('26.09 Mukono-Seeta-24h'!H75,'28.09 Mukono-Seeta-24h'!H75)</f>
        <v>5</v>
      </c>
      <c r="I75" s="49">
        <f>AVERAGE('26.09 Mukono-Seeta-24h'!I75,'28.09 Mukono-Seeta-24h'!I75)</f>
        <v>6</v>
      </c>
      <c r="J75" s="49">
        <f>AVERAGE('26.09 Mukono-Seeta-24h'!J75,'28.09 Mukono-Seeta-24h'!J75)</f>
        <v>3.5</v>
      </c>
      <c r="K75" s="49">
        <f>AVERAGE('26.09 Mukono-Seeta-24h'!K75,'28.09 Mukono-Seeta-24h'!K75)</f>
        <v>4</v>
      </c>
      <c r="L75" s="49">
        <f>AVERAGE('26.09 Mukono-Seeta-24h'!L75,'28.09 Mukono-Seeta-24h'!L75)</f>
        <v>7.5</v>
      </c>
      <c r="M75" s="49">
        <f>AVERAGE('26.09 Mukono-Seeta-24h'!M75,'28.09 Mukono-Seeta-24h'!M75)</f>
        <v>21</v>
      </c>
      <c r="N75" s="49">
        <f>AVERAGE('26.09 Mukono-Seeta-24h'!N75,'28.09 Mukono-Seeta-24h'!N75)</f>
        <v>0</v>
      </c>
      <c r="O75" s="15">
        <f t="shared" si="35"/>
        <v>82.5</v>
      </c>
      <c r="P75" s="15">
        <f t="shared" si="36"/>
        <v>103.5</v>
      </c>
      <c r="R75" s="8"/>
      <c r="T75"/>
    </row>
    <row r="76" spans="2:20" ht="23.1" customHeight="1" x14ac:dyDescent="0.25">
      <c r="B76" s="23" t="s">
        <v>116</v>
      </c>
      <c r="C76" s="49">
        <f>AVERAGE('26.09 Mukono-Seeta-24h'!C76,'28.09 Mukono-Seeta-24h'!C76)</f>
        <v>19</v>
      </c>
      <c r="D76" s="49">
        <f>AVERAGE('26.09 Mukono-Seeta-24h'!D76,'28.09 Mukono-Seeta-24h'!D76)</f>
        <v>15.5</v>
      </c>
      <c r="E76" s="49">
        <f>AVERAGE('26.09 Mukono-Seeta-24h'!E76,'28.09 Mukono-Seeta-24h'!E76)</f>
        <v>6</v>
      </c>
      <c r="F76" s="49">
        <f>AVERAGE('26.09 Mukono-Seeta-24h'!F76,'28.09 Mukono-Seeta-24h'!F76)</f>
        <v>21</v>
      </c>
      <c r="G76" s="49">
        <f>AVERAGE('26.09 Mukono-Seeta-24h'!G76,'28.09 Mukono-Seeta-24h'!G76)</f>
        <v>2.5</v>
      </c>
      <c r="H76" s="49">
        <f>AVERAGE('26.09 Mukono-Seeta-24h'!H76,'28.09 Mukono-Seeta-24h'!H76)</f>
        <v>0.5</v>
      </c>
      <c r="I76" s="49">
        <f>AVERAGE('26.09 Mukono-Seeta-24h'!I76,'28.09 Mukono-Seeta-24h'!I76)</f>
        <v>6</v>
      </c>
      <c r="J76" s="49">
        <f>AVERAGE('26.09 Mukono-Seeta-24h'!J76,'28.09 Mukono-Seeta-24h'!J76)</f>
        <v>9.5</v>
      </c>
      <c r="K76" s="49">
        <f>AVERAGE('26.09 Mukono-Seeta-24h'!K76,'28.09 Mukono-Seeta-24h'!K76)</f>
        <v>2</v>
      </c>
      <c r="L76" s="49">
        <f>AVERAGE('26.09 Mukono-Seeta-24h'!L76,'28.09 Mukono-Seeta-24h'!L76)</f>
        <v>8</v>
      </c>
      <c r="M76" s="49">
        <f>AVERAGE('26.09 Mukono-Seeta-24h'!M76,'28.09 Mukono-Seeta-24h'!M76)</f>
        <v>16.5</v>
      </c>
      <c r="N76" s="49">
        <f>AVERAGE('26.09 Mukono-Seeta-24h'!N76,'28.09 Mukono-Seeta-24h'!N76)</f>
        <v>0</v>
      </c>
      <c r="O76" s="15">
        <f t="shared" si="35"/>
        <v>90</v>
      </c>
      <c r="P76" s="15">
        <f t="shared" si="36"/>
        <v>106.5</v>
      </c>
      <c r="R76" s="8"/>
      <c r="T76"/>
    </row>
    <row r="77" spans="2:20" ht="23.1" customHeight="1" x14ac:dyDescent="0.25">
      <c r="B77" s="23" t="s">
        <v>117</v>
      </c>
      <c r="C77" s="49">
        <f>AVERAGE('26.09 Mukono-Seeta-24h'!C77,'28.09 Mukono-Seeta-24h'!C77)</f>
        <v>23</v>
      </c>
      <c r="D77" s="49">
        <f>AVERAGE('26.09 Mukono-Seeta-24h'!D77,'28.09 Mukono-Seeta-24h'!D77)</f>
        <v>7</v>
      </c>
      <c r="E77" s="49">
        <f>AVERAGE('26.09 Mukono-Seeta-24h'!E77,'28.09 Mukono-Seeta-24h'!E77)</f>
        <v>1.5</v>
      </c>
      <c r="F77" s="49">
        <f>AVERAGE('26.09 Mukono-Seeta-24h'!F77,'28.09 Mukono-Seeta-24h'!F77)</f>
        <v>18</v>
      </c>
      <c r="G77" s="49">
        <f>AVERAGE('26.09 Mukono-Seeta-24h'!G77,'28.09 Mukono-Seeta-24h'!G77)</f>
        <v>0.5</v>
      </c>
      <c r="H77" s="49">
        <f>AVERAGE('26.09 Mukono-Seeta-24h'!H77,'28.09 Mukono-Seeta-24h'!H77)</f>
        <v>0</v>
      </c>
      <c r="I77" s="49">
        <f>AVERAGE('26.09 Mukono-Seeta-24h'!I77,'28.09 Mukono-Seeta-24h'!I77)</f>
        <v>9</v>
      </c>
      <c r="J77" s="49">
        <f>AVERAGE('26.09 Mukono-Seeta-24h'!J77,'28.09 Mukono-Seeta-24h'!J77)</f>
        <v>4.5</v>
      </c>
      <c r="K77" s="49">
        <f>AVERAGE('26.09 Mukono-Seeta-24h'!K77,'28.09 Mukono-Seeta-24h'!K77)</f>
        <v>0.5</v>
      </c>
      <c r="L77" s="49">
        <f>AVERAGE('26.09 Mukono-Seeta-24h'!L77,'28.09 Mukono-Seeta-24h'!L77)</f>
        <v>6</v>
      </c>
      <c r="M77" s="49">
        <f>AVERAGE('26.09 Mukono-Seeta-24h'!M77,'28.09 Mukono-Seeta-24h'!M77)</f>
        <v>17</v>
      </c>
      <c r="N77" s="49">
        <f>AVERAGE('26.09 Mukono-Seeta-24h'!N77,'28.09 Mukono-Seeta-24h'!N77)</f>
        <v>0</v>
      </c>
      <c r="O77" s="15">
        <f t="shared" si="35"/>
        <v>70</v>
      </c>
      <c r="P77" s="15">
        <f t="shared" si="36"/>
        <v>87</v>
      </c>
      <c r="R77" s="8"/>
      <c r="T77"/>
    </row>
    <row r="78" spans="2:20" ht="23.1" customHeight="1" x14ac:dyDescent="0.25">
      <c r="B78" s="24" t="s">
        <v>118</v>
      </c>
      <c r="C78" s="49">
        <f>AVERAGE('26.09 Mukono-Seeta-24h'!C78,'28.09 Mukono-Seeta-24h'!C78)</f>
        <v>12.5</v>
      </c>
      <c r="D78" s="49">
        <f>AVERAGE('26.09 Mukono-Seeta-24h'!D78,'28.09 Mukono-Seeta-24h'!D78)</f>
        <v>10</v>
      </c>
      <c r="E78" s="49">
        <f>AVERAGE('26.09 Mukono-Seeta-24h'!E78,'28.09 Mukono-Seeta-24h'!E78)</f>
        <v>3</v>
      </c>
      <c r="F78" s="49">
        <f>AVERAGE('26.09 Mukono-Seeta-24h'!F78,'28.09 Mukono-Seeta-24h'!F78)</f>
        <v>16</v>
      </c>
      <c r="G78" s="49">
        <f>AVERAGE('26.09 Mukono-Seeta-24h'!G78,'28.09 Mukono-Seeta-24h'!G78)</f>
        <v>0</v>
      </c>
      <c r="H78" s="49">
        <f>AVERAGE('26.09 Mukono-Seeta-24h'!H78,'28.09 Mukono-Seeta-24h'!H78)</f>
        <v>0</v>
      </c>
      <c r="I78" s="49">
        <f>AVERAGE('26.09 Mukono-Seeta-24h'!I78,'28.09 Mukono-Seeta-24h'!I78)</f>
        <v>4.5</v>
      </c>
      <c r="J78" s="49">
        <f>AVERAGE('26.09 Mukono-Seeta-24h'!J78,'28.09 Mukono-Seeta-24h'!J78)</f>
        <v>6</v>
      </c>
      <c r="K78" s="49">
        <f>AVERAGE('26.09 Mukono-Seeta-24h'!K78,'28.09 Mukono-Seeta-24h'!K78)</f>
        <v>2</v>
      </c>
      <c r="L78" s="49">
        <f>AVERAGE('26.09 Mukono-Seeta-24h'!L78,'28.09 Mukono-Seeta-24h'!L78)</f>
        <v>4</v>
      </c>
      <c r="M78" s="49">
        <f>AVERAGE('26.09 Mukono-Seeta-24h'!M78,'28.09 Mukono-Seeta-24h'!M78)</f>
        <v>7</v>
      </c>
      <c r="N78" s="49">
        <f>AVERAGE('26.09 Mukono-Seeta-24h'!N78,'28.09 Mukono-Seeta-24h'!N78)</f>
        <v>0</v>
      </c>
      <c r="O78" s="15">
        <f t="shared" si="35"/>
        <v>58</v>
      </c>
      <c r="P78" s="15">
        <f t="shared" si="36"/>
        <v>65</v>
      </c>
      <c r="R78" s="8"/>
      <c r="T78"/>
    </row>
    <row r="79" spans="2:20" ht="23.1" customHeight="1" x14ac:dyDescent="0.25">
      <c r="B79" s="23" t="s">
        <v>119</v>
      </c>
      <c r="C79" s="49">
        <f>AVERAGE('26.09 Mukono-Seeta-24h'!C79,'28.09 Mukono-Seeta-24h'!C79)</f>
        <v>11</v>
      </c>
      <c r="D79" s="49">
        <f>AVERAGE('26.09 Mukono-Seeta-24h'!D79,'28.09 Mukono-Seeta-24h'!D79)</f>
        <v>4.5</v>
      </c>
      <c r="E79" s="49">
        <f>AVERAGE('26.09 Mukono-Seeta-24h'!E79,'28.09 Mukono-Seeta-24h'!E79)</f>
        <v>2.5</v>
      </c>
      <c r="F79" s="49">
        <f>AVERAGE('26.09 Mukono-Seeta-24h'!F79,'28.09 Mukono-Seeta-24h'!F79)</f>
        <v>9</v>
      </c>
      <c r="G79" s="49">
        <f>AVERAGE('26.09 Mukono-Seeta-24h'!G79,'28.09 Mukono-Seeta-24h'!G79)</f>
        <v>2</v>
      </c>
      <c r="H79" s="49">
        <f>AVERAGE('26.09 Mukono-Seeta-24h'!H79,'28.09 Mukono-Seeta-24h'!H79)</f>
        <v>0</v>
      </c>
      <c r="I79" s="49">
        <f>AVERAGE('26.09 Mukono-Seeta-24h'!I79,'28.09 Mukono-Seeta-24h'!I79)</f>
        <v>6</v>
      </c>
      <c r="J79" s="49">
        <f>AVERAGE('26.09 Mukono-Seeta-24h'!J79,'28.09 Mukono-Seeta-24h'!J79)</f>
        <v>6.5</v>
      </c>
      <c r="K79" s="49">
        <f>AVERAGE('26.09 Mukono-Seeta-24h'!K79,'28.09 Mukono-Seeta-24h'!K79)</f>
        <v>1.5</v>
      </c>
      <c r="L79" s="49">
        <f>AVERAGE('26.09 Mukono-Seeta-24h'!L79,'28.09 Mukono-Seeta-24h'!L79)</f>
        <v>3.5</v>
      </c>
      <c r="M79" s="49">
        <f>AVERAGE('26.09 Mukono-Seeta-24h'!M79,'28.09 Mukono-Seeta-24h'!M79)</f>
        <v>11</v>
      </c>
      <c r="N79" s="49">
        <f>AVERAGE('26.09 Mukono-Seeta-24h'!N79,'28.09 Mukono-Seeta-24h'!N79)</f>
        <v>0</v>
      </c>
      <c r="O79" s="15">
        <f t="shared" si="35"/>
        <v>46.5</v>
      </c>
      <c r="P79" s="15">
        <f t="shared" si="36"/>
        <v>57.5</v>
      </c>
      <c r="R79" s="8"/>
      <c r="T79"/>
    </row>
    <row r="80" spans="2:20" ht="23.1" customHeight="1" x14ac:dyDescent="0.25">
      <c r="B80" s="25" t="s">
        <v>120</v>
      </c>
      <c r="C80" s="49">
        <f>AVERAGE('26.09 Mukono-Seeta-24h'!C80,'28.09 Mukono-Seeta-24h'!C80)</f>
        <v>12</v>
      </c>
      <c r="D80" s="49">
        <f>AVERAGE('26.09 Mukono-Seeta-24h'!D80,'28.09 Mukono-Seeta-24h'!D80)</f>
        <v>3</v>
      </c>
      <c r="E80" s="49">
        <f>AVERAGE('26.09 Mukono-Seeta-24h'!E80,'28.09 Mukono-Seeta-24h'!E80)</f>
        <v>4.5</v>
      </c>
      <c r="F80" s="49">
        <f>AVERAGE('26.09 Mukono-Seeta-24h'!F80,'28.09 Mukono-Seeta-24h'!F80)</f>
        <v>8.5</v>
      </c>
      <c r="G80" s="49">
        <f>AVERAGE('26.09 Mukono-Seeta-24h'!G80,'28.09 Mukono-Seeta-24h'!G80)</f>
        <v>1.5</v>
      </c>
      <c r="H80" s="49">
        <f>AVERAGE('26.09 Mukono-Seeta-24h'!H80,'28.09 Mukono-Seeta-24h'!H80)</f>
        <v>0.5</v>
      </c>
      <c r="I80" s="49">
        <f>AVERAGE('26.09 Mukono-Seeta-24h'!I80,'28.09 Mukono-Seeta-24h'!I80)</f>
        <v>5</v>
      </c>
      <c r="J80" s="49">
        <f>AVERAGE('26.09 Mukono-Seeta-24h'!J80,'28.09 Mukono-Seeta-24h'!J80)</f>
        <v>9</v>
      </c>
      <c r="K80" s="49">
        <f>AVERAGE('26.09 Mukono-Seeta-24h'!K80,'28.09 Mukono-Seeta-24h'!K80)</f>
        <v>2</v>
      </c>
      <c r="L80" s="49">
        <f>AVERAGE('26.09 Mukono-Seeta-24h'!L80,'28.09 Mukono-Seeta-24h'!L80)</f>
        <v>5.5</v>
      </c>
      <c r="M80" s="49">
        <f>AVERAGE('26.09 Mukono-Seeta-24h'!M80,'28.09 Mukono-Seeta-24h'!M80)</f>
        <v>10.5</v>
      </c>
      <c r="N80" s="49">
        <f>AVERAGE('26.09 Mukono-Seeta-24h'!N80,'28.09 Mukono-Seeta-24h'!N80)</f>
        <v>0</v>
      </c>
      <c r="O80" s="15">
        <f t="shared" si="35"/>
        <v>51.5</v>
      </c>
      <c r="P80" s="15">
        <f t="shared" si="36"/>
        <v>62</v>
      </c>
      <c r="R80" s="8"/>
      <c r="T80"/>
    </row>
    <row r="81" spans="2:20" ht="23.1" customHeight="1" x14ac:dyDescent="0.25">
      <c r="B81" s="23" t="s">
        <v>121</v>
      </c>
      <c r="C81" s="49">
        <f>AVERAGE('26.09 Mukono-Seeta-24h'!C81,'28.09 Mukono-Seeta-24h'!C81)</f>
        <v>15</v>
      </c>
      <c r="D81" s="49">
        <f>AVERAGE('26.09 Mukono-Seeta-24h'!D81,'28.09 Mukono-Seeta-24h'!D81)</f>
        <v>4</v>
      </c>
      <c r="E81" s="49">
        <f>AVERAGE('26.09 Mukono-Seeta-24h'!E81,'28.09 Mukono-Seeta-24h'!E81)</f>
        <v>5</v>
      </c>
      <c r="F81" s="49">
        <f>AVERAGE('26.09 Mukono-Seeta-24h'!F81,'28.09 Mukono-Seeta-24h'!F81)</f>
        <v>9.5</v>
      </c>
      <c r="G81" s="49">
        <f>AVERAGE('26.09 Mukono-Seeta-24h'!G81,'28.09 Mukono-Seeta-24h'!G81)</f>
        <v>0</v>
      </c>
      <c r="H81" s="49">
        <f>AVERAGE('26.09 Mukono-Seeta-24h'!H81,'28.09 Mukono-Seeta-24h'!H81)</f>
        <v>0.5</v>
      </c>
      <c r="I81" s="49">
        <f>AVERAGE('26.09 Mukono-Seeta-24h'!I81,'28.09 Mukono-Seeta-24h'!I81)</f>
        <v>5.5</v>
      </c>
      <c r="J81" s="49">
        <f>AVERAGE('26.09 Mukono-Seeta-24h'!J81,'28.09 Mukono-Seeta-24h'!J81)</f>
        <v>4</v>
      </c>
      <c r="K81" s="49">
        <f>AVERAGE('26.09 Mukono-Seeta-24h'!K81,'28.09 Mukono-Seeta-24h'!K81)</f>
        <v>1</v>
      </c>
      <c r="L81" s="49">
        <f>AVERAGE('26.09 Mukono-Seeta-24h'!L81,'28.09 Mukono-Seeta-24h'!L81)</f>
        <v>3.5</v>
      </c>
      <c r="M81" s="49">
        <f>AVERAGE('26.09 Mukono-Seeta-24h'!M81,'28.09 Mukono-Seeta-24h'!M81)</f>
        <v>5.5</v>
      </c>
      <c r="N81" s="49">
        <f>AVERAGE('26.09 Mukono-Seeta-24h'!N81,'28.09 Mukono-Seeta-24h'!N81)</f>
        <v>0</v>
      </c>
      <c r="O81" s="15">
        <f t="shared" si="35"/>
        <v>48</v>
      </c>
      <c r="P81" s="15">
        <f t="shared" si="36"/>
        <v>53.5</v>
      </c>
      <c r="R81" s="8"/>
      <c r="T81"/>
    </row>
    <row r="82" spans="2:20" ht="23.1" customHeight="1" x14ac:dyDescent="0.25">
      <c r="B82" s="24" t="s">
        <v>122</v>
      </c>
      <c r="C82" s="49">
        <f>AVERAGE('26.09 Mukono-Seeta-24h'!C82,'28.09 Mukono-Seeta-24h'!C82)</f>
        <v>7.5</v>
      </c>
      <c r="D82" s="49">
        <f>AVERAGE('26.09 Mukono-Seeta-24h'!D82,'28.09 Mukono-Seeta-24h'!D82)</f>
        <v>3.5</v>
      </c>
      <c r="E82" s="49">
        <f>AVERAGE('26.09 Mukono-Seeta-24h'!E82,'28.09 Mukono-Seeta-24h'!E82)</f>
        <v>2.5</v>
      </c>
      <c r="F82" s="49">
        <f>AVERAGE('26.09 Mukono-Seeta-24h'!F82,'28.09 Mukono-Seeta-24h'!F82)</f>
        <v>8.5</v>
      </c>
      <c r="G82" s="49">
        <f>AVERAGE('26.09 Mukono-Seeta-24h'!G82,'28.09 Mukono-Seeta-24h'!G82)</f>
        <v>0.5</v>
      </c>
      <c r="H82" s="49">
        <f>AVERAGE('26.09 Mukono-Seeta-24h'!H82,'28.09 Mukono-Seeta-24h'!H82)</f>
        <v>0</v>
      </c>
      <c r="I82" s="49">
        <f>AVERAGE('26.09 Mukono-Seeta-24h'!I82,'28.09 Mukono-Seeta-24h'!I82)</f>
        <v>4.5</v>
      </c>
      <c r="J82" s="49">
        <f>AVERAGE('26.09 Mukono-Seeta-24h'!J82,'28.09 Mukono-Seeta-24h'!J82)</f>
        <v>5</v>
      </c>
      <c r="K82" s="49">
        <f>AVERAGE('26.09 Mukono-Seeta-24h'!K82,'28.09 Mukono-Seeta-24h'!K82)</f>
        <v>1</v>
      </c>
      <c r="L82" s="49">
        <f>AVERAGE('26.09 Mukono-Seeta-24h'!L82,'28.09 Mukono-Seeta-24h'!L82)</f>
        <v>5.5</v>
      </c>
      <c r="M82" s="49">
        <f>AVERAGE('26.09 Mukono-Seeta-24h'!M82,'28.09 Mukono-Seeta-24h'!M82)</f>
        <v>9</v>
      </c>
      <c r="N82" s="49">
        <f>AVERAGE('26.09 Mukono-Seeta-24h'!N82,'28.09 Mukono-Seeta-24h'!N82)</f>
        <v>0</v>
      </c>
      <c r="O82" s="15">
        <f t="shared" si="35"/>
        <v>38.5</v>
      </c>
      <c r="P82" s="15">
        <f t="shared" si="36"/>
        <v>47.5</v>
      </c>
      <c r="R82" s="8"/>
      <c r="T82"/>
    </row>
    <row r="83" spans="2:20" ht="23.1" customHeight="1" x14ac:dyDescent="0.25">
      <c r="B83" s="23" t="s">
        <v>123</v>
      </c>
      <c r="C83" s="49">
        <f>AVERAGE('26.09 Mukono-Seeta-24h'!C83,'28.09 Mukono-Seeta-24h'!C83)</f>
        <v>5</v>
      </c>
      <c r="D83" s="49">
        <f>AVERAGE('26.09 Mukono-Seeta-24h'!D83,'28.09 Mukono-Seeta-24h'!D83)</f>
        <v>4</v>
      </c>
      <c r="E83" s="49">
        <f>AVERAGE('26.09 Mukono-Seeta-24h'!E83,'28.09 Mukono-Seeta-24h'!E83)</f>
        <v>2</v>
      </c>
      <c r="F83" s="49">
        <f>AVERAGE('26.09 Mukono-Seeta-24h'!F83,'28.09 Mukono-Seeta-24h'!F83)</f>
        <v>4.5</v>
      </c>
      <c r="G83" s="49">
        <f>AVERAGE('26.09 Mukono-Seeta-24h'!G83,'28.09 Mukono-Seeta-24h'!G83)</f>
        <v>0.5</v>
      </c>
      <c r="H83" s="49">
        <f>AVERAGE('26.09 Mukono-Seeta-24h'!H83,'28.09 Mukono-Seeta-24h'!H83)</f>
        <v>0</v>
      </c>
      <c r="I83" s="49">
        <f>AVERAGE('26.09 Mukono-Seeta-24h'!I83,'28.09 Mukono-Seeta-24h'!I83)</f>
        <v>6.5</v>
      </c>
      <c r="J83" s="49">
        <f>AVERAGE('26.09 Mukono-Seeta-24h'!J83,'28.09 Mukono-Seeta-24h'!J83)</f>
        <v>3.5</v>
      </c>
      <c r="K83" s="49">
        <f>AVERAGE('26.09 Mukono-Seeta-24h'!K83,'28.09 Mukono-Seeta-24h'!K83)</f>
        <v>0</v>
      </c>
      <c r="L83" s="49">
        <f>AVERAGE('26.09 Mukono-Seeta-24h'!L83,'28.09 Mukono-Seeta-24h'!L83)</f>
        <v>2.5</v>
      </c>
      <c r="M83" s="49">
        <f>AVERAGE('26.09 Mukono-Seeta-24h'!M83,'28.09 Mukono-Seeta-24h'!M83)</f>
        <v>12</v>
      </c>
      <c r="N83" s="49">
        <f>AVERAGE('26.09 Mukono-Seeta-24h'!N83,'28.09 Mukono-Seeta-24h'!N83)</f>
        <v>0</v>
      </c>
      <c r="O83" s="15">
        <f t="shared" si="35"/>
        <v>28.5</v>
      </c>
      <c r="P83" s="15">
        <f t="shared" si="36"/>
        <v>40.5</v>
      </c>
      <c r="R83" s="8"/>
      <c r="T83"/>
    </row>
    <row r="84" spans="2:20" ht="23.1" customHeight="1" x14ac:dyDescent="0.25">
      <c r="B84" s="25" t="s">
        <v>124</v>
      </c>
      <c r="C84" s="49">
        <f>AVERAGE('26.09 Mukono-Seeta-24h'!C84,'28.09 Mukono-Seeta-24h'!C84)</f>
        <v>8</v>
      </c>
      <c r="D84" s="49">
        <f>AVERAGE('26.09 Mukono-Seeta-24h'!D84,'28.09 Mukono-Seeta-24h'!D84)</f>
        <v>4</v>
      </c>
      <c r="E84" s="49">
        <f>AVERAGE('26.09 Mukono-Seeta-24h'!E84,'28.09 Mukono-Seeta-24h'!E84)</f>
        <v>2.5</v>
      </c>
      <c r="F84" s="49">
        <f>AVERAGE('26.09 Mukono-Seeta-24h'!F84,'28.09 Mukono-Seeta-24h'!F84)</f>
        <v>4.5</v>
      </c>
      <c r="G84" s="49">
        <f>AVERAGE('26.09 Mukono-Seeta-24h'!G84,'28.09 Mukono-Seeta-24h'!G84)</f>
        <v>2</v>
      </c>
      <c r="H84" s="49">
        <f>AVERAGE('26.09 Mukono-Seeta-24h'!H84,'28.09 Mukono-Seeta-24h'!H84)</f>
        <v>1</v>
      </c>
      <c r="I84" s="49">
        <f>AVERAGE('26.09 Mukono-Seeta-24h'!I84,'28.09 Mukono-Seeta-24h'!I84)</f>
        <v>5</v>
      </c>
      <c r="J84" s="49">
        <f>AVERAGE('26.09 Mukono-Seeta-24h'!J84,'28.09 Mukono-Seeta-24h'!J84)</f>
        <v>6</v>
      </c>
      <c r="K84" s="49">
        <f>AVERAGE('26.09 Mukono-Seeta-24h'!K84,'28.09 Mukono-Seeta-24h'!K84)</f>
        <v>1.5</v>
      </c>
      <c r="L84" s="49">
        <f>AVERAGE('26.09 Mukono-Seeta-24h'!L84,'28.09 Mukono-Seeta-24h'!L84)</f>
        <v>4.5</v>
      </c>
      <c r="M84" s="49">
        <f>AVERAGE('26.09 Mukono-Seeta-24h'!M84,'28.09 Mukono-Seeta-24h'!M84)</f>
        <v>6</v>
      </c>
      <c r="N84" s="49">
        <f>AVERAGE('26.09 Mukono-Seeta-24h'!N84,'28.09 Mukono-Seeta-24h'!N84)</f>
        <v>0</v>
      </c>
      <c r="O84" s="15">
        <f t="shared" si="35"/>
        <v>39</v>
      </c>
      <c r="P84" s="15">
        <f t="shared" si="36"/>
        <v>45</v>
      </c>
      <c r="R84" s="8"/>
      <c r="T84"/>
    </row>
    <row r="85" spans="2:20" ht="23.1" customHeight="1" x14ac:dyDescent="0.25">
      <c r="B85" s="23" t="s">
        <v>125</v>
      </c>
      <c r="C85" s="49">
        <f>AVERAGE('26.09 Mukono-Seeta-24h'!C85,'28.09 Mukono-Seeta-24h'!C85)</f>
        <v>8.5</v>
      </c>
      <c r="D85" s="49">
        <f>AVERAGE('26.09 Mukono-Seeta-24h'!D85,'28.09 Mukono-Seeta-24h'!D85)</f>
        <v>3</v>
      </c>
      <c r="E85" s="49">
        <f>AVERAGE('26.09 Mukono-Seeta-24h'!E85,'28.09 Mukono-Seeta-24h'!E85)</f>
        <v>1.5</v>
      </c>
      <c r="F85" s="49">
        <f>AVERAGE('26.09 Mukono-Seeta-24h'!F85,'28.09 Mukono-Seeta-24h'!F85)</f>
        <v>3.5</v>
      </c>
      <c r="G85" s="49">
        <f>AVERAGE('26.09 Mukono-Seeta-24h'!G85,'28.09 Mukono-Seeta-24h'!G85)</f>
        <v>0.5</v>
      </c>
      <c r="H85" s="49">
        <f>AVERAGE('26.09 Mukono-Seeta-24h'!H85,'28.09 Mukono-Seeta-24h'!H85)</f>
        <v>0.5</v>
      </c>
      <c r="I85" s="49">
        <f>AVERAGE('26.09 Mukono-Seeta-24h'!I85,'28.09 Mukono-Seeta-24h'!I85)</f>
        <v>4.5</v>
      </c>
      <c r="J85" s="49">
        <f>AVERAGE('26.09 Mukono-Seeta-24h'!J85,'28.09 Mukono-Seeta-24h'!J85)</f>
        <v>4.5</v>
      </c>
      <c r="K85" s="49">
        <f>AVERAGE('26.09 Mukono-Seeta-24h'!K85,'28.09 Mukono-Seeta-24h'!K85)</f>
        <v>0</v>
      </c>
      <c r="L85" s="49">
        <f>AVERAGE('26.09 Mukono-Seeta-24h'!L85,'28.09 Mukono-Seeta-24h'!L85)</f>
        <v>5</v>
      </c>
      <c r="M85" s="49">
        <f>AVERAGE('26.09 Mukono-Seeta-24h'!M85,'28.09 Mukono-Seeta-24h'!M85)</f>
        <v>12.5</v>
      </c>
      <c r="N85" s="49">
        <f>AVERAGE('26.09 Mukono-Seeta-24h'!N85,'28.09 Mukono-Seeta-24h'!N85)</f>
        <v>0</v>
      </c>
      <c r="O85" s="15">
        <f t="shared" si="35"/>
        <v>31.5</v>
      </c>
      <c r="P85" s="15">
        <f t="shared" si="36"/>
        <v>44</v>
      </c>
      <c r="R85" s="8"/>
      <c r="T85"/>
    </row>
    <row r="86" spans="2:20" ht="23.1" customHeight="1" x14ac:dyDescent="0.25">
      <c r="B86" s="24" t="s">
        <v>126</v>
      </c>
      <c r="C86" s="49">
        <f>AVERAGE('26.09 Mukono-Seeta-24h'!C86,'28.09 Mukono-Seeta-24h'!C86)</f>
        <v>7.5</v>
      </c>
      <c r="D86" s="49">
        <f>AVERAGE('26.09 Mukono-Seeta-24h'!D86,'28.09 Mukono-Seeta-24h'!D86)</f>
        <v>2.5</v>
      </c>
      <c r="E86" s="49">
        <f>AVERAGE('26.09 Mukono-Seeta-24h'!E86,'28.09 Mukono-Seeta-24h'!E86)</f>
        <v>2.5</v>
      </c>
      <c r="F86" s="49">
        <f>AVERAGE('26.09 Mukono-Seeta-24h'!F86,'28.09 Mukono-Seeta-24h'!F86)</f>
        <v>5</v>
      </c>
      <c r="G86" s="49">
        <f>AVERAGE('26.09 Mukono-Seeta-24h'!G86,'28.09 Mukono-Seeta-24h'!G86)</f>
        <v>0.5</v>
      </c>
      <c r="H86" s="49">
        <f>AVERAGE('26.09 Mukono-Seeta-24h'!H86,'28.09 Mukono-Seeta-24h'!H86)</f>
        <v>1.5</v>
      </c>
      <c r="I86" s="49">
        <f>AVERAGE('26.09 Mukono-Seeta-24h'!I86,'28.09 Mukono-Seeta-24h'!I86)</f>
        <v>4</v>
      </c>
      <c r="J86" s="49">
        <f>AVERAGE('26.09 Mukono-Seeta-24h'!J86,'28.09 Mukono-Seeta-24h'!J86)</f>
        <v>5</v>
      </c>
      <c r="K86" s="49">
        <f>AVERAGE('26.09 Mukono-Seeta-24h'!K86,'28.09 Mukono-Seeta-24h'!K86)</f>
        <v>1</v>
      </c>
      <c r="L86" s="49">
        <f>AVERAGE('26.09 Mukono-Seeta-24h'!L86,'28.09 Mukono-Seeta-24h'!L86)</f>
        <v>2</v>
      </c>
      <c r="M86" s="49">
        <f>AVERAGE('26.09 Mukono-Seeta-24h'!M86,'28.09 Mukono-Seeta-24h'!M86)</f>
        <v>3.5</v>
      </c>
      <c r="N86" s="49">
        <f>AVERAGE('26.09 Mukono-Seeta-24h'!N86,'28.09 Mukono-Seeta-24h'!N86)</f>
        <v>0</v>
      </c>
      <c r="O86" s="15">
        <f t="shared" si="35"/>
        <v>31.5</v>
      </c>
      <c r="P86" s="15">
        <f t="shared" si="36"/>
        <v>35</v>
      </c>
      <c r="R86" s="8"/>
      <c r="T86"/>
    </row>
    <row r="87" spans="2:20" ht="23.1" customHeight="1" x14ac:dyDescent="0.25">
      <c r="B87" s="23" t="s">
        <v>127</v>
      </c>
      <c r="C87" s="49">
        <f>AVERAGE('26.09 Mukono-Seeta-24h'!C87,'28.09 Mukono-Seeta-24h'!C87)</f>
        <v>3.5</v>
      </c>
      <c r="D87" s="49">
        <f>AVERAGE('26.09 Mukono-Seeta-24h'!D87,'28.09 Mukono-Seeta-24h'!D87)</f>
        <v>3.5</v>
      </c>
      <c r="E87" s="49">
        <f>AVERAGE('26.09 Mukono-Seeta-24h'!E87,'28.09 Mukono-Seeta-24h'!E87)</f>
        <v>1</v>
      </c>
      <c r="F87" s="49">
        <f>AVERAGE('26.09 Mukono-Seeta-24h'!F87,'28.09 Mukono-Seeta-24h'!F87)</f>
        <v>3</v>
      </c>
      <c r="G87" s="49">
        <f>AVERAGE('26.09 Mukono-Seeta-24h'!G87,'28.09 Mukono-Seeta-24h'!G87)</f>
        <v>0</v>
      </c>
      <c r="H87" s="49">
        <f>AVERAGE('26.09 Mukono-Seeta-24h'!H87,'28.09 Mukono-Seeta-24h'!H87)</f>
        <v>0</v>
      </c>
      <c r="I87" s="49">
        <f>AVERAGE('26.09 Mukono-Seeta-24h'!I87,'28.09 Mukono-Seeta-24h'!I87)</f>
        <v>7.5</v>
      </c>
      <c r="J87" s="49">
        <f>AVERAGE('26.09 Mukono-Seeta-24h'!J87,'28.09 Mukono-Seeta-24h'!J87)</f>
        <v>4</v>
      </c>
      <c r="K87" s="49">
        <f>AVERAGE('26.09 Mukono-Seeta-24h'!K87,'28.09 Mukono-Seeta-24h'!K87)</f>
        <v>0.5</v>
      </c>
      <c r="L87" s="49">
        <f>AVERAGE('26.09 Mukono-Seeta-24h'!L87,'28.09 Mukono-Seeta-24h'!L87)</f>
        <v>5</v>
      </c>
      <c r="M87" s="49">
        <f>AVERAGE('26.09 Mukono-Seeta-24h'!M87,'28.09 Mukono-Seeta-24h'!M87)</f>
        <v>8.5</v>
      </c>
      <c r="N87" s="49">
        <f>AVERAGE('26.09 Mukono-Seeta-24h'!N87,'28.09 Mukono-Seeta-24h'!N87)</f>
        <v>0</v>
      </c>
      <c r="O87" s="15">
        <f t="shared" si="35"/>
        <v>28</v>
      </c>
      <c r="P87" s="15">
        <f t="shared" si="36"/>
        <v>36.5</v>
      </c>
      <c r="R87" s="8"/>
      <c r="T87"/>
    </row>
    <row r="88" spans="2:20" ht="23.1" customHeight="1" x14ac:dyDescent="0.25">
      <c r="B88" s="25" t="s">
        <v>128</v>
      </c>
      <c r="C88" s="49">
        <f>AVERAGE('26.09 Mukono-Seeta-24h'!C88,'28.09 Mukono-Seeta-24h'!C88)</f>
        <v>8.5</v>
      </c>
      <c r="D88" s="49">
        <f>AVERAGE('26.09 Mukono-Seeta-24h'!D88,'28.09 Mukono-Seeta-24h'!D88)</f>
        <v>3</v>
      </c>
      <c r="E88" s="49">
        <f>AVERAGE('26.09 Mukono-Seeta-24h'!E88,'28.09 Mukono-Seeta-24h'!E88)</f>
        <v>0.5</v>
      </c>
      <c r="F88" s="49">
        <f>AVERAGE('26.09 Mukono-Seeta-24h'!F88,'28.09 Mukono-Seeta-24h'!F88)</f>
        <v>2.5</v>
      </c>
      <c r="G88" s="49">
        <f>AVERAGE('26.09 Mukono-Seeta-24h'!G88,'28.09 Mukono-Seeta-24h'!G88)</f>
        <v>0.5</v>
      </c>
      <c r="H88" s="49">
        <f>AVERAGE('26.09 Mukono-Seeta-24h'!H88,'28.09 Mukono-Seeta-24h'!H88)</f>
        <v>1</v>
      </c>
      <c r="I88" s="49">
        <f>AVERAGE('26.09 Mukono-Seeta-24h'!I88,'28.09 Mukono-Seeta-24h'!I88)</f>
        <v>3.5</v>
      </c>
      <c r="J88" s="49">
        <f>AVERAGE('26.09 Mukono-Seeta-24h'!J88,'28.09 Mukono-Seeta-24h'!J88)</f>
        <v>1</v>
      </c>
      <c r="K88" s="49">
        <f>AVERAGE('26.09 Mukono-Seeta-24h'!K88,'28.09 Mukono-Seeta-24h'!K88)</f>
        <v>2.5</v>
      </c>
      <c r="L88" s="49">
        <f>AVERAGE('26.09 Mukono-Seeta-24h'!L88,'28.09 Mukono-Seeta-24h'!L88)</f>
        <v>5.5</v>
      </c>
      <c r="M88" s="49">
        <f>AVERAGE('26.09 Mukono-Seeta-24h'!M88,'28.09 Mukono-Seeta-24h'!M88)</f>
        <v>5.5</v>
      </c>
      <c r="N88" s="49">
        <f>AVERAGE('26.09 Mukono-Seeta-24h'!N88,'28.09 Mukono-Seeta-24h'!N88)</f>
        <v>0</v>
      </c>
      <c r="O88" s="15">
        <f t="shared" si="35"/>
        <v>28.5</v>
      </c>
      <c r="P88" s="15">
        <f t="shared" si="36"/>
        <v>34</v>
      </c>
      <c r="R88" s="8"/>
      <c r="T88"/>
    </row>
    <row r="89" spans="2:20" ht="23.1" customHeight="1" x14ac:dyDescent="0.25">
      <c r="B89" s="23" t="s">
        <v>129</v>
      </c>
      <c r="C89" s="49">
        <f>AVERAGE('26.09 Mukono-Seeta-24h'!C89,'28.09 Mukono-Seeta-24h'!C89)</f>
        <v>4</v>
      </c>
      <c r="D89" s="49">
        <f>AVERAGE('26.09 Mukono-Seeta-24h'!D89,'28.09 Mukono-Seeta-24h'!D89)</f>
        <v>3</v>
      </c>
      <c r="E89" s="49">
        <f>AVERAGE('26.09 Mukono-Seeta-24h'!E89,'28.09 Mukono-Seeta-24h'!E89)</f>
        <v>1.5</v>
      </c>
      <c r="F89" s="49">
        <f>AVERAGE('26.09 Mukono-Seeta-24h'!F89,'28.09 Mukono-Seeta-24h'!F89)</f>
        <v>4</v>
      </c>
      <c r="G89" s="49">
        <f>AVERAGE('26.09 Mukono-Seeta-24h'!G89,'28.09 Mukono-Seeta-24h'!G89)</f>
        <v>1</v>
      </c>
      <c r="H89" s="49">
        <f>AVERAGE('26.09 Mukono-Seeta-24h'!H89,'28.09 Mukono-Seeta-24h'!H89)</f>
        <v>2</v>
      </c>
      <c r="I89" s="49">
        <f>AVERAGE('26.09 Mukono-Seeta-24h'!I89,'28.09 Mukono-Seeta-24h'!I89)</f>
        <v>3.5</v>
      </c>
      <c r="J89" s="49">
        <f>AVERAGE('26.09 Mukono-Seeta-24h'!J89,'28.09 Mukono-Seeta-24h'!J89)</f>
        <v>0.5</v>
      </c>
      <c r="K89" s="49">
        <f>AVERAGE('26.09 Mukono-Seeta-24h'!K89,'28.09 Mukono-Seeta-24h'!K89)</f>
        <v>3</v>
      </c>
      <c r="L89" s="49">
        <f>AVERAGE('26.09 Mukono-Seeta-24h'!L89,'28.09 Mukono-Seeta-24h'!L89)</f>
        <v>2</v>
      </c>
      <c r="M89" s="49">
        <f>AVERAGE('26.09 Mukono-Seeta-24h'!M89,'28.09 Mukono-Seeta-24h'!M89)</f>
        <v>3.5</v>
      </c>
      <c r="N89" s="49">
        <f>AVERAGE('26.09 Mukono-Seeta-24h'!N89,'28.09 Mukono-Seeta-24h'!N89)</f>
        <v>0</v>
      </c>
      <c r="O89" s="15">
        <f t="shared" si="35"/>
        <v>24.5</v>
      </c>
      <c r="P89" s="15">
        <f t="shared" si="36"/>
        <v>28</v>
      </c>
      <c r="R89" s="8"/>
      <c r="T89"/>
    </row>
    <row r="90" spans="2:20" ht="23.1" customHeight="1" x14ac:dyDescent="0.25">
      <c r="B90" s="24" t="s">
        <v>130</v>
      </c>
      <c r="C90" s="49">
        <f>AVERAGE('26.09 Mukono-Seeta-24h'!C90,'28.09 Mukono-Seeta-24h'!C90)</f>
        <v>10</v>
      </c>
      <c r="D90" s="49">
        <f>AVERAGE('26.09 Mukono-Seeta-24h'!D90,'28.09 Mukono-Seeta-24h'!D90)</f>
        <v>2.5</v>
      </c>
      <c r="E90" s="49">
        <f>AVERAGE('26.09 Mukono-Seeta-24h'!E90,'28.09 Mukono-Seeta-24h'!E90)</f>
        <v>1.5</v>
      </c>
      <c r="F90" s="49">
        <f>AVERAGE('26.09 Mukono-Seeta-24h'!F90,'28.09 Mukono-Seeta-24h'!F90)</f>
        <v>4</v>
      </c>
      <c r="G90" s="49">
        <f>AVERAGE('26.09 Mukono-Seeta-24h'!G90,'28.09 Mukono-Seeta-24h'!G90)</f>
        <v>0</v>
      </c>
      <c r="H90" s="49">
        <f>AVERAGE('26.09 Mukono-Seeta-24h'!H90,'28.09 Mukono-Seeta-24h'!H90)</f>
        <v>0.5</v>
      </c>
      <c r="I90" s="49">
        <f>AVERAGE('26.09 Mukono-Seeta-24h'!I90,'28.09 Mukono-Seeta-24h'!I90)</f>
        <v>0.5</v>
      </c>
      <c r="J90" s="49">
        <f>AVERAGE('26.09 Mukono-Seeta-24h'!J90,'28.09 Mukono-Seeta-24h'!J90)</f>
        <v>5</v>
      </c>
      <c r="K90" s="49">
        <f>AVERAGE('26.09 Mukono-Seeta-24h'!K90,'28.09 Mukono-Seeta-24h'!K90)</f>
        <v>0.5</v>
      </c>
      <c r="L90" s="49">
        <f>AVERAGE('26.09 Mukono-Seeta-24h'!L90,'28.09 Mukono-Seeta-24h'!L90)</f>
        <v>4.5</v>
      </c>
      <c r="M90" s="49">
        <f>AVERAGE('26.09 Mukono-Seeta-24h'!M90,'28.09 Mukono-Seeta-24h'!M90)</f>
        <v>4</v>
      </c>
      <c r="N90" s="49">
        <f>AVERAGE('26.09 Mukono-Seeta-24h'!N90,'28.09 Mukono-Seeta-24h'!N90)</f>
        <v>0</v>
      </c>
      <c r="O90" s="15">
        <f t="shared" si="35"/>
        <v>29</v>
      </c>
      <c r="P90" s="15">
        <f t="shared" si="36"/>
        <v>33</v>
      </c>
      <c r="R90" s="8"/>
      <c r="T90"/>
    </row>
    <row r="91" spans="2:20" ht="23.1" customHeight="1" x14ac:dyDescent="0.25">
      <c r="B91" s="23" t="s">
        <v>131</v>
      </c>
      <c r="C91" s="49">
        <f>AVERAGE('26.09 Mukono-Seeta-24h'!C91,'28.09 Mukono-Seeta-24h'!C91)</f>
        <v>1</v>
      </c>
      <c r="D91" s="49">
        <f>AVERAGE('26.09 Mukono-Seeta-24h'!D91,'28.09 Mukono-Seeta-24h'!D91)</f>
        <v>1.5</v>
      </c>
      <c r="E91" s="49">
        <f>AVERAGE('26.09 Mukono-Seeta-24h'!E91,'28.09 Mukono-Seeta-24h'!E91)</f>
        <v>1</v>
      </c>
      <c r="F91" s="49">
        <f>AVERAGE('26.09 Mukono-Seeta-24h'!F91,'28.09 Mukono-Seeta-24h'!F91)</f>
        <v>3</v>
      </c>
      <c r="G91" s="49">
        <f>AVERAGE('26.09 Mukono-Seeta-24h'!G91,'28.09 Mukono-Seeta-24h'!G91)</f>
        <v>0</v>
      </c>
      <c r="H91" s="49">
        <f>AVERAGE('26.09 Mukono-Seeta-24h'!H91,'28.09 Mukono-Seeta-24h'!H91)</f>
        <v>1.5</v>
      </c>
      <c r="I91" s="49">
        <f>AVERAGE('26.09 Mukono-Seeta-24h'!I91,'28.09 Mukono-Seeta-24h'!I91)</f>
        <v>3</v>
      </c>
      <c r="J91" s="49">
        <f>AVERAGE('26.09 Mukono-Seeta-24h'!J91,'28.09 Mukono-Seeta-24h'!J91)</f>
        <v>2.5</v>
      </c>
      <c r="K91" s="49">
        <f>AVERAGE('26.09 Mukono-Seeta-24h'!K91,'28.09 Mukono-Seeta-24h'!K91)</f>
        <v>1.5</v>
      </c>
      <c r="L91" s="49">
        <f>AVERAGE('26.09 Mukono-Seeta-24h'!L91,'28.09 Mukono-Seeta-24h'!L91)</f>
        <v>5.5</v>
      </c>
      <c r="M91" s="49">
        <f>AVERAGE('26.09 Mukono-Seeta-24h'!M91,'28.09 Mukono-Seeta-24h'!M91)</f>
        <v>3.5</v>
      </c>
      <c r="N91" s="49">
        <f>AVERAGE('26.09 Mukono-Seeta-24h'!N91,'28.09 Mukono-Seeta-24h'!N91)</f>
        <v>0</v>
      </c>
      <c r="O91" s="15">
        <f t="shared" si="35"/>
        <v>20.5</v>
      </c>
      <c r="P91" s="15">
        <f t="shared" si="36"/>
        <v>24</v>
      </c>
      <c r="R91" s="8"/>
      <c r="T91"/>
    </row>
    <row r="92" spans="2:20" ht="23.1" customHeight="1" x14ac:dyDescent="0.25">
      <c r="B92" s="25" t="s">
        <v>132</v>
      </c>
      <c r="C92" s="49">
        <f>AVERAGE('26.09 Mukono-Seeta-24h'!C92,'28.09 Mukono-Seeta-24h'!C92)</f>
        <v>3</v>
      </c>
      <c r="D92" s="49">
        <f>AVERAGE('26.09 Mukono-Seeta-24h'!D92,'28.09 Mukono-Seeta-24h'!D92)</f>
        <v>0.5</v>
      </c>
      <c r="E92" s="49">
        <f>AVERAGE('26.09 Mukono-Seeta-24h'!E92,'28.09 Mukono-Seeta-24h'!E92)</f>
        <v>2</v>
      </c>
      <c r="F92" s="49">
        <f>AVERAGE('26.09 Mukono-Seeta-24h'!F92,'28.09 Mukono-Seeta-24h'!F92)</f>
        <v>5</v>
      </c>
      <c r="G92" s="49">
        <f>AVERAGE('26.09 Mukono-Seeta-24h'!G92,'28.09 Mukono-Seeta-24h'!G92)</f>
        <v>0</v>
      </c>
      <c r="H92" s="49">
        <f>AVERAGE('26.09 Mukono-Seeta-24h'!H92,'28.09 Mukono-Seeta-24h'!H92)</f>
        <v>0</v>
      </c>
      <c r="I92" s="49">
        <f>AVERAGE('26.09 Mukono-Seeta-24h'!I92,'28.09 Mukono-Seeta-24h'!I92)</f>
        <v>2.5</v>
      </c>
      <c r="J92" s="49">
        <f>AVERAGE('26.09 Mukono-Seeta-24h'!J92,'28.09 Mukono-Seeta-24h'!J92)</f>
        <v>5</v>
      </c>
      <c r="K92" s="49">
        <f>AVERAGE('26.09 Mukono-Seeta-24h'!K92,'28.09 Mukono-Seeta-24h'!K92)</f>
        <v>0</v>
      </c>
      <c r="L92" s="49">
        <f>AVERAGE('26.09 Mukono-Seeta-24h'!L92,'28.09 Mukono-Seeta-24h'!L92)</f>
        <v>7</v>
      </c>
      <c r="M92" s="49">
        <f>AVERAGE('26.09 Mukono-Seeta-24h'!M92,'28.09 Mukono-Seeta-24h'!M92)</f>
        <v>7</v>
      </c>
      <c r="N92" s="49">
        <f>AVERAGE('26.09 Mukono-Seeta-24h'!N92,'28.09 Mukono-Seeta-24h'!N92)</f>
        <v>0</v>
      </c>
      <c r="O92" s="15">
        <f t="shared" si="35"/>
        <v>25</v>
      </c>
      <c r="P92" s="15">
        <f t="shared" si="36"/>
        <v>32</v>
      </c>
      <c r="R92" s="8"/>
      <c r="T92"/>
    </row>
    <row r="93" spans="2:20" ht="23.1" customHeight="1" x14ac:dyDescent="0.25">
      <c r="B93" s="23" t="s">
        <v>133</v>
      </c>
      <c r="C93" s="49">
        <f>AVERAGE('26.09 Mukono-Seeta-24h'!C93,'28.09 Mukono-Seeta-24h'!C93)</f>
        <v>4.5</v>
      </c>
      <c r="D93" s="49">
        <f>AVERAGE('26.09 Mukono-Seeta-24h'!D93,'28.09 Mukono-Seeta-24h'!D93)</f>
        <v>5</v>
      </c>
      <c r="E93" s="49">
        <f>AVERAGE('26.09 Mukono-Seeta-24h'!E93,'28.09 Mukono-Seeta-24h'!E93)</f>
        <v>3</v>
      </c>
      <c r="F93" s="49">
        <f>AVERAGE('26.09 Mukono-Seeta-24h'!F93,'28.09 Mukono-Seeta-24h'!F93)</f>
        <v>2</v>
      </c>
      <c r="G93" s="49">
        <f>AVERAGE('26.09 Mukono-Seeta-24h'!G93,'28.09 Mukono-Seeta-24h'!G93)</f>
        <v>0</v>
      </c>
      <c r="H93" s="49">
        <f>AVERAGE('26.09 Mukono-Seeta-24h'!H93,'28.09 Mukono-Seeta-24h'!H93)</f>
        <v>1.5</v>
      </c>
      <c r="I93" s="49">
        <f>AVERAGE('26.09 Mukono-Seeta-24h'!I93,'28.09 Mukono-Seeta-24h'!I93)</f>
        <v>1.5</v>
      </c>
      <c r="J93" s="49">
        <f>AVERAGE('26.09 Mukono-Seeta-24h'!J93,'28.09 Mukono-Seeta-24h'!J93)</f>
        <v>3.5</v>
      </c>
      <c r="K93" s="49">
        <f>AVERAGE('26.09 Mukono-Seeta-24h'!K93,'28.09 Mukono-Seeta-24h'!K93)</f>
        <v>4</v>
      </c>
      <c r="L93" s="49">
        <f>AVERAGE('26.09 Mukono-Seeta-24h'!L93,'28.09 Mukono-Seeta-24h'!L93)</f>
        <v>5.5</v>
      </c>
      <c r="M93" s="49">
        <f>AVERAGE('26.09 Mukono-Seeta-24h'!M93,'28.09 Mukono-Seeta-24h'!M93)</f>
        <v>5</v>
      </c>
      <c r="N93" s="49">
        <f>AVERAGE('26.09 Mukono-Seeta-24h'!N93,'28.09 Mukono-Seeta-24h'!N93)</f>
        <v>0</v>
      </c>
      <c r="O93" s="15">
        <f t="shared" si="35"/>
        <v>30.5</v>
      </c>
      <c r="P93" s="15">
        <f t="shared" si="36"/>
        <v>35.5</v>
      </c>
      <c r="R93" s="8"/>
      <c r="T93"/>
    </row>
    <row r="94" spans="2:20" ht="23.1" customHeight="1" x14ac:dyDescent="0.25">
      <c r="B94" s="24" t="s">
        <v>134</v>
      </c>
      <c r="C94" s="49">
        <f>AVERAGE('26.09 Mukono-Seeta-24h'!C94,'28.09 Mukono-Seeta-24h'!C94)</f>
        <v>7.5</v>
      </c>
      <c r="D94" s="49">
        <f>AVERAGE('26.09 Mukono-Seeta-24h'!D94,'28.09 Mukono-Seeta-24h'!D94)</f>
        <v>1</v>
      </c>
      <c r="E94" s="49">
        <f>AVERAGE('26.09 Mukono-Seeta-24h'!E94,'28.09 Mukono-Seeta-24h'!E94)</f>
        <v>2</v>
      </c>
      <c r="F94" s="49">
        <f>AVERAGE('26.09 Mukono-Seeta-24h'!F94,'28.09 Mukono-Seeta-24h'!F94)</f>
        <v>9.5</v>
      </c>
      <c r="G94" s="49">
        <f>AVERAGE('26.09 Mukono-Seeta-24h'!G94,'28.09 Mukono-Seeta-24h'!G94)</f>
        <v>1</v>
      </c>
      <c r="H94" s="49">
        <f>AVERAGE('26.09 Mukono-Seeta-24h'!H94,'28.09 Mukono-Seeta-24h'!H94)</f>
        <v>0.5</v>
      </c>
      <c r="I94" s="49">
        <f>AVERAGE('26.09 Mukono-Seeta-24h'!I94,'28.09 Mukono-Seeta-24h'!I94)</f>
        <v>2</v>
      </c>
      <c r="J94" s="49">
        <f>AVERAGE('26.09 Mukono-Seeta-24h'!J94,'28.09 Mukono-Seeta-24h'!J94)</f>
        <v>4</v>
      </c>
      <c r="K94" s="49">
        <f>AVERAGE('26.09 Mukono-Seeta-24h'!K94,'28.09 Mukono-Seeta-24h'!K94)</f>
        <v>1.5</v>
      </c>
      <c r="L94" s="49">
        <f>AVERAGE('26.09 Mukono-Seeta-24h'!L94,'28.09 Mukono-Seeta-24h'!L94)</f>
        <v>6</v>
      </c>
      <c r="M94" s="49">
        <f>AVERAGE('26.09 Mukono-Seeta-24h'!M94,'28.09 Mukono-Seeta-24h'!M94)</f>
        <v>6.5</v>
      </c>
      <c r="N94" s="49">
        <f>AVERAGE('26.09 Mukono-Seeta-24h'!N94,'28.09 Mukono-Seeta-24h'!N94)</f>
        <v>0</v>
      </c>
      <c r="O94" s="15">
        <f t="shared" si="35"/>
        <v>35</v>
      </c>
      <c r="P94" s="15">
        <f t="shared" si="36"/>
        <v>41.5</v>
      </c>
      <c r="R94" s="8"/>
      <c r="T94"/>
    </row>
    <row r="95" spans="2:20" ht="23.1" customHeight="1" x14ac:dyDescent="0.25">
      <c r="B95" s="23" t="s">
        <v>135</v>
      </c>
      <c r="C95" s="49">
        <f>AVERAGE('26.09 Mukono-Seeta-24h'!C95,'28.09 Mukono-Seeta-24h'!C95)</f>
        <v>3</v>
      </c>
      <c r="D95" s="49">
        <f>AVERAGE('26.09 Mukono-Seeta-24h'!D95,'28.09 Mukono-Seeta-24h'!D95)</f>
        <v>0</v>
      </c>
      <c r="E95" s="49">
        <f>AVERAGE('26.09 Mukono-Seeta-24h'!E95,'28.09 Mukono-Seeta-24h'!E95)</f>
        <v>2</v>
      </c>
      <c r="F95" s="49">
        <f>AVERAGE('26.09 Mukono-Seeta-24h'!F95,'28.09 Mukono-Seeta-24h'!F95)</f>
        <v>6.5</v>
      </c>
      <c r="G95" s="49">
        <f>AVERAGE('26.09 Mukono-Seeta-24h'!G95,'28.09 Mukono-Seeta-24h'!G95)</f>
        <v>1</v>
      </c>
      <c r="H95" s="49">
        <f>AVERAGE('26.09 Mukono-Seeta-24h'!H95,'28.09 Mukono-Seeta-24h'!H95)</f>
        <v>1.5</v>
      </c>
      <c r="I95" s="49">
        <f>AVERAGE('26.09 Mukono-Seeta-24h'!I95,'28.09 Mukono-Seeta-24h'!I95)</f>
        <v>2</v>
      </c>
      <c r="J95" s="49">
        <f>AVERAGE('26.09 Mukono-Seeta-24h'!J95,'28.09 Mukono-Seeta-24h'!J95)</f>
        <v>2</v>
      </c>
      <c r="K95" s="49">
        <f>AVERAGE('26.09 Mukono-Seeta-24h'!K95,'28.09 Mukono-Seeta-24h'!K95)</f>
        <v>0</v>
      </c>
      <c r="L95" s="49">
        <f>AVERAGE('26.09 Mukono-Seeta-24h'!L95,'28.09 Mukono-Seeta-24h'!L95)</f>
        <v>8</v>
      </c>
      <c r="M95" s="49">
        <f>AVERAGE('26.09 Mukono-Seeta-24h'!M95,'28.09 Mukono-Seeta-24h'!M95)</f>
        <v>6</v>
      </c>
      <c r="N95" s="49">
        <f>AVERAGE('26.09 Mukono-Seeta-24h'!N95,'28.09 Mukono-Seeta-24h'!N95)</f>
        <v>0</v>
      </c>
      <c r="O95" s="15">
        <f t="shared" si="35"/>
        <v>26</v>
      </c>
      <c r="P95" s="15">
        <f t="shared" si="36"/>
        <v>32</v>
      </c>
      <c r="R95" s="8"/>
      <c r="T95"/>
    </row>
    <row r="96" spans="2:20" ht="23.1" customHeight="1" x14ac:dyDescent="0.25">
      <c r="B96" s="25" t="s">
        <v>136</v>
      </c>
      <c r="C96" s="49">
        <f>AVERAGE('26.09 Mukono-Seeta-24h'!C96,'28.09 Mukono-Seeta-24h'!C96)</f>
        <v>5</v>
      </c>
      <c r="D96" s="49">
        <f>AVERAGE('26.09 Mukono-Seeta-24h'!D96,'28.09 Mukono-Seeta-24h'!D96)</f>
        <v>1</v>
      </c>
      <c r="E96" s="49">
        <f>AVERAGE('26.09 Mukono-Seeta-24h'!E96,'28.09 Mukono-Seeta-24h'!E96)</f>
        <v>0.5</v>
      </c>
      <c r="F96" s="49">
        <f>AVERAGE('26.09 Mukono-Seeta-24h'!F96,'28.09 Mukono-Seeta-24h'!F96)</f>
        <v>7.5</v>
      </c>
      <c r="G96" s="49">
        <f>AVERAGE('26.09 Mukono-Seeta-24h'!G96,'28.09 Mukono-Seeta-24h'!G96)</f>
        <v>0.5</v>
      </c>
      <c r="H96" s="49">
        <f>AVERAGE('26.09 Mukono-Seeta-24h'!H96,'28.09 Mukono-Seeta-24h'!H96)</f>
        <v>2</v>
      </c>
      <c r="I96" s="49">
        <f>AVERAGE('26.09 Mukono-Seeta-24h'!I96,'28.09 Mukono-Seeta-24h'!I96)</f>
        <v>3</v>
      </c>
      <c r="J96" s="49">
        <f>AVERAGE('26.09 Mukono-Seeta-24h'!J96,'28.09 Mukono-Seeta-24h'!J96)</f>
        <v>3</v>
      </c>
      <c r="K96" s="49">
        <f>AVERAGE('26.09 Mukono-Seeta-24h'!K96,'28.09 Mukono-Seeta-24h'!K96)</f>
        <v>1</v>
      </c>
      <c r="L96" s="49">
        <f>AVERAGE('26.09 Mukono-Seeta-24h'!L96,'28.09 Mukono-Seeta-24h'!L96)</f>
        <v>11</v>
      </c>
      <c r="M96" s="49">
        <f>AVERAGE('26.09 Mukono-Seeta-24h'!M96,'28.09 Mukono-Seeta-24h'!M96)</f>
        <v>2.5</v>
      </c>
      <c r="N96" s="49">
        <f>AVERAGE('26.09 Mukono-Seeta-24h'!N96,'28.09 Mukono-Seeta-24h'!N96)</f>
        <v>0</v>
      </c>
      <c r="O96" s="15">
        <f t="shared" si="35"/>
        <v>34.5</v>
      </c>
      <c r="P96" s="15">
        <f t="shared" si="36"/>
        <v>37</v>
      </c>
      <c r="R96" s="8"/>
      <c r="T96"/>
    </row>
    <row r="97" spans="2:20" ht="23.1" customHeight="1" x14ac:dyDescent="0.25">
      <c r="B97" s="23" t="s">
        <v>137</v>
      </c>
      <c r="C97" s="49">
        <f>AVERAGE('26.09 Mukono-Seeta-24h'!C97,'28.09 Mukono-Seeta-24h'!C97)</f>
        <v>5</v>
      </c>
      <c r="D97" s="49">
        <f>AVERAGE('26.09 Mukono-Seeta-24h'!D97,'28.09 Mukono-Seeta-24h'!D97)</f>
        <v>2</v>
      </c>
      <c r="E97" s="49">
        <f>AVERAGE('26.09 Mukono-Seeta-24h'!E97,'28.09 Mukono-Seeta-24h'!E97)</f>
        <v>2</v>
      </c>
      <c r="F97" s="49">
        <f>AVERAGE('26.09 Mukono-Seeta-24h'!F97,'28.09 Mukono-Seeta-24h'!F97)</f>
        <v>11.5</v>
      </c>
      <c r="G97" s="49">
        <f>AVERAGE('26.09 Mukono-Seeta-24h'!G97,'28.09 Mukono-Seeta-24h'!G97)</f>
        <v>0.5</v>
      </c>
      <c r="H97" s="49">
        <f>AVERAGE('26.09 Mukono-Seeta-24h'!H97,'28.09 Mukono-Seeta-24h'!H97)</f>
        <v>0.5</v>
      </c>
      <c r="I97" s="49">
        <f>AVERAGE('26.09 Mukono-Seeta-24h'!I97,'28.09 Mukono-Seeta-24h'!I97)</f>
        <v>3</v>
      </c>
      <c r="J97" s="49">
        <f>AVERAGE('26.09 Mukono-Seeta-24h'!J97,'28.09 Mukono-Seeta-24h'!J97)</f>
        <v>2.5</v>
      </c>
      <c r="K97" s="49">
        <f>AVERAGE('26.09 Mukono-Seeta-24h'!K97,'28.09 Mukono-Seeta-24h'!K97)</f>
        <v>2</v>
      </c>
      <c r="L97" s="49">
        <f>AVERAGE('26.09 Mukono-Seeta-24h'!L97,'28.09 Mukono-Seeta-24h'!L97)</f>
        <v>10</v>
      </c>
      <c r="M97" s="49">
        <f>AVERAGE('26.09 Mukono-Seeta-24h'!M97,'28.09 Mukono-Seeta-24h'!M97)</f>
        <v>7</v>
      </c>
      <c r="N97" s="49">
        <f>AVERAGE('26.09 Mukono-Seeta-24h'!N97,'28.09 Mukono-Seeta-24h'!N97)</f>
        <v>0</v>
      </c>
      <c r="O97" s="15">
        <f t="shared" si="35"/>
        <v>39</v>
      </c>
      <c r="P97" s="15">
        <f t="shared" si="36"/>
        <v>46</v>
      </c>
      <c r="R97" s="8"/>
      <c r="T97"/>
    </row>
    <row r="98" spans="2:20" ht="23.1" customHeight="1" x14ac:dyDescent="0.25">
      <c r="B98" s="24" t="s">
        <v>138</v>
      </c>
      <c r="C98" s="49">
        <f>AVERAGE('26.09 Mukono-Seeta-24h'!C98,'28.09 Mukono-Seeta-24h'!C98)</f>
        <v>4</v>
      </c>
      <c r="D98" s="49">
        <f>AVERAGE('26.09 Mukono-Seeta-24h'!D98,'28.09 Mukono-Seeta-24h'!D98)</f>
        <v>4</v>
      </c>
      <c r="E98" s="49">
        <f>AVERAGE('26.09 Mukono-Seeta-24h'!E98,'28.09 Mukono-Seeta-24h'!E98)</f>
        <v>1</v>
      </c>
      <c r="F98" s="49">
        <f>AVERAGE('26.09 Mukono-Seeta-24h'!F98,'28.09 Mukono-Seeta-24h'!F98)</f>
        <v>15.5</v>
      </c>
      <c r="G98" s="49">
        <f>AVERAGE('26.09 Mukono-Seeta-24h'!G98,'28.09 Mukono-Seeta-24h'!G98)</f>
        <v>1.5</v>
      </c>
      <c r="H98" s="49">
        <f>AVERAGE('26.09 Mukono-Seeta-24h'!H98,'28.09 Mukono-Seeta-24h'!H98)</f>
        <v>1.5</v>
      </c>
      <c r="I98" s="49">
        <f>AVERAGE('26.09 Mukono-Seeta-24h'!I98,'28.09 Mukono-Seeta-24h'!I98)</f>
        <v>3.5</v>
      </c>
      <c r="J98" s="49">
        <f>AVERAGE('26.09 Mukono-Seeta-24h'!J98,'28.09 Mukono-Seeta-24h'!J98)</f>
        <v>5</v>
      </c>
      <c r="K98" s="49">
        <f>AVERAGE('26.09 Mukono-Seeta-24h'!K98,'28.09 Mukono-Seeta-24h'!K98)</f>
        <v>1</v>
      </c>
      <c r="L98" s="49">
        <f>AVERAGE('26.09 Mukono-Seeta-24h'!L98,'28.09 Mukono-Seeta-24h'!L98)</f>
        <v>11.5</v>
      </c>
      <c r="M98" s="49">
        <f>AVERAGE('26.09 Mukono-Seeta-24h'!M98,'28.09 Mukono-Seeta-24h'!M98)</f>
        <v>5</v>
      </c>
      <c r="N98" s="49">
        <f>AVERAGE('26.09 Mukono-Seeta-24h'!N98,'28.09 Mukono-Seeta-24h'!N98)</f>
        <v>0</v>
      </c>
      <c r="O98" s="15">
        <f t="shared" si="35"/>
        <v>48.5</v>
      </c>
      <c r="P98" s="15">
        <f t="shared" si="36"/>
        <v>53.5</v>
      </c>
      <c r="R98" s="8"/>
      <c r="T98"/>
    </row>
    <row r="99" spans="2:20" ht="23.1" customHeight="1" x14ac:dyDescent="0.25">
      <c r="B99" s="23" t="s">
        <v>139</v>
      </c>
      <c r="C99" s="49">
        <f>AVERAGE('26.09 Mukono-Seeta-24h'!C99,'28.09 Mukono-Seeta-24h'!C99)</f>
        <v>12</v>
      </c>
      <c r="D99" s="49">
        <f>AVERAGE('26.09 Mukono-Seeta-24h'!D99,'28.09 Mukono-Seeta-24h'!D99)</f>
        <v>3</v>
      </c>
      <c r="E99" s="49">
        <f>AVERAGE('26.09 Mukono-Seeta-24h'!E99,'28.09 Mukono-Seeta-24h'!E99)</f>
        <v>4.5</v>
      </c>
      <c r="F99" s="49">
        <f>AVERAGE('26.09 Mukono-Seeta-24h'!F99,'28.09 Mukono-Seeta-24h'!F99)</f>
        <v>26</v>
      </c>
      <c r="G99" s="49">
        <f>AVERAGE('26.09 Mukono-Seeta-24h'!G99,'28.09 Mukono-Seeta-24h'!G99)</f>
        <v>3.5</v>
      </c>
      <c r="H99" s="49">
        <f>AVERAGE('26.09 Mukono-Seeta-24h'!H99,'28.09 Mukono-Seeta-24h'!H99)</f>
        <v>1</v>
      </c>
      <c r="I99" s="49">
        <f>AVERAGE('26.09 Mukono-Seeta-24h'!I99,'28.09 Mukono-Seeta-24h'!I99)</f>
        <v>3</v>
      </c>
      <c r="J99" s="49">
        <f>AVERAGE('26.09 Mukono-Seeta-24h'!J99,'28.09 Mukono-Seeta-24h'!J99)</f>
        <v>7</v>
      </c>
      <c r="K99" s="49">
        <f>AVERAGE('26.09 Mukono-Seeta-24h'!K99,'28.09 Mukono-Seeta-24h'!K99)</f>
        <v>0.5</v>
      </c>
      <c r="L99" s="49">
        <f>AVERAGE('26.09 Mukono-Seeta-24h'!L99,'28.09 Mukono-Seeta-24h'!L99)</f>
        <v>13.5</v>
      </c>
      <c r="M99" s="49">
        <f>AVERAGE('26.09 Mukono-Seeta-24h'!M99,'28.09 Mukono-Seeta-24h'!M99)</f>
        <v>7</v>
      </c>
      <c r="N99" s="49">
        <f>AVERAGE('26.09 Mukono-Seeta-24h'!N99,'28.09 Mukono-Seeta-24h'!N99)</f>
        <v>0</v>
      </c>
      <c r="O99" s="15">
        <f t="shared" si="35"/>
        <v>74</v>
      </c>
      <c r="P99" s="15">
        <f t="shared" si="36"/>
        <v>81</v>
      </c>
      <c r="R99" s="8"/>
      <c r="T99"/>
    </row>
    <row r="100" spans="2:20" ht="23.1" customHeight="1" x14ac:dyDescent="0.25">
      <c r="B100" s="25" t="s">
        <v>140</v>
      </c>
      <c r="C100" s="49">
        <f>AVERAGE('26.09 Mukono-Seeta-24h'!C100,'28.09 Mukono-Seeta-24h'!C100)</f>
        <v>11.5</v>
      </c>
      <c r="D100" s="49">
        <f>AVERAGE('26.09 Mukono-Seeta-24h'!D100,'28.09 Mukono-Seeta-24h'!D100)</f>
        <v>10.5</v>
      </c>
      <c r="E100" s="49">
        <f>AVERAGE('26.09 Mukono-Seeta-24h'!E100,'28.09 Mukono-Seeta-24h'!E100)</f>
        <v>3.5</v>
      </c>
      <c r="F100" s="49">
        <f>AVERAGE('26.09 Mukono-Seeta-24h'!F100,'28.09 Mukono-Seeta-24h'!F100)</f>
        <v>29</v>
      </c>
      <c r="G100" s="49">
        <f>AVERAGE('26.09 Mukono-Seeta-24h'!G100,'28.09 Mukono-Seeta-24h'!G100)</f>
        <v>4.5</v>
      </c>
      <c r="H100" s="49">
        <f>AVERAGE('26.09 Mukono-Seeta-24h'!H100,'28.09 Mukono-Seeta-24h'!H100)</f>
        <v>2</v>
      </c>
      <c r="I100" s="49">
        <f>AVERAGE('26.09 Mukono-Seeta-24h'!I100,'28.09 Mukono-Seeta-24h'!I100)</f>
        <v>4.5</v>
      </c>
      <c r="J100" s="49">
        <f>AVERAGE('26.09 Mukono-Seeta-24h'!J100,'28.09 Mukono-Seeta-24h'!J100)</f>
        <v>3.5</v>
      </c>
      <c r="K100" s="49">
        <f>AVERAGE('26.09 Mukono-Seeta-24h'!K100,'28.09 Mukono-Seeta-24h'!K100)</f>
        <v>6.5</v>
      </c>
      <c r="L100" s="49">
        <f>AVERAGE('26.09 Mukono-Seeta-24h'!L100,'28.09 Mukono-Seeta-24h'!L100)</f>
        <v>21</v>
      </c>
      <c r="M100" s="49">
        <f>AVERAGE('26.09 Mukono-Seeta-24h'!M100,'28.09 Mukono-Seeta-24h'!M100)</f>
        <v>8.5</v>
      </c>
      <c r="N100" s="49">
        <f>AVERAGE('26.09 Mukono-Seeta-24h'!N100,'28.09 Mukono-Seeta-24h'!N100)</f>
        <v>0</v>
      </c>
      <c r="O100" s="15">
        <f t="shared" si="35"/>
        <v>96.5</v>
      </c>
      <c r="P100" s="15">
        <f t="shared" si="36"/>
        <v>105</v>
      </c>
      <c r="R100" s="8"/>
      <c r="T100"/>
    </row>
    <row r="101" spans="2:20" ht="23.1" customHeight="1" x14ac:dyDescent="0.25">
      <c r="B101" s="23" t="s">
        <v>141</v>
      </c>
      <c r="C101" s="49">
        <f>AVERAGE('26.09 Mukono-Seeta-24h'!C101,'28.09 Mukono-Seeta-24h'!C101)</f>
        <v>18</v>
      </c>
      <c r="D101" s="49">
        <f>AVERAGE('26.09 Mukono-Seeta-24h'!D101,'28.09 Mukono-Seeta-24h'!D101)</f>
        <v>11.5</v>
      </c>
      <c r="E101" s="49">
        <f>AVERAGE('26.09 Mukono-Seeta-24h'!E101,'28.09 Mukono-Seeta-24h'!E101)</f>
        <v>3.5</v>
      </c>
      <c r="F101" s="49">
        <f>AVERAGE('26.09 Mukono-Seeta-24h'!F101,'28.09 Mukono-Seeta-24h'!F101)</f>
        <v>33.5</v>
      </c>
      <c r="G101" s="49">
        <f>AVERAGE('26.09 Mukono-Seeta-24h'!G101,'28.09 Mukono-Seeta-24h'!G101)</f>
        <v>2</v>
      </c>
      <c r="H101" s="49">
        <f>AVERAGE('26.09 Mukono-Seeta-24h'!H101,'28.09 Mukono-Seeta-24h'!H101)</f>
        <v>1.5</v>
      </c>
      <c r="I101" s="49">
        <f>AVERAGE('26.09 Mukono-Seeta-24h'!I101,'28.09 Mukono-Seeta-24h'!I101)</f>
        <v>3.5</v>
      </c>
      <c r="J101" s="49">
        <f>AVERAGE('26.09 Mukono-Seeta-24h'!J101,'28.09 Mukono-Seeta-24h'!J101)</f>
        <v>7</v>
      </c>
      <c r="K101" s="49">
        <f>AVERAGE('26.09 Mukono-Seeta-24h'!K101,'28.09 Mukono-Seeta-24h'!K101)</f>
        <v>2</v>
      </c>
      <c r="L101" s="49">
        <f>AVERAGE('26.09 Mukono-Seeta-24h'!L101,'28.09 Mukono-Seeta-24h'!L101)</f>
        <v>12.5</v>
      </c>
      <c r="M101" s="49">
        <f>AVERAGE('26.09 Mukono-Seeta-24h'!M101,'28.09 Mukono-Seeta-24h'!M101)</f>
        <v>15.5</v>
      </c>
      <c r="N101" s="49">
        <f>AVERAGE('26.09 Mukono-Seeta-24h'!N101,'28.09 Mukono-Seeta-24h'!N101)</f>
        <v>0</v>
      </c>
      <c r="O101" s="15">
        <f t="shared" si="35"/>
        <v>95</v>
      </c>
      <c r="P101" s="15">
        <f t="shared" si="36"/>
        <v>110.5</v>
      </c>
      <c r="R101" s="8"/>
      <c r="T101"/>
    </row>
    <row r="102" spans="2:20" ht="23.1" customHeight="1" x14ac:dyDescent="0.25">
      <c r="B102" s="24" t="s">
        <v>142</v>
      </c>
      <c r="C102" s="49">
        <f>AVERAGE('26.09 Mukono-Seeta-24h'!C102,'28.09 Mukono-Seeta-24h'!C102)</f>
        <v>26</v>
      </c>
      <c r="D102" s="49">
        <f>AVERAGE('26.09 Mukono-Seeta-24h'!D102,'28.09 Mukono-Seeta-24h'!D102)</f>
        <v>18</v>
      </c>
      <c r="E102" s="49">
        <f>AVERAGE('26.09 Mukono-Seeta-24h'!E102,'28.09 Mukono-Seeta-24h'!E102)</f>
        <v>4</v>
      </c>
      <c r="F102" s="49">
        <f>AVERAGE('26.09 Mukono-Seeta-24h'!F102,'28.09 Mukono-Seeta-24h'!F102)</f>
        <v>37</v>
      </c>
      <c r="G102" s="49">
        <f>AVERAGE('26.09 Mukono-Seeta-24h'!G102,'28.09 Mukono-Seeta-24h'!G102)</f>
        <v>6.5</v>
      </c>
      <c r="H102" s="49">
        <f>AVERAGE('26.09 Mukono-Seeta-24h'!H102,'28.09 Mukono-Seeta-24h'!H102)</f>
        <v>0.5</v>
      </c>
      <c r="I102" s="49">
        <f>AVERAGE('26.09 Mukono-Seeta-24h'!I102,'28.09 Mukono-Seeta-24h'!I102)</f>
        <v>7.5</v>
      </c>
      <c r="J102" s="49">
        <f>AVERAGE('26.09 Mukono-Seeta-24h'!J102,'28.09 Mukono-Seeta-24h'!J102)</f>
        <v>2.5</v>
      </c>
      <c r="K102" s="49">
        <f>AVERAGE('26.09 Mukono-Seeta-24h'!K102,'28.09 Mukono-Seeta-24h'!K102)</f>
        <v>1</v>
      </c>
      <c r="L102" s="49">
        <f>AVERAGE('26.09 Mukono-Seeta-24h'!L102,'28.09 Mukono-Seeta-24h'!L102)</f>
        <v>15</v>
      </c>
      <c r="M102" s="49">
        <f>AVERAGE('26.09 Mukono-Seeta-24h'!M102,'28.09 Mukono-Seeta-24h'!M102)</f>
        <v>17.5</v>
      </c>
      <c r="N102" s="49">
        <f>AVERAGE('26.09 Mukono-Seeta-24h'!N102,'28.09 Mukono-Seeta-24h'!N102)</f>
        <v>0</v>
      </c>
      <c r="O102" s="15">
        <f t="shared" si="35"/>
        <v>118</v>
      </c>
      <c r="P102" s="15">
        <f t="shared" si="36"/>
        <v>135.5</v>
      </c>
      <c r="R102" s="8"/>
      <c r="T102"/>
    </row>
    <row r="103" spans="2:20" ht="23.1" customHeight="1" x14ac:dyDescent="0.25">
      <c r="B103" s="23" t="s">
        <v>143</v>
      </c>
      <c r="C103" s="49">
        <f>AVERAGE('26.09 Mukono-Seeta-24h'!C103,'28.09 Mukono-Seeta-24h'!C103)</f>
        <v>28</v>
      </c>
      <c r="D103" s="49">
        <f>AVERAGE('26.09 Mukono-Seeta-24h'!D103,'28.09 Mukono-Seeta-24h'!D103)</f>
        <v>19</v>
      </c>
      <c r="E103" s="49">
        <f>AVERAGE('26.09 Mukono-Seeta-24h'!E103,'28.09 Mukono-Seeta-24h'!E103)</f>
        <v>4</v>
      </c>
      <c r="F103" s="49">
        <f>AVERAGE('26.09 Mukono-Seeta-24h'!F103,'28.09 Mukono-Seeta-24h'!F103)</f>
        <v>37.5</v>
      </c>
      <c r="G103" s="49">
        <f>AVERAGE('26.09 Mukono-Seeta-24h'!G103,'28.09 Mukono-Seeta-24h'!G103)</f>
        <v>3.5</v>
      </c>
      <c r="H103" s="49">
        <f>AVERAGE('26.09 Mukono-Seeta-24h'!H103,'28.09 Mukono-Seeta-24h'!H103)</f>
        <v>1</v>
      </c>
      <c r="I103" s="49">
        <f>AVERAGE('26.09 Mukono-Seeta-24h'!I103,'28.09 Mukono-Seeta-24h'!I103)</f>
        <v>4</v>
      </c>
      <c r="J103" s="49">
        <f>AVERAGE('26.09 Mukono-Seeta-24h'!J103,'28.09 Mukono-Seeta-24h'!J103)</f>
        <v>5.5</v>
      </c>
      <c r="K103" s="49">
        <f>AVERAGE('26.09 Mukono-Seeta-24h'!K103,'28.09 Mukono-Seeta-24h'!K103)</f>
        <v>2.5</v>
      </c>
      <c r="L103" s="49">
        <f>AVERAGE('26.09 Mukono-Seeta-24h'!L103,'28.09 Mukono-Seeta-24h'!L103)</f>
        <v>22</v>
      </c>
      <c r="M103" s="49">
        <f>AVERAGE('26.09 Mukono-Seeta-24h'!M103,'28.09 Mukono-Seeta-24h'!M103)</f>
        <v>32</v>
      </c>
      <c r="N103" s="49">
        <f>AVERAGE('26.09 Mukono-Seeta-24h'!N103,'28.09 Mukono-Seeta-24h'!N103)</f>
        <v>0</v>
      </c>
      <c r="O103" s="15">
        <f t="shared" si="35"/>
        <v>127</v>
      </c>
      <c r="P103" s="15">
        <f t="shared" si="36"/>
        <v>159</v>
      </c>
      <c r="R103" s="8"/>
      <c r="T103"/>
    </row>
    <row r="104" spans="2:20" ht="23.1" customHeight="1" x14ac:dyDescent="0.25">
      <c r="B104" s="25" t="s">
        <v>144</v>
      </c>
      <c r="C104" s="49">
        <f>AVERAGE('26.09 Mukono-Seeta-24h'!C104,'28.09 Mukono-Seeta-24h'!C104)</f>
        <v>24.5</v>
      </c>
      <c r="D104" s="49">
        <f>AVERAGE('26.09 Mukono-Seeta-24h'!D104,'28.09 Mukono-Seeta-24h'!D104)</f>
        <v>11.5</v>
      </c>
      <c r="E104" s="49">
        <f>AVERAGE('26.09 Mukono-Seeta-24h'!E104,'28.09 Mukono-Seeta-24h'!E104)</f>
        <v>7.5</v>
      </c>
      <c r="F104" s="49">
        <f>AVERAGE('26.09 Mukono-Seeta-24h'!F104,'28.09 Mukono-Seeta-24h'!F104)</f>
        <v>45.5</v>
      </c>
      <c r="G104" s="49">
        <f>AVERAGE('26.09 Mukono-Seeta-24h'!G104,'28.09 Mukono-Seeta-24h'!G104)</f>
        <v>4</v>
      </c>
      <c r="H104" s="49">
        <f>AVERAGE('26.09 Mukono-Seeta-24h'!H104,'28.09 Mukono-Seeta-24h'!H104)</f>
        <v>1</v>
      </c>
      <c r="I104" s="49">
        <f>AVERAGE('26.09 Mukono-Seeta-24h'!I104,'28.09 Mukono-Seeta-24h'!I104)</f>
        <v>5</v>
      </c>
      <c r="J104" s="49">
        <f>AVERAGE('26.09 Mukono-Seeta-24h'!J104,'28.09 Mukono-Seeta-24h'!J104)</f>
        <v>2</v>
      </c>
      <c r="K104" s="49">
        <f>AVERAGE('26.09 Mukono-Seeta-24h'!K104,'28.09 Mukono-Seeta-24h'!K104)</f>
        <v>9.5</v>
      </c>
      <c r="L104" s="49">
        <f>AVERAGE('26.09 Mukono-Seeta-24h'!L104,'28.09 Mukono-Seeta-24h'!L104)</f>
        <v>30</v>
      </c>
      <c r="M104" s="49">
        <f>AVERAGE('26.09 Mukono-Seeta-24h'!M104,'28.09 Mukono-Seeta-24h'!M104)</f>
        <v>16.5</v>
      </c>
      <c r="N104" s="49">
        <f>AVERAGE('26.09 Mukono-Seeta-24h'!N104,'28.09 Mukono-Seeta-24h'!N104)</f>
        <v>0</v>
      </c>
      <c r="O104" s="15">
        <f t="shared" si="35"/>
        <v>140.5</v>
      </c>
      <c r="P104" s="15">
        <f t="shared" si="36"/>
        <v>157</v>
      </c>
      <c r="R104" s="8"/>
      <c r="T104"/>
    </row>
    <row r="105" spans="2:20" ht="23.1" customHeight="1" x14ac:dyDescent="0.25">
      <c r="B105" s="23" t="s">
        <v>145</v>
      </c>
      <c r="C105" s="49">
        <f>AVERAGE('26.09 Mukono-Seeta-24h'!C105,'28.09 Mukono-Seeta-24h'!C105)</f>
        <v>32.5</v>
      </c>
      <c r="D105" s="49">
        <f>AVERAGE('26.09 Mukono-Seeta-24h'!D105,'28.09 Mukono-Seeta-24h'!D105)</f>
        <v>16</v>
      </c>
      <c r="E105" s="49">
        <f>AVERAGE('26.09 Mukono-Seeta-24h'!E105,'28.09 Mukono-Seeta-24h'!E105)</f>
        <v>8.5</v>
      </c>
      <c r="F105" s="49">
        <f>AVERAGE('26.09 Mukono-Seeta-24h'!F105,'28.09 Mukono-Seeta-24h'!F105)</f>
        <v>46</v>
      </c>
      <c r="G105" s="49">
        <f>AVERAGE('26.09 Mukono-Seeta-24h'!G105,'28.09 Mukono-Seeta-24h'!G105)</f>
        <v>1.5</v>
      </c>
      <c r="H105" s="49">
        <f>AVERAGE('26.09 Mukono-Seeta-24h'!H105,'28.09 Mukono-Seeta-24h'!H105)</f>
        <v>1</v>
      </c>
      <c r="I105" s="49">
        <f>AVERAGE('26.09 Mukono-Seeta-24h'!I105,'28.09 Mukono-Seeta-24h'!I105)</f>
        <v>2</v>
      </c>
      <c r="J105" s="49">
        <f>AVERAGE('26.09 Mukono-Seeta-24h'!J105,'28.09 Mukono-Seeta-24h'!J105)</f>
        <v>3</v>
      </c>
      <c r="K105" s="49">
        <f>AVERAGE('26.09 Mukono-Seeta-24h'!K105,'28.09 Mukono-Seeta-24h'!K105)</f>
        <v>5.5</v>
      </c>
      <c r="L105" s="49">
        <f>AVERAGE('26.09 Mukono-Seeta-24h'!L105,'28.09 Mukono-Seeta-24h'!L105)</f>
        <v>48</v>
      </c>
      <c r="M105" s="49">
        <f>AVERAGE('26.09 Mukono-Seeta-24h'!M105,'28.09 Mukono-Seeta-24h'!M105)</f>
        <v>31.5</v>
      </c>
      <c r="N105" s="49">
        <f>AVERAGE('26.09 Mukono-Seeta-24h'!N105,'28.09 Mukono-Seeta-24h'!N105)</f>
        <v>0</v>
      </c>
      <c r="O105" s="15">
        <f>SUM(C105:L105,N105)</f>
        <v>164</v>
      </c>
      <c r="P105" s="15">
        <f>SUM(C105:N105)</f>
        <v>195.5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2060.2857142857147</v>
      </c>
      <c r="D106" s="16">
        <f t="shared" ref="D106:P106" si="37">SUM(D10:D105)</f>
        <v>1100.2857142857142</v>
      </c>
      <c r="E106" s="16">
        <f t="shared" si="37"/>
        <v>550.78571428571422</v>
      </c>
      <c r="F106" s="16">
        <f t="shared" si="37"/>
        <v>2967.7142857142862</v>
      </c>
      <c r="G106" s="16">
        <f t="shared" si="37"/>
        <v>180.42857142857144</v>
      </c>
      <c r="H106" s="16">
        <f t="shared" si="37"/>
        <v>90.214285714285708</v>
      </c>
      <c r="I106" s="16">
        <f t="shared" si="37"/>
        <v>569.85714285714289</v>
      </c>
      <c r="J106" s="16">
        <f t="shared" si="37"/>
        <v>492.78571428571428</v>
      </c>
      <c r="K106" s="16">
        <f t="shared" si="37"/>
        <v>291.35714285714283</v>
      </c>
      <c r="L106" s="16">
        <f t="shared" si="37"/>
        <v>1060.1428571428573</v>
      </c>
      <c r="M106" s="16">
        <f t="shared" si="37"/>
        <v>6580.9285714285716</v>
      </c>
      <c r="N106" s="16">
        <f t="shared" si="37"/>
        <v>1.1428571428571428</v>
      </c>
      <c r="O106" s="16">
        <f t="shared" si="37"/>
        <v>9365</v>
      </c>
      <c r="P106" s="16">
        <f t="shared" si="37"/>
        <v>15945.928571428571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0.12920449913323154</v>
      </c>
      <c r="D107" s="43">
        <f t="shared" si="38"/>
        <v>6.9001043705737689E-2</v>
      </c>
      <c r="E107" s="43">
        <f t="shared" si="38"/>
        <v>3.4540836666771185E-2</v>
      </c>
      <c r="F107" s="43">
        <f t="shared" si="38"/>
        <v>0.18611109866826736</v>
      </c>
      <c r="G107" s="43">
        <f t="shared" si="38"/>
        <v>1.131502443525665E-2</v>
      </c>
      <c r="H107" s="43">
        <f t="shared" si="38"/>
        <v>5.6575122176283242E-3</v>
      </c>
      <c r="I107" s="43">
        <f t="shared" si="38"/>
        <v>3.5736842812540595E-2</v>
      </c>
      <c r="J107" s="43">
        <f t="shared" si="38"/>
        <v>3.090354456802677E-2</v>
      </c>
      <c r="K107" s="43">
        <f t="shared" si="38"/>
        <v>1.8271569545293694E-2</v>
      </c>
      <c r="L107" s="43">
        <f t="shared" si="38"/>
        <v>6.6483607548724941E-2</v>
      </c>
      <c r="M107" s="43">
        <f t="shared" si="38"/>
        <v>0.41270274991825057</v>
      </c>
      <c r="N107" s="43">
        <f t="shared" si="38"/>
        <v>7.1670780270825961E-5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0.21999847456334379</v>
      </c>
      <c r="D108" s="44">
        <f t="shared" ref="D108:N108" si="39">D106/$O$106</f>
        <v>0.11748913126382426</v>
      </c>
      <c r="E108" s="44">
        <f t="shared" si="39"/>
        <v>5.8813210281443054E-2</v>
      </c>
      <c r="F108" s="44">
        <f t="shared" si="39"/>
        <v>0.31689421096788961</v>
      </c>
      <c r="G108" s="44">
        <f t="shared" si="39"/>
        <v>1.9266264968347192E-2</v>
      </c>
      <c r="H108" s="44">
        <f t="shared" si="39"/>
        <v>9.6331324841735944E-3</v>
      </c>
      <c r="I108" s="44">
        <f t="shared" si="39"/>
        <v>6.084966821752727E-2</v>
      </c>
      <c r="J108" s="44">
        <f t="shared" si="39"/>
        <v>5.2619937457097095E-2</v>
      </c>
      <c r="K108" s="44">
        <f t="shared" si="39"/>
        <v>3.1111280604072915E-2</v>
      </c>
      <c r="L108" s="44">
        <f t="shared" si="39"/>
        <v>0.11320265425978189</v>
      </c>
      <c r="M108" s="44"/>
      <c r="N108" s="44">
        <f t="shared" si="39"/>
        <v>1.2203493249942795E-4</v>
      </c>
      <c r="Q108" s="7"/>
      <c r="R108" s="8"/>
      <c r="T108"/>
    </row>
    <row r="109" spans="2:20" ht="20.10000000000000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0.10000000000000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0.10000000000000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0.10000000000000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0.10000000000000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0.10000000000000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0.10000000000000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0.10000000000000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0.10000000000000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0.10000000000000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0.10000000000000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0.10000000000000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0.10000000000000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0.10000000000000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0.10000000000000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0.10000000000000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0.10000000000000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0.10000000000000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0.10000000000000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0.10000000000000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0.10000000000000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0.10000000000000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0.10000000000000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0.10000000000000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0.10000000000000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0.10000000000000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0.10000000000000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0.10000000000000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0.10000000000000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2.5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0.10000000000000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0.10000000000000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0.10000000000000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0.10000000000000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0.10000000000000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0.10000000000000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0.10000000000000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0.10000000000000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0.10000000000000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0.10000000000000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0.10000000000000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0.10000000000000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0.10000000000000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0.10000000000000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0.10000000000000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0.10000000000000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0.10000000000000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0.10000000000000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0.10000000000000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0.10000000000000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0.10000000000000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0.10000000000000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10">
    <mergeCell ref="R8:AF8"/>
    <mergeCell ref="D6:E6"/>
    <mergeCell ref="K5:L5"/>
    <mergeCell ref="K6:L6"/>
    <mergeCell ref="D5:E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21" orientation="landscape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9" tint="-0.249977111117893"/>
  </sheetPr>
  <dimension ref="B1:AF174"/>
  <sheetViews>
    <sheetView tabSelected="1" view="pageBreakPreview" topLeftCell="G79" zoomScale="60" workbookViewId="0">
      <selection activeCell="AE49" sqref="AE49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0" width="10.7109375" customWidth="1"/>
    <col min="31" max="32" width="11.85546875" bestFit="1" customWidth="1"/>
    <col min="33" max="33" width="10.7109375" customWidth="1"/>
  </cols>
  <sheetData>
    <row r="1" spans="2:32" ht="23.25" customHeight="1" x14ac:dyDescent="0.3">
      <c r="B1" s="62" t="s">
        <v>23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  <c r="AE1" s="62"/>
    </row>
    <row r="2" spans="2:32" ht="20.100000000000001" customHeight="1" x14ac:dyDescent="0.25">
      <c r="B2" s="63" t="s">
        <v>95</v>
      </c>
      <c r="C2" s="63"/>
      <c r="D2" s="63"/>
      <c r="E2" s="63"/>
      <c r="F2" s="63"/>
      <c r="G2" s="63"/>
      <c r="H2" s="63"/>
      <c r="I2" s="63"/>
      <c r="J2" s="63"/>
      <c r="K2" s="63"/>
      <c r="L2" s="63"/>
      <c r="M2" s="63"/>
      <c r="N2" s="63"/>
      <c r="O2" s="63"/>
      <c r="P2" s="63"/>
      <c r="Q2" s="63"/>
      <c r="R2" s="63"/>
      <c r="S2" s="63"/>
      <c r="T2" s="63"/>
      <c r="U2" s="63"/>
      <c r="V2" s="63"/>
      <c r="W2" s="63"/>
      <c r="X2" s="63"/>
      <c r="Y2" s="63"/>
      <c r="Z2" s="63"/>
      <c r="AA2" s="63"/>
      <c r="AB2" s="63"/>
      <c r="AC2" s="63"/>
      <c r="AD2" s="63"/>
      <c r="AE2" s="63"/>
    </row>
    <row r="3" spans="2:32" ht="20.100000000000001" customHeight="1" x14ac:dyDescent="0.25">
      <c r="B3" s="22" t="s">
        <v>96</v>
      </c>
      <c r="C3" s="67" t="str">
        <f>'29.09 Mukono-Seeta'!C3:G3</f>
        <v>MCC - C2 - STN074 - SONDE  ROAD</v>
      </c>
      <c r="D3" s="67"/>
      <c r="E3" s="67"/>
      <c r="F3" s="67"/>
      <c r="G3" s="67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72" t="s">
        <v>164</v>
      </c>
      <c r="E5" s="73"/>
      <c r="F5" s="41" t="s">
        <v>1</v>
      </c>
      <c r="G5" s="68" t="str">
        <f>'Avg Week Mukono-Seeta'!G5:H5</f>
        <v>STATION 74</v>
      </c>
      <c r="H5" s="69"/>
      <c r="I5" s="14"/>
      <c r="J5" s="2" t="s">
        <v>5</v>
      </c>
      <c r="K5" s="68" t="str">
        <f>'Avg Week Mukono-Seeta'!K5:L5</f>
        <v>VICTOR</v>
      </c>
      <c r="L5" s="69"/>
      <c r="M5" s="10"/>
      <c r="N5" s="10"/>
      <c r="O5" s="3"/>
      <c r="P5" s="3"/>
    </row>
    <row r="6" spans="2:32" ht="23.25" customHeight="1" x14ac:dyDescent="0.25">
      <c r="C6" s="2" t="s">
        <v>4</v>
      </c>
      <c r="D6" s="74" t="s">
        <v>161</v>
      </c>
      <c r="E6" s="75"/>
      <c r="F6" s="2" t="s">
        <v>2</v>
      </c>
      <c r="G6" s="74" t="s">
        <v>161</v>
      </c>
      <c r="H6" s="75"/>
      <c r="J6" s="2" t="s">
        <v>21</v>
      </c>
      <c r="K6" s="68" t="str">
        <f>'Avg Week Mukono-Seeta'!K6:L6</f>
        <v>Tracy</v>
      </c>
      <c r="L6" s="69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1" t="s">
        <v>88</v>
      </c>
      <c r="S8" s="61"/>
      <c r="T8" s="61"/>
      <c r="U8" s="61"/>
      <c r="V8" s="61"/>
      <c r="W8" s="61"/>
      <c r="X8" s="61"/>
      <c r="Y8" s="61"/>
      <c r="Z8" s="61"/>
      <c r="AA8" s="61"/>
      <c r="AB8" s="61"/>
      <c r="AC8" s="61"/>
      <c r="AD8" s="61"/>
      <c r="AE8" s="61"/>
      <c r="AF8" s="61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49">
        <f>'Avg Week Seeta-Mukono'!C10+'Avg Week Mukono-Seeta'!C10</f>
        <v>97.285714285714278</v>
      </c>
      <c r="D10" s="49">
        <f>'Avg Week Seeta-Mukono'!D10+'Avg Week Mukono-Seeta'!D10</f>
        <v>15.142857142857142</v>
      </c>
      <c r="E10" s="49">
        <f>'Avg Week Seeta-Mukono'!E10+'Avg Week Mukono-Seeta'!E10</f>
        <v>14.285714285714285</v>
      </c>
      <c r="F10" s="49">
        <f>'Avg Week Seeta-Mukono'!F10+'Avg Week Mukono-Seeta'!F10</f>
        <v>62</v>
      </c>
      <c r="G10" s="49">
        <f>'Avg Week Seeta-Mukono'!G10+'Avg Week Mukono-Seeta'!G10</f>
        <v>5.7142857142857144</v>
      </c>
      <c r="H10" s="49">
        <f>'Avg Week Seeta-Mukono'!H10+'Avg Week Mukono-Seeta'!H10</f>
        <v>5.5714285714285712</v>
      </c>
      <c r="I10" s="49">
        <f>'Avg Week Seeta-Mukono'!I10+'Avg Week Mukono-Seeta'!I10</f>
        <v>8.1428571428571423</v>
      </c>
      <c r="J10" s="49">
        <f>'Avg Week Seeta-Mukono'!J10+'Avg Week Mukono-Seeta'!J10</f>
        <v>7.2857142857142865</v>
      </c>
      <c r="K10" s="49">
        <f>'Avg Week Seeta-Mukono'!K10+'Avg Week Mukono-Seeta'!K10</f>
        <v>3.5714285714285712</v>
      </c>
      <c r="L10" s="49">
        <f>'Avg Week Seeta-Mukono'!L10+'Avg Week Mukono-Seeta'!L10</f>
        <v>17.857142857142858</v>
      </c>
      <c r="M10" s="49">
        <f>'Avg Week Seeta-Mukono'!M10+'Avg Week Mukono-Seeta'!M10</f>
        <v>176.71428571428572</v>
      </c>
      <c r="N10" s="49">
        <f>'Avg Week Seeta-Mukono'!N10+'Avg Week Mukono-Seeta'!N10</f>
        <v>0</v>
      </c>
      <c r="O10" s="15">
        <f t="shared" ref="O10:O73" si="0">SUM(C10:L10,N10)</f>
        <v>236.85714285714286</v>
      </c>
      <c r="P10" s="15">
        <f t="shared" ref="P10:P73" si="1">SUM(C10:N10)</f>
        <v>413.57142857142856</v>
      </c>
      <c r="R10" s="1" t="s">
        <v>6</v>
      </c>
      <c r="S10" s="17">
        <f t="shared" ref="S10:AF10" si="2">SUM(C10:C13)</f>
        <v>341.28571428571428</v>
      </c>
      <c r="T10" s="17">
        <f t="shared" si="2"/>
        <v>58.428571428571431</v>
      </c>
      <c r="U10" s="17">
        <f t="shared" si="2"/>
        <v>55</v>
      </c>
      <c r="V10" s="17">
        <f t="shared" si="2"/>
        <v>296.42857142857144</v>
      </c>
      <c r="W10" s="17">
        <f t="shared" si="2"/>
        <v>16.285714285714285</v>
      </c>
      <c r="X10" s="17">
        <f t="shared" si="2"/>
        <v>8.7142857142857135</v>
      </c>
      <c r="Y10" s="17">
        <f t="shared" si="2"/>
        <v>38.857142857142854</v>
      </c>
      <c r="Z10" s="17">
        <f t="shared" si="2"/>
        <v>25.142857142857142</v>
      </c>
      <c r="AA10" s="17">
        <f t="shared" si="2"/>
        <v>17.857142857142858</v>
      </c>
      <c r="AB10" s="17">
        <f t="shared" si="2"/>
        <v>72.142857142857139</v>
      </c>
      <c r="AC10" s="17">
        <f t="shared" si="2"/>
        <v>801.85714285714289</v>
      </c>
      <c r="AD10" s="17">
        <f t="shared" si="2"/>
        <v>0.14285714285714285</v>
      </c>
      <c r="AE10" s="31">
        <f t="shared" si="2"/>
        <v>930.28571428571445</v>
      </c>
      <c r="AF10" s="31">
        <f t="shared" si="2"/>
        <v>1732.1428571428573</v>
      </c>
    </row>
    <row r="11" spans="2:32" s="6" customFormat="1" ht="23.1" customHeight="1" x14ac:dyDescent="0.25">
      <c r="B11" s="23" t="s">
        <v>38</v>
      </c>
      <c r="C11" s="49">
        <f>'Avg Week Seeta-Mukono'!C11+'Avg Week Mukono-Seeta'!C11</f>
        <v>67</v>
      </c>
      <c r="D11" s="49">
        <f>'Avg Week Seeta-Mukono'!D11+'Avg Week Mukono-Seeta'!D11</f>
        <v>12.571428571428571</v>
      </c>
      <c r="E11" s="49">
        <f>'Avg Week Seeta-Mukono'!E11+'Avg Week Mukono-Seeta'!E11</f>
        <v>9.4285714285714288</v>
      </c>
      <c r="F11" s="49">
        <f>'Avg Week Seeta-Mukono'!F11+'Avg Week Mukono-Seeta'!F11</f>
        <v>70.571428571428569</v>
      </c>
      <c r="G11" s="49">
        <f>'Avg Week Seeta-Mukono'!G11+'Avg Week Mukono-Seeta'!G11</f>
        <v>2.5714285714285712</v>
      </c>
      <c r="H11" s="49">
        <f>'Avg Week Seeta-Mukono'!H11+'Avg Week Mukono-Seeta'!H11</f>
        <v>0.71428571428571419</v>
      </c>
      <c r="I11" s="49">
        <f>'Avg Week Seeta-Mukono'!I11+'Avg Week Mukono-Seeta'!I11</f>
        <v>8.7142857142857135</v>
      </c>
      <c r="J11" s="49">
        <f>'Avg Week Seeta-Mukono'!J11+'Avg Week Mukono-Seeta'!J11</f>
        <v>5.5714285714285712</v>
      </c>
      <c r="K11" s="49">
        <f>'Avg Week Seeta-Mukono'!K11+'Avg Week Mukono-Seeta'!K11</f>
        <v>4.5714285714285712</v>
      </c>
      <c r="L11" s="49">
        <f>'Avg Week Seeta-Mukono'!L11+'Avg Week Mukono-Seeta'!L11</f>
        <v>19.571428571428569</v>
      </c>
      <c r="M11" s="49">
        <f>'Avg Week Seeta-Mukono'!M11+'Avg Week Mukono-Seeta'!M11</f>
        <v>171</v>
      </c>
      <c r="N11" s="49">
        <f>'Avg Week Seeta-Mukono'!N11+'Avg Week Mukono-Seeta'!N11</f>
        <v>0</v>
      </c>
      <c r="O11" s="15">
        <f t="shared" si="0"/>
        <v>201.28571428571433</v>
      </c>
      <c r="P11" s="15">
        <f t="shared" si="1"/>
        <v>372.28571428571433</v>
      </c>
      <c r="R11" s="1" t="s">
        <v>7</v>
      </c>
      <c r="S11" s="17">
        <f t="shared" ref="S11:AF11" si="3">SUM(C14:C17)</f>
        <v>380.28571428571422</v>
      </c>
      <c r="T11" s="17">
        <f t="shared" si="3"/>
        <v>78.714285714285722</v>
      </c>
      <c r="U11" s="17">
        <f t="shared" si="3"/>
        <v>63.142857142857139</v>
      </c>
      <c r="V11" s="17">
        <f t="shared" si="3"/>
        <v>357.28571428571428</v>
      </c>
      <c r="W11" s="17">
        <f t="shared" si="3"/>
        <v>17.571428571428569</v>
      </c>
      <c r="X11" s="17">
        <f t="shared" si="3"/>
        <v>9.7142857142857135</v>
      </c>
      <c r="Y11" s="17">
        <f t="shared" si="3"/>
        <v>68.857142857142861</v>
      </c>
      <c r="Z11" s="17">
        <f t="shared" si="3"/>
        <v>32.571428571428569</v>
      </c>
      <c r="AA11" s="17">
        <f t="shared" si="3"/>
        <v>23.428571428571431</v>
      </c>
      <c r="AB11" s="17">
        <f t="shared" si="3"/>
        <v>76.714285714285722</v>
      </c>
      <c r="AC11" s="17">
        <f t="shared" si="3"/>
        <v>987.28571428571422</v>
      </c>
      <c r="AD11" s="17">
        <f t="shared" si="3"/>
        <v>12.857142857142858</v>
      </c>
      <c r="AE11" s="31">
        <f t="shared" si="3"/>
        <v>1121.1428571428571</v>
      </c>
      <c r="AF11" s="31">
        <f t="shared" si="3"/>
        <v>2108.4285714285716</v>
      </c>
    </row>
    <row r="12" spans="2:32" ht="23.1" customHeight="1" x14ac:dyDescent="0.25">
      <c r="B12" s="23" t="s">
        <v>39</v>
      </c>
      <c r="C12" s="49">
        <f>'Avg Week Seeta-Mukono'!C12+'Avg Week Mukono-Seeta'!C12</f>
        <v>89.857142857142861</v>
      </c>
      <c r="D12" s="49">
        <f>'Avg Week Seeta-Mukono'!D12+'Avg Week Mukono-Seeta'!D12</f>
        <v>16.142857142857142</v>
      </c>
      <c r="E12" s="49">
        <f>'Avg Week Seeta-Mukono'!E12+'Avg Week Mukono-Seeta'!E12</f>
        <v>13.857142857142858</v>
      </c>
      <c r="F12" s="49">
        <f>'Avg Week Seeta-Mukono'!F12+'Avg Week Mukono-Seeta'!F12</f>
        <v>88.857142857142861</v>
      </c>
      <c r="G12" s="49">
        <f>'Avg Week Seeta-Mukono'!G12+'Avg Week Mukono-Seeta'!G12</f>
        <v>4.8571428571428577</v>
      </c>
      <c r="H12" s="49">
        <f>'Avg Week Seeta-Mukono'!H12+'Avg Week Mukono-Seeta'!H12</f>
        <v>1.4285714285714284</v>
      </c>
      <c r="I12" s="49">
        <f>'Avg Week Seeta-Mukono'!I12+'Avg Week Mukono-Seeta'!I12</f>
        <v>10.285714285714285</v>
      </c>
      <c r="J12" s="49">
        <f>'Avg Week Seeta-Mukono'!J12+'Avg Week Mukono-Seeta'!J12</f>
        <v>7.1428571428571423</v>
      </c>
      <c r="K12" s="49">
        <f>'Avg Week Seeta-Mukono'!K12+'Avg Week Mukono-Seeta'!K12</f>
        <v>4.8571428571428577</v>
      </c>
      <c r="L12" s="49">
        <f>'Avg Week Seeta-Mukono'!L12+'Avg Week Mukono-Seeta'!L12</f>
        <v>19</v>
      </c>
      <c r="M12" s="49">
        <f>'Avg Week Seeta-Mukono'!M12+'Avg Week Mukono-Seeta'!M12</f>
        <v>212.28571428571428</v>
      </c>
      <c r="N12" s="49">
        <f>'Avg Week Seeta-Mukono'!N12+'Avg Week Mukono-Seeta'!N12</f>
        <v>0.14285714285714285</v>
      </c>
      <c r="O12" s="15">
        <f t="shared" si="0"/>
        <v>256.42857142857144</v>
      </c>
      <c r="P12" s="15">
        <f t="shared" si="1"/>
        <v>468.71428571428572</v>
      </c>
      <c r="R12" s="1" t="s">
        <v>8</v>
      </c>
      <c r="S12" s="17">
        <f t="shared" ref="S12:AF12" si="4">SUM(C18:C21)</f>
        <v>344.42857142857144</v>
      </c>
      <c r="T12" s="17">
        <f t="shared" si="4"/>
        <v>73</v>
      </c>
      <c r="U12" s="17">
        <f t="shared" si="4"/>
        <v>68.285714285714278</v>
      </c>
      <c r="V12" s="17">
        <f t="shared" si="4"/>
        <v>346.42857142857139</v>
      </c>
      <c r="W12" s="17">
        <f t="shared" si="4"/>
        <v>18.857142857142858</v>
      </c>
      <c r="X12" s="17">
        <f t="shared" si="4"/>
        <v>7.1428571428571423</v>
      </c>
      <c r="Y12" s="17">
        <f t="shared" si="4"/>
        <v>85.142857142857139</v>
      </c>
      <c r="Z12" s="17">
        <f t="shared" si="4"/>
        <v>39.428571428571431</v>
      </c>
      <c r="AA12" s="17">
        <f t="shared" si="4"/>
        <v>26.857142857142858</v>
      </c>
      <c r="AB12" s="17">
        <f t="shared" si="4"/>
        <v>78.428571428571416</v>
      </c>
      <c r="AC12" s="17">
        <f t="shared" si="4"/>
        <v>1030.7142857142858</v>
      </c>
      <c r="AD12" s="17">
        <f t="shared" si="4"/>
        <v>0</v>
      </c>
      <c r="AE12" s="31">
        <f t="shared" si="4"/>
        <v>1087.9999999999998</v>
      </c>
      <c r="AF12" s="31">
        <f t="shared" si="4"/>
        <v>2118.7142857142853</v>
      </c>
    </row>
    <row r="13" spans="2:32" ht="23.1" customHeight="1" x14ac:dyDescent="0.25">
      <c r="B13" s="23" t="s">
        <v>40</v>
      </c>
      <c r="C13" s="49">
        <f>'Avg Week Seeta-Mukono'!C13+'Avg Week Mukono-Seeta'!C13</f>
        <v>87.142857142857139</v>
      </c>
      <c r="D13" s="49">
        <f>'Avg Week Seeta-Mukono'!D13+'Avg Week Mukono-Seeta'!D13</f>
        <v>14.571428571428573</v>
      </c>
      <c r="E13" s="49">
        <f>'Avg Week Seeta-Mukono'!E13+'Avg Week Mukono-Seeta'!E13</f>
        <v>17.428571428571431</v>
      </c>
      <c r="F13" s="49">
        <f>'Avg Week Seeta-Mukono'!F13+'Avg Week Mukono-Seeta'!F13</f>
        <v>75</v>
      </c>
      <c r="G13" s="49">
        <f>'Avg Week Seeta-Mukono'!G13+'Avg Week Mukono-Seeta'!G13</f>
        <v>3.1428571428571428</v>
      </c>
      <c r="H13" s="49">
        <f>'Avg Week Seeta-Mukono'!H13+'Avg Week Mukono-Seeta'!H13</f>
        <v>1</v>
      </c>
      <c r="I13" s="49">
        <f>'Avg Week Seeta-Mukono'!I13+'Avg Week Mukono-Seeta'!I13</f>
        <v>11.714285714285714</v>
      </c>
      <c r="J13" s="49">
        <f>'Avg Week Seeta-Mukono'!J13+'Avg Week Mukono-Seeta'!J13</f>
        <v>5.1428571428571432</v>
      </c>
      <c r="K13" s="49">
        <f>'Avg Week Seeta-Mukono'!K13+'Avg Week Mukono-Seeta'!K13</f>
        <v>4.8571428571428568</v>
      </c>
      <c r="L13" s="49">
        <f>'Avg Week Seeta-Mukono'!L13+'Avg Week Mukono-Seeta'!L13</f>
        <v>15.714285714285714</v>
      </c>
      <c r="M13" s="49">
        <f>'Avg Week Seeta-Mukono'!M13+'Avg Week Mukono-Seeta'!M13</f>
        <v>241.85714285714286</v>
      </c>
      <c r="N13" s="49">
        <f>'Avg Week Seeta-Mukono'!N13+'Avg Week Mukono-Seeta'!N13</f>
        <v>0</v>
      </c>
      <c r="O13" s="15">
        <f t="shared" si="0"/>
        <v>235.71428571428572</v>
      </c>
      <c r="P13" s="15">
        <f t="shared" si="1"/>
        <v>477.57142857142856</v>
      </c>
      <c r="R13" s="1" t="s">
        <v>9</v>
      </c>
      <c r="S13" s="17">
        <f t="shared" ref="S13:AF13" si="5">SUM(C22:C25)</f>
        <v>332</v>
      </c>
      <c r="T13" s="17">
        <f t="shared" si="5"/>
        <v>70.571428571428569</v>
      </c>
      <c r="U13" s="17">
        <f t="shared" si="5"/>
        <v>60.571428571428569</v>
      </c>
      <c r="V13" s="17">
        <f t="shared" si="5"/>
        <v>341.28571428571428</v>
      </c>
      <c r="W13" s="17">
        <f t="shared" si="5"/>
        <v>16.857142857142858</v>
      </c>
      <c r="X13" s="17">
        <f t="shared" si="5"/>
        <v>8.2857142857142865</v>
      </c>
      <c r="Y13" s="17">
        <f t="shared" si="5"/>
        <v>79</v>
      </c>
      <c r="Z13" s="17">
        <f t="shared" si="5"/>
        <v>39.857142857142861</v>
      </c>
      <c r="AA13" s="17">
        <f t="shared" si="5"/>
        <v>23.857142857142858</v>
      </c>
      <c r="AB13" s="17">
        <f t="shared" si="5"/>
        <v>93.999999999999986</v>
      </c>
      <c r="AC13" s="17">
        <f t="shared" si="5"/>
        <v>940</v>
      </c>
      <c r="AD13" s="17">
        <f t="shared" si="5"/>
        <v>0</v>
      </c>
      <c r="AE13" s="31">
        <f t="shared" si="5"/>
        <v>1066.2857142857142</v>
      </c>
      <c r="AF13" s="31">
        <f t="shared" si="5"/>
        <v>2006.2857142857142</v>
      </c>
    </row>
    <row r="14" spans="2:32" ht="23.1" customHeight="1" x14ac:dyDescent="0.25">
      <c r="B14" s="23" t="s">
        <v>41</v>
      </c>
      <c r="C14" s="49">
        <f>'Avg Week Seeta-Mukono'!C14+'Avg Week Mukono-Seeta'!C14</f>
        <v>93.714285714285708</v>
      </c>
      <c r="D14" s="49">
        <f>'Avg Week Seeta-Mukono'!D14+'Avg Week Mukono-Seeta'!D14</f>
        <v>20.428571428571431</v>
      </c>
      <c r="E14" s="49">
        <f>'Avg Week Seeta-Mukono'!E14+'Avg Week Mukono-Seeta'!E14</f>
        <v>15.571428571428571</v>
      </c>
      <c r="F14" s="49">
        <f>'Avg Week Seeta-Mukono'!F14+'Avg Week Mukono-Seeta'!F14</f>
        <v>85.714285714285722</v>
      </c>
      <c r="G14" s="49">
        <f>'Avg Week Seeta-Mukono'!G14+'Avg Week Mukono-Seeta'!G14</f>
        <v>4.8571428571428577</v>
      </c>
      <c r="H14" s="49">
        <f>'Avg Week Seeta-Mukono'!H14+'Avg Week Mukono-Seeta'!H14</f>
        <v>3.5714285714285712</v>
      </c>
      <c r="I14" s="49">
        <f>'Avg Week Seeta-Mukono'!I14+'Avg Week Mukono-Seeta'!I14</f>
        <v>16.142857142857142</v>
      </c>
      <c r="J14" s="49">
        <f>'Avg Week Seeta-Mukono'!J14+'Avg Week Mukono-Seeta'!J14</f>
        <v>7.8571428571428577</v>
      </c>
      <c r="K14" s="49">
        <f>'Avg Week Seeta-Mukono'!K14+'Avg Week Mukono-Seeta'!K14</f>
        <v>6.5714285714285712</v>
      </c>
      <c r="L14" s="49">
        <f>'Avg Week Seeta-Mukono'!L14+'Avg Week Mukono-Seeta'!L14</f>
        <v>21.571428571428573</v>
      </c>
      <c r="M14" s="49">
        <f>'Avg Week Seeta-Mukono'!M14+'Avg Week Mukono-Seeta'!M14</f>
        <v>253.28571428571428</v>
      </c>
      <c r="N14" s="49">
        <f>'Avg Week Seeta-Mukono'!N14+'Avg Week Mukono-Seeta'!N14</f>
        <v>0</v>
      </c>
      <c r="O14" s="15">
        <f t="shared" si="0"/>
        <v>276.00000000000006</v>
      </c>
      <c r="P14" s="15">
        <f t="shared" si="1"/>
        <v>529.28571428571433</v>
      </c>
      <c r="R14" s="1" t="s">
        <v>10</v>
      </c>
      <c r="S14" s="17">
        <f t="shared" ref="S14:AF14" si="6">SUM(C26:C29)</f>
        <v>308</v>
      </c>
      <c r="T14" s="17">
        <f t="shared" si="6"/>
        <v>76.857142857142861</v>
      </c>
      <c r="U14" s="17">
        <f t="shared" si="6"/>
        <v>62.714285714285708</v>
      </c>
      <c r="V14" s="17">
        <f t="shared" si="6"/>
        <v>366.28571428571428</v>
      </c>
      <c r="W14" s="17">
        <f t="shared" si="6"/>
        <v>15.285714285714285</v>
      </c>
      <c r="X14" s="17">
        <f t="shared" si="6"/>
        <v>2.1428571428571428</v>
      </c>
      <c r="Y14" s="17">
        <f t="shared" si="6"/>
        <v>88.571428571428584</v>
      </c>
      <c r="Z14" s="17">
        <f t="shared" si="6"/>
        <v>47.428571428571431</v>
      </c>
      <c r="AA14" s="17">
        <f t="shared" si="6"/>
        <v>35.142857142857139</v>
      </c>
      <c r="AB14" s="17">
        <f t="shared" si="6"/>
        <v>96.714285714285708</v>
      </c>
      <c r="AC14" s="17">
        <f t="shared" si="6"/>
        <v>932.57142857142856</v>
      </c>
      <c r="AD14" s="17">
        <f t="shared" si="6"/>
        <v>0.14285714285714285</v>
      </c>
      <c r="AE14" s="31">
        <f t="shared" si="6"/>
        <v>1099.2857142857142</v>
      </c>
      <c r="AF14" s="31">
        <f t="shared" si="6"/>
        <v>2031.8571428571427</v>
      </c>
    </row>
    <row r="15" spans="2:32" ht="23.1" customHeight="1" x14ac:dyDescent="0.25">
      <c r="B15" s="23" t="s">
        <v>42</v>
      </c>
      <c r="C15" s="49">
        <f>'Avg Week Seeta-Mukono'!C15+'Avg Week Mukono-Seeta'!C15</f>
        <v>96.571428571428569</v>
      </c>
      <c r="D15" s="49">
        <f>'Avg Week Seeta-Mukono'!D15+'Avg Week Mukono-Seeta'!D15</f>
        <v>17.714285714285715</v>
      </c>
      <c r="E15" s="49">
        <f>'Avg Week Seeta-Mukono'!E15+'Avg Week Mukono-Seeta'!E15</f>
        <v>14</v>
      </c>
      <c r="F15" s="49">
        <f>'Avg Week Seeta-Mukono'!F15+'Avg Week Mukono-Seeta'!F15</f>
        <v>90.571428571428569</v>
      </c>
      <c r="G15" s="49">
        <f>'Avg Week Seeta-Mukono'!G15+'Avg Week Mukono-Seeta'!G15</f>
        <v>3.2857142857142856</v>
      </c>
      <c r="H15" s="49">
        <f>'Avg Week Seeta-Mukono'!H15+'Avg Week Mukono-Seeta'!H15</f>
        <v>1.4285714285714284</v>
      </c>
      <c r="I15" s="49">
        <f>'Avg Week Seeta-Mukono'!I15+'Avg Week Mukono-Seeta'!I15</f>
        <v>16.428571428571427</v>
      </c>
      <c r="J15" s="49">
        <f>'Avg Week Seeta-Mukono'!J15+'Avg Week Mukono-Seeta'!J15</f>
        <v>7.8571428571428577</v>
      </c>
      <c r="K15" s="49">
        <f>'Avg Week Seeta-Mukono'!K15+'Avg Week Mukono-Seeta'!K15</f>
        <v>5</v>
      </c>
      <c r="L15" s="49">
        <f>'Avg Week Seeta-Mukono'!L15+'Avg Week Mukono-Seeta'!L15</f>
        <v>19.571428571428573</v>
      </c>
      <c r="M15" s="49">
        <f>'Avg Week Seeta-Mukono'!M15+'Avg Week Mukono-Seeta'!M15</f>
        <v>248</v>
      </c>
      <c r="N15" s="49">
        <f>'Avg Week Seeta-Mukono'!N15+'Avg Week Mukono-Seeta'!N15</f>
        <v>0</v>
      </c>
      <c r="O15" s="15">
        <f t="shared" si="0"/>
        <v>272.42857142857139</v>
      </c>
      <c r="P15" s="15">
        <f t="shared" si="1"/>
        <v>520.42857142857133</v>
      </c>
      <c r="R15" s="1" t="s">
        <v>11</v>
      </c>
      <c r="S15" s="17">
        <f t="shared" ref="S15:AF15" si="7">SUM(C30:C33)</f>
        <v>302.85714285714289</v>
      </c>
      <c r="T15" s="17">
        <f t="shared" si="7"/>
        <v>68.571428571428569</v>
      </c>
      <c r="U15" s="17">
        <f t="shared" si="7"/>
        <v>57.428571428571431</v>
      </c>
      <c r="V15" s="17">
        <f t="shared" si="7"/>
        <v>336.14285714285717</v>
      </c>
      <c r="W15" s="17">
        <f t="shared" si="7"/>
        <v>16.714285714285715</v>
      </c>
      <c r="X15" s="17">
        <f t="shared" si="7"/>
        <v>10.428571428571429</v>
      </c>
      <c r="Y15" s="17">
        <f t="shared" si="7"/>
        <v>91.999999999999986</v>
      </c>
      <c r="Z15" s="17">
        <f t="shared" si="7"/>
        <v>51.142857142857139</v>
      </c>
      <c r="AA15" s="17">
        <f t="shared" si="7"/>
        <v>33.571428571428569</v>
      </c>
      <c r="AB15" s="17">
        <f t="shared" si="7"/>
        <v>103.57142857142858</v>
      </c>
      <c r="AC15" s="17">
        <f t="shared" si="7"/>
        <v>846.28571428571433</v>
      </c>
      <c r="AD15" s="17">
        <f t="shared" si="7"/>
        <v>2.5714285714285712</v>
      </c>
      <c r="AE15" s="31">
        <f t="shared" si="7"/>
        <v>1075</v>
      </c>
      <c r="AF15" s="31">
        <f t="shared" si="7"/>
        <v>1921.2857142857142</v>
      </c>
    </row>
    <row r="16" spans="2:32" ht="23.1" customHeight="1" x14ac:dyDescent="0.25">
      <c r="B16" s="23" t="s">
        <v>43</v>
      </c>
      <c r="C16" s="49">
        <f>'Avg Week Seeta-Mukono'!C16+'Avg Week Mukono-Seeta'!C16</f>
        <v>98.857142857142861</v>
      </c>
      <c r="D16" s="49">
        <f>'Avg Week Seeta-Mukono'!D16+'Avg Week Mukono-Seeta'!D16</f>
        <v>21.428571428571431</v>
      </c>
      <c r="E16" s="49">
        <f>'Avg Week Seeta-Mukono'!E16+'Avg Week Mukono-Seeta'!E16</f>
        <v>18.142857142857142</v>
      </c>
      <c r="F16" s="49">
        <f>'Avg Week Seeta-Mukono'!F16+'Avg Week Mukono-Seeta'!F16</f>
        <v>90.571428571428569</v>
      </c>
      <c r="G16" s="49">
        <f>'Avg Week Seeta-Mukono'!G16+'Avg Week Mukono-Seeta'!G16</f>
        <v>5.5714285714285712</v>
      </c>
      <c r="H16" s="49">
        <f>'Avg Week Seeta-Mukono'!H16+'Avg Week Mukono-Seeta'!H16</f>
        <v>3.714285714285714</v>
      </c>
      <c r="I16" s="49">
        <f>'Avg Week Seeta-Mukono'!I16+'Avg Week Mukono-Seeta'!I16</f>
        <v>18.571428571428569</v>
      </c>
      <c r="J16" s="49">
        <f>'Avg Week Seeta-Mukono'!J16+'Avg Week Mukono-Seeta'!J16</f>
        <v>8.8571428571428577</v>
      </c>
      <c r="K16" s="49">
        <f>'Avg Week Seeta-Mukono'!K16+'Avg Week Mukono-Seeta'!K16</f>
        <v>4.2857142857142856</v>
      </c>
      <c r="L16" s="49">
        <f>'Avg Week Seeta-Mukono'!L16+'Avg Week Mukono-Seeta'!L16</f>
        <v>17.857142857142858</v>
      </c>
      <c r="M16" s="49">
        <f>'Avg Week Seeta-Mukono'!M16+'Avg Week Mukono-Seeta'!M16</f>
        <v>249.28571428571428</v>
      </c>
      <c r="N16" s="49">
        <f>'Avg Week Seeta-Mukono'!N16+'Avg Week Mukono-Seeta'!N16</f>
        <v>0</v>
      </c>
      <c r="O16" s="15">
        <f t="shared" si="0"/>
        <v>287.85714285714283</v>
      </c>
      <c r="P16" s="15">
        <f t="shared" si="1"/>
        <v>537.14285714285711</v>
      </c>
      <c r="R16" s="1" t="s">
        <v>12</v>
      </c>
      <c r="S16" s="17">
        <f t="shared" ref="S16:AF16" si="8">SUM(C34:C37)</f>
        <v>294</v>
      </c>
      <c r="T16" s="17">
        <f t="shared" si="8"/>
        <v>79.285714285714292</v>
      </c>
      <c r="U16" s="17">
        <f t="shared" si="8"/>
        <v>51.428571428571431</v>
      </c>
      <c r="V16" s="17">
        <f t="shared" si="8"/>
        <v>370.28571428571422</v>
      </c>
      <c r="W16" s="17">
        <f t="shared" si="8"/>
        <v>17</v>
      </c>
      <c r="X16" s="17">
        <f t="shared" si="8"/>
        <v>4.8571428571428568</v>
      </c>
      <c r="Y16" s="17">
        <f t="shared" si="8"/>
        <v>91.142857142857139</v>
      </c>
      <c r="Z16" s="17">
        <f t="shared" si="8"/>
        <v>51.571428571428577</v>
      </c>
      <c r="AA16" s="17">
        <f t="shared" si="8"/>
        <v>38.285714285714285</v>
      </c>
      <c r="AB16" s="17">
        <f t="shared" si="8"/>
        <v>122.57142857142857</v>
      </c>
      <c r="AC16" s="17">
        <f t="shared" si="8"/>
        <v>728.28571428571433</v>
      </c>
      <c r="AD16" s="17">
        <f t="shared" si="8"/>
        <v>0.14285714285714285</v>
      </c>
      <c r="AE16" s="31">
        <f t="shared" si="8"/>
        <v>1120.5714285714284</v>
      </c>
      <c r="AF16" s="31">
        <f t="shared" si="8"/>
        <v>1848.8571428571429</v>
      </c>
    </row>
    <row r="17" spans="2:32" ht="23.1" customHeight="1" x14ac:dyDescent="0.25">
      <c r="B17" s="23" t="s">
        <v>44</v>
      </c>
      <c r="C17" s="49">
        <f>'Avg Week Seeta-Mukono'!C17+'Avg Week Mukono-Seeta'!C17</f>
        <v>91.142857142857139</v>
      </c>
      <c r="D17" s="49">
        <f>'Avg Week Seeta-Mukono'!D17+'Avg Week Mukono-Seeta'!D17</f>
        <v>19.142857142857146</v>
      </c>
      <c r="E17" s="49">
        <f>'Avg Week Seeta-Mukono'!E17+'Avg Week Mukono-Seeta'!E17</f>
        <v>15.428571428571427</v>
      </c>
      <c r="F17" s="49">
        <f>'Avg Week Seeta-Mukono'!F17+'Avg Week Mukono-Seeta'!F17</f>
        <v>90.428571428571431</v>
      </c>
      <c r="G17" s="49">
        <f>'Avg Week Seeta-Mukono'!G17+'Avg Week Mukono-Seeta'!G17</f>
        <v>3.8571428571428572</v>
      </c>
      <c r="H17" s="49">
        <f>'Avg Week Seeta-Mukono'!H17+'Avg Week Mukono-Seeta'!H17</f>
        <v>1</v>
      </c>
      <c r="I17" s="49">
        <f>'Avg Week Seeta-Mukono'!I17+'Avg Week Mukono-Seeta'!I17</f>
        <v>17.714285714285715</v>
      </c>
      <c r="J17" s="49">
        <f>'Avg Week Seeta-Mukono'!J17+'Avg Week Mukono-Seeta'!J17</f>
        <v>8</v>
      </c>
      <c r="K17" s="49">
        <f>'Avg Week Seeta-Mukono'!K17+'Avg Week Mukono-Seeta'!K17</f>
        <v>7.5714285714285712</v>
      </c>
      <c r="L17" s="49">
        <f>'Avg Week Seeta-Mukono'!L17+'Avg Week Mukono-Seeta'!L17</f>
        <v>17.714285714285715</v>
      </c>
      <c r="M17" s="49">
        <f>'Avg Week Seeta-Mukono'!M17+'Avg Week Mukono-Seeta'!M17</f>
        <v>236.71428571428572</v>
      </c>
      <c r="N17" s="49">
        <f>'Avg Week Seeta-Mukono'!N17+'Avg Week Mukono-Seeta'!N17</f>
        <v>12.857142857142858</v>
      </c>
      <c r="O17" s="15">
        <f t="shared" si="0"/>
        <v>284.85714285714283</v>
      </c>
      <c r="P17" s="15">
        <f t="shared" si="1"/>
        <v>521.57142857142856</v>
      </c>
      <c r="R17" s="1" t="s">
        <v>13</v>
      </c>
      <c r="S17" s="17">
        <f t="shared" ref="S17:AF17" si="9">SUM(C38:C41)</f>
        <v>299.71428571428572</v>
      </c>
      <c r="T17" s="17">
        <f t="shared" si="9"/>
        <v>85.285714285714278</v>
      </c>
      <c r="U17" s="17">
        <f t="shared" si="9"/>
        <v>68.571428571428569</v>
      </c>
      <c r="V17" s="17">
        <f t="shared" si="9"/>
        <v>357.42857142857144</v>
      </c>
      <c r="W17" s="17">
        <f t="shared" si="9"/>
        <v>16</v>
      </c>
      <c r="X17" s="17">
        <f t="shared" si="9"/>
        <v>5.428571428571427</v>
      </c>
      <c r="Y17" s="17">
        <f t="shared" si="9"/>
        <v>106.14285714285714</v>
      </c>
      <c r="Z17" s="17">
        <f t="shared" si="9"/>
        <v>49.571428571428569</v>
      </c>
      <c r="AA17" s="17">
        <f t="shared" si="9"/>
        <v>33</v>
      </c>
      <c r="AB17" s="17">
        <f t="shared" si="9"/>
        <v>120.57142857142858</v>
      </c>
      <c r="AC17" s="17">
        <f t="shared" si="9"/>
        <v>747.42857142857133</v>
      </c>
      <c r="AD17" s="17">
        <f t="shared" si="9"/>
        <v>0.2857142857142857</v>
      </c>
      <c r="AE17" s="31">
        <f t="shared" si="9"/>
        <v>1142</v>
      </c>
      <c r="AF17" s="31">
        <f t="shared" si="9"/>
        <v>1889.4285714285716</v>
      </c>
    </row>
    <row r="18" spans="2:32" ht="23.1" customHeight="1" x14ac:dyDescent="0.25">
      <c r="B18" s="23" t="s">
        <v>45</v>
      </c>
      <c r="C18" s="49">
        <f>'Avg Week Seeta-Mukono'!C18+'Avg Week Mukono-Seeta'!C18</f>
        <v>94.428571428571431</v>
      </c>
      <c r="D18" s="49">
        <f>'Avg Week Seeta-Mukono'!D18+'Avg Week Mukono-Seeta'!D18</f>
        <v>18.571428571428569</v>
      </c>
      <c r="E18" s="49">
        <f>'Avg Week Seeta-Mukono'!E18+'Avg Week Mukono-Seeta'!E18</f>
        <v>20.571428571428569</v>
      </c>
      <c r="F18" s="49">
        <f>'Avg Week Seeta-Mukono'!F18+'Avg Week Mukono-Seeta'!F18</f>
        <v>91.285714285714278</v>
      </c>
      <c r="G18" s="49">
        <f>'Avg Week Seeta-Mukono'!G18+'Avg Week Mukono-Seeta'!G18</f>
        <v>5.4285714285714288</v>
      </c>
      <c r="H18" s="49">
        <f>'Avg Week Seeta-Mukono'!H18+'Avg Week Mukono-Seeta'!H18</f>
        <v>1.1428571428571428</v>
      </c>
      <c r="I18" s="49">
        <f>'Avg Week Seeta-Mukono'!I18+'Avg Week Mukono-Seeta'!I18</f>
        <v>19.857142857142858</v>
      </c>
      <c r="J18" s="49">
        <f>'Avg Week Seeta-Mukono'!J18+'Avg Week Mukono-Seeta'!J18</f>
        <v>9</v>
      </c>
      <c r="K18" s="49">
        <f>'Avg Week Seeta-Mukono'!K18+'Avg Week Mukono-Seeta'!K18</f>
        <v>7.4285714285714288</v>
      </c>
      <c r="L18" s="49">
        <f>'Avg Week Seeta-Mukono'!L18+'Avg Week Mukono-Seeta'!L18</f>
        <v>20.428571428571427</v>
      </c>
      <c r="M18" s="49">
        <f>'Avg Week Seeta-Mukono'!M18+'Avg Week Mukono-Seeta'!M18</f>
        <v>262.28571428571428</v>
      </c>
      <c r="N18" s="49">
        <f>'Avg Week Seeta-Mukono'!N18+'Avg Week Mukono-Seeta'!N18</f>
        <v>0</v>
      </c>
      <c r="O18" s="15">
        <f t="shared" si="0"/>
        <v>288.14285714285711</v>
      </c>
      <c r="P18" s="15">
        <f t="shared" si="1"/>
        <v>550.42857142857133</v>
      </c>
      <c r="R18" s="1" t="s">
        <v>14</v>
      </c>
      <c r="S18" s="17">
        <f t="shared" ref="S18:AF18" si="10">SUM(C42:C45)</f>
        <v>271.71428571428572</v>
      </c>
      <c r="T18" s="17">
        <f t="shared" si="10"/>
        <v>83</v>
      </c>
      <c r="U18" s="17">
        <f t="shared" si="10"/>
        <v>61.428571428571431</v>
      </c>
      <c r="V18" s="17">
        <f t="shared" si="10"/>
        <v>344</v>
      </c>
      <c r="W18" s="17">
        <f t="shared" si="10"/>
        <v>13.142857142857142</v>
      </c>
      <c r="X18" s="17">
        <f t="shared" si="10"/>
        <v>6</v>
      </c>
      <c r="Y18" s="17">
        <f t="shared" si="10"/>
        <v>80.428571428571431</v>
      </c>
      <c r="Z18" s="17">
        <f t="shared" si="10"/>
        <v>41.285714285714285</v>
      </c>
      <c r="AA18" s="17">
        <f t="shared" si="10"/>
        <v>34.571428571428569</v>
      </c>
      <c r="AB18" s="17">
        <f t="shared" si="10"/>
        <v>128.28571428571428</v>
      </c>
      <c r="AC18" s="17">
        <f t="shared" si="10"/>
        <v>751.28571428571433</v>
      </c>
      <c r="AD18" s="17">
        <f t="shared" si="10"/>
        <v>0.2857142857142857</v>
      </c>
      <c r="AE18" s="31">
        <f t="shared" si="10"/>
        <v>1064.1428571428571</v>
      </c>
      <c r="AF18" s="31">
        <f t="shared" si="10"/>
        <v>1815.4285714285713</v>
      </c>
    </row>
    <row r="19" spans="2:32" ht="23.1" customHeight="1" x14ac:dyDescent="0.25">
      <c r="B19" s="23" t="s">
        <v>46</v>
      </c>
      <c r="C19" s="49">
        <f>'Avg Week Seeta-Mukono'!C19+'Avg Week Mukono-Seeta'!C19</f>
        <v>80.857142857142861</v>
      </c>
      <c r="D19" s="49">
        <f>'Avg Week Seeta-Mukono'!D19+'Avg Week Mukono-Seeta'!D19</f>
        <v>16.714285714285715</v>
      </c>
      <c r="E19" s="49">
        <f>'Avg Week Seeta-Mukono'!E19+'Avg Week Mukono-Seeta'!E19</f>
        <v>19.142857142857142</v>
      </c>
      <c r="F19" s="49">
        <f>'Avg Week Seeta-Mukono'!F19+'Avg Week Mukono-Seeta'!F19</f>
        <v>74.571428571428569</v>
      </c>
      <c r="G19" s="49">
        <f>'Avg Week Seeta-Mukono'!G19+'Avg Week Mukono-Seeta'!G19</f>
        <v>4.4285714285714288</v>
      </c>
      <c r="H19" s="49">
        <f>'Avg Week Seeta-Mukono'!H19+'Avg Week Mukono-Seeta'!H19</f>
        <v>2</v>
      </c>
      <c r="I19" s="49">
        <f>'Avg Week Seeta-Mukono'!I19+'Avg Week Mukono-Seeta'!I19</f>
        <v>14.142857142857142</v>
      </c>
      <c r="J19" s="49">
        <f>'Avg Week Seeta-Mukono'!J19+'Avg Week Mukono-Seeta'!J19</f>
        <v>8.7142857142857153</v>
      </c>
      <c r="K19" s="49">
        <f>'Avg Week Seeta-Mukono'!K19+'Avg Week Mukono-Seeta'!K19</f>
        <v>5</v>
      </c>
      <c r="L19" s="49">
        <f>'Avg Week Seeta-Mukono'!L19+'Avg Week Mukono-Seeta'!L19</f>
        <v>13.714285714285714</v>
      </c>
      <c r="M19" s="49">
        <f>'Avg Week Seeta-Mukono'!M19+'Avg Week Mukono-Seeta'!M19</f>
        <v>264</v>
      </c>
      <c r="N19" s="49">
        <f>'Avg Week Seeta-Mukono'!N19+'Avg Week Mukono-Seeta'!N19</f>
        <v>0</v>
      </c>
      <c r="O19" s="15">
        <f t="shared" si="0"/>
        <v>239.28571428571428</v>
      </c>
      <c r="P19" s="15">
        <f t="shared" si="1"/>
        <v>503.28571428571428</v>
      </c>
      <c r="R19" s="1" t="s">
        <v>15</v>
      </c>
      <c r="S19" s="17">
        <f t="shared" ref="S19:AF19" si="11">SUM(C46:C49)</f>
        <v>308.57142857142856</v>
      </c>
      <c r="T19" s="17">
        <f t="shared" si="11"/>
        <v>91.428571428571416</v>
      </c>
      <c r="U19" s="17">
        <f t="shared" si="11"/>
        <v>64</v>
      </c>
      <c r="V19" s="17">
        <f t="shared" si="11"/>
        <v>352.57142857142856</v>
      </c>
      <c r="W19" s="17">
        <f t="shared" si="11"/>
        <v>23.285714285714285</v>
      </c>
      <c r="X19" s="17">
        <f t="shared" si="11"/>
        <v>8.2857142857142847</v>
      </c>
      <c r="Y19" s="17">
        <f t="shared" si="11"/>
        <v>80.428571428571416</v>
      </c>
      <c r="Z19" s="17">
        <f t="shared" si="11"/>
        <v>43</v>
      </c>
      <c r="AA19" s="17">
        <f t="shared" si="11"/>
        <v>31.142857142857142</v>
      </c>
      <c r="AB19" s="17">
        <f t="shared" si="11"/>
        <v>151.57142857142856</v>
      </c>
      <c r="AC19" s="17">
        <f t="shared" si="11"/>
        <v>804.57142857142867</v>
      </c>
      <c r="AD19" s="17">
        <f t="shared" si="11"/>
        <v>0.14285714285714285</v>
      </c>
      <c r="AE19" s="31">
        <f t="shared" si="11"/>
        <v>1154.4285714285716</v>
      </c>
      <c r="AF19" s="31">
        <f t="shared" si="11"/>
        <v>1959</v>
      </c>
    </row>
    <row r="20" spans="2:32" ht="23.1" customHeight="1" x14ac:dyDescent="0.25">
      <c r="B20" s="23" t="s">
        <v>47</v>
      </c>
      <c r="C20" s="49">
        <f>'Avg Week Seeta-Mukono'!C20+'Avg Week Mukono-Seeta'!C20</f>
        <v>74.142857142857139</v>
      </c>
      <c r="D20" s="49">
        <f>'Avg Week Seeta-Mukono'!D20+'Avg Week Mukono-Seeta'!D20</f>
        <v>18</v>
      </c>
      <c r="E20" s="49">
        <f>'Avg Week Seeta-Mukono'!E20+'Avg Week Mukono-Seeta'!E20</f>
        <v>14.857142857142858</v>
      </c>
      <c r="F20" s="49">
        <f>'Avg Week Seeta-Mukono'!F20+'Avg Week Mukono-Seeta'!F20</f>
        <v>89.285714285714292</v>
      </c>
      <c r="G20" s="49">
        <f>'Avg Week Seeta-Mukono'!G20+'Avg Week Mukono-Seeta'!G20</f>
        <v>3.7142857142857144</v>
      </c>
      <c r="H20" s="49">
        <f>'Avg Week Seeta-Mukono'!H20+'Avg Week Mukono-Seeta'!H20</f>
        <v>0.8571428571428571</v>
      </c>
      <c r="I20" s="49">
        <f>'Avg Week Seeta-Mukono'!I20+'Avg Week Mukono-Seeta'!I20</f>
        <v>19.142857142857142</v>
      </c>
      <c r="J20" s="49">
        <f>'Avg Week Seeta-Mukono'!J20+'Avg Week Mukono-Seeta'!J20</f>
        <v>9.8571428571428577</v>
      </c>
      <c r="K20" s="49">
        <f>'Avg Week Seeta-Mukono'!K20+'Avg Week Mukono-Seeta'!K20</f>
        <v>5.5714285714285712</v>
      </c>
      <c r="L20" s="49">
        <f>'Avg Week Seeta-Mukono'!L20+'Avg Week Mukono-Seeta'!L20</f>
        <v>22</v>
      </c>
      <c r="M20" s="49">
        <f>'Avg Week Seeta-Mukono'!M20+'Avg Week Mukono-Seeta'!M20</f>
        <v>257.85714285714289</v>
      </c>
      <c r="N20" s="49">
        <f>'Avg Week Seeta-Mukono'!N20+'Avg Week Mukono-Seeta'!N20</f>
        <v>0</v>
      </c>
      <c r="O20" s="15">
        <f t="shared" si="0"/>
        <v>257.42857142857144</v>
      </c>
      <c r="P20" s="15">
        <f t="shared" si="1"/>
        <v>515.28571428571433</v>
      </c>
      <c r="R20" s="1" t="s">
        <v>16</v>
      </c>
      <c r="S20" s="17">
        <f t="shared" ref="S20:AF20" si="12">SUM(C50:C53)</f>
        <v>313.14285714285717</v>
      </c>
      <c r="T20" s="17">
        <f t="shared" si="12"/>
        <v>91.285714285714278</v>
      </c>
      <c r="U20" s="17">
        <f t="shared" si="12"/>
        <v>58.285714285714285</v>
      </c>
      <c r="V20" s="17">
        <f t="shared" si="12"/>
        <v>399.42857142857144</v>
      </c>
      <c r="W20" s="17">
        <f t="shared" si="12"/>
        <v>31.714285714285715</v>
      </c>
      <c r="X20" s="17">
        <f t="shared" si="12"/>
        <v>6.4285714285714279</v>
      </c>
      <c r="Y20" s="17">
        <f t="shared" si="12"/>
        <v>78.571428571428569</v>
      </c>
      <c r="Z20" s="17">
        <f t="shared" si="12"/>
        <v>45.714285714285715</v>
      </c>
      <c r="AA20" s="17">
        <f t="shared" si="12"/>
        <v>29.857142857142861</v>
      </c>
      <c r="AB20" s="17">
        <f t="shared" si="12"/>
        <v>118.28571428571428</v>
      </c>
      <c r="AC20" s="17">
        <f t="shared" si="12"/>
        <v>952.71428571428578</v>
      </c>
      <c r="AD20" s="17">
        <f t="shared" si="12"/>
        <v>0.2857142857142857</v>
      </c>
      <c r="AE20" s="31">
        <f t="shared" si="12"/>
        <v>1173.0000000000002</v>
      </c>
      <c r="AF20" s="31">
        <f t="shared" si="12"/>
        <v>2125.7142857142858</v>
      </c>
    </row>
    <row r="21" spans="2:32" ht="23.1" customHeight="1" x14ac:dyDescent="0.25">
      <c r="B21" s="23" t="s">
        <v>48</v>
      </c>
      <c r="C21" s="49">
        <f>'Avg Week Seeta-Mukono'!C21+'Avg Week Mukono-Seeta'!C21</f>
        <v>95</v>
      </c>
      <c r="D21" s="49">
        <f>'Avg Week Seeta-Mukono'!D21+'Avg Week Mukono-Seeta'!D21</f>
        <v>19.714285714285715</v>
      </c>
      <c r="E21" s="49">
        <f>'Avg Week Seeta-Mukono'!E21+'Avg Week Mukono-Seeta'!E21</f>
        <v>13.714285714285714</v>
      </c>
      <c r="F21" s="49">
        <f>'Avg Week Seeta-Mukono'!F21+'Avg Week Mukono-Seeta'!F21</f>
        <v>91.285714285714292</v>
      </c>
      <c r="G21" s="49">
        <f>'Avg Week Seeta-Mukono'!G21+'Avg Week Mukono-Seeta'!G21</f>
        <v>5.2857142857142856</v>
      </c>
      <c r="H21" s="49">
        <f>'Avg Week Seeta-Mukono'!H21+'Avg Week Mukono-Seeta'!H21</f>
        <v>3.1428571428571428</v>
      </c>
      <c r="I21" s="49">
        <f>'Avg Week Seeta-Mukono'!I21+'Avg Week Mukono-Seeta'!I21</f>
        <v>32</v>
      </c>
      <c r="J21" s="49">
        <f>'Avg Week Seeta-Mukono'!J21+'Avg Week Mukono-Seeta'!J21</f>
        <v>11.857142857142858</v>
      </c>
      <c r="K21" s="49">
        <f>'Avg Week Seeta-Mukono'!K21+'Avg Week Mukono-Seeta'!K21</f>
        <v>8.8571428571428577</v>
      </c>
      <c r="L21" s="49">
        <f>'Avg Week Seeta-Mukono'!L21+'Avg Week Mukono-Seeta'!L21</f>
        <v>22.285714285714285</v>
      </c>
      <c r="M21" s="49">
        <f>'Avg Week Seeta-Mukono'!M21+'Avg Week Mukono-Seeta'!M21</f>
        <v>246.57142857142856</v>
      </c>
      <c r="N21" s="49">
        <f>'Avg Week Seeta-Mukono'!N21+'Avg Week Mukono-Seeta'!N21</f>
        <v>0</v>
      </c>
      <c r="O21" s="15">
        <f t="shared" si="0"/>
        <v>303.14285714285705</v>
      </c>
      <c r="P21" s="15">
        <f t="shared" si="1"/>
        <v>549.71428571428555</v>
      </c>
      <c r="R21" s="36" t="s">
        <v>20</v>
      </c>
      <c r="S21" s="34">
        <f t="shared" ref="S21:AF21" si="13">SUM(C54:C57)</f>
        <v>307.57142857142856</v>
      </c>
      <c r="T21" s="17">
        <f t="shared" si="13"/>
        <v>78.571428571428569</v>
      </c>
      <c r="U21" s="17">
        <f t="shared" si="13"/>
        <v>60.714285714285715</v>
      </c>
      <c r="V21" s="17">
        <f t="shared" si="13"/>
        <v>366.85714285714289</v>
      </c>
      <c r="W21" s="17">
        <f t="shared" si="13"/>
        <v>41</v>
      </c>
      <c r="X21" s="17">
        <f t="shared" si="13"/>
        <v>10.142857142857142</v>
      </c>
      <c r="Y21" s="17">
        <f t="shared" si="13"/>
        <v>63.857142857142861</v>
      </c>
      <c r="Z21" s="17">
        <f t="shared" si="13"/>
        <v>43</v>
      </c>
      <c r="AA21" s="17">
        <f t="shared" si="13"/>
        <v>27.999999999999996</v>
      </c>
      <c r="AB21" s="17">
        <f t="shared" si="13"/>
        <v>98</v>
      </c>
      <c r="AC21" s="17">
        <f t="shared" si="13"/>
        <v>1094.5714285714284</v>
      </c>
      <c r="AD21" s="17">
        <f t="shared" si="13"/>
        <v>0.42857142857142855</v>
      </c>
      <c r="AE21" s="31">
        <f t="shared" si="13"/>
        <v>1098.1428571428573</v>
      </c>
      <c r="AF21" s="31">
        <f t="shared" si="13"/>
        <v>2192.7142857142858</v>
      </c>
    </row>
    <row r="22" spans="2:32" ht="23.1" customHeight="1" x14ac:dyDescent="0.25">
      <c r="B22" s="23" t="s">
        <v>49</v>
      </c>
      <c r="C22" s="49">
        <f>'Avg Week Seeta-Mukono'!C22+'Avg Week Mukono-Seeta'!C22</f>
        <v>79.857142857142861</v>
      </c>
      <c r="D22" s="49">
        <f>'Avg Week Seeta-Mukono'!D22+'Avg Week Mukono-Seeta'!D22</f>
        <v>14.428571428571429</v>
      </c>
      <c r="E22" s="49">
        <f>'Avg Week Seeta-Mukono'!E22+'Avg Week Mukono-Seeta'!E22</f>
        <v>16.571428571428573</v>
      </c>
      <c r="F22" s="49">
        <f>'Avg Week Seeta-Mukono'!F22+'Avg Week Mukono-Seeta'!F22</f>
        <v>65.142857142857139</v>
      </c>
      <c r="G22" s="49">
        <f>'Avg Week Seeta-Mukono'!G22+'Avg Week Mukono-Seeta'!G22</f>
        <v>2.8571428571428572</v>
      </c>
      <c r="H22" s="49">
        <f>'Avg Week Seeta-Mukono'!H22+'Avg Week Mukono-Seeta'!H22</f>
        <v>4.2857142857142865</v>
      </c>
      <c r="I22" s="49">
        <f>'Avg Week Seeta-Mukono'!I22+'Avg Week Mukono-Seeta'!I22</f>
        <v>15.428571428571431</v>
      </c>
      <c r="J22" s="49">
        <f>'Avg Week Seeta-Mukono'!J22+'Avg Week Mukono-Seeta'!J22</f>
        <v>8.5714285714285712</v>
      </c>
      <c r="K22" s="49">
        <f>'Avg Week Seeta-Mukono'!K22+'Avg Week Mukono-Seeta'!K22</f>
        <v>4.7142857142857144</v>
      </c>
      <c r="L22" s="49">
        <f>'Avg Week Seeta-Mukono'!L22+'Avg Week Mukono-Seeta'!L22</f>
        <v>18.285714285714285</v>
      </c>
      <c r="M22" s="49">
        <f>'Avg Week Seeta-Mukono'!M22+'Avg Week Mukono-Seeta'!M22</f>
        <v>221.85714285714286</v>
      </c>
      <c r="N22" s="49">
        <f>'Avg Week Seeta-Mukono'!N22+'Avg Week Mukono-Seeta'!N22</f>
        <v>0</v>
      </c>
      <c r="O22" s="15">
        <f t="shared" si="0"/>
        <v>230.14285714285714</v>
      </c>
      <c r="P22" s="15">
        <f t="shared" si="1"/>
        <v>452</v>
      </c>
      <c r="R22" s="1" t="s">
        <v>146</v>
      </c>
      <c r="S22" s="34">
        <f>SUM(C58:C61)</f>
        <v>239</v>
      </c>
      <c r="T22" s="34">
        <f t="shared" ref="T22:AF22" si="14">SUM(D58:D61)</f>
        <v>109</v>
      </c>
      <c r="U22" s="34">
        <f t="shared" si="14"/>
        <v>41.5</v>
      </c>
      <c r="V22" s="34">
        <f t="shared" si="14"/>
        <v>268.5</v>
      </c>
      <c r="W22" s="34">
        <f t="shared" si="14"/>
        <v>17</v>
      </c>
      <c r="X22" s="34">
        <f t="shared" si="14"/>
        <v>7</v>
      </c>
      <c r="Y22" s="34">
        <f t="shared" si="14"/>
        <v>80</v>
      </c>
      <c r="Z22" s="34">
        <f t="shared" si="14"/>
        <v>47</v>
      </c>
      <c r="AA22" s="34">
        <f t="shared" si="14"/>
        <v>21.5</v>
      </c>
      <c r="AB22" s="34">
        <f t="shared" si="14"/>
        <v>66.5</v>
      </c>
      <c r="AC22" s="34">
        <f t="shared" si="14"/>
        <v>1011</v>
      </c>
      <c r="AD22" s="34">
        <f t="shared" si="14"/>
        <v>0</v>
      </c>
      <c r="AE22" s="31">
        <f t="shared" si="14"/>
        <v>897</v>
      </c>
      <c r="AF22" s="31">
        <f t="shared" si="14"/>
        <v>1908</v>
      </c>
    </row>
    <row r="23" spans="2:32" ht="23.1" customHeight="1" x14ac:dyDescent="0.25">
      <c r="B23" s="23" t="s">
        <v>50</v>
      </c>
      <c r="C23" s="49">
        <f>'Avg Week Seeta-Mukono'!C23+'Avg Week Mukono-Seeta'!C23</f>
        <v>91.857142857142861</v>
      </c>
      <c r="D23" s="49">
        <f>'Avg Week Seeta-Mukono'!D23+'Avg Week Mukono-Seeta'!D23</f>
        <v>18.714285714285715</v>
      </c>
      <c r="E23" s="49">
        <f>'Avg Week Seeta-Mukono'!E23+'Avg Week Mukono-Seeta'!E23</f>
        <v>15.428571428571429</v>
      </c>
      <c r="F23" s="49">
        <f>'Avg Week Seeta-Mukono'!F23+'Avg Week Mukono-Seeta'!F23</f>
        <v>88.857142857142861</v>
      </c>
      <c r="G23" s="49">
        <f>'Avg Week Seeta-Mukono'!G23+'Avg Week Mukono-Seeta'!G23</f>
        <v>5.5714285714285712</v>
      </c>
      <c r="H23" s="49">
        <f>'Avg Week Seeta-Mukono'!H23+'Avg Week Mukono-Seeta'!H23</f>
        <v>0.71428571428571419</v>
      </c>
      <c r="I23" s="49">
        <f>'Avg Week Seeta-Mukono'!I23+'Avg Week Mukono-Seeta'!I23</f>
        <v>23.428571428571431</v>
      </c>
      <c r="J23" s="49">
        <f>'Avg Week Seeta-Mukono'!J23+'Avg Week Mukono-Seeta'!J23</f>
        <v>9.5714285714285712</v>
      </c>
      <c r="K23" s="49">
        <f>'Avg Week Seeta-Mukono'!K23+'Avg Week Mukono-Seeta'!K23</f>
        <v>6</v>
      </c>
      <c r="L23" s="49">
        <f>'Avg Week Seeta-Mukono'!L23+'Avg Week Mukono-Seeta'!L23</f>
        <v>24.571428571428569</v>
      </c>
      <c r="M23" s="49">
        <f>'Avg Week Seeta-Mukono'!M23+'Avg Week Mukono-Seeta'!M23</f>
        <v>249.85714285714286</v>
      </c>
      <c r="N23" s="49">
        <f>'Avg Week Seeta-Mukono'!N23+'Avg Week Mukono-Seeta'!N23</f>
        <v>0</v>
      </c>
      <c r="O23" s="15">
        <f t="shared" si="0"/>
        <v>284.71428571428578</v>
      </c>
      <c r="P23" s="15">
        <f t="shared" si="1"/>
        <v>534.57142857142867</v>
      </c>
      <c r="R23" s="1" t="s">
        <v>147</v>
      </c>
      <c r="S23" s="34">
        <f>SUM(C62:C65)</f>
        <v>324</v>
      </c>
      <c r="T23" s="34">
        <f t="shared" ref="T23:AF23" si="15">SUM(D62:D65)</f>
        <v>127.5</v>
      </c>
      <c r="U23" s="34">
        <f t="shared" si="15"/>
        <v>49.5</v>
      </c>
      <c r="V23" s="34">
        <f t="shared" si="15"/>
        <v>315.5</v>
      </c>
      <c r="W23" s="34">
        <f t="shared" si="15"/>
        <v>19.5</v>
      </c>
      <c r="X23" s="34">
        <f t="shared" si="15"/>
        <v>14</v>
      </c>
      <c r="Y23" s="34">
        <f t="shared" si="15"/>
        <v>61</v>
      </c>
      <c r="Z23" s="34">
        <f t="shared" si="15"/>
        <v>48</v>
      </c>
      <c r="AA23" s="34">
        <f t="shared" si="15"/>
        <v>21</v>
      </c>
      <c r="AB23" s="34">
        <f t="shared" si="15"/>
        <v>58</v>
      </c>
      <c r="AC23" s="34">
        <f t="shared" si="15"/>
        <v>1002.5</v>
      </c>
      <c r="AD23" s="34">
        <f t="shared" si="15"/>
        <v>0</v>
      </c>
      <c r="AE23" s="31">
        <f t="shared" si="15"/>
        <v>1038</v>
      </c>
      <c r="AF23" s="31">
        <f t="shared" si="15"/>
        <v>2040.5</v>
      </c>
    </row>
    <row r="24" spans="2:32" ht="23.1" customHeight="1" x14ac:dyDescent="0.25">
      <c r="B24" s="23" t="s">
        <v>51</v>
      </c>
      <c r="C24" s="49">
        <f>'Avg Week Seeta-Mukono'!C24+'Avg Week Mukono-Seeta'!C24</f>
        <v>84.857142857142847</v>
      </c>
      <c r="D24" s="49">
        <f>'Avg Week Seeta-Mukono'!D24+'Avg Week Mukono-Seeta'!D24</f>
        <v>19.571428571428569</v>
      </c>
      <c r="E24" s="49">
        <f>'Avg Week Seeta-Mukono'!E24+'Avg Week Mukono-Seeta'!E24</f>
        <v>15</v>
      </c>
      <c r="F24" s="49">
        <f>'Avg Week Seeta-Mukono'!F24+'Avg Week Mukono-Seeta'!F24</f>
        <v>95</v>
      </c>
      <c r="G24" s="49">
        <f>'Avg Week Seeta-Mukono'!G24+'Avg Week Mukono-Seeta'!G24</f>
        <v>3.8571428571428572</v>
      </c>
      <c r="H24" s="49">
        <f>'Avg Week Seeta-Mukono'!H24+'Avg Week Mukono-Seeta'!H24</f>
        <v>0.5714285714285714</v>
      </c>
      <c r="I24" s="49">
        <f>'Avg Week Seeta-Mukono'!I24+'Avg Week Mukono-Seeta'!I24</f>
        <v>19.714285714285715</v>
      </c>
      <c r="J24" s="49">
        <f>'Avg Week Seeta-Mukono'!J24+'Avg Week Mukono-Seeta'!J24</f>
        <v>9.8571428571428577</v>
      </c>
      <c r="K24" s="49">
        <f>'Avg Week Seeta-Mukono'!K24+'Avg Week Mukono-Seeta'!K24</f>
        <v>6.1428571428571423</v>
      </c>
      <c r="L24" s="49">
        <f>'Avg Week Seeta-Mukono'!L24+'Avg Week Mukono-Seeta'!L24</f>
        <v>26.571428571428569</v>
      </c>
      <c r="M24" s="49">
        <f>'Avg Week Seeta-Mukono'!M24+'Avg Week Mukono-Seeta'!M24</f>
        <v>229.28571428571428</v>
      </c>
      <c r="N24" s="49">
        <f>'Avg Week Seeta-Mukono'!N24+'Avg Week Mukono-Seeta'!N24</f>
        <v>0</v>
      </c>
      <c r="O24" s="15">
        <f t="shared" si="0"/>
        <v>281.14285714285717</v>
      </c>
      <c r="P24" s="15">
        <f t="shared" si="1"/>
        <v>510.42857142857144</v>
      </c>
      <c r="R24" s="1" t="s">
        <v>148</v>
      </c>
      <c r="S24" s="34">
        <f>SUM(C66:C69)</f>
        <v>307</v>
      </c>
      <c r="T24" s="34">
        <f t="shared" ref="T24:AF24" si="16">SUM(D66:D69)</f>
        <v>121</v>
      </c>
      <c r="U24" s="34">
        <f t="shared" si="16"/>
        <v>47</v>
      </c>
      <c r="V24" s="34">
        <f t="shared" si="16"/>
        <v>299</v>
      </c>
      <c r="W24" s="34">
        <f t="shared" si="16"/>
        <v>22</v>
      </c>
      <c r="X24" s="34">
        <f t="shared" si="16"/>
        <v>4</v>
      </c>
      <c r="Y24" s="34">
        <f t="shared" si="16"/>
        <v>71</v>
      </c>
      <c r="Z24" s="34">
        <f t="shared" si="16"/>
        <v>49</v>
      </c>
      <c r="AA24" s="34">
        <f t="shared" si="16"/>
        <v>18</v>
      </c>
      <c r="AB24" s="34">
        <f t="shared" si="16"/>
        <v>52.5</v>
      </c>
      <c r="AC24" s="34">
        <f t="shared" si="16"/>
        <v>683.5</v>
      </c>
      <c r="AD24" s="34">
        <f t="shared" si="16"/>
        <v>0</v>
      </c>
      <c r="AE24" s="31">
        <f t="shared" si="16"/>
        <v>990.5</v>
      </c>
      <c r="AF24" s="31">
        <f t="shared" si="16"/>
        <v>1674</v>
      </c>
    </row>
    <row r="25" spans="2:32" ht="23.1" customHeight="1" x14ac:dyDescent="0.25">
      <c r="B25" s="23" t="s">
        <v>52</v>
      </c>
      <c r="C25" s="49">
        <f>'Avg Week Seeta-Mukono'!C25+'Avg Week Mukono-Seeta'!C25</f>
        <v>75.428571428571431</v>
      </c>
      <c r="D25" s="49">
        <f>'Avg Week Seeta-Mukono'!D25+'Avg Week Mukono-Seeta'!D25</f>
        <v>17.857142857142858</v>
      </c>
      <c r="E25" s="49">
        <f>'Avg Week Seeta-Mukono'!E25+'Avg Week Mukono-Seeta'!E25</f>
        <v>13.571428571428573</v>
      </c>
      <c r="F25" s="49">
        <f>'Avg Week Seeta-Mukono'!F25+'Avg Week Mukono-Seeta'!F25</f>
        <v>92.285714285714278</v>
      </c>
      <c r="G25" s="49">
        <f>'Avg Week Seeta-Mukono'!G25+'Avg Week Mukono-Seeta'!G25</f>
        <v>4.5714285714285712</v>
      </c>
      <c r="H25" s="49">
        <f>'Avg Week Seeta-Mukono'!H25+'Avg Week Mukono-Seeta'!H25</f>
        <v>2.7142857142857144</v>
      </c>
      <c r="I25" s="49">
        <f>'Avg Week Seeta-Mukono'!I25+'Avg Week Mukono-Seeta'!I25</f>
        <v>20.428571428571431</v>
      </c>
      <c r="J25" s="49">
        <f>'Avg Week Seeta-Mukono'!J25+'Avg Week Mukono-Seeta'!J25</f>
        <v>11.857142857142858</v>
      </c>
      <c r="K25" s="49">
        <f>'Avg Week Seeta-Mukono'!K25+'Avg Week Mukono-Seeta'!K25</f>
        <v>7</v>
      </c>
      <c r="L25" s="49">
        <f>'Avg Week Seeta-Mukono'!L25+'Avg Week Mukono-Seeta'!L25</f>
        <v>24.571428571428569</v>
      </c>
      <c r="M25" s="49">
        <f>'Avg Week Seeta-Mukono'!M25+'Avg Week Mukono-Seeta'!M25</f>
        <v>239</v>
      </c>
      <c r="N25" s="49">
        <f>'Avg Week Seeta-Mukono'!N25+'Avg Week Mukono-Seeta'!N25</f>
        <v>0</v>
      </c>
      <c r="O25" s="15">
        <f t="shared" si="0"/>
        <v>270.28571428571433</v>
      </c>
      <c r="P25" s="15">
        <f t="shared" si="1"/>
        <v>509.28571428571433</v>
      </c>
      <c r="R25" s="1" t="s">
        <v>149</v>
      </c>
      <c r="S25" s="34">
        <f>SUM(C70:C73)</f>
        <v>292.5</v>
      </c>
      <c r="T25" s="34">
        <f t="shared" ref="T25:AF25" si="17">SUM(D70:D73)</f>
        <v>120.5</v>
      </c>
      <c r="U25" s="34">
        <f t="shared" si="17"/>
        <v>65</v>
      </c>
      <c r="V25" s="34">
        <f t="shared" si="17"/>
        <v>270.5</v>
      </c>
      <c r="W25" s="34">
        <f t="shared" si="17"/>
        <v>32.5</v>
      </c>
      <c r="X25" s="34">
        <f t="shared" si="17"/>
        <v>14.5</v>
      </c>
      <c r="Y25" s="34">
        <f t="shared" si="17"/>
        <v>59</v>
      </c>
      <c r="Z25" s="34">
        <f t="shared" si="17"/>
        <v>51</v>
      </c>
      <c r="AA25" s="34">
        <f t="shared" si="17"/>
        <v>23.5</v>
      </c>
      <c r="AB25" s="34">
        <f t="shared" si="17"/>
        <v>85.5</v>
      </c>
      <c r="AC25" s="34">
        <f t="shared" si="17"/>
        <v>428</v>
      </c>
      <c r="AD25" s="34">
        <f t="shared" si="17"/>
        <v>0</v>
      </c>
      <c r="AE25" s="31">
        <f t="shared" si="17"/>
        <v>1014.5</v>
      </c>
      <c r="AF25" s="31">
        <f t="shared" si="17"/>
        <v>1442.5</v>
      </c>
    </row>
    <row r="26" spans="2:32" ht="23.1" customHeight="1" x14ac:dyDescent="0.25">
      <c r="B26" s="23" t="s">
        <v>53</v>
      </c>
      <c r="C26" s="49">
        <f>'Avg Week Seeta-Mukono'!C26+'Avg Week Mukono-Seeta'!C26</f>
        <v>76.428571428571431</v>
      </c>
      <c r="D26" s="49">
        <f>'Avg Week Seeta-Mukono'!D26+'Avg Week Mukono-Seeta'!D26</f>
        <v>18.571428571428573</v>
      </c>
      <c r="E26" s="49">
        <f>'Avg Week Seeta-Mukono'!E26+'Avg Week Mukono-Seeta'!E26</f>
        <v>15.428571428571429</v>
      </c>
      <c r="F26" s="49">
        <f>'Avg Week Seeta-Mukono'!F26+'Avg Week Mukono-Seeta'!F26</f>
        <v>94</v>
      </c>
      <c r="G26" s="49">
        <f>'Avg Week Seeta-Mukono'!G26+'Avg Week Mukono-Seeta'!G26</f>
        <v>3.2857142857142856</v>
      </c>
      <c r="H26" s="49">
        <f>'Avg Week Seeta-Mukono'!H26+'Avg Week Mukono-Seeta'!H26</f>
        <v>1</v>
      </c>
      <c r="I26" s="49">
        <f>'Avg Week Seeta-Mukono'!I26+'Avg Week Mukono-Seeta'!I26</f>
        <v>20.142857142857142</v>
      </c>
      <c r="J26" s="49">
        <f>'Avg Week Seeta-Mukono'!J26+'Avg Week Mukono-Seeta'!J26</f>
        <v>10.428571428571427</v>
      </c>
      <c r="K26" s="49">
        <f>'Avg Week Seeta-Mukono'!K26+'Avg Week Mukono-Seeta'!K26</f>
        <v>11.285714285714285</v>
      </c>
      <c r="L26" s="49">
        <f>'Avg Week Seeta-Mukono'!L26+'Avg Week Mukono-Seeta'!L26</f>
        <v>22.571428571428569</v>
      </c>
      <c r="M26" s="49">
        <f>'Avg Week Seeta-Mukono'!M26+'Avg Week Mukono-Seeta'!M26</f>
        <v>238.28571428571428</v>
      </c>
      <c r="N26" s="49">
        <f>'Avg Week Seeta-Mukono'!N26+'Avg Week Mukono-Seeta'!N26</f>
        <v>0</v>
      </c>
      <c r="O26" s="15">
        <f t="shared" si="0"/>
        <v>273.14285714285711</v>
      </c>
      <c r="P26" s="15">
        <f t="shared" si="1"/>
        <v>511.42857142857139</v>
      </c>
      <c r="R26" s="1" t="s">
        <v>150</v>
      </c>
      <c r="S26" s="34">
        <f>SUM(C74:C77)</f>
        <v>248</v>
      </c>
      <c r="T26" s="34">
        <f t="shared" ref="T26:AF26" si="18">SUM(D74:D77)</f>
        <v>137</v>
      </c>
      <c r="U26" s="34">
        <f t="shared" si="18"/>
        <v>42</v>
      </c>
      <c r="V26" s="34">
        <f t="shared" si="18"/>
        <v>188.5</v>
      </c>
      <c r="W26" s="34">
        <f t="shared" si="18"/>
        <v>19</v>
      </c>
      <c r="X26" s="34">
        <f t="shared" si="18"/>
        <v>12</v>
      </c>
      <c r="Y26" s="34">
        <f t="shared" si="18"/>
        <v>57</v>
      </c>
      <c r="Z26" s="34">
        <f t="shared" si="18"/>
        <v>40.5</v>
      </c>
      <c r="AA26" s="34">
        <f t="shared" si="18"/>
        <v>20</v>
      </c>
      <c r="AB26" s="34">
        <f t="shared" si="18"/>
        <v>52</v>
      </c>
      <c r="AC26" s="34">
        <f t="shared" si="18"/>
        <v>275</v>
      </c>
      <c r="AD26" s="34">
        <f t="shared" si="18"/>
        <v>0</v>
      </c>
      <c r="AE26" s="31">
        <f t="shared" si="18"/>
        <v>816</v>
      </c>
      <c r="AF26" s="31">
        <f t="shared" si="18"/>
        <v>1091</v>
      </c>
    </row>
    <row r="27" spans="2:32" ht="23.1" customHeight="1" x14ac:dyDescent="0.25">
      <c r="B27" s="23" t="s">
        <v>54</v>
      </c>
      <c r="C27" s="49">
        <f>'Avg Week Seeta-Mukono'!C27+'Avg Week Mukono-Seeta'!C27</f>
        <v>78.428571428571431</v>
      </c>
      <c r="D27" s="49">
        <f>'Avg Week Seeta-Mukono'!D27+'Avg Week Mukono-Seeta'!D27</f>
        <v>21.857142857142854</v>
      </c>
      <c r="E27" s="49">
        <f>'Avg Week Seeta-Mukono'!E27+'Avg Week Mukono-Seeta'!E27</f>
        <v>17.428571428571427</v>
      </c>
      <c r="F27" s="49">
        <f>'Avg Week Seeta-Mukono'!F27+'Avg Week Mukono-Seeta'!F27</f>
        <v>88.571428571428569</v>
      </c>
      <c r="G27" s="49">
        <f>'Avg Week Seeta-Mukono'!G27+'Avg Week Mukono-Seeta'!G27</f>
        <v>3.5714285714285712</v>
      </c>
      <c r="H27" s="49">
        <f>'Avg Week Seeta-Mukono'!H27+'Avg Week Mukono-Seeta'!H27</f>
        <v>0.2857142857142857</v>
      </c>
      <c r="I27" s="49">
        <f>'Avg Week Seeta-Mukono'!I27+'Avg Week Mukono-Seeta'!I27</f>
        <v>22.714285714285715</v>
      </c>
      <c r="J27" s="49">
        <f>'Avg Week Seeta-Mukono'!J27+'Avg Week Mukono-Seeta'!J27</f>
        <v>11.142857142857142</v>
      </c>
      <c r="K27" s="49">
        <f>'Avg Week Seeta-Mukono'!K27+'Avg Week Mukono-Seeta'!K27</f>
        <v>7.5714285714285712</v>
      </c>
      <c r="L27" s="49">
        <f>'Avg Week Seeta-Mukono'!L27+'Avg Week Mukono-Seeta'!L27</f>
        <v>28.285714285714285</v>
      </c>
      <c r="M27" s="49">
        <f>'Avg Week Seeta-Mukono'!M27+'Avg Week Mukono-Seeta'!M27</f>
        <v>251</v>
      </c>
      <c r="N27" s="49">
        <f>'Avg Week Seeta-Mukono'!N27+'Avg Week Mukono-Seeta'!N27</f>
        <v>0.14285714285714285</v>
      </c>
      <c r="O27" s="15">
        <f t="shared" si="0"/>
        <v>280.00000000000006</v>
      </c>
      <c r="P27" s="15">
        <f t="shared" si="1"/>
        <v>531</v>
      </c>
      <c r="R27" s="1" t="s">
        <v>151</v>
      </c>
      <c r="S27" s="34">
        <f>SUM(C78:C81)</f>
        <v>147.5</v>
      </c>
      <c r="T27" s="34">
        <f t="shared" ref="T27:AF27" si="19">SUM(D78:D81)</f>
        <v>38.5</v>
      </c>
      <c r="U27" s="34">
        <f t="shared" si="19"/>
        <v>22</v>
      </c>
      <c r="V27" s="34">
        <f t="shared" si="19"/>
        <v>81.5</v>
      </c>
      <c r="W27" s="34">
        <f t="shared" si="19"/>
        <v>10</v>
      </c>
      <c r="X27" s="34">
        <f t="shared" si="19"/>
        <v>2.5</v>
      </c>
      <c r="Y27" s="34">
        <f t="shared" si="19"/>
        <v>35</v>
      </c>
      <c r="Z27" s="34">
        <f t="shared" si="19"/>
        <v>47</v>
      </c>
      <c r="AA27" s="34">
        <f t="shared" si="19"/>
        <v>15</v>
      </c>
      <c r="AB27" s="34">
        <f t="shared" si="19"/>
        <v>28</v>
      </c>
      <c r="AC27" s="34">
        <f t="shared" si="19"/>
        <v>147</v>
      </c>
      <c r="AD27" s="34">
        <f t="shared" si="19"/>
        <v>0</v>
      </c>
      <c r="AE27" s="31">
        <f t="shared" si="19"/>
        <v>427</v>
      </c>
      <c r="AF27" s="31">
        <f t="shared" si="19"/>
        <v>574</v>
      </c>
    </row>
    <row r="28" spans="2:32" ht="23.1" customHeight="1" x14ac:dyDescent="0.25">
      <c r="B28" s="23" t="s">
        <v>55</v>
      </c>
      <c r="C28" s="49">
        <f>'Avg Week Seeta-Mukono'!C28+'Avg Week Mukono-Seeta'!C28</f>
        <v>76.428571428571431</v>
      </c>
      <c r="D28" s="49">
        <f>'Avg Week Seeta-Mukono'!D28+'Avg Week Mukono-Seeta'!D28</f>
        <v>19.571428571428573</v>
      </c>
      <c r="E28" s="49">
        <f>'Avg Week Seeta-Mukono'!E28+'Avg Week Mukono-Seeta'!E28</f>
        <v>15.571428571428571</v>
      </c>
      <c r="F28" s="49">
        <f>'Avg Week Seeta-Mukono'!F28+'Avg Week Mukono-Seeta'!F28</f>
        <v>96.285714285714278</v>
      </c>
      <c r="G28" s="49">
        <f>'Avg Week Seeta-Mukono'!G28+'Avg Week Mukono-Seeta'!G28</f>
        <v>3.2857142857142856</v>
      </c>
      <c r="H28" s="49">
        <f>'Avg Week Seeta-Mukono'!H28+'Avg Week Mukono-Seeta'!H28</f>
        <v>0.42857142857142855</v>
      </c>
      <c r="I28" s="49">
        <f>'Avg Week Seeta-Mukono'!I28+'Avg Week Mukono-Seeta'!I28</f>
        <v>21.571428571428569</v>
      </c>
      <c r="J28" s="49">
        <f>'Avg Week Seeta-Mukono'!J28+'Avg Week Mukono-Seeta'!J28</f>
        <v>11.428571428571429</v>
      </c>
      <c r="K28" s="49">
        <f>'Avg Week Seeta-Mukono'!K28+'Avg Week Mukono-Seeta'!K28</f>
        <v>7.1428571428571432</v>
      </c>
      <c r="L28" s="49">
        <f>'Avg Week Seeta-Mukono'!L28+'Avg Week Mukono-Seeta'!L28</f>
        <v>25.857142857142858</v>
      </c>
      <c r="M28" s="49">
        <f>'Avg Week Seeta-Mukono'!M28+'Avg Week Mukono-Seeta'!M28</f>
        <v>232.71428571428572</v>
      </c>
      <c r="N28" s="49">
        <f>'Avg Week Seeta-Mukono'!N28+'Avg Week Mukono-Seeta'!N28</f>
        <v>0</v>
      </c>
      <c r="O28" s="15">
        <f t="shared" si="0"/>
        <v>277.5714285714285</v>
      </c>
      <c r="P28" s="15">
        <f t="shared" si="1"/>
        <v>510.28571428571422</v>
      </c>
      <c r="R28" s="1" t="s">
        <v>152</v>
      </c>
      <c r="S28" s="34">
        <f>SUM(C82:C85)</f>
        <v>66</v>
      </c>
      <c r="T28" s="34">
        <f t="shared" ref="T28:AF28" si="20">SUM(D82:D85)</f>
        <v>23</v>
      </c>
      <c r="U28" s="34">
        <f t="shared" si="20"/>
        <v>16.5</v>
      </c>
      <c r="V28" s="34">
        <f t="shared" si="20"/>
        <v>42.5</v>
      </c>
      <c r="W28" s="34">
        <f t="shared" si="20"/>
        <v>5</v>
      </c>
      <c r="X28" s="34">
        <f t="shared" si="20"/>
        <v>3.5</v>
      </c>
      <c r="Y28" s="34">
        <f t="shared" si="20"/>
        <v>35.5</v>
      </c>
      <c r="Z28" s="34">
        <f t="shared" si="20"/>
        <v>41</v>
      </c>
      <c r="AA28" s="34">
        <f t="shared" si="20"/>
        <v>8</v>
      </c>
      <c r="AB28" s="34">
        <f t="shared" si="20"/>
        <v>37</v>
      </c>
      <c r="AC28" s="34">
        <f t="shared" si="20"/>
        <v>97</v>
      </c>
      <c r="AD28" s="34">
        <f t="shared" si="20"/>
        <v>0.5</v>
      </c>
      <c r="AE28" s="31">
        <f t="shared" si="20"/>
        <v>278.5</v>
      </c>
      <c r="AF28" s="31">
        <f t="shared" si="20"/>
        <v>375.5</v>
      </c>
    </row>
    <row r="29" spans="2:32" ht="23.1" customHeight="1" x14ac:dyDescent="0.25">
      <c r="B29" s="23" t="s">
        <v>56</v>
      </c>
      <c r="C29" s="49">
        <f>'Avg Week Seeta-Mukono'!C29+'Avg Week Mukono-Seeta'!C29</f>
        <v>76.714285714285708</v>
      </c>
      <c r="D29" s="49">
        <f>'Avg Week Seeta-Mukono'!D29+'Avg Week Mukono-Seeta'!D29</f>
        <v>16.857142857142854</v>
      </c>
      <c r="E29" s="49">
        <f>'Avg Week Seeta-Mukono'!E29+'Avg Week Mukono-Seeta'!E29</f>
        <v>14.285714285714286</v>
      </c>
      <c r="F29" s="49">
        <f>'Avg Week Seeta-Mukono'!F29+'Avg Week Mukono-Seeta'!F29</f>
        <v>87.428571428571431</v>
      </c>
      <c r="G29" s="49">
        <f>'Avg Week Seeta-Mukono'!G29+'Avg Week Mukono-Seeta'!G29</f>
        <v>5.1428571428571423</v>
      </c>
      <c r="H29" s="49">
        <f>'Avg Week Seeta-Mukono'!H29+'Avg Week Mukono-Seeta'!H29</f>
        <v>0.42857142857142855</v>
      </c>
      <c r="I29" s="49">
        <f>'Avg Week Seeta-Mukono'!I29+'Avg Week Mukono-Seeta'!I29</f>
        <v>24.142857142857146</v>
      </c>
      <c r="J29" s="49">
        <f>'Avg Week Seeta-Mukono'!J29+'Avg Week Mukono-Seeta'!J29</f>
        <v>14.428571428571429</v>
      </c>
      <c r="K29" s="49">
        <f>'Avg Week Seeta-Mukono'!K29+'Avg Week Mukono-Seeta'!K29</f>
        <v>9.1428571428571423</v>
      </c>
      <c r="L29" s="49">
        <f>'Avg Week Seeta-Mukono'!L29+'Avg Week Mukono-Seeta'!L29</f>
        <v>20</v>
      </c>
      <c r="M29" s="49">
        <f>'Avg Week Seeta-Mukono'!M29+'Avg Week Mukono-Seeta'!M29</f>
        <v>210.57142857142856</v>
      </c>
      <c r="N29" s="49">
        <f>'Avg Week Seeta-Mukono'!N29+'Avg Week Mukono-Seeta'!N29</f>
        <v>0</v>
      </c>
      <c r="O29" s="15">
        <f t="shared" si="0"/>
        <v>268.57142857142856</v>
      </c>
      <c r="P29" s="15">
        <f t="shared" si="1"/>
        <v>479.14285714285711</v>
      </c>
      <c r="R29" s="1" t="s">
        <v>153</v>
      </c>
      <c r="S29" s="34">
        <f>SUM(C86:C89)</f>
        <v>49</v>
      </c>
      <c r="T29" s="34">
        <f t="shared" ref="T29:AF29" si="21">SUM(D86:D89)</f>
        <v>18.5</v>
      </c>
      <c r="U29" s="34">
        <f t="shared" si="21"/>
        <v>7</v>
      </c>
      <c r="V29" s="34">
        <f t="shared" si="21"/>
        <v>26</v>
      </c>
      <c r="W29" s="34">
        <f t="shared" si="21"/>
        <v>3</v>
      </c>
      <c r="X29" s="34">
        <f t="shared" si="21"/>
        <v>7</v>
      </c>
      <c r="Y29" s="34">
        <f t="shared" si="21"/>
        <v>28</v>
      </c>
      <c r="Z29" s="34">
        <f t="shared" si="21"/>
        <v>26.5</v>
      </c>
      <c r="AA29" s="34">
        <f t="shared" si="21"/>
        <v>20</v>
      </c>
      <c r="AB29" s="34">
        <f t="shared" si="21"/>
        <v>24</v>
      </c>
      <c r="AC29" s="34">
        <f t="shared" si="21"/>
        <v>54</v>
      </c>
      <c r="AD29" s="34">
        <f t="shared" si="21"/>
        <v>0</v>
      </c>
      <c r="AE29" s="31">
        <f t="shared" si="21"/>
        <v>209</v>
      </c>
      <c r="AF29" s="31">
        <f t="shared" si="21"/>
        <v>263</v>
      </c>
    </row>
    <row r="30" spans="2:32" ht="23.1" customHeight="1" x14ac:dyDescent="0.25">
      <c r="B30" s="23" t="s">
        <v>57</v>
      </c>
      <c r="C30" s="49">
        <f>'Avg Week Seeta-Mukono'!C30+'Avg Week Mukono-Seeta'!C30</f>
        <v>78.571428571428569</v>
      </c>
      <c r="D30" s="49">
        <f>'Avg Week Seeta-Mukono'!D30+'Avg Week Mukono-Seeta'!D30</f>
        <v>16</v>
      </c>
      <c r="E30" s="49">
        <f>'Avg Week Seeta-Mukono'!E30+'Avg Week Mukono-Seeta'!E30</f>
        <v>15.857142857142858</v>
      </c>
      <c r="F30" s="49">
        <f>'Avg Week Seeta-Mukono'!F30+'Avg Week Mukono-Seeta'!F30</f>
        <v>69.714285714285722</v>
      </c>
      <c r="G30" s="49">
        <f>'Avg Week Seeta-Mukono'!G30+'Avg Week Mukono-Seeta'!G30</f>
        <v>3.1428571428571432</v>
      </c>
      <c r="H30" s="49">
        <f>'Avg Week Seeta-Mukono'!H30+'Avg Week Mukono-Seeta'!H30</f>
        <v>6.4285714285714288</v>
      </c>
      <c r="I30" s="49">
        <f>'Avg Week Seeta-Mukono'!I30+'Avg Week Mukono-Seeta'!I30</f>
        <v>20.857142857142854</v>
      </c>
      <c r="J30" s="49">
        <f>'Avg Week Seeta-Mukono'!J30+'Avg Week Mukono-Seeta'!J30</f>
        <v>13</v>
      </c>
      <c r="K30" s="49">
        <f>'Avg Week Seeta-Mukono'!K30+'Avg Week Mukono-Seeta'!K30</f>
        <v>13</v>
      </c>
      <c r="L30" s="49">
        <f>'Avg Week Seeta-Mukono'!L30+'Avg Week Mukono-Seeta'!L30</f>
        <v>28.428571428571431</v>
      </c>
      <c r="M30" s="49">
        <f>'Avg Week Seeta-Mukono'!M30+'Avg Week Mukono-Seeta'!M30</f>
        <v>242.14285714285714</v>
      </c>
      <c r="N30" s="49">
        <f>'Avg Week Seeta-Mukono'!N30+'Avg Week Mukono-Seeta'!N30</f>
        <v>0.2857142857142857</v>
      </c>
      <c r="O30" s="15">
        <f t="shared" si="0"/>
        <v>265.28571428571428</v>
      </c>
      <c r="P30" s="15">
        <f t="shared" si="1"/>
        <v>507.42857142857139</v>
      </c>
      <c r="R30" s="1" t="s">
        <v>154</v>
      </c>
      <c r="S30" s="34">
        <f>SUM(C90:C93)</f>
        <v>36</v>
      </c>
      <c r="T30" s="34">
        <f t="shared" ref="T30:AF30" si="22">SUM(D90:D93)</f>
        <v>15.5</v>
      </c>
      <c r="U30" s="34">
        <f t="shared" si="22"/>
        <v>10.5</v>
      </c>
      <c r="V30" s="34">
        <f t="shared" si="22"/>
        <v>23.5</v>
      </c>
      <c r="W30" s="34">
        <f t="shared" si="22"/>
        <v>1</v>
      </c>
      <c r="X30" s="34">
        <f t="shared" si="22"/>
        <v>5</v>
      </c>
      <c r="Y30" s="34">
        <f t="shared" si="22"/>
        <v>17.5</v>
      </c>
      <c r="Z30" s="34">
        <f t="shared" si="22"/>
        <v>38</v>
      </c>
      <c r="AA30" s="34">
        <f t="shared" si="22"/>
        <v>17.5</v>
      </c>
      <c r="AB30" s="34">
        <f t="shared" si="22"/>
        <v>34</v>
      </c>
      <c r="AC30" s="34">
        <f t="shared" si="22"/>
        <v>42</v>
      </c>
      <c r="AD30" s="34">
        <f t="shared" si="22"/>
        <v>0</v>
      </c>
      <c r="AE30" s="31">
        <f t="shared" si="22"/>
        <v>198.5</v>
      </c>
      <c r="AF30" s="31">
        <f t="shared" si="22"/>
        <v>240.5</v>
      </c>
    </row>
    <row r="31" spans="2:32" ht="23.1" customHeight="1" x14ac:dyDescent="0.25">
      <c r="B31" s="24" t="s">
        <v>58</v>
      </c>
      <c r="C31" s="49">
        <f>'Avg Week Seeta-Mukono'!C31+'Avg Week Mukono-Seeta'!C31</f>
        <v>74.714285714285722</v>
      </c>
      <c r="D31" s="49">
        <f>'Avg Week Seeta-Mukono'!D31+'Avg Week Mukono-Seeta'!D31</f>
        <v>18.571428571428569</v>
      </c>
      <c r="E31" s="49">
        <f>'Avg Week Seeta-Mukono'!E31+'Avg Week Mukono-Seeta'!E31</f>
        <v>13</v>
      </c>
      <c r="F31" s="49">
        <f>'Avg Week Seeta-Mukono'!F31+'Avg Week Mukono-Seeta'!F31</f>
        <v>85.857142857142861</v>
      </c>
      <c r="G31" s="49">
        <f>'Avg Week Seeta-Mukono'!G31+'Avg Week Mukono-Seeta'!G31</f>
        <v>3.5714285714285712</v>
      </c>
      <c r="H31" s="49">
        <f>'Avg Week Seeta-Mukono'!H31+'Avg Week Mukono-Seeta'!H31</f>
        <v>2.2857142857142856</v>
      </c>
      <c r="I31" s="49">
        <f>'Avg Week Seeta-Mukono'!I31+'Avg Week Mukono-Seeta'!I31</f>
        <v>23.857142857142858</v>
      </c>
      <c r="J31" s="49">
        <f>'Avg Week Seeta-Mukono'!J31+'Avg Week Mukono-Seeta'!J31</f>
        <v>15.285714285714285</v>
      </c>
      <c r="K31" s="49">
        <f>'Avg Week Seeta-Mukono'!K31+'Avg Week Mukono-Seeta'!K31</f>
        <v>7.2857142857142856</v>
      </c>
      <c r="L31" s="49">
        <f>'Avg Week Seeta-Mukono'!L31+'Avg Week Mukono-Seeta'!L31</f>
        <v>25.428571428571431</v>
      </c>
      <c r="M31" s="49">
        <f>'Avg Week Seeta-Mukono'!M31+'Avg Week Mukono-Seeta'!M31</f>
        <v>206</v>
      </c>
      <c r="N31" s="49">
        <f>'Avg Week Seeta-Mukono'!N31+'Avg Week Mukono-Seeta'!N31</f>
        <v>0</v>
      </c>
      <c r="O31" s="15">
        <f t="shared" si="0"/>
        <v>269.85714285714289</v>
      </c>
      <c r="P31" s="15">
        <f t="shared" si="1"/>
        <v>475.85714285714289</v>
      </c>
      <c r="R31" s="1" t="s">
        <v>155</v>
      </c>
      <c r="S31" s="34">
        <f>SUM(C94:C97)</f>
        <v>46</v>
      </c>
      <c r="T31" s="34">
        <f t="shared" ref="T31:AF31" si="23">SUM(D94:D97)</f>
        <v>11.5</v>
      </c>
      <c r="U31" s="34">
        <f t="shared" si="23"/>
        <v>7</v>
      </c>
      <c r="V31" s="34">
        <f t="shared" si="23"/>
        <v>56.5</v>
      </c>
      <c r="W31" s="34">
        <f t="shared" si="23"/>
        <v>3.5</v>
      </c>
      <c r="X31" s="34">
        <f t="shared" si="23"/>
        <v>10.5</v>
      </c>
      <c r="Y31" s="34">
        <f t="shared" si="23"/>
        <v>22.5</v>
      </c>
      <c r="Z31" s="34">
        <f t="shared" si="23"/>
        <v>32.5</v>
      </c>
      <c r="AA31" s="34">
        <f t="shared" si="23"/>
        <v>9</v>
      </c>
      <c r="AB31" s="34">
        <f t="shared" si="23"/>
        <v>54</v>
      </c>
      <c r="AC31" s="34">
        <f t="shared" si="23"/>
        <v>51.5</v>
      </c>
      <c r="AD31" s="34">
        <f t="shared" si="23"/>
        <v>0</v>
      </c>
      <c r="AE31" s="31">
        <f t="shared" si="23"/>
        <v>253</v>
      </c>
      <c r="AF31" s="31">
        <f t="shared" si="23"/>
        <v>304.5</v>
      </c>
    </row>
    <row r="32" spans="2:32" ht="23.1" customHeight="1" x14ac:dyDescent="0.25">
      <c r="B32" s="24" t="s">
        <v>59</v>
      </c>
      <c r="C32" s="49">
        <f>'Avg Week Seeta-Mukono'!C32+'Avg Week Mukono-Seeta'!C32</f>
        <v>72.714285714285722</v>
      </c>
      <c r="D32" s="49">
        <f>'Avg Week Seeta-Mukono'!D32+'Avg Week Mukono-Seeta'!D32</f>
        <v>18.428571428571431</v>
      </c>
      <c r="E32" s="49">
        <f>'Avg Week Seeta-Mukono'!E32+'Avg Week Mukono-Seeta'!E32</f>
        <v>15.714285714285714</v>
      </c>
      <c r="F32" s="49">
        <f>'Avg Week Seeta-Mukono'!F32+'Avg Week Mukono-Seeta'!F32</f>
        <v>85</v>
      </c>
      <c r="G32" s="49">
        <f>'Avg Week Seeta-Mukono'!G32+'Avg Week Mukono-Seeta'!G32</f>
        <v>4.7142857142857144</v>
      </c>
      <c r="H32" s="49">
        <f>'Avg Week Seeta-Mukono'!H32+'Avg Week Mukono-Seeta'!H32</f>
        <v>0.71428571428571419</v>
      </c>
      <c r="I32" s="49">
        <f>'Avg Week Seeta-Mukono'!I32+'Avg Week Mukono-Seeta'!I32</f>
        <v>22.714285714285715</v>
      </c>
      <c r="J32" s="49">
        <f>'Avg Week Seeta-Mukono'!J32+'Avg Week Mukono-Seeta'!J32</f>
        <v>12</v>
      </c>
      <c r="K32" s="49">
        <f>'Avg Week Seeta-Mukono'!K32+'Avg Week Mukono-Seeta'!K32</f>
        <v>8.5714285714285712</v>
      </c>
      <c r="L32" s="49">
        <f>'Avg Week Seeta-Mukono'!L32+'Avg Week Mukono-Seeta'!L32</f>
        <v>30.428571428571427</v>
      </c>
      <c r="M32" s="49">
        <f>'Avg Week Seeta-Mukono'!M32+'Avg Week Mukono-Seeta'!M32</f>
        <v>195.71428571428572</v>
      </c>
      <c r="N32" s="49">
        <f>'Avg Week Seeta-Mukono'!N32+'Avg Week Mukono-Seeta'!N32</f>
        <v>2.2857142857142856</v>
      </c>
      <c r="O32" s="15">
        <f t="shared" si="0"/>
        <v>273.28571428571433</v>
      </c>
      <c r="P32" s="15">
        <f t="shared" si="1"/>
        <v>469.00000000000006</v>
      </c>
      <c r="R32" s="1" t="s">
        <v>156</v>
      </c>
      <c r="S32" s="34">
        <f>SUM(C98:C101)</f>
        <v>89.5</v>
      </c>
      <c r="T32" s="34">
        <f t="shared" ref="T32:AF32" si="24">SUM(D98:D101)</f>
        <v>43</v>
      </c>
      <c r="U32" s="34">
        <f t="shared" si="24"/>
        <v>21</v>
      </c>
      <c r="V32" s="34">
        <f t="shared" si="24"/>
        <v>155</v>
      </c>
      <c r="W32" s="34">
        <f t="shared" si="24"/>
        <v>16</v>
      </c>
      <c r="X32" s="34">
        <f t="shared" si="24"/>
        <v>7.5</v>
      </c>
      <c r="Y32" s="34">
        <f t="shared" si="24"/>
        <v>37</v>
      </c>
      <c r="Z32" s="34">
        <f t="shared" si="24"/>
        <v>40.5</v>
      </c>
      <c r="AA32" s="34">
        <f t="shared" si="24"/>
        <v>14.5</v>
      </c>
      <c r="AB32" s="34">
        <f t="shared" si="24"/>
        <v>73.5</v>
      </c>
      <c r="AC32" s="34">
        <f t="shared" si="24"/>
        <v>64.5</v>
      </c>
      <c r="AD32" s="34">
        <f t="shared" si="24"/>
        <v>0</v>
      </c>
      <c r="AE32" s="31">
        <f t="shared" si="24"/>
        <v>497.5</v>
      </c>
      <c r="AF32" s="31">
        <f t="shared" si="24"/>
        <v>562</v>
      </c>
    </row>
    <row r="33" spans="2:32" ht="23.1" customHeight="1" x14ac:dyDescent="0.25">
      <c r="B33" s="23" t="s">
        <v>60</v>
      </c>
      <c r="C33" s="49">
        <f>'Avg Week Seeta-Mukono'!C33+'Avg Week Mukono-Seeta'!C33</f>
        <v>76.857142857142861</v>
      </c>
      <c r="D33" s="49">
        <f>'Avg Week Seeta-Mukono'!D33+'Avg Week Mukono-Seeta'!D33</f>
        <v>15.571428571428573</v>
      </c>
      <c r="E33" s="49">
        <f>'Avg Week Seeta-Mukono'!E33+'Avg Week Mukono-Seeta'!E33</f>
        <v>12.857142857142858</v>
      </c>
      <c r="F33" s="49">
        <f>'Avg Week Seeta-Mukono'!F33+'Avg Week Mukono-Seeta'!F33</f>
        <v>95.571428571428569</v>
      </c>
      <c r="G33" s="49">
        <f>'Avg Week Seeta-Mukono'!G33+'Avg Week Mukono-Seeta'!G33</f>
        <v>5.2857142857142865</v>
      </c>
      <c r="H33" s="49">
        <f>'Avg Week Seeta-Mukono'!H33+'Avg Week Mukono-Seeta'!H33</f>
        <v>1</v>
      </c>
      <c r="I33" s="49">
        <f>'Avg Week Seeta-Mukono'!I33+'Avg Week Mukono-Seeta'!I33</f>
        <v>24.571428571428573</v>
      </c>
      <c r="J33" s="49">
        <f>'Avg Week Seeta-Mukono'!J33+'Avg Week Mukono-Seeta'!J33</f>
        <v>10.857142857142858</v>
      </c>
      <c r="K33" s="49">
        <f>'Avg Week Seeta-Mukono'!K33+'Avg Week Mukono-Seeta'!K33</f>
        <v>4.7142857142857144</v>
      </c>
      <c r="L33" s="49">
        <f>'Avg Week Seeta-Mukono'!L33+'Avg Week Mukono-Seeta'!L33</f>
        <v>19.285714285714285</v>
      </c>
      <c r="M33" s="49">
        <f>'Avg Week Seeta-Mukono'!M33+'Avg Week Mukono-Seeta'!M33</f>
        <v>202.42857142857144</v>
      </c>
      <c r="N33" s="49">
        <f>'Avg Week Seeta-Mukono'!N33+'Avg Week Mukono-Seeta'!N33</f>
        <v>0</v>
      </c>
      <c r="O33" s="15">
        <f t="shared" si="0"/>
        <v>266.57142857142861</v>
      </c>
      <c r="P33" s="15">
        <f t="shared" si="1"/>
        <v>469.00000000000006</v>
      </c>
      <c r="R33" s="1" t="s">
        <v>157</v>
      </c>
      <c r="S33" s="34">
        <f>SUM(C102:C105)</f>
        <v>185</v>
      </c>
      <c r="T33" s="34">
        <f t="shared" ref="T33:AF33" si="25">SUM(D102:D105)</f>
        <v>91.5</v>
      </c>
      <c r="U33" s="34">
        <f t="shared" si="25"/>
        <v>44.5</v>
      </c>
      <c r="V33" s="34">
        <f t="shared" si="25"/>
        <v>276</v>
      </c>
      <c r="W33" s="34">
        <f t="shared" si="25"/>
        <v>19.5</v>
      </c>
      <c r="X33" s="34">
        <f t="shared" si="25"/>
        <v>5.5</v>
      </c>
      <c r="Y33" s="34">
        <f t="shared" si="25"/>
        <v>49</v>
      </c>
      <c r="Z33" s="34">
        <f t="shared" si="25"/>
        <v>26</v>
      </c>
      <c r="AA33" s="34">
        <f t="shared" si="25"/>
        <v>29</v>
      </c>
      <c r="AB33" s="34">
        <f t="shared" si="25"/>
        <v>149.5</v>
      </c>
      <c r="AC33" s="34">
        <f t="shared" si="25"/>
        <v>181.5</v>
      </c>
      <c r="AD33" s="34">
        <f t="shared" si="25"/>
        <v>0</v>
      </c>
      <c r="AE33" s="31">
        <f t="shared" si="25"/>
        <v>875.5</v>
      </c>
      <c r="AF33" s="31">
        <f t="shared" si="25"/>
        <v>1057</v>
      </c>
    </row>
    <row r="34" spans="2:32" ht="23.1" customHeight="1" x14ac:dyDescent="0.25">
      <c r="B34" s="24" t="s">
        <v>61</v>
      </c>
      <c r="C34" s="49">
        <f>'Avg Week Seeta-Mukono'!C34+'Avg Week Mukono-Seeta'!C34</f>
        <v>80.428571428571431</v>
      </c>
      <c r="D34" s="49">
        <f>'Avg Week Seeta-Mukono'!D34+'Avg Week Mukono-Seeta'!D34</f>
        <v>22</v>
      </c>
      <c r="E34" s="49">
        <f>'Avg Week Seeta-Mukono'!E34+'Avg Week Mukono-Seeta'!E34</f>
        <v>13.714285714285715</v>
      </c>
      <c r="F34" s="49">
        <f>'Avg Week Seeta-Mukono'!F34+'Avg Week Mukono-Seeta'!F34</f>
        <v>104.42857142857142</v>
      </c>
      <c r="G34" s="49">
        <f>'Avg Week Seeta-Mukono'!G34+'Avg Week Mukono-Seeta'!G34</f>
        <v>5.5714285714285712</v>
      </c>
      <c r="H34" s="49">
        <f>'Avg Week Seeta-Mukono'!H34+'Avg Week Mukono-Seeta'!H34</f>
        <v>0.8571428571428571</v>
      </c>
      <c r="I34" s="49">
        <f>'Avg Week Seeta-Mukono'!I34+'Avg Week Mukono-Seeta'!I34</f>
        <v>23.714285714285715</v>
      </c>
      <c r="J34" s="49">
        <f>'Avg Week Seeta-Mukono'!J34+'Avg Week Mukono-Seeta'!J34</f>
        <v>15.714285714285715</v>
      </c>
      <c r="K34" s="49">
        <f>'Avg Week Seeta-Mukono'!K34+'Avg Week Mukono-Seeta'!K34</f>
        <v>9.8571428571428577</v>
      </c>
      <c r="L34" s="49">
        <f>'Avg Week Seeta-Mukono'!L34+'Avg Week Mukono-Seeta'!L34</f>
        <v>27.428571428571431</v>
      </c>
      <c r="M34" s="49">
        <f>'Avg Week Seeta-Mukono'!M34+'Avg Week Mukono-Seeta'!M34</f>
        <v>187.57142857142858</v>
      </c>
      <c r="N34" s="49">
        <f>'Avg Week Seeta-Mukono'!N34+'Avg Week Mukono-Seeta'!N34</f>
        <v>0</v>
      </c>
      <c r="O34" s="15">
        <f t="shared" si="0"/>
        <v>303.71428571428572</v>
      </c>
      <c r="P34" s="15">
        <f t="shared" si="1"/>
        <v>491.28571428571433</v>
      </c>
      <c r="R34" s="51" t="s">
        <v>90</v>
      </c>
      <c r="S34" s="52">
        <f t="shared" ref="S34:AF34" si="26">MAX(S10:S12)</f>
        <v>380.28571428571422</v>
      </c>
      <c r="T34" s="52">
        <f t="shared" si="26"/>
        <v>78.714285714285722</v>
      </c>
      <c r="U34" s="52">
        <f t="shared" si="26"/>
        <v>68.285714285714278</v>
      </c>
      <c r="V34" s="52">
        <f t="shared" si="26"/>
        <v>357.28571428571428</v>
      </c>
      <c r="W34" s="52">
        <f t="shared" si="26"/>
        <v>18.857142857142858</v>
      </c>
      <c r="X34" s="52">
        <f t="shared" si="26"/>
        <v>9.7142857142857135</v>
      </c>
      <c r="Y34" s="52">
        <f t="shared" si="26"/>
        <v>85.142857142857139</v>
      </c>
      <c r="Z34" s="52">
        <f t="shared" si="26"/>
        <v>39.428571428571431</v>
      </c>
      <c r="AA34" s="52">
        <f t="shared" si="26"/>
        <v>26.857142857142858</v>
      </c>
      <c r="AB34" s="52">
        <f t="shared" si="26"/>
        <v>78.428571428571416</v>
      </c>
      <c r="AC34" s="52">
        <f t="shared" si="26"/>
        <v>1030.7142857142858</v>
      </c>
      <c r="AD34" s="52">
        <f t="shared" si="26"/>
        <v>12.857142857142858</v>
      </c>
      <c r="AE34" s="40">
        <f t="shared" si="26"/>
        <v>1121.1428571428571</v>
      </c>
      <c r="AF34" s="40">
        <f t="shared" si="26"/>
        <v>2118.7142857142853</v>
      </c>
    </row>
    <row r="35" spans="2:32" ht="23.1" customHeight="1" x14ac:dyDescent="0.25">
      <c r="B35" s="24" t="s">
        <v>62</v>
      </c>
      <c r="C35" s="49">
        <f>'Avg Week Seeta-Mukono'!C35+'Avg Week Mukono-Seeta'!C35</f>
        <v>71.857142857142861</v>
      </c>
      <c r="D35" s="49">
        <f>'Avg Week Seeta-Mukono'!D35+'Avg Week Mukono-Seeta'!D35</f>
        <v>17.571428571428573</v>
      </c>
      <c r="E35" s="49">
        <f>'Avg Week Seeta-Mukono'!E35+'Avg Week Mukono-Seeta'!E35</f>
        <v>10.571428571428573</v>
      </c>
      <c r="F35" s="49">
        <f>'Avg Week Seeta-Mukono'!F35+'Avg Week Mukono-Seeta'!F35</f>
        <v>85.571428571428569</v>
      </c>
      <c r="G35" s="49">
        <f>'Avg Week Seeta-Mukono'!G35+'Avg Week Mukono-Seeta'!G35</f>
        <v>4.2857142857142856</v>
      </c>
      <c r="H35" s="49">
        <f>'Avg Week Seeta-Mukono'!H35+'Avg Week Mukono-Seeta'!H35</f>
        <v>1.1428571428571428</v>
      </c>
      <c r="I35" s="49">
        <f>'Avg Week Seeta-Mukono'!I35+'Avg Week Mukono-Seeta'!I35</f>
        <v>23.571428571428569</v>
      </c>
      <c r="J35" s="49">
        <f>'Avg Week Seeta-Mukono'!J35+'Avg Week Mukono-Seeta'!J35</f>
        <v>13.428571428571429</v>
      </c>
      <c r="K35" s="49">
        <f>'Avg Week Seeta-Mukono'!K35+'Avg Week Mukono-Seeta'!K35</f>
        <v>10.142857142857142</v>
      </c>
      <c r="L35" s="49">
        <f>'Avg Week Seeta-Mukono'!L35+'Avg Week Mukono-Seeta'!L35</f>
        <v>26.285714285714285</v>
      </c>
      <c r="M35" s="49">
        <f>'Avg Week Seeta-Mukono'!M35+'Avg Week Mukono-Seeta'!M35</f>
        <v>169.71428571428572</v>
      </c>
      <c r="N35" s="49">
        <f>'Avg Week Seeta-Mukono'!N35+'Avg Week Mukono-Seeta'!N35</f>
        <v>0.14285714285714285</v>
      </c>
      <c r="O35" s="15">
        <f t="shared" si="0"/>
        <v>264.57142857142856</v>
      </c>
      <c r="P35" s="15">
        <f t="shared" si="1"/>
        <v>434.28571428571428</v>
      </c>
      <c r="R35" s="51" t="s">
        <v>91</v>
      </c>
      <c r="S35" s="52">
        <f t="shared" ref="S35:AF35" si="27">MAX(S13:S18)</f>
        <v>332</v>
      </c>
      <c r="T35" s="52">
        <f t="shared" si="27"/>
        <v>85.285714285714278</v>
      </c>
      <c r="U35" s="52">
        <f t="shared" si="27"/>
        <v>68.571428571428569</v>
      </c>
      <c r="V35" s="52">
        <f t="shared" si="27"/>
        <v>370.28571428571422</v>
      </c>
      <c r="W35" s="52">
        <f t="shared" si="27"/>
        <v>17</v>
      </c>
      <c r="X35" s="52">
        <f t="shared" si="27"/>
        <v>10.428571428571429</v>
      </c>
      <c r="Y35" s="52">
        <f t="shared" si="27"/>
        <v>106.14285714285714</v>
      </c>
      <c r="Z35" s="52">
        <f t="shared" si="27"/>
        <v>51.571428571428577</v>
      </c>
      <c r="AA35" s="52">
        <f t="shared" si="27"/>
        <v>38.285714285714285</v>
      </c>
      <c r="AB35" s="52">
        <f t="shared" si="27"/>
        <v>128.28571428571428</v>
      </c>
      <c r="AC35" s="52">
        <f t="shared" si="27"/>
        <v>940</v>
      </c>
      <c r="AD35" s="52">
        <f t="shared" si="27"/>
        <v>2.5714285714285712</v>
      </c>
      <c r="AE35" s="40">
        <f t="shared" si="27"/>
        <v>1142</v>
      </c>
      <c r="AF35" s="40">
        <f t="shared" si="27"/>
        <v>2031.8571428571427</v>
      </c>
    </row>
    <row r="36" spans="2:32" ht="23.1" customHeight="1" x14ac:dyDescent="0.25">
      <c r="B36" s="24" t="s">
        <v>63</v>
      </c>
      <c r="C36" s="49">
        <f>'Avg Week Seeta-Mukono'!C36+'Avg Week Mukono-Seeta'!C36</f>
        <v>72.142857142857139</v>
      </c>
      <c r="D36" s="49">
        <f>'Avg Week Seeta-Mukono'!D36+'Avg Week Mukono-Seeta'!D36</f>
        <v>19.857142857142858</v>
      </c>
      <c r="E36" s="49">
        <f>'Avg Week Seeta-Mukono'!E36+'Avg Week Mukono-Seeta'!E36</f>
        <v>13.857142857142858</v>
      </c>
      <c r="F36" s="49">
        <f>'Avg Week Seeta-Mukono'!F36+'Avg Week Mukono-Seeta'!F36</f>
        <v>88.142857142857139</v>
      </c>
      <c r="G36" s="49">
        <f>'Avg Week Seeta-Mukono'!G36+'Avg Week Mukono-Seeta'!G36</f>
        <v>3.1428571428571428</v>
      </c>
      <c r="H36" s="49">
        <f>'Avg Week Seeta-Mukono'!H36+'Avg Week Mukono-Seeta'!H36</f>
        <v>1.5714285714285714</v>
      </c>
      <c r="I36" s="49">
        <f>'Avg Week Seeta-Mukono'!I36+'Avg Week Mukono-Seeta'!I36</f>
        <v>23.142857142857142</v>
      </c>
      <c r="J36" s="49">
        <f>'Avg Week Seeta-Mukono'!J36+'Avg Week Mukono-Seeta'!J36</f>
        <v>12.142857142857142</v>
      </c>
      <c r="K36" s="49">
        <f>'Avg Week Seeta-Mukono'!K36+'Avg Week Mukono-Seeta'!K36</f>
        <v>9.1428571428571423</v>
      </c>
      <c r="L36" s="49">
        <f>'Avg Week Seeta-Mukono'!L36+'Avg Week Mukono-Seeta'!L36</f>
        <v>33.714285714285715</v>
      </c>
      <c r="M36" s="49">
        <f>'Avg Week Seeta-Mukono'!M36+'Avg Week Mukono-Seeta'!M36</f>
        <v>185.57142857142856</v>
      </c>
      <c r="N36" s="49">
        <f>'Avg Week Seeta-Mukono'!N36+'Avg Week Mukono-Seeta'!N36</f>
        <v>0</v>
      </c>
      <c r="O36" s="15">
        <f t="shared" si="0"/>
        <v>276.85714285714283</v>
      </c>
      <c r="P36" s="15">
        <f t="shared" si="1"/>
        <v>462.42857142857139</v>
      </c>
      <c r="R36" s="51" t="s">
        <v>92</v>
      </c>
      <c r="S36" s="52">
        <f t="shared" ref="S36:AF36" si="28">MAX(S19:S21)</f>
        <v>313.14285714285717</v>
      </c>
      <c r="T36" s="52">
        <f t="shared" si="28"/>
        <v>91.428571428571416</v>
      </c>
      <c r="U36" s="52">
        <f t="shared" si="28"/>
        <v>64</v>
      </c>
      <c r="V36" s="52">
        <f t="shared" si="28"/>
        <v>399.42857142857144</v>
      </c>
      <c r="W36" s="52">
        <f t="shared" si="28"/>
        <v>41</v>
      </c>
      <c r="X36" s="52">
        <f t="shared" si="28"/>
        <v>10.142857142857142</v>
      </c>
      <c r="Y36" s="52">
        <f t="shared" si="28"/>
        <v>80.428571428571416</v>
      </c>
      <c r="Z36" s="52">
        <f t="shared" si="28"/>
        <v>45.714285714285715</v>
      </c>
      <c r="AA36" s="52">
        <f t="shared" si="28"/>
        <v>31.142857142857142</v>
      </c>
      <c r="AB36" s="52">
        <f t="shared" si="28"/>
        <v>151.57142857142856</v>
      </c>
      <c r="AC36" s="52">
        <f t="shared" si="28"/>
        <v>1094.5714285714284</v>
      </c>
      <c r="AD36" s="52">
        <f t="shared" si="28"/>
        <v>0.42857142857142855</v>
      </c>
      <c r="AE36" s="40">
        <f t="shared" si="28"/>
        <v>1173.0000000000002</v>
      </c>
      <c r="AF36" s="40">
        <f t="shared" si="28"/>
        <v>2192.7142857142858</v>
      </c>
    </row>
    <row r="37" spans="2:32" ht="23.1" customHeight="1" x14ac:dyDescent="0.25">
      <c r="B37" s="23" t="s">
        <v>64</v>
      </c>
      <c r="C37" s="49">
        <f>'Avg Week Seeta-Mukono'!C37+'Avg Week Mukono-Seeta'!C37</f>
        <v>69.571428571428569</v>
      </c>
      <c r="D37" s="49">
        <f>'Avg Week Seeta-Mukono'!D37+'Avg Week Mukono-Seeta'!D37</f>
        <v>19.857142857142858</v>
      </c>
      <c r="E37" s="49">
        <f>'Avg Week Seeta-Mukono'!E37+'Avg Week Mukono-Seeta'!E37</f>
        <v>13.285714285714285</v>
      </c>
      <c r="F37" s="49">
        <f>'Avg Week Seeta-Mukono'!F37+'Avg Week Mukono-Seeta'!F37</f>
        <v>92.142857142857139</v>
      </c>
      <c r="G37" s="49">
        <f>'Avg Week Seeta-Mukono'!G37+'Avg Week Mukono-Seeta'!G37</f>
        <v>4</v>
      </c>
      <c r="H37" s="49">
        <f>'Avg Week Seeta-Mukono'!H37+'Avg Week Mukono-Seeta'!H37</f>
        <v>1.2857142857142856</v>
      </c>
      <c r="I37" s="49">
        <f>'Avg Week Seeta-Mukono'!I37+'Avg Week Mukono-Seeta'!I37</f>
        <v>20.714285714285715</v>
      </c>
      <c r="J37" s="49">
        <f>'Avg Week Seeta-Mukono'!J37+'Avg Week Mukono-Seeta'!J37</f>
        <v>10.285714285714286</v>
      </c>
      <c r="K37" s="49">
        <f>'Avg Week Seeta-Mukono'!K37+'Avg Week Mukono-Seeta'!K37</f>
        <v>9.1428571428571423</v>
      </c>
      <c r="L37" s="49">
        <f>'Avg Week Seeta-Mukono'!L37+'Avg Week Mukono-Seeta'!L37</f>
        <v>35.142857142857139</v>
      </c>
      <c r="M37" s="49">
        <f>'Avg Week Seeta-Mukono'!M37+'Avg Week Mukono-Seeta'!M37</f>
        <v>185.42857142857144</v>
      </c>
      <c r="N37" s="49">
        <f>'Avg Week Seeta-Mukono'!N37+'Avg Week Mukono-Seeta'!N37</f>
        <v>0</v>
      </c>
      <c r="O37" s="15">
        <f t="shared" si="0"/>
        <v>275.42857142857144</v>
      </c>
      <c r="P37" s="15">
        <f t="shared" si="1"/>
        <v>460.85714285714289</v>
      </c>
      <c r="R37" s="37" t="s">
        <v>85</v>
      </c>
      <c r="S37" s="56">
        <f t="shared" ref="S37:AF37" si="29">SUM(S10:S12)</f>
        <v>1066</v>
      </c>
      <c r="T37" s="57">
        <f t="shared" si="29"/>
        <v>210.14285714285717</v>
      </c>
      <c r="U37" s="57">
        <f t="shared" si="29"/>
        <v>186.42857142857142</v>
      </c>
      <c r="V37" s="57">
        <f t="shared" si="29"/>
        <v>1000.1428571428571</v>
      </c>
      <c r="W37" s="57">
        <f t="shared" si="29"/>
        <v>52.714285714285708</v>
      </c>
      <c r="X37" s="57">
        <f t="shared" si="29"/>
        <v>25.571428571428569</v>
      </c>
      <c r="Y37" s="57">
        <f t="shared" si="29"/>
        <v>192.85714285714286</v>
      </c>
      <c r="Z37" s="57">
        <f t="shared" si="29"/>
        <v>97.142857142857139</v>
      </c>
      <c r="AA37" s="57">
        <f t="shared" si="29"/>
        <v>68.142857142857153</v>
      </c>
      <c r="AB37" s="57">
        <f t="shared" si="29"/>
        <v>227.28571428571428</v>
      </c>
      <c r="AC37" s="57">
        <f t="shared" si="29"/>
        <v>2819.8571428571431</v>
      </c>
      <c r="AD37" s="57">
        <f t="shared" si="29"/>
        <v>13</v>
      </c>
      <c r="AE37" s="58">
        <f t="shared" si="29"/>
        <v>3139.4285714285716</v>
      </c>
      <c r="AF37" s="58">
        <f t="shared" si="29"/>
        <v>5959.2857142857138</v>
      </c>
    </row>
    <row r="38" spans="2:32" ht="23.1" customHeight="1" x14ac:dyDescent="0.25">
      <c r="B38" s="24" t="s">
        <v>65</v>
      </c>
      <c r="C38" s="49">
        <f>'Avg Week Seeta-Mukono'!C38+'Avg Week Mukono-Seeta'!C38</f>
        <v>75.142857142857139</v>
      </c>
      <c r="D38" s="49">
        <f>'Avg Week Seeta-Mukono'!D38+'Avg Week Mukono-Seeta'!D38</f>
        <v>24.285714285714285</v>
      </c>
      <c r="E38" s="49">
        <f>'Avg Week Seeta-Mukono'!E38+'Avg Week Mukono-Seeta'!E38</f>
        <v>21</v>
      </c>
      <c r="F38" s="49">
        <f>'Avg Week Seeta-Mukono'!F38+'Avg Week Mukono-Seeta'!F38</f>
        <v>90.571428571428569</v>
      </c>
      <c r="G38" s="49">
        <f>'Avg Week Seeta-Mukono'!G38+'Avg Week Mukono-Seeta'!G38</f>
        <v>4.4285714285714288</v>
      </c>
      <c r="H38" s="49">
        <f>'Avg Week Seeta-Mukono'!H38+'Avg Week Mukono-Seeta'!H38</f>
        <v>0.5714285714285714</v>
      </c>
      <c r="I38" s="49">
        <f>'Avg Week Seeta-Mukono'!I38+'Avg Week Mukono-Seeta'!I38</f>
        <v>24.857142857142858</v>
      </c>
      <c r="J38" s="49">
        <f>'Avg Week Seeta-Mukono'!J38+'Avg Week Mukono-Seeta'!J38</f>
        <v>12.428571428571427</v>
      </c>
      <c r="K38" s="49">
        <f>'Avg Week Seeta-Mukono'!K38+'Avg Week Mukono-Seeta'!K38</f>
        <v>11</v>
      </c>
      <c r="L38" s="49">
        <f>'Avg Week Seeta-Mukono'!L38+'Avg Week Mukono-Seeta'!L38</f>
        <v>32.142857142857146</v>
      </c>
      <c r="M38" s="49">
        <f>'Avg Week Seeta-Mukono'!M38+'Avg Week Mukono-Seeta'!M38</f>
        <v>187.42857142857144</v>
      </c>
      <c r="N38" s="49">
        <f>'Avg Week Seeta-Mukono'!N38+'Avg Week Mukono-Seeta'!N38</f>
        <v>0.2857142857142857</v>
      </c>
      <c r="O38" s="15">
        <f t="shared" si="0"/>
        <v>296.71428571428572</v>
      </c>
      <c r="P38" s="15">
        <f t="shared" si="1"/>
        <v>484.14285714285717</v>
      </c>
      <c r="R38" s="28" t="s">
        <v>86</v>
      </c>
      <c r="S38" s="57">
        <f t="shared" ref="S38:AF38" si="30">SUM(S13:S18)</f>
        <v>1808.2857142857144</v>
      </c>
      <c r="T38" s="57">
        <f t="shared" si="30"/>
        <v>463.57142857142856</v>
      </c>
      <c r="U38" s="57">
        <f t="shared" si="30"/>
        <v>362.14285714285717</v>
      </c>
      <c r="V38" s="57">
        <f t="shared" si="30"/>
        <v>2115.4285714285716</v>
      </c>
      <c r="W38" s="57">
        <f t="shared" si="30"/>
        <v>95</v>
      </c>
      <c r="X38" s="57">
        <f t="shared" si="30"/>
        <v>37.142857142857139</v>
      </c>
      <c r="Y38" s="57">
        <f t="shared" si="30"/>
        <v>537.28571428571422</v>
      </c>
      <c r="Z38" s="57">
        <f t="shared" si="30"/>
        <v>280.85714285714289</v>
      </c>
      <c r="AA38" s="57">
        <f t="shared" si="30"/>
        <v>198.42857142857144</v>
      </c>
      <c r="AB38" s="57">
        <f t="shared" si="30"/>
        <v>665.71428571428578</v>
      </c>
      <c r="AC38" s="57">
        <f t="shared" si="30"/>
        <v>4945.8571428571431</v>
      </c>
      <c r="AD38" s="57">
        <f t="shared" si="30"/>
        <v>3.4285714285714279</v>
      </c>
      <c r="AE38" s="58">
        <f t="shared" si="30"/>
        <v>6567.2857142857138</v>
      </c>
      <c r="AF38" s="58">
        <f t="shared" si="30"/>
        <v>11513.142857142857</v>
      </c>
    </row>
    <row r="39" spans="2:32" ht="23.1" customHeight="1" x14ac:dyDescent="0.25">
      <c r="B39" s="24" t="s">
        <v>66</v>
      </c>
      <c r="C39" s="49">
        <f>'Avg Week Seeta-Mukono'!C39+'Avg Week Mukono-Seeta'!C39</f>
        <v>71.714285714285722</v>
      </c>
      <c r="D39" s="49">
        <f>'Avg Week Seeta-Mukono'!D39+'Avg Week Mukono-Seeta'!D39</f>
        <v>22.571428571428573</v>
      </c>
      <c r="E39" s="49">
        <f>'Avg Week Seeta-Mukono'!E39+'Avg Week Mukono-Seeta'!E39</f>
        <v>16.571428571428569</v>
      </c>
      <c r="F39" s="49">
        <f>'Avg Week Seeta-Mukono'!F39+'Avg Week Mukono-Seeta'!F39</f>
        <v>86.142857142857139</v>
      </c>
      <c r="G39" s="49">
        <f>'Avg Week Seeta-Mukono'!G39+'Avg Week Mukono-Seeta'!G39</f>
        <v>3.8571428571428577</v>
      </c>
      <c r="H39" s="49">
        <f>'Avg Week Seeta-Mukono'!H39+'Avg Week Mukono-Seeta'!H39</f>
        <v>2.5714285714285712</v>
      </c>
      <c r="I39" s="49">
        <f>'Avg Week Seeta-Mukono'!I39+'Avg Week Mukono-Seeta'!I39</f>
        <v>26.571428571428569</v>
      </c>
      <c r="J39" s="49">
        <f>'Avg Week Seeta-Mukono'!J39+'Avg Week Mukono-Seeta'!J39</f>
        <v>12.142857142857142</v>
      </c>
      <c r="K39" s="49">
        <f>'Avg Week Seeta-Mukono'!K39+'Avg Week Mukono-Seeta'!K39</f>
        <v>10</v>
      </c>
      <c r="L39" s="49">
        <f>'Avg Week Seeta-Mukono'!L39+'Avg Week Mukono-Seeta'!L39</f>
        <v>28.142857142857142</v>
      </c>
      <c r="M39" s="49">
        <f>'Avg Week Seeta-Mukono'!M39+'Avg Week Mukono-Seeta'!M39</f>
        <v>189.57142857142856</v>
      </c>
      <c r="N39" s="49">
        <f>'Avg Week Seeta-Mukono'!N39+'Avg Week Mukono-Seeta'!N39</f>
        <v>0</v>
      </c>
      <c r="O39" s="15">
        <f t="shared" si="0"/>
        <v>280.28571428571428</v>
      </c>
      <c r="P39" s="15">
        <f t="shared" si="1"/>
        <v>469.85714285714283</v>
      </c>
      <c r="R39" s="29" t="s">
        <v>87</v>
      </c>
      <c r="S39" s="57">
        <f t="shared" ref="S39:AF39" si="31">SUM(S19:S21)</f>
        <v>929.28571428571433</v>
      </c>
      <c r="T39" s="57">
        <f t="shared" si="31"/>
        <v>261.28571428571428</v>
      </c>
      <c r="U39" s="57">
        <f t="shared" si="31"/>
        <v>183</v>
      </c>
      <c r="V39" s="57">
        <f t="shared" si="31"/>
        <v>1118.8571428571429</v>
      </c>
      <c r="W39" s="57">
        <f t="shared" si="31"/>
        <v>96</v>
      </c>
      <c r="X39" s="57">
        <f t="shared" si="31"/>
        <v>24.857142857142854</v>
      </c>
      <c r="Y39" s="57">
        <f t="shared" si="31"/>
        <v>222.85714285714286</v>
      </c>
      <c r="Z39" s="57">
        <f t="shared" si="31"/>
        <v>131.71428571428572</v>
      </c>
      <c r="AA39" s="57">
        <f t="shared" si="31"/>
        <v>89</v>
      </c>
      <c r="AB39" s="57">
        <f t="shared" si="31"/>
        <v>367.85714285714283</v>
      </c>
      <c r="AC39" s="57">
        <f t="shared" si="31"/>
        <v>2851.8571428571431</v>
      </c>
      <c r="AD39" s="57">
        <f t="shared" si="31"/>
        <v>0.8571428571428571</v>
      </c>
      <c r="AE39" s="58">
        <f t="shared" si="31"/>
        <v>3425.5714285714289</v>
      </c>
      <c r="AF39" s="58">
        <f t="shared" si="31"/>
        <v>6277.4285714285716</v>
      </c>
    </row>
    <row r="40" spans="2:32" ht="23.1" customHeight="1" x14ac:dyDescent="0.25">
      <c r="B40" s="24" t="s">
        <v>67</v>
      </c>
      <c r="C40" s="49">
        <f>'Avg Week Seeta-Mukono'!C40+'Avg Week Mukono-Seeta'!C40</f>
        <v>78.285714285714292</v>
      </c>
      <c r="D40" s="49">
        <f>'Avg Week Seeta-Mukono'!D40+'Avg Week Mukono-Seeta'!D40</f>
        <v>18.285714285714285</v>
      </c>
      <c r="E40" s="49">
        <f>'Avg Week Seeta-Mukono'!E40+'Avg Week Mukono-Seeta'!E40</f>
        <v>13.142857142857142</v>
      </c>
      <c r="F40" s="49">
        <f>'Avg Week Seeta-Mukono'!F40+'Avg Week Mukono-Seeta'!F40</f>
        <v>86.142857142857139</v>
      </c>
      <c r="G40" s="49">
        <f>'Avg Week Seeta-Mukono'!G40+'Avg Week Mukono-Seeta'!G40</f>
        <v>3.7142857142857144</v>
      </c>
      <c r="H40" s="49">
        <f>'Avg Week Seeta-Mukono'!H40+'Avg Week Mukono-Seeta'!H40</f>
        <v>1.1428571428571428</v>
      </c>
      <c r="I40" s="49">
        <f>'Avg Week Seeta-Mukono'!I40+'Avg Week Mukono-Seeta'!I40</f>
        <v>29.714285714285715</v>
      </c>
      <c r="J40" s="49">
        <f>'Avg Week Seeta-Mukono'!J40+'Avg Week Mukono-Seeta'!J40</f>
        <v>12</v>
      </c>
      <c r="K40" s="49">
        <f>'Avg Week Seeta-Mukono'!K40+'Avg Week Mukono-Seeta'!K40</f>
        <v>6.4285714285714288</v>
      </c>
      <c r="L40" s="49">
        <f>'Avg Week Seeta-Mukono'!L40+'Avg Week Mukono-Seeta'!L40</f>
        <v>32.571428571428569</v>
      </c>
      <c r="M40" s="49">
        <f>'Avg Week Seeta-Mukono'!M40+'Avg Week Mukono-Seeta'!M40</f>
        <v>178.28571428571428</v>
      </c>
      <c r="N40" s="49">
        <f>'Avg Week Seeta-Mukono'!N40+'Avg Week Mukono-Seeta'!N40</f>
        <v>0</v>
      </c>
      <c r="O40" s="15">
        <f t="shared" si="0"/>
        <v>281.42857142857144</v>
      </c>
      <c r="P40" s="15">
        <f t="shared" si="1"/>
        <v>459.71428571428572</v>
      </c>
      <c r="R40" s="5" t="s">
        <v>17</v>
      </c>
      <c r="S40" s="57">
        <f t="shared" ref="S40:AF40" si="32">SUM(S10:S21)</f>
        <v>3803.5714285714289</v>
      </c>
      <c r="T40" s="57">
        <f t="shared" si="32"/>
        <v>934.99999999999989</v>
      </c>
      <c r="U40" s="57">
        <f t="shared" si="32"/>
        <v>731.57142857142856</v>
      </c>
      <c r="V40" s="57">
        <f t="shared" si="32"/>
        <v>4234.4285714285716</v>
      </c>
      <c r="W40" s="57">
        <f t="shared" si="32"/>
        <v>243.71428571428572</v>
      </c>
      <c r="X40" s="57">
        <f t="shared" si="32"/>
        <v>87.571428571428569</v>
      </c>
      <c r="Y40" s="57">
        <f t="shared" si="32"/>
        <v>953</v>
      </c>
      <c r="Z40" s="57">
        <f t="shared" si="32"/>
        <v>509.71428571428572</v>
      </c>
      <c r="AA40" s="57">
        <f t="shared" si="32"/>
        <v>355.57142857142856</v>
      </c>
      <c r="AB40" s="57">
        <f t="shared" si="32"/>
        <v>1260.8571428571427</v>
      </c>
      <c r="AC40" s="57">
        <f t="shared" si="32"/>
        <v>10617.571428571431</v>
      </c>
      <c r="AD40" s="57">
        <f t="shared" si="32"/>
        <v>17.285714285714281</v>
      </c>
      <c r="AE40" s="58">
        <f t="shared" si="32"/>
        <v>13132.285714285712</v>
      </c>
      <c r="AF40" s="58">
        <f t="shared" si="32"/>
        <v>23749.857142857145</v>
      </c>
    </row>
    <row r="41" spans="2:32" ht="23.1" customHeight="1" x14ac:dyDescent="0.25">
      <c r="B41" s="23" t="s">
        <v>68</v>
      </c>
      <c r="C41" s="49">
        <f>'Avg Week Seeta-Mukono'!C41+'Avg Week Mukono-Seeta'!C41</f>
        <v>74.571428571428569</v>
      </c>
      <c r="D41" s="49">
        <f>'Avg Week Seeta-Mukono'!D41+'Avg Week Mukono-Seeta'!D41</f>
        <v>20.142857142857142</v>
      </c>
      <c r="E41" s="49">
        <f>'Avg Week Seeta-Mukono'!E41+'Avg Week Mukono-Seeta'!E41</f>
        <v>17.857142857142858</v>
      </c>
      <c r="F41" s="49">
        <f>'Avg Week Seeta-Mukono'!F41+'Avg Week Mukono-Seeta'!F41</f>
        <v>94.571428571428569</v>
      </c>
      <c r="G41" s="49">
        <f>'Avg Week Seeta-Mukono'!G41+'Avg Week Mukono-Seeta'!G41</f>
        <v>4</v>
      </c>
      <c r="H41" s="49">
        <f>'Avg Week Seeta-Mukono'!H41+'Avg Week Mukono-Seeta'!H41</f>
        <v>1.1428571428571428</v>
      </c>
      <c r="I41" s="49">
        <f>'Avg Week Seeta-Mukono'!I41+'Avg Week Mukono-Seeta'!I41</f>
        <v>25</v>
      </c>
      <c r="J41" s="49">
        <f>'Avg Week Seeta-Mukono'!J41+'Avg Week Mukono-Seeta'!J41</f>
        <v>13</v>
      </c>
      <c r="K41" s="49">
        <f>'Avg Week Seeta-Mukono'!K41+'Avg Week Mukono-Seeta'!K41</f>
        <v>5.5714285714285712</v>
      </c>
      <c r="L41" s="49">
        <f>'Avg Week Seeta-Mukono'!L41+'Avg Week Mukono-Seeta'!L41</f>
        <v>27.714285714285715</v>
      </c>
      <c r="M41" s="49">
        <f>'Avg Week Seeta-Mukono'!M41+'Avg Week Mukono-Seeta'!M41</f>
        <v>192.14285714285714</v>
      </c>
      <c r="N41" s="49">
        <f>'Avg Week Seeta-Mukono'!N41+'Avg Week Mukono-Seeta'!N41</f>
        <v>0</v>
      </c>
      <c r="O41" s="15">
        <f t="shared" si="0"/>
        <v>283.57142857142856</v>
      </c>
      <c r="P41" s="15">
        <f t="shared" si="1"/>
        <v>475.71428571428567</v>
      </c>
      <c r="R41" s="5" t="s">
        <v>185</v>
      </c>
      <c r="S41" s="57">
        <f>SUM(S10:S33)</f>
        <v>5833.0714285714294</v>
      </c>
      <c r="T41" s="57">
        <f t="shared" ref="T41:AD41" si="33">SUM(T10:T33)</f>
        <v>1791.5</v>
      </c>
      <c r="U41" s="57">
        <f t="shared" si="33"/>
        <v>1105.0714285714284</v>
      </c>
      <c r="V41" s="57">
        <f t="shared" si="33"/>
        <v>6237.4285714285716</v>
      </c>
      <c r="W41" s="57">
        <f t="shared" si="33"/>
        <v>411.71428571428572</v>
      </c>
      <c r="X41" s="57">
        <f t="shared" si="33"/>
        <v>180.57142857142856</v>
      </c>
      <c r="Y41" s="57">
        <f t="shared" si="33"/>
        <v>1505.5</v>
      </c>
      <c r="Z41" s="57">
        <f t="shared" si="33"/>
        <v>996.71428571428578</v>
      </c>
      <c r="AA41" s="57">
        <f t="shared" si="33"/>
        <v>572.57142857142856</v>
      </c>
      <c r="AB41" s="57">
        <f t="shared" si="33"/>
        <v>1975.3571428571427</v>
      </c>
      <c r="AC41" s="57">
        <f t="shared" si="33"/>
        <v>14655.071428571431</v>
      </c>
      <c r="AD41" s="57">
        <f t="shared" si="33"/>
        <v>17.785714285714281</v>
      </c>
      <c r="AE41" s="58">
        <f>SUM(AE10:AE33)</f>
        <v>20627.28571428571</v>
      </c>
      <c r="AF41" s="58">
        <f>SUM(AF10:AF33)</f>
        <v>35282.357142857145</v>
      </c>
    </row>
    <row r="42" spans="2:32" ht="23.1" customHeight="1" x14ac:dyDescent="0.25">
      <c r="B42" s="24" t="s">
        <v>69</v>
      </c>
      <c r="C42" s="49">
        <f>'Avg Week Seeta-Mukono'!C42+'Avg Week Mukono-Seeta'!C42</f>
        <v>69.142857142857139</v>
      </c>
      <c r="D42" s="49">
        <f>'Avg Week Seeta-Mukono'!D42+'Avg Week Mukono-Seeta'!D42</f>
        <v>20.571428571428569</v>
      </c>
      <c r="E42" s="49">
        <f>'Avg Week Seeta-Mukono'!E42+'Avg Week Mukono-Seeta'!E42</f>
        <v>15.285714285714285</v>
      </c>
      <c r="F42" s="49">
        <f>'Avg Week Seeta-Mukono'!F42+'Avg Week Mukono-Seeta'!F42</f>
        <v>91.285714285714278</v>
      </c>
      <c r="G42" s="49">
        <f>'Avg Week Seeta-Mukono'!G42+'Avg Week Mukono-Seeta'!G42</f>
        <v>3.5714285714285712</v>
      </c>
      <c r="H42" s="49">
        <f>'Avg Week Seeta-Mukono'!H42+'Avg Week Mukono-Seeta'!H42</f>
        <v>1.4285714285714286</v>
      </c>
      <c r="I42" s="49">
        <f>'Avg Week Seeta-Mukono'!I42+'Avg Week Mukono-Seeta'!I42</f>
        <v>20.714285714285715</v>
      </c>
      <c r="J42" s="49">
        <f>'Avg Week Seeta-Mukono'!J42+'Avg Week Mukono-Seeta'!J42</f>
        <v>8.7142857142857135</v>
      </c>
      <c r="K42" s="49">
        <f>'Avg Week Seeta-Mukono'!K42+'Avg Week Mukono-Seeta'!K42</f>
        <v>8.5714285714285712</v>
      </c>
      <c r="L42" s="49">
        <f>'Avg Week Seeta-Mukono'!L42+'Avg Week Mukono-Seeta'!L42</f>
        <v>30.571428571428569</v>
      </c>
      <c r="M42" s="49">
        <f>'Avg Week Seeta-Mukono'!M42+'Avg Week Mukono-Seeta'!M42</f>
        <v>191.85714285714283</v>
      </c>
      <c r="N42" s="49">
        <f>'Avg Week Seeta-Mukono'!N42+'Avg Week Mukono-Seeta'!N42</f>
        <v>0</v>
      </c>
      <c r="O42" s="15">
        <f t="shared" si="0"/>
        <v>269.85714285714289</v>
      </c>
      <c r="P42" s="15">
        <f t="shared" si="1"/>
        <v>461.71428571428572</v>
      </c>
      <c r="R42" s="5" t="s">
        <v>160</v>
      </c>
      <c r="S42" s="48">
        <f>S41/S40</f>
        <v>1.5335774647887324</v>
      </c>
      <c r="T42" s="48">
        <f t="shared" ref="T42:AF42" si="34">T41/T40</f>
        <v>1.9160427807486633</v>
      </c>
      <c r="U42" s="48">
        <f t="shared" si="34"/>
        <v>1.5105448154657293</v>
      </c>
      <c r="V42" s="48">
        <f t="shared" si="34"/>
        <v>1.4730272258020984</v>
      </c>
      <c r="W42" s="48">
        <f t="shared" si="34"/>
        <v>1.6893317702227433</v>
      </c>
      <c r="X42" s="48">
        <f t="shared" si="34"/>
        <v>2.0619902120717781</v>
      </c>
      <c r="Y42" s="48">
        <f t="shared" si="34"/>
        <v>1.5797481636935991</v>
      </c>
      <c r="Z42" s="48">
        <f t="shared" si="34"/>
        <v>1.9554372197309418</v>
      </c>
      <c r="AA42" s="48">
        <f t="shared" si="34"/>
        <v>1.6102852551225393</v>
      </c>
      <c r="AB42" s="48">
        <f t="shared" si="34"/>
        <v>1.566677996827555</v>
      </c>
      <c r="AC42" s="48">
        <f t="shared" si="34"/>
        <v>1.3802658665554404</v>
      </c>
      <c r="AD42" s="48">
        <f t="shared" si="34"/>
        <v>1.0289256198347108</v>
      </c>
      <c r="AE42" s="55">
        <f t="shared" si="34"/>
        <v>1.5707308052128885</v>
      </c>
      <c r="AF42" s="55">
        <f t="shared" si="34"/>
        <v>1.4855818681616129</v>
      </c>
    </row>
    <row r="43" spans="2:32" ht="23.1" customHeight="1" x14ac:dyDescent="0.25">
      <c r="B43" s="23" t="s">
        <v>70</v>
      </c>
      <c r="C43" s="49">
        <f>'Avg Week Seeta-Mukono'!C43+'Avg Week Mukono-Seeta'!C43</f>
        <v>71</v>
      </c>
      <c r="D43" s="49">
        <f>'Avg Week Seeta-Mukono'!D43+'Avg Week Mukono-Seeta'!D43</f>
        <v>18.285714285714285</v>
      </c>
      <c r="E43" s="49">
        <f>'Avg Week Seeta-Mukono'!E43+'Avg Week Mukono-Seeta'!E43</f>
        <v>13</v>
      </c>
      <c r="F43" s="49">
        <f>'Avg Week Seeta-Mukono'!F43+'Avg Week Mukono-Seeta'!F43</f>
        <v>88</v>
      </c>
      <c r="G43" s="49">
        <f>'Avg Week Seeta-Mukono'!G43+'Avg Week Mukono-Seeta'!G43</f>
        <v>4.2857142857142856</v>
      </c>
      <c r="H43" s="49">
        <f>'Avg Week Seeta-Mukono'!H43+'Avg Week Mukono-Seeta'!H43</f>
        <v>3</v>
      </c>
      <c r="I43" s="49">
        <f>'Avg Week Seeta-Mukono'!I43+'Avg Week Mukono-Seeta'!I43</f>
        <v>21.714285714285715</v>
      </c>
      <c r="J43" s="49">
        <f>'Avg Week Seeta-Mukono'!J43+'Avg Week Mukono-Seeta'!J43</f>
        <v>11.428571428571429</v>
      </c>
      <c r="K43" s="49">
        <f>'Avg Week Seeta-Mukono'!K43+'Avg Week Mukono-Seeta'!K43</f>
        <v>10</v>
      </c>
      <c r="L43" s="49">
        <f>'Avg Week Seeta-Mukono'!L43+'Avg Week Mukono-Seeta'!L43</f>
        <v>30.428571428571431</v>
      </c>
      <c r="M43" s="49">
        <f>'Avg Week Seeta-Mukono'!M43+'Avg Week Mukono-Seeta'!M43</f>
        <v>180.14285714285717</v>
      </c>
      <c r="N43" s="49">
        <f>'Avg Week Seeta-Mukono'!N43+'Avg Week Mukono-Seeta'!N43</f>
        <v>0</v>
      </c>
      <c r="O43" s="15">
        <f t="shared" si="0"/>
        <v>271.14285714285711</v>
      </c>
      <c r="P43" s="15">
        <f t="shared" si="1"/>
        <v>451.28571428571428</v>
      </c>
    </row>
    <row r="44" spans="2:32" ht="23.1" customHeight="1" x14ac:dyDescent="0.25">
      <c r="B44" s="25" t="s">
        <v>71</v>
      </c>
      <c r="C44" s="49">
        <f>'Avg Week Seeta-Mukono'!C44+'Avg Week Mukono-Seeta'!C44</f>
        <v>59.857142857142861</v>
      </c>
      <c r="D44" s="49">
        <f>'Avg Week Seeta-Mukono'!D44+'Avg Week Mukono-Seeta'!D44</f>
        <v>19.571428571428573</v>
      </c>
      <c r="E44" s="49">
        <f>'Avg Week Seeta-Mukono'!E44+'Avg Week Mukono-Seeta'!E44</f>
        <v>15.285714285714285</v>
      </c>
      <c r="F44" s="49">
        <f>'Avg Week Seeta-Mukono'!F44+'Avg Week Mukono-Seeta'!F44</f>
        <v>76.857142857142861</v>
      </c>
      <c r="G44" s="49">
        <f>'Avg Week Seeta-Mukono'!G44+'Avg Week Mukono-Seeta'!G44</f>
        <v>2.8571428571428572</v>
      </c>
      <c r="H44" s="49">
        <f>'Avg Week Seeta-Mukono'!H44+'Avg Week Mukono-Seeta'!H44</f>
        <v>0.5714285714285714</v>
      </c>
      <c r="I44" s="49">
        <f>'Avg Week Seeta-Mukono'!I44+'Avg Week Mukono-Seeta'!I44</f>
        <v>20.714285714285715</v>
      </c>
      <c r="J44" s="49">
        <f>'Avg Week Seeta-Mukono'!J44+'Avg Week Mukono-Seeta'!J44</f>
        <v>10.857142857142858</v>
      </c>
      <c r="K44" s="49">
        <f>'Avg Week Seeta-Mukono'!K44+'Avg Week Mukono-Seeta'!K44</f>
        <v>8.7142857142857153</v>
      </c>
      <c r="L44" s="49">
        <f>'Avg Week Seeta-Mukono'!L44+'Avg Week Mukono-Seeta'!L44</f>
        <v>40.142857142857139</v>
      </c>
      <c r="M44" s="49">
        <f>'Avg Week Seeta-Mukono'!M44+'Avg Week Mukono-Seeta'!M44</f>
        <v>189.85714285714283</v>
      </c>
      <c r="N44" s="49">
        <f>'Avg Week Seeta-Mukono'!N44+'Avg Week Mukono-Seeta'!N44</f>
        <v>0</v>
      </c>
      <c r="O44" s="15">
        <f t="shared" si="0"/>
        <v>255.42857142857147</v>
      </c>
      <c r="P44" s="15">
        <f t="shared" si="1"/>
        <v>445.28571428571433</v>
      </c>
    </row>
    <row r="45" spans="2:32" ht="23.1" customHeight="1" x14ac:dyDescent="0.25">
      <c r="B45" s="23" t="s">
        <v>72</v>
      </c>
      <c r="C45" s="49">
        <f>'Avg Week Seeta-Mukono'!C45+'Avg Week Mukono-Seeta'!C45</f>
        <v>71.714285714285708</v>
      </c>
      <c r="D45" s="49">
        <f>'Avg Week Seeta-Mukono'!D45+'Avg Week Mukono-Seeta'!D45</f>
        <v>24.571428571428573</v>
      </c>
      <c r="E45" s="49">
        <f>'Avg Week Seeta-Mukono'!E45+'Avg Week Mukono-Seeta'!E45</f>
        <v>17.857142857142858</v>
      </c>
      <c r="F45" s="49">
        <f>'Avg Week Seeta-Mukono'!F45+'Avg Week Mukono-Seeta'!F45</f>
        <v>87.857142857142861</v>
      </c>
      <c r="G45" s="49">
        <f>'Avg Week Seeta-Mukono'!G45+'Avg Week Mukono-Seeta'!G45</f>
        <v>2.4285714285714288</v>
      </c>
      <c r="H45" s="49">
        <f>'Avg Week Seeta-Mukono'!H45+'Avg Week Mukono-Seeta'!H45</f>
        <v>1</v>
      </c>
      <c r="I45" s="49">
        <f>'Avg Week Seeta-Mukono'!I45+'Avg Week Mukono-Seeta'!I45</f>
        <v>17.285714285714285</v>
      </c>
      <c r="J45" s="49">
        <f>'Avg Week Seeta-Mukono'!J45+'Avg Week Mukono-Seeta'!J45</f>
        <v>10.285714285714285</v>
      </c>
      <c r="K45" s="49">
        <f>'Avg Week Seeta-Mukono'!K45+'Avg Week Mukono-Seeta'!K45</f>
        <v>7.2857142857142856</v>
      </c>
      <c r="L45" s="49">
        <f>'Avg Week Seeta-Mukono'!L45+'Avg Week Mukono-Seeta'!L45</f>
        <v>27.142857142857142</v>
      </c>
      <c r="M45" s="49">
        <f>'Avg Week Seeta-Mukono'!M45+'Avg Week Mukono-Seeta'!M45</f>
        <v>189.42857142857144</v>
      </c>
      <c r="N45" s="49">
        <f>'Avg Week Seeta-Mukono'!N45+'Avg Week Mukono-Seeta'!N45</f>
        <v>0.2857142857142857</v>
      </c>
      <c r="O45" s="15">
        <f t="shared" si="0"/>
        <v>267.71428571428567</v>
      </c>
      <c r="P45" s="15">
        <f t="shared" si="1"/>
        <v>457.14285714285711</v>
      </c>
    </row>
    <row r="46" spans="2:32" ht="23.1" customHeight="1" x14ac:dyDescent="0.25">
      <c r="B46" s="24" t="s">
        <v>73</v>
      </c>
      <c r="C46" s="49">
        <f>'Avg Week Seeta-Mukono'!C46+'Avg Week Mukono-Seeta'!C46</f>
        <v>69.571428571428569</v>
      </c>
      <c r="D46" s="49">
        <f>'Avg Week Seeta-Mukono'!D46+'Avg Week Mukono-Seeta'!D46</f>
        <v>22.142857142857142</v>
      </c>
      <c r="E46" s="49">
        <f>'Avg Week Seeta-Mukono'!E46+'Avg Week Mukono-Seeta'!E46</f>
        <v>17</v>
      </c>
      <c r="F46" s="49">
        <f>'Avg Week Seeta-Mukono'!F46+'Avg Week Mukono-Seeta'!F46</f>
        <v>92</v>
      </c>
      <c r="G46" s="49">
        <f>'Avg Week Seeta-Mukono'!G46+'Avg Week Mukono-Seeta'!G46</f>
        <v>5</v>
      </c>
      <c r="H46" s="49">
        <f>'Avg Week Seeta-Mukono'!H46+'Avg Week Mukono-Seeta'!H46</f>
        <v>1.1428571428571428</v>
      </c>
      <c r="I46" s="49">
        <f>'Avg Week Seeta-Mukono'!I46+'Avg Week Mukono-Seeta'!I46</f>
        <v>19.285714285714285</v>
      </c>
      <c r="J46" s="49">
        <f>'Avg Week Seeta-Mukono'!J46+'Avg Week Mukono-Seeta'!J46</f>
        <v>10.571428571428573</v>
      </c>
      <c r="K46" s="49">
        <f>'Avg Week Seeta-Mukono'!K46+'Avg Week Mukono-Seeta'!K46</f>
        <v>7</v>
      </c>
      <c r="L46" s="49">
        <f>'Avg Week Seeta-Mukono'!L46+'Avg Week Mukono-Seeta'!L46</f>
        <v>36.857142857142854</v>
      </c>
      <c r="M46" s="49">
        <f>'Avg Week Seeta-Mukono'!M46+'Avg Week Mukono-Seeta'!M46</f>
        <v>195.28571428571428</v>
      </c>
      <c r="N46" s="49">
        <f>'Avg Week Seeta-Mukono'!N46+'Avg Week Mukono-Seeta'!N46</f>
        <v>0</v>
      </c>
      <c r="O46" s="15">
        <f t="shared" si="0"/>
        <v>280.57142857142856</v>
      </c>
      <c r="P46" s="15">
        <f t="shared" si="1"/>
        <v>475.85714285714283</v>
      </c>
      <c r="R46" s="8"/>
      <c r="T46"/>
    </row>
    <row r="47" spans="2:32" ht="23.1" customHeight="1" x14ac:dyDescent="0.25">
      <c r="B47" s="24" t="s">
        <v>74</v>
      </c>
      <c r="C47" s="49">
        <f>'Avg Week Seeta-Mukono'!C47+'Avg Week Mukono-Seeta'!C47</f>
        <v>79</v>
      </c>
      <c r="D47" s="49">
        <f>'Avg Week Seeta-Mukono'!D47+'Avg Week Mukono-Seeta'!D47</f>
        <v>24.571428571428573</v>
      </c>
      <c r="E47" s="49">
        <f>'Avg Week Seeta-Mukono'!E47+'Avg Week Mukono-Seeta'!E47</f>
        <v>17.142857142857142</v>
      </c>
      <c r="F47" s="49">
        <f>'Avg Week Seeta-Mukono'!F47+'Avg Week Mukono-Seeta'!F47</f>
        <v>87.285714285714292</v>
      </c>
      <c r="G47" s="49">
        <f>'Avg Week Seeta-Mukono'!G47+'Avg Week Mukono-Seeta'!G47</f>
        <v>4</v>
      </c>
      <c r="H47" s="49">
        <f>'Avg Week Seeta-Mukono'!H47+'Avg Week Mukono-Seeta'!H47</f>
        <v>1.7142857142857142</v>
      </c>
      <c r="I47" s="49">
        <f>'Avg Week Seeta-Mukono'!I47+'Avg Week Mukono-Seeta'!I47</f>
        <v>22.714285714285715</v>
      </c>
      <c r="J47" s="49">
        <f>'Avg Week Seeta-Mukono'!J47+'Avg Week Mukono-Seeta'!J47</f>
        <v>10.714285714285715</v>
      </c>
      <c r="K47" s="49">
        <f>'Avg Week Seeta-Mukono'!K47+'Avg Week Mukono-Seeta'!K47</f>
        <v>7</v>
      </c>
      <c r="L47" s="49">
        <f>'Avg Week Seeta-Mukono'!L47+'Avg Week Mukono-Seeta'!L47</f>
        <v>36.428571428571431</v>
      </c>
      <c r="M47" s="49">
        <f>'Avg Week Seeta-Mukono'!M47+'Avg Week Mukono-Seeta'!M47</f>
        <v>195.57142857142858</v>
      </c>
      <c r="N47" s="49">
        <f>'Avg Week Seeta-Mukono'!N47+'Avg Week Mukono-Seeta'!N47</f>
        <v>0</v>
      </c>
      <c r="O47" s="15">
        <f t="shared" si="0"/>
        <v>290.57142857142861</v>
      </c>
      <c r="P47" s="15">
        <f t="shared" si="1"/>
        <v>486.14285714285722</v>
      </c>
      <c r="R47" s="8"/>
      <c r="T47"/>
    </row>
    <row r="48" spans="2:32" ht="23.1" customHeight="1" x14ac:dyDescent="0.25">
      <c r="B48" s="24" t="s">
        <v>75</v>
      </c>
      <c r="C48" s="49">
        <f>'Avg Week Seeta-Mukono'!C48+'Avg Week Mukono-Seeta'!C48</f>
        <v>77.285714285714278</v>
      </c>
      <c r="D48" s="49">
        <f>'Avg Week Seeta-Mukono'!D48+'Avg Week Mukono-Seeta'!D48</f>
        <v>24.428571428571431</v>
      </c>
      <c r="E48" s="49">
        <f>'Avg Week Seeta-Mukono'!E48+'Avg Week Mukono-Seeta'!E48</f>
        <v>12.714285714285715</v>
      </c>
      <c r="F48" s="49">
        <f>'Avg Week Seeta-Mukono'!F48+'Avg Week Mukono-Seeta'!F48</f>
        <v>83.857142857142861</v>
      </c>
      <c r="G48" s="49">
        <f>'Avg Week Seeta-Mukono'!G48+'Avg Week Mukono-Seeta'!G48</f>
        <v>6.5714285714285712</v>
      </c>
      <c r="H48" s="49">
        <f>'Avg Week Seeta-Mukono'!H48+'Avg Week Mukono-Seeta'!H48</f>
        <v>3.7142857142857144</v>
      </c>
      <c r="I48" s="49">
        <f>'Avg Week Seeta-Mukono'!I48+'Avg Week Mukono-Seeta'!I48</f>
        <v>17.571428571428569</v>
      </c>
      <c r="J48" s="49">
        <f>'Avg Week Seeta-Mukono'!J48+'Avg Week Mukono-Seeta'!J48</f>
        <v>11.142857142857142</v>
      </c>
      <c r="K48" s="49">
        <f>'Avg Week Seeta-Mukono'!K48+'Avg Week Mukono-Seeta'!K48</f>
        <v>10</v>
      </c>
      <c r="L48" s="49">
        <f>'Avg Week Seeta-Mukono'!L48+'Avg Week Mukono-Seeta'!L48</f>
        <v>45.142857142857146</v>
      </c>
      <c r="M48" s="49">
        <f>'Avg Week Seeta-Mukono'!M48+'Avg Week Mukono-Seeta'!M48</f>
        <v>209.71428571428572</v>
      </c>
      <c r="N48" s="49">
        <f>'Avg Week Seeta-Mukono'!N48+'Avg Week Mukono-Seeta'!N48</f>
        <v>0</v>
      </c>
      <c r="O48" s="15">
        <f t="shared" si="0"/>
        <v>292.42857142857144</v>
      </c>
      <c r="P48" s="15">
        <f t="shared" si="1"/>
        <v>502.14285714285717</v>
      </c>
      <c r="R48" s="8"/>
      <c r="T48"/>
    </row>
    <row r="49" spans="2:20" ht="23.1" customHeight="1" x14ac:dyDescent="0.25">
      <c r="B49" s="23" t="s">
        <v>76</v>
      </c>
      <c r="C49" s="49">
        <f>'Avg Week Seeta-Mukono'!C49+'Avg Week Mukono-Seeta'!C49</f>
        <v>82.714285714285708</v>
      </c>
      <c r="D49" s="49">
        <f>'Avg Week Seeta-Mukono'!D49+'Avg Week Mukono-Seeta'!D49</f>
        <v>20.285714285714285</v>
      </c>
      <c r="E49" s="49">
        <f>'Avg Week Seeta-Mukono'!E49+'Avg Week Mukono-Seeta'!E49</f>
        <v>17.142857142857142</v>
      </c>
      <c r="F49" s="49">
        <f>'Avg Week Seeta-Mukono'!F49+'Avg Week Mukono-Seeta'!F49</f>
        <v>89.428571428571416</v>
      </c>
      <c r="G49" s="49">
        <f>'Avg Week Seeta-Mukono'!G49+'Avg Week Mukono-Seeta'!G49</f>
        <v>7.7142857142857144</v>
      </c>
      <c r="H49" s="49">
        <f>'Avg Week Seeta-Mukono'!H49+'Avg Week Mukono-Seeta'!H49</f>
        <v>1.7142857142857144</v>
      </c>
      <c r="I49" s="49">
        <f>'Avg Week Seeta-Mukono'!I49+'Avg Week Mukono-Seeta'!I49</f>
        <v>20.857142857142854</v>
      </c>
      <c r="J49" s="49">
        <f>'Avg Week Seeta-Mukono'!J49+'Avg Week Mukono-Seeta'!J49</f>
        <v>10.571428571428573</v>
      </c>
      <c r="K49" s="49">
        <f>'Avg Week Seeta-Mukono'!K49+'Avg Week Mukono-Seeta'!K49</f>
        <v>7.1428571428571423</v>
      </c>
      <c r="L49" s="49">
        <f>'Avg Week Seeta-Mukono'!L49+'Avg Week Mukono-Seeta'!L49</f>
        <v>33.142857142857146</v>
      </c>
      <c r="M49" s="49">
        <f>'Avg Week Seeta-Mukono'!M49+'Avg Week Mukono-Seeta'!M49</f>
        <v>204</v>
      </c>
      <c r="N49" s="49">
        <f>'Avg Week Seeta-Mukono'!N49+'Avg Week Mukono-Seeta'!N49</f>
        <v>0.14285714285714285</v>
      </c>
      <c r="O49" s="15">
        <f t="shared" si="0"/>
        <v>290.85714285714295</v>
      </c>
      <c r="P49" s="15">
        <f t="shared" si="1"/>
        <v>494.85714285714295</v>
      </c>
      <c r="R49" s="8"/>
      <c r="T49"/>
    </row>
    <row r="50" spans="2:20" ht="23.1" customHeight="1" x14ac:dyDescent="0.25">
      <c r="B50" s="24" t="s">
        <v>77</v>
      </c>
      <c r="C50" s="49">
        <f>'Avg Week Seeta-Mukono'!C50+'Avg Week Mukono-Seeta'!C50</f>
        <v>70.714285714285722</v>
      </c>
      <c r="D50" s="49">
        <f>'Avg Week Seeta-Mukono'!D50+'Avg Week Mukono-Seeta'!D50</f>
        <v>19.857142857142858</v>
      </c>
      <c r="E50" s="49">
        <f>'Avg Week Seeta-Mukono'!E50+'Avg Week Mukono-Seeta'!E50</f>
        <v>13.857142857142858</v>
      </c>
      <c r="F50" s="49">
        <f>'Avg Week Seeta-Mukono'!F50+'Avg Week Mukono-Seeta'!F50</f>
        <v>85.714285714285722</v>
      </c>
      <c r="G50" s="49">
        <f>'Avg Week Seeta-Mukono'!G50+'Avg Week Mukono-Seeta'!G50</f>
        <v>4.7142857142857135</v>
      </c>
      <c r="H50" s="49">
        <f>'Avg Week Seeta-Mukono'!H50+'Avg Week Mukono-Seeta'!H50</f>
        <v>2.4285714285714288</v>
      </c>
      <c r="I50" s="49">
        <f>'Avg Week Seeta-Mukono'!I50+'Avg Week Mukono-Seeta'!I50</f>
        <v>17.571428571428569</v>
      </c>
      <c r="J50" s="49">
        <f>'Avg Week Seeta-Mukono'!J50+'Avg Week Mukono-Seeta'!J50</f>
        <v>9.571428571428573</v>
      </c>
      <c r="K50" s="49">
        <f>'Avg Week Seeta-Mukono'!K50+'Avg Week Mukono-Seeta'!K50</f>
        <v>5.7142857142857144</v>
      </c>
      <c r="L50" s="49">
        <f>'Avg Week Seeta-Mukono'!L50+'Avg Week Mukono-Seeta'!L50</f>
        <v>24.142857142857146</v>
      </c>
      <c r="M50" s="49">
        <f>'Avg Week Seeta-Mukono'!M50+'Avg Week Mukono-Seeta'!M50</f>
        <v>195.85714285714286</v>
      </c>
      <c r="N50" s="49">
        <f>'Avg Week Seeta-Mukono'!N50+'Avg Week Mukono-Seeta'!N50</f>
        <v>0.14285714285714285</v>
      </c>
      <c r="O50" s="15">
        <f t="shared" si="0"/>
        <v>254.42857142857147</v>
      </c>
      <c r="P50" s="15">
        <f t="shared" si="1"/>
        <v>450.28571428571439</v>
      </c>
      <c r="R50" s="8"/>
      <c r="T50"/>
    </row>
    <row r="51" spans="2:20" ht="23.1" customHeight="1" x14ac:dyDescent="0.25">
      <c r="B51" s="24" t="s">
        <v>78</v>
      </c>
      <c r="C51" s="49">
        <f>'Avg Week Seeta-Mukono'!C51+'Avg Week Mukono-Seeta'!C51</f>
        <v>89</v>
      </c>
      <c r="D51" s="49">
        <f>'Avg Week Seeta-Mukono'!D51+'Avg Week Mukono-Seeta'!D51</f>
        <v>27.571428571428569</v>
      </c>
      <c r="E51" s="49">
        <f>'Avg Week Seeta-Mukono'!E51+'Avg Week Mukono-Seeta'!E51</f>
        <v>15.428571428571427</v>
      </c>
      <c r="F51" s="49">
        <f>'Avg Week Seeta-Mukono'!F51+'Avg Week Mukono-Seeta'!F51</f>
        <v>110</v>
      </c>
      <c r="G51" s="49">
        <f>'Avg Week Seeta-Mukono'!G51+'Avg Week Mukono-Seeta'!G51</f>
        <v>13.714285714285715</v>
      </c>
      <c r="H51" s="49">
        <f>'Avg Week Seeta-Mukono'!H51+'Avg Week Mukono-Seeta'!H51</f>
        <v>2.1428571428571428</v>
      </c>
      <c r="I51" s="49">
        <f>'Avg Week Seeta-Mukono'!I51+'Avg Week Mukono-Seeta'!I51</f>
        <v>20.571428571428573</v>
      </c>
      <c r="J51" s="49">
        <f>'Avg Week Seeta-Mukono'!J51+'Avg Week Mukono-Seeta'!J51</f>
        <v>12.285714285714285</v>
      </c>
      <c r="K51" s="49">
        <f>'Avg Week Seeta-Mukono'!K51+'Avg Week Mukono-Seeta'!K51</f>
        <v>9.1428571428571423</v>
      </c>
      <c r="L51" s="49">
        <f>'Avg Week Seeta-Mukono'!L51+'Avg Week Mukono-Seeta'!L51</f>
        <v>27.571428571428569</v>
      </c>
      <c r="M51" s="49">
        <f>'Avg Week Seeta-Mukono'!M51+'Avg Week Mukono-Seeta'!M51</f>
        <v>250.42857142857144</v>
      </c>
      <c r="N51" s="49">
        <f>'Avg Week Seeta-Mukono'!N51+'Avg Week Mukono-Seeta'!N51</f>
        <v>0.14285714285714285</v>
      </c>
      <c r="O51" s="15">
        <f t="shared" si="0"/>
        <v>327.57142857142861</v>
      </c>
      <c r="P51" s="15">
        <f t="shared" si="1"/>
        <v>578</v>
      </c>
      <c r="R51" s="8"/>
      <c r="T51"/>
    </row>
    <row r="52" spans="2:20" ht="23.1" customHeight="1" x14ac:dyDescent="0.25">
      <c r="B52" s="24" t="s">
        <v>79</v>
      </c>
      <c r="C52" s="49">
        <f>'Avg Week Seeta-Mukono'!C52+'Avg Week Mukono-Seeta'!C52</f>
        <v>80.428571428571431</v>
      </c>
      <c r="D52" s="49">
        <f>'Avg Week Seeta-Mukono'!D52+'Avg Week Mukono-Seeta'!D52</f>
        <v>23.571428571428569</v>
      </c>
      <c r="E52" s="49">
        <f>'Avg Week Seeta-Mukono'!E52+'Avg Week Mukono-Seeta'!E52</f>
        <v>14.428571428571429</v>
      </c>
      <c r="F52" s="49">
        <f>'Avg Week Seeta-Mukono'!F52+'Avg Week Mukono-Seeta'!F52</f>
        <v>101</v>
      </c>
      <c r="G52" s="49">
        <f>'Avg Week Seeta-Mukono'!G52+'Avg Week Mukono-Seeta'!G52</f>
        <v>6.5714285714285712</v>
      </c>
      <c r="H52" s="49">
        <f>'Avg Week Seeta-Mukono'!H52+'Avg Week Mukono-Seeta'!H52</f>
        <v>1.1428571428571428</v>
      </c>
      <c r="I52" s="49">
        <f>'Avg Week Seeta-Mukono'!I52+'Avg Week Mukono-Seeta'!I52</f>
        <v>21.571428571428573</v>
      </c>
      <c r="J52" s="49">
        <f>'Avg Week Seeta-Mukono'!J52+'Avg Week Mukono-Seeta'!J52</f>
        <v>9.7142857142857153</v>
      </c>
      <c r="K52" s="49">
        <f>'Avg Week Seeta-Mukono'!K52+'Avg Week Mukono-Seeta'!K52</f>
        <v>7.5714285714285712</v>
      </c>
      <c r="L52" s="49">
        <f>'Avg Week Seeta-Mukono'!L52+'Avg Week Mukono-Seeta'!L52</f>
        <v>30.285714285714285</v>
      </c>
      <c r="M52" s="49">
        <f>'Avg Week Seeta-Mukono'!M52+'Avg Week Mukono-Seeta'!M52</f>
        <v>241.42857142857142</v>
      </c>
      <c r="N52" s="49">
        <f>'Avg Week Seeta-Mukono'!N52+'Avg Week Mukono-Seeta'!N52</f>
        <v>0</v>
      </c>
      <c r="O52" s="15">
        <f t="shared" si="0"/>
        <v>296.28571428571428</v>
      </c>
      <c r="P52" s="15">
        <f t="shared" si="1"/>
        <v>537.71428571428567</v>
      </c>
      <c r="R52" s="8"/>
      <c r="T52"/>
    </row>
    <row r="53" spans="2:20" ht="23.1" customHeight="1" x14ac:dyDescent="0.25">
      <c r="B53" s="23" t="s">
        <v>80</v>
      </c>
      <c r="C53" s="49">
        <f>'Avg Week Seeta-Mukono'!C53+'Avg Week Mukono-Seeta'!C53</f>
        <v>73</v>
      </c>
      <c r="D53" s="49">
        <f>'Avg Week Seeta-Mukono'!D53+'Avg Week Mukono-Seeta'!D53</f>
        <v>20.285714285714285</v>
      </c>
      <c r="E53" s="49">
        <f>'Avg Week Seeta-Mukono'!E53+'Avg Week Mukono-Seeta'!E53</f>
        <v>14.571428571428571</v>
      </c>
      <c r="F53" s="49">
        <f>'Avg Week Seeta-Mukono'!F53+'Avg Week Mukono-Seeta'!F53</f>
        <v>102.71428571428572</v>
      </c>
      <c r="G53" s="49">
        <f>'Avg Week Seeta-Mukono'!G53+'Avg Week Mukono-Seeta'!G53</f>
        <v>6.7142857142857153</v>
      </c>
      <c r="H53" s="49">
        <f>'Avg Week Seeta-Mukono'!H53+'Avg Week Mukono-Seeta'!H53</f>
        <v>0.71428571428571419</v>
      </c>
      <c r="I53" s="49">
        <f>'Avg Week Seeta-Mukono'!I53+'Avg Week Mukono-Seeta'!I53</f>
        <v>18.857142857142858</v>
      </c>
      <c r="J53" s="49">
        <f>'Avg Week Seeta-Mukono'!J53+'Avg Week Mukono-Seeta'!J53</f>
        <v>14.142857142857142</v>
      </c>
      <c r="K53" s="49">
        <f>'Avg Week Seeta-Mukono'!K53+'Avg Week Mukono-Seeta'!K53</f>
        <v>7.4285714285714288</v>
      </c>
      <c r="L53" s="49">
        <f>'Avg Week Seeta-Mukono'!L53+'Avg Week Mukono-Seeta'!L53</f>
        <v>36.285714285714285</v>
      </c>
      <c r="M53" s="49">
        <f>'Avg Week Seeta-Mukono'!M53+'Avg Week Mukono-Seeta'!M53</f>
        <v>265</v>
      </c>
      <c r="N53" s="49">
        <f>'Avg Week Seeta-Mukono'!N53+'Avg Week Mukono-Seeta'!N53</f>
        <v>0</v>
      </c>
      <c r="O53" s="15">
        <f t="shared" si="0"/>
        <v>294.71428571428572</v>
      </c>
      <c r="P53" s="15">
        <f t="shared" si="1"/>
        <v>559.71428571428578</v>
      </c>
      <c r="R53" s="8"/>
      <c r="T53"/>
    </row>
    <row r="54" spans="2:20" ht="23.1" customHeight="1" x14ac:dyDescent="0.25">
      <c r="B54" s="23" t="s">
        <v>81</v>
      </c>
      <c r="C54" s="49">
        <f>'Avg Week Seeta-Mukono'!C54+'Avg Week Mukono-Seeta'!C54</f>
        <v>71.857142857142861</v>
      </c>
      <c r="D54" s="49">
        <f>'Avg Week Seeta-Mukono'!D54+'Avg Week Mukono-Seeta'!D54</f>
        <v>18.428571428571427</v>
      </c>
      <c r="E54" s="49">
        <f>'Avg Week Seeta-Mukono'!E54+'Avg Week Mukono-Seeta'!E54</f>
        <v>21.285714285714285</v>
      </c>
      <c r="F54" s="49">
        <f>'Avg Week Seeta-Mukono'!F54+'Avg Week Mukono-Seeta'!F54</f>
        <v>96.571428571428569</v>
      </c>
      <c r="G54" s="49">
        <f>'Avg Week Seeta-Mukono'!G54+'Avg Week Mukono-Seeta'!G54</f>
        <v>5.1428571428571423</v>
      </c>
      <c r="H54" s="49">
        <f>'Avg Week Seeta-Mukono'!H54+'Avg Week Mukono-Seeta'!H54</f>
        <v>4.7142857142857144</v>
      </c>
      <c r="I54" s="49">
        <f>'Avg Week Seeta-Mukono'!I54+'Avg Week Mukono-Seeta'!I54</f>
        <v>17</v>
      </c>
      <c r="J54" s="49">
        <f>'Avg Week Seeta-Mukono'!J54+'Avg Week Mukono-Seeta'!J54</f>
        <v>11.285714285714285</v>
      </c>
      <c r="K54" s="49">
        <f>'Avg Week Seeta-Mukono'!K54+'Avg Week Mukono-Seeta'!K54</f>
        <v>10.428571428571427</v>
      </c>
      <c r="L54" s="49">
        <f>'Avg Week Seeta-Mukono'!L54+'Avg Week Mukono-Seeta'!L54</f>
        <v>23.142857142857142</v>
      </c>
      <c r="M54" s="49">
        <f>'Avg Week Seeta-Mukono'!M54+'Avg Week Mukono-Seeta'!M54</f>
        <v>245.42857142857144</v>
      </c>
      <c r="N54" s="49">
        <f>'Avg Week Seeta-Mukono'!N54+'Avg Week Mukono-Seeta'!N54</f>
        <v>0.2857142857142857</v>
      </c>
      <c r="O54" s="15">
        <f t="shared" si="0"/>
        <v>280.14285714285717</v>
      </c>
      <c r="P54" s="15">
        <f t="shared" si="1"/>
        <v>525.57142857142867</v>
      </c>
      <c r="R54" s="8"/>
      <c r="T54"/>
    </row>
    <row r="55" spans="2:20" ht="23.1" customHeight="1" x14ac:dyDescent="0.25">
      <c r="B55" s="23" t="s">
        <v>82</v>
      </c>
      <c r="C55" s="49">
        <f>'Avg Week Seeta-Mukono'!C55+'Avg Week Mukono-Seeta'!C55</f>
        <v>81.428571428571431</v>
      </c>
      <c r="D55" s="49">
        <f>'Avg Week Seeta-Mukono'!D55+'Avg Week Mukono-Seeta'!D55</f>
        <v>20.571428571428569</v>
      </c>
      <c r="E55" s="49">
        <f>'Avg Week Seeta-Mukono'!E55+'Avg Week Mukono-Seeta'!E55</f>
        <v>14.285714285714285</v>
      </c>
      <c r="F55" s="49">
        <f>'Avg Week Seeta-Mukono'!F55+'Avg Week Mukono-Seeta'!F55</f>
        <v>91.142857142857139</v>
      </c>
      <c r="G55" s="49">
        <f>'Avg Week Seeta-Mukono'!G55+'Avg Week Mukono-Seeta'!G55</f>
        <v>7</v>
      </c>
      <c r="H55" s="49">
        <f>'Avg Week Seeta-Mukono'!H55+'Avg Week Mukono-Seeta'!H55</f>
        <v>1</v>
      </c>
      <c r="I55" s="49">
        <f>'Avg Week Seeta-Mukono'!I55+'Avg Week Mukono-Seeta'!I55</f>
        <v>16.571428571428569</v>
      </c>
      <c r="J55" s="49">
        <f>'Avg Week Seeta-Mukono'!J55+'Avg Week Mukono-Seeta'!J55</f>
        <v>11.285714285714285</v>
      </c>
      <c r="K55" s="49">
        <f>'Avg Week Seeta-Mukono'!K55+'Avg Week Mukono-Seeta'!K55</f>
        <v>6</v>
      </c>
      <c r="L55" s="49">
        <f>'Avg Week Seeta-Mukono'!L55+'Avg Week Mukono-Seeta'!L55</f>
        <v>30.285714285714285</v>
      </c>
      <c r="M55" s="49">
        <f>'Avg Week Seeta-Mukono'!M55+'Avg Week Mukono-Seeta'!M55</f>
        <v>269.42857142857144</v>
      </c>
      <c r="N55" s="49">
        <f>'Avg Week Seeta-Mukono'!N55+'Avg Week Mukono-Seeta'!N55</f>
        <v>0</v>
      </c>
      <c r="O55" s="15">
        <f t="shared" si="0"/>
        <v>279.57142857142856</v>
      </c>
      <c r="P55" s="15">
        <f t="shared" si="1"/>
        <v>549</v>
      </c>
      <c r="R55" s="8"/>
      <c r="T55"/>
    </row>
    <row r="56" spans="2:20" ht="23.1" customHeight="1" x14ac:dyDescent="0.25">
      <c r="B56" s="23" t="s">
        <v>83</v>
      </c>
      <c r="C56" s="49">
        <f>'Avg Week Seeta-Mukono'!C56+'Avg Week Mukono-Seeta'!C56</f>
        <v>87.428571428571431</v>
      </c>
      <c r="D56" s="49">
        <f>'Avg Week Seeta-Mukono'!D56+'Avg Week Mukono-Seeta'!D56</f>
        <v>20.428571428571431</v>
      </c>
      <c r="E56" s="49">
        <f>'Avg Week Seeta-Mukono'!E56+'Avg Week Mukono-Seeta'!E56</f>
        <v>13.428571428571429</v>
      </c>
      <c r="F56" s="49">
        <f>'Avg Week Seeta-Mukono'!F56+'Avg Week Mukono-Seeta'!F56</f>
        <v>102.42857142857143</v>
      </c>
      <c r="G56" s="49">
        <f>'Avg Week Seeta-Mukono'!G56+'Avg Week Mukono-Seeta'!G56</f>
        <v>8</v>
      </c>
      <c r="H56" s="49">
        <f>'Avg Week Seeta-Mukono'!H56+'Avg Week Mukono-Seeta'!H56</f>
        <v>2.1428571428571428</v>
      </c>
      <c r="I56" s="49">
        <f>'Avg Week Seeta-Mukono'!I56+'Avg Week Mukono-Seeta'!I56</f>
        <v>18.714285714285715</v>
      </c>
      <c r="J56" s="49">
        <f>'Avg Week Seeta-Mukono'!J56+'Avg Week Mukono-Seeta'!J56</f>
        <v>8.4285714285714288</v>
      </c>
      <c r="K56" s="49">
        <f>'Avg Week Seeta-Mukono'!K56+'Avg Week Mukono-Seeta'!K56</f>
        <v>5.2857142857142856</v>
      </c>
      <c r="L56" s="49">
        <f>'Avg Week Seeta-Mukono'!L56+'Avg Week Mukono-Seeta'!L56</f>
        <v>26.571428571428569</v>
      </c>
      <c r="M56" s="49">
        <f>'Avg Week Seeta-Mukono'!M56+'Avg Week Mukono-Seeta'!M56</f>
        <v>286.57142857142856</v>
      </c>
      <c r="N56" s="49">
        <f>'Avg Week Seeta-Mukono'!N56+'Avg Week Mukono-Seeta'!N56</f>
        <v>0</v>
      </c>
      <c r="O56" s="15">
        <f t="shared" si="0"/>
        <v>292.85714285714283</v>
      </c>
      <c r="P56" s="15">
        <f t="shared" si="1"/>
        <v>579.42857142857133</v>
      </c>
      <c r="R56" s="8"/>
      <c r="T56"/>
    </row>
    <row r="57" spans="2:20" ht="23.1" customHeight="1" x14ac:dyDescent="0.25">
      <c r="B57" s="23" t="s">
        <v>84</v>
      </c>
      <c r="C57" s="49">
        <f>'Avg Week Seeta-Mukono'!C57+'Avg Week Mukono-Seeta'!C57</f>
        <v>66.857142857142861</v>
      </c>
      <c r="D57" s="49">
        <f>'Avg Week Seeta-Mukono'!D57+'Avg Week Mukono-Seeta'!D57</f>
        <v>19.142857142857142</v>
      </c>
      <c r="E57" s="49">
        <f>'Avg Week Seeta-Mukono'!E57+'Avg Week Mukono-Seeta'!E57</f>
        <v>11.714285714285714</v>
      </c>
      <c r="F57" s="49">
        <f>'Avg Week Seeta-Mukono'!F57+'Avg Week Mukono-Seeta'!F57</f>
        <v>76.714285714285708</v>
      </c>
      <c r="G57" s="49">
        <f>'Avg Week Seeta-Mukono'!G57+'Avg Week Mukono-Seeta'!G57</f>
        <v>20.857142857142858</v>
      </c>
      <c r="H57" s="49">
        <f>'Avg Week Seeta-Mukono'!H57+'Avg Week Mukono-Seeta'!H57</f>
        <v>2.2857142857142856</v>
      </c>
      <c r="I57" s="49">
        <f>'Avg Week Seeta-Mukono'!I57+'Avg Week Mukono-Seeta'!I57</f>
        <v>11.571428571428573</v>
      </c>
      <c r="J57" s="49">
        <f>'Avg Week Seeta-Mukono'!J57+'Avg Week Mukono-Seeta'!J57</f>
        <v>12</v>
      </c>
      <c r="K57" s="49">
        <f>'Avg Week Seeta-Mukono'!K57+'Avg Week Mukono-Seeta'!K57</f>
        <v>6.2857142857142856</v>
      </c>
      <c r="L57" s="49">
        <f>'Avg Week Seeta-Mukono'!L57+'Avg Week Mukono-Seeta'!L57</f>
        <v>18</v>
      </c>
      <c r="M57" s="49">
        <f>'Avg Week Seeta-Mukono'!M57+'Avg Week Mukono-Seeta'!M57</f>
        <v>293.14285714285711</v>
      </c>
      <c r="N57" s="49">
        <f>'Avg Week Seeta-Mukono'!N57+'Avg Week Mukono-Seeta'!N57</f>
        <v>0.14285714285714285</v>
      </c>
      <c r="O57" s="15">
        <f t="shared" si="0"/>
        <v>245.57142857142856</v>
      </c>
      <c r="P57" s="15">
        <f t="shared" si="1"/>
        <v>538.71428571428567</v>
      </c>
      <c r="R57" s="8"/>
      <c r="T57"/>
    </row>
    <row r="58" spans="2:20" ht="23.1" customHeight="1" x14ac:dyDescent="0.25">
      <c r="B58" s="23" t="s">
        <v>99</v>
      </c>
      <c r="C58" s="49">
        <f>'Avg Week Seeta-Mukono'!C58+'Avg Week Mukono-Seeta'!C58</f>
        <v>61.5</v>
      </c>
      <c r="D58" s="49">
        <f>'Avg Week Seeta-Mukono'!D58+'Avg Week Mukono-Seeta'!D58</f>
        <v>29.5</v>
      </c>
      <c r="E58" s="49">
        <f>'Avg Week Seeta-Mukono'!E58+'Avg Week Mukono-Seeta'!E58</f>
        <v>10</v>
      </c>
      <c r="F58" s="49">
        <f>'Avg Week Seeta-Mukono'!F58+'Avg Week Mukono-Seeta'!F58</f>
        <v>67.5</v>
      </c>
      <c r="G58" s="49">
        <f>'Avg Week Seeta-Mukono'!G58+'Avg Week Mukono-Seeta'!G58</f>
        <v>5</v>
      </c>
      <c r="H58" s="49">
        <f>'Avg Week Seeta-Mukono'!H58+'Avg Week Mukono-Seeta'!H58</f>
        <v>3.5</v>
      </c>
      <c r="I58" s="49">
        <f>'Avg Week Seeta-Mukono'!I58+'Avg Week Mukono-Seeta'!I58</f>
        <v>20</v>
      </c>
      <c r="J58" s="49">
        <f>'Avg Week Seeta-Mukono'!J58+'Avg Week Mukono-Seeta'!J58</f>
        <v>13.5</v>
      </c>
      <c r="K58" s="49">
        <f>'Avg Week Seeta-Mukono'!K58+'Avg Week Mukono-Seeta'!K58</f>
        <v>10.5</v>
      </c>
      <c r="L58" s="49">
        <f>'Avg Week Seeta-Mukono'!L58+'Avg Week Mukono-Seeta'!L58</f>
        <v>9</v>
      </c>
      <c r="M58" s="49">
        <f>'Avg Week Seeta-Mukono'!M58+'Avg Week Mukono-Seeta'!M58</f>
        <v>228</v>
      </c>
      <c r="N58" s="49">
        <f>'Avg Week Seeta-Mukono'!N58+'Avg Week Mukono-Seeta'!N58</f>
        <v>0</v>
      </c>
      <c r="O58" s="15">
        <f t="shared" si="0"/>
        <v>230</v>
      </c>
      <c r="P58" s="15">
        <f t="shared" si="1"/>
        <v>458</v>
      </c>
      <c r="R58" s="8"/>
      <c r="T58"/>
    </row>
    <row r="59" spans="2:20" ht="23.1" customHeight="1" x14ac:dyDescent="0.25">
      <c r="B59" s="23" t="s">
        <v>100</v>
      </c>
      <c r="C59" s="49">
        <f>'Avg Week Seeta-Mukono'!C59+'Avg Week Mukono-Seeta'!C59</f>
        <v>60.5</v>
      </c>
      <c r="D59" s="49">
        <f>'Avg Week Seeta-Mukono'!D59+'Avg Week Mukono-Seeta'!D59</f>
        <v>25</v>
      </c>
      <c r="E59" s="49">
        <f>'Avg Week Seeta-Mukono'!E59+'Avg Week Mukono-Seeta'!E59</f>
        <v>9.5</v>
      </c>
      <c r="F59" s="49">
        <f>'Avg Week Seeta-Mukono'!F59+'Avg Week Mukono-Seeta'!F59</f>
        <v>74</v>
      </c>
      <c r="G59" s="49">
        <f>'Avg Week Seeta-Mukono'!G59+'Avg Week Mukono-Seeta'!G59</f>
        <v>5</v>
      </c>
      <c r="H59" s="49">
        <f>'Avg Week Seeta-Mukono'!H59+'Avg Week Mukono-Seeta'!H59</f>
        <v>1</v>
      </c>
      <c r="I59" s="49">
        <f>'Avg Week Seeta-Mukono'!I59+'Avg Week Mukono-Seeta'!I59</f>
        <v>20</v>
      </c>
      <c r="J59" s="49">
        <f>'Avg Week Seeta-Mukono'!J59+'Avg Week Mukono-Seeta'!J59</f>
        <v>10</v>
      </c>
      <c r="K59" s="49">
        <f>'Avg Week Seeta-Mukono'!K59+'Avg Week Mukono-Seeta'!K59</f>
        <v>3.5</v>
      </c>
      <c r="L59" s="49">
        <f>'Avg Week Seeta-Mukono'!L59+'Avg Week Mukono-Seeta'!L59</f>
        <v>16.5</v>
      </c>
      <c r="M59" s="49">
        <f>'Avg Week Seeta-Mukono'!M59+'Avg Week Mukono-Seeta'!M59</f>
        <v>221</v>
      </c>
      <c r="N59" s="49">
        <f>'Avg Week Seeta-Mukono'!N59+'Avg Week Mukono-Seeta'!N59</f>
        <v>0</v>
      </c>
      <c r="O59" s="15">
        <f t="shared" si="0"/>
        <v>225</v>
      </c>
      <c r="P59" s="15">
        <f t="shared" si="1"/>
        <v>446</v>
      </c>
      <c r="R59" s="8"/>
      <c r="T59"/>
    </row>
    <row r="60" spans="2:20" ht="23.1" customHeight="1" x14ac:dyDescent="0.25">
      <c r="B60" s="23" t="s">
        <v>101</v>
      </c>
      <c r="C60" s="49">
        <f>'Avg Week Seeta-Mukono'!C60+'Avg Week Mukono-Seeta'!C60</f>
        <v>57.5</v>
      </c>
      <c r="D60" s="49">
        <f>'Avg Week Seeta-Mukono'!D60+'Avg Week Mukono-Seeta'!D60</f>
        <v>26</v>
      </c>
      <c r="E60" s="49">
        <f>'Avg Week Seeta-Mukono'!E60+'Avg Week Mukono-Seeta'!E60</f>
        <v>11.5</v>
      </c>
      <c r="F60" s="49">
        <f>'Avg Week Seeta-Mukono'!F60+'Avg Week Mukono-Seeta'!F60</f>
        <v>61.5</v>
      </c>
      <c r="G60" s="49">
        <f>'Avg Week Seeta-Mukono'!G60+'Avg Week Mukono-Seeta'!G60</f>
        <v>3</v>
      </c>
      <c r="H60" s="49">
        <f>'Avg Week Seeta-Mukono'!H60+'Avg Week Mukono-Seeta'!H60</f>
        <v>0.5</v>
      </c>
      <c r="I60" s="49">
        <f>'Avg Week Seeta-Mukono'!I60+'Avg Week Mukono-Seeta'!I60</f>
        <v>17</v>
      </c>
      <c r="J60" s="49">
        <f>'Avg Week Seeta-Mukono'!J60+'Avg Week Mukono-Seeta'!J60</f>
        <v>10</v>
      </c>
      <c r="K60" s="49">
        <f>'Avg Week Seeta-Mukono'!K60+'Avg Week Mukono-Seeta'!K60</f>
        <v>3.5</v>
      </c>
      <c r="L60" s="49">
        <f>'Avg Week Seeta-Mukono'!L60+'Avg Week Mukono-Seeta'!L60</f>
        <v>20.5</v>
      </c>
      <c r="M60" s="49">
        <f>'Avg Week Seeta-Mukono'!M60+'Avg Week Mukono-Seeta'!M60</f>
        <v>304.5</v>
      </c>
      <c r="N60" s="49">
        <f>'Avg Week Seeta-Mukono'!N60+'Avg Week Mukono-Seeta'!N60</f>
        <v>0</v>
      </c>
      <c r="O60" s="15">
        <f t="shared" si="0"/>
        <v>211</v>
      </c>
      <c r="P60" s="15">
        <f t="shared" si="1"/>
        <v>515.5</v>
      </c>
      <c r="R60" s="8"/>
      <c r="T60"/>
    </row>
    <row r="61" spans="2:20" ht="23.1" customHeight="1" x14ac:dyDescent="0.25">
      <c r="B61" s="23" t="s">
        <v>102</v>
      </c>
      <c r="C61" s="49">
        <f>'Avg Week Seeta-Mukono'!C61+'Avg Week Mukono-Seeta'!C61</f>
        <v>59.5</v>
      </c>
      <c r="D61" s="49">
        <f>'Avg Week Seeta-Mukono'!D61+'Avg Week Mukono-Seeta'!D61</f>
        <v>28.5</v>
      </c>
      <c r="E61" s="49">
        <f>'Avg Week Seeta-Mukono'!E61+'Avg Week Mukono-Seeta'!E61</f>
        <v>10.5</v>
      </c>
      <c r="F61" s="49">
        <f>'Avg Week Seeta-Mukono'!F61+'Avg Week Mukono-Seeta'!F61</f>
        <v>65.5</v>
      </c>
      <c r="G61" s="49">
        <f>'Avg Week Seeta-Mukono'!G61+'Avg Week Mukono-Seeta'!G61</f>
        <v>4</v>
      </c>
      <c r="H61" s="49">
        <f>'Avg Week Seeta-Mukono'!H61+'Avg Week Mukono-Seeta'!H61</f>
        <v>2</v>
      </c>
      <c r="I61" s="49">
        <f>'Avg Week Seeta-Mukono'!I61+'Avg Week Mukono-Seeta'!I61</f>
        <v>23</v>
      </c>
      <c r="J61" s="49">
        <f>'Avg Week Seeta-Mukono'!J61+'Avg Week Mukono-Seeta'!J61</f>
        <v>13.5</v>
      </c>
      <c r="K61" s="49">
        <f>'Avg Week Seeta-Mukono'!K61+'Avg Week Mukono-Seeta'!K61</f>
        <v>4</v>
      </c>
      <c r="L61" s="49">
        <f>'Avg Week Seeta-Mukono'!L61+'Avg Week Mukono-Seeta'!L61</f>
        <v>20.5</v>
      </c>
      <c r="M61" s="49">
        <f>'Avg Week Seeta-Mukono'!M61+'Avg Week Mukono-Seeta'!M61</f>
        <v>257.5</v>
      </c>
      <c r="N61" s="49">
        <f>'Avg Week Seeta-Mukono'!N61+'Avg Week Mukono-Seeta'!N61</f>
        <v>0</v>
      </c>
      <c r="O61" s="15">
        <f t="shared" si="0"/>
        <v>231</v>
      </c>
      <c r="P61" s="15">
        <f t="shared" si="1"/>
        <v>488.5</v>
      </c>
      <c r="R61" s="8"/>
      <c r="T61"/>
    </row>
    <row r="62" spans="2:20" ht="23.1" customHeight="1" x14ac:dyDescent="0.25">
      <c r="B62" s="23" t="s">
        <v>107</v>
      </c>
      <c r="C62" s="49">
        <f>'Avg Week Seeta-Mukono'!C62+'Avg Week Mukono-Seeta'!C62</f>
        <v>77</v>
      </c>
      <c r="D62" s="49">
        <f>'Avg Week Seeta-Mukono'!D62+'Avg Week Mukono-Seeta'!D62</f>
        <v>38.5</v>
      </c>
      <c r="E62" s="49">
        <f>'Avg Week Seeta-Mukono'!E62+'Avg Week Mukono-Seeta'!E62</f>
        <v>13</v>
      </c>
      <c r="F62" s="49">
        <f>'Avg Week Seeta-Mukono'!F62+'Avg Week Mukono-Seeta'!F62</f>
        <v>90</v>
      </c>
      <c r="G62" s="49">
        <f>'Avg Week Seeta-Mukono'!G62+'Avg Week Mukono-Seeta'!G62</f>
        <v>6.5</v>
      </c>
      <c r="H62" s="49">
        <f>'Avg Week Seeta-Mukono'!H62+'Avg Week Mukono-Seeta'!H62</f>
        <v>5.5</v>
      </c>
      <c r="I62" s="49">
        <f>'Avg Week Seeta-Mukono'!I62+'Avg Week Mukono-Seeta'!I62</f>
        <v>16.5</v>
      </c>
      <c r="J62" s="49">
        <f>'Avg Week Seeta-Mukono'!J62+'Avg Week Mukono-Seeta'!J62</f>
        <v>13.5</v>
      </c>
      <c r="K62" s="49">
        <f>'Avg Week Seeta-Mukono'!K62+'Avg Week Mukono-Seeta'!K62</f>
        <v>4.5</v>
      </c>
      <c r="L62" s="49">
        <f>'Avg Week Seeta-Mukono'!L62+'Avg Week Mukono-Seeta'!L62</f>
        <v>13</v>
      </c>
      <c r="M62" s="49">
        <f>'Avg Week Seeta-Mukono'!M62+'Avg Week Mukono-Seeta'!M62</f>
        <v>307</v>
      </c>
      <c r="N62" s="49">
        <f>'Avg Week Seeta-Mukono'!N62+'Avg Week Mukono-Seeta'!N62</f>
        <v>0</v>
      </c>
      <c r="O62" s="15">
        <f t="shared" si="0"/>
        <v>278</v>
      </c>
      <c r="P62" s="15">
        <f t="shared" si="1"/>
        <v>585</v>
      </c>
      <c r="R62" s="8"/>
      <c r="T62"/>
    </row>
    <row r="63" spans="2:20" ht="23.1" customHeight="1" x14ac:dyDescent="0.25">
      <c r="B63" s="23" t="s">
        <v>108</v>
      </c>
      <c r="C63" s="49">
        <f>'Avg Week Seeta-Mukono'!C63+'Avg Week Mukono-Seeta'!C63</f>
        <v>80.5</v>
      </c>
      <c r="D63" s="49">
        <f>'Avg Week Seeta-Mukono'!D63+'Avg Week Mukono-Seeta'!D63</f>
        <v>40</v>
      </c>
      <c r="E63" s="49">
        <f>'Avg Week Seeta-Mukono'!E63+'Avg Week Mukono-Seeta'!E63</f>
        <v>14</v>
      </c>
      <c r="F63" s="49">
        <f>'Avg Week Seeta-Mukono'!F63+'Avg Week Mukono-Seeta'!F63</f>
        <v>78.5</v>
      </c>
      <c r="G63" s="49">
        <f>'Avg Week Seeta-Mukono'!G63+'Avg Week Mukono-Seeta'!G63</f>
        <v>6.5</v>
      </c>
      <c r="H63" s="49">
        <f>'Avg Week Seeta-Mukono'!H63+'Avg Week Mukono-Seeta'!H63</f>
        <v>1</v>
      </c>
      <c r="I63" s="49">
        <f>'Avg Week Seeta-Mukono'!I63+'Avg Week Mukono-Seeta'!I63</f>
        <v>18</v>
      </c>
      <c r="J63" s="49">
        <f>'Avg Week Seeta-Mukono'!J63+'Avg Week Mukono-Seeta'!J63</f>
        <v>15</v>
      </c>
      <c r="K63" s="49">
        <f>'Avg Week Seeta-Mukono'!K63+'Avg Week Mukono-Seeta'!K63</f>
        <v>2.5</v>
      </c>
      <c r="L63" s="49">
        <f>'Avg Week Seeta-Mukono'!L63+'Avg Week Mukono-Seeta'!L63</f>
        <v>21.5</v>
      </c>
      <c r="M63" s="49">
        <f>'Avg Week Seeta-Mukono'!M63+'Avg Week Mukono-Seeta'!M63</f>
        <v>277.5</v>
      </c>
      <c r="N63" s="49">
        <f>'Avg Week Seeta-Mukono'!N63+'Avg Week Mukono-Seeta'!N63</f>
        <v>0</v>
      </c>
      <c r="O63" s="15">
        <f t="shared" si="0"/>
        <v>277.5</v>
      </c>
      <c r="P63" s="15">
        <f t="shared" si="1"/>
        <v>555</v>
      </c>
      <c r="R63" s="8"/>
      <c r="T63"/>
    </row>
    <row r="64" spans="2:20" ht="23.1" customHeight="1" x14ac:dyDescent="0.25">
      <c r="B64" s="23" t="s">
        <v>109</v>
      </c>
      <c r="C64" s="49">
        <f>'Avg Week Seeta-Mukono'!C64+'Avg Week Mukono-Seeta'!C64</f>
        <v>94.5</v>
      </c>
      <c r="D64" s="49">
        <f>'Avg Week Seeta-Mukono'!D64+'Avg Week Mukono-Seeta'!D64</f>
        <v>24.5</v>
      </c>
      <c r="E64" s="49">
        <f>'Avg Week Seeta-Mukono'!E64+'Avg Week Mukono-Seeta'!E64</f>
        <v>11.5</v>
      </c>
      <c r="F64" s="49">
        <f>'Avg Week Seeta-Mukono'!F64+'Avg Week Mukono-Seeta'!F64</f>
        <v>85</v>
      </c>
      <c r="G64" s="49">
        <f>'Avg Week Seeta-Mukono'!G64+'Avg Week Mukono-Seeta'!G64</f>
        <v>2</v>
      </c>
      <c r="H64" s="49">
        <f>'Avg Week Seeta-Mukono'!H64+'Avg Week Mukono-Seeta'!H64</f>
        <v>5.5</v>
      </c>
      <c r="I64" s="49">
        <f>'Avg Week Seeta-Mukono'!I64+'Avg Week Mukono-Seeta'!I64</f>
        <v>16</v>
      </c>
      <c r="J64" s="49">
        <f>'Avg Week Seeta-Mukono'!J64+'Avg Week Mukono-Seeta'!J64</f>
        <v>9</v>
      </c>
      <c r="K64" s="49">
        <f>'Avg Week Seeta-Mukono'!K64+'Avg Week Mukono-Seeta'!K64</f>
        <v>7.5</v>
      </c>
      <c r="L64" s="49">
        <f>'Avg Week Seeta-Mukono'!L64+'Avg Week Mukono-Seeta'!L64</f>
        <v>17</v>
      </c>
      <c r="M64" s="49">
        <f>'Avg Week Seeta-Mukono'!M64+'Avg Week Mukono-Seeta'!M64</f>
        <v>248.5</v>
      </c>
      <c r="N64" s="49">
        <f>'Avg Week Seeta-Mukono'!N64+'Avg Week Mukono-Seeta'!N64</f>
        <v>0</v>
      </c>
      <c r="O64" s="15">
        <f t="shared" si="0"/>
        <v>272.5</v>
      </c>
      <c r="P64" s="15">
        <f t="shared" si="1"/>
        <v>521</v>
      </c>
      <c r="R64" s="8"/>
      <c r="T64"/>
    </row>
    <row r="65" spans="2:20" ht="23.1" customHeight="1" x14ac:dyDescent="0.25">
      <c r="B65" s="23" t="s">
        <v>158</v>
      </c>
      <c r="C65" s="49">
        <f>'Avg Week Seeta-Mukono'!C65+'Avg Week Mukono-Seeta'!C65</f>
        <v>72</v>
      </c>
      <c r="D65" s="49">
        <f>'Avg Week Seeta-Mukono'!D65+'Avg Week Mukono-Seeta'!D65</f>
        <v>24.5</v>
      </c>
      <c r="E65" s="49">
        <f>'Avg Week Seeta-Mukono'!E65+'Avg Week Mukono-Seeta'!E65</f>
        <v>11</v>
      </c>
      <c r="F65" s="49">
        <f>'Avg Week Seeta-Mukono'!F65+'Avg Week Mukono-Seeta'!F65</f>
        <v>62</v>
      </c>
      <c r="G65" s="49">
        <f>'Avg Week Seeta-Mukono'!G65+'Avg Week Mukono-Seeta'!G65</f>
        <v>4.5</v>
      </c>
      <c r="H65" s="49">
        <f>'Avg Week Seeta-Mukono'!H65+'Avg Week Mukono-Seeta'!H65</f>
        <v>2</v>
      </c>
      <c r="I65" s="49">
        <f>'Avg Week Seeta-Mukono'!I65+'Avg Week Mukono-Seeta'!I65</f>
        <v>10.5</v>
      </c>
      <c r="J65" s="49">
        <f>'Avg Week Seeta-Mukono'!J65+'Avg Week Mukono-Seeta'!J65</f>
        <v>10.5</v>
      </c>
      <c r="K65" s="49">
        <f>'Avg Week Seeta-Mukono'!K65+'Avg Week Mukono-Seeta'!K65</f>
        <v>6.5</v>
      </c>
      <c r="L65" s="49">
        <f>'Avg Week Seeta-Mukono'!L65+'Avg Week Mukono-Seeta'!L65</f>
        <v>6.5</v>
      </c>
      <c r="M65" s="49">
        <f>'Avg Week Seeta-Mukono'!M65+'Avg Week Mukono-Seeta'!M65</f>
        <v>169.5</v>
      </c>
      <c r="N65" s="49">
        <f>'Avg Week Seeta-Mukono'!N65+'Avg Week Mukono-Seeta'!N65</f>
        <v>0</v>
      </c>
      <c r="O65" s="15">
        <f t="shared" si="0"/>
        <v>210</v>
      </c>
      <c r="P65" s="15">
        <f t="shared" si="1"/>
        <v>379.5</v>
      </c>
      <c r="R65" s="8"/>
      <c r="T65"/>
    </row>
    <row r="66" spans="2:20" ht="23.1" customHeight="1" x14ac:dyDescent="0.25">
      <c r="B66" s="23" t="s">
        <v>103</v>
      </c>
      <c r="C66" s="49">
        <f>'Avg Week Seeta-Mukono'!C66+'Avg Week Mukono-Seeta'!C66</f>
        <v>69.5</v>
      </c>
      <c r="D66" s="49">
        <f>'Avg Week Seeta-Mukono'!D66+'Avg Week Mukono-Seeta'!D66</f>
        <v>25.5</v>
      </c>
      <c r="E66" s="49">
        <f>'Avg Week Seeta-Mukono'!E66+'Avg Week Mukono-Seeta'!E66</f>
        <v>9.5</v>
      </c>
      <c r="F66" s="49">
        <f>'Avg Week Seeta-Mukono'!F66+'Avg Week Mukono-Seeta'!F66</f>
        <v>64</v>
      </c>
      <c r="G66" s="49">
        <f>'Avg Week Seeta-Mukono'!G66+'Avg Week Mukono-Seeta'!G66</f>
        <v>5.5</v>
      </c>
      <c r="H66" s="49">
        <f>'Avg Week Seeta-Mukono'!H66+'Avg Week Mukono-Seeta'!H66</f>
        <v>1.5</v>
      </c>
      <c r="I66" s="49">
        <f>'Avg Week Seeta-Mukono'!I66+'Avg Week Mukono-Seeta'!I66</f>
        <v>19.5</v>
      </c>
      <c r="J66" s="49">
        <f>'Avg Week Seeta-Mukono'!J66+'Avg Week Mukono-Seeta'!J66</f>
        <v>13</v>
      </c>
      <c r="K66" s="49">
        <f>'Avg Week Seeta-Mukono'!K66+'Avg Week Mukono-Seeta'!K66</f>
        <v>4</v>
      </c>
      <c r="L66" s="49">
        <f>'Avg Week Seeta-Mukono'!L66+'Avg Week Mukono-Seeta'!L66</f>
        <v>12.5</v>
      </c>
      <c r="M66" s="49">
        <f>'Avg Week Seeta-Mukono'!M66+'Avg Week Mukono-Seeta'!M66</f>
        <v>180.5</v>
      </c>
      <c r="N66" s="49">
        <f>'Avg Week Seeta-Mukono'!N66+'Avg Week Mukono-Seeta'!N66</f>
        <v>0</v>
      </c>
      <c r="O66" s="15">
        <f t="shared" si="0"/>
        <v>224.5</v>
      </c>
      <c r="P66" s="15">
        <f t="shared" si="1"/>
        <v>405</v>
      </c>
      <c r="R66" s="8"/>
      <c r="T66"/>
    </row>
    <row r="67" spans="2:20" ht="23.1" customHeight="1" x14ac:dyDescent="0.25">
      <c r="B67" s="23" t="s">
        <v>104</v>
      </c>
      <c r="C67" s="49">
        <f>'Avg Week Seeta-Mukono'!C67+'Avg Week Mukono-Seeta'!C67</f>
        <v>88.5</v>
      </c>
      <c r="D67" s="49">
        <f>'Avg Week Seeta-Mukono'!D67+'Avg Week Mukono-Seeta'!D67</f>
        <v>32</v>
      </c>
      <c r="E67" s="49">
        <f>'Avg Week Seeta-Mukono'!E67+'Avg Week Mukono-Seeta'!E67</f>
        <v>8.5</v>
      </c>
      <c r="F67" s="49">
        <f>'Avg Week Seeta-Mukono'!F67+'Avg Week Mukono-Seeta'!F67</f>
        <v>84</v>
      </c>
      <c r="G67" s="49">
        <f>'Avg Week Seeta-Mukono'!G67+'Avg Week Mukono-Seeta'!G67</f>
        <v>3</v>
      </c>
      <c r="H67" s="49">
        <f>'Avg Week Seeta-Mukono'!H67+'Avg Week Mukono-Seeta'!H67</f>
        <v>1.5</v>
      </c>
      <c r="I67" s="49">
        <f>'Avg Week Seeta-Mukono'!I67+'Avg Week Mukono-Seeta'!I67</f>
        <v>22</v>
      </c>
      <c r="J67" s="49">
        <f>'Avg Week Seeta-Mukono'!J67+'Avg Week Mukono-Seeta'!J67</f>
        <v>13</v>
      </c>
      <c r="K67" s="49">
        <f>'Avg Week Seeta-Mukono'!K67+'Avg Week Mukono-Seeta'!K67</f>
        <v>2</v>
      </c>
      <c r="L67" s="49">
        <f>'Avg Week Seeta-Mukono'!L67+'Avg Week Mukono-Seeta'!L67</f>
        <v>18.5</v>
      </c>
      <c r="M67" s="49">
        <f>'Avg Week Seeta-Mukono'!M67+'Avg Week Mukono-Seeta'!M67</f>
        <v>176</v>
      </c>
      <c r="N67" s="49">
        <f>'Avg Week Seeta-Mukono'!N67+'Avg Week Mukono-Seeta'!N67</f>
        <v>0</v>
      </c>
      <c r="O67" s="15">
        <f t="shared" si="0"/>
        <v>273</v>
      </c>
      <c r="P67" s="15">
        <f t="shared" si="1"/>
        <v>449</v>
      </c>
      <c r="R67" s="8"/>
      <c r="T67"/>
    </row>
    <row r="68" spans="2:20" ht="23.1" customHeight="1" x14ac:dyDescent="0.25">
      <c r="B68" s="23" t="s">
        <v>105</v>
      </c>
      <c r="C68" s="49">
        <f>'Avg Week Seeta-Mukono'!C68+'Avg Week Mukono-Seeta'!C68</f>
        <v>79</v>
      </c>
      <c r="D68" s="49">
        <f>'Avg Week Seeta-Mukono'!D68+'Avg Week Mukono-Seeta'!D68</f>
        <v>33.5</v>
      </c>
      <c r="E68" s="49">
        <f>'Avg Week Seeta-Mukono'!E68+'Avg Week Mukono-Seeta'!E68</f>
        <v>15</v>
      </c>
      <c r="F68" s="49">
        <f>'Avg Week Seeta-Mukono'!F68+'Avg Week Mukono-Seeta'!F68</f>
        <v>79</v>
      </c>
      <c r="G68" s="49">
        <f>'Avg Week Seeta-Mukono'!G68+'Avg Week Mukono-Seeta'!G68</f>
        <v>6</v>
      </c>
      <c r="H68" s="49">
        <f>'Avg Week Seeta-Mukono'!H68+'Avg Week Mukono-Seeta'!H68</f>
        <v>0</v>
      </c>
      <c r="I68" s="49">
        <f>'Avg Week Seeta-Mukono'!I68+'Avg Week Mukono-Seeta'!I68</f>
        <v>15.5</v>
      </c>
      <c r="J68" s="49">
        <f>'Avg Week Seeta-Mukono'!J68+'Avg Week Mukono-Seeta'!J68</f>
        <v>13.5</v>
      </c>
      <c r="K68" s="49">
        <f>'Avg Week Seeta-Mukono'!K68+'Avg Week Mukono-Seeta'!K68</f>
        <v>7</v>
      </c>
      <c r="L68" s="49">
        <f>'Avg Week Seeta-Mukono'!L68+'Avg Week Mukono-Seeta'!L68</f>
        <v>5.5</v>
      </c>
      <c r="M68" s="49">
        <f>'Avg Week Seeta-Mukono'!M68+'Avg Week Mukono-Seeta'!M68</f>
        <v>172.5</v>
      </c>
      <c r="N68" s="49">
        <f>'Avg Week Seeta-Mukono'!N68+'Avg Week Mukono-Seeta'!N68</f>
        <v>0</v>
      </c>
      <c r="O68" s="15">
        <f t="shared" si="0"/>
        <v>254</v>
      </c>
      <c r="P68" s="15">
        <f t="shared" si="1"/>
        <v>426.5</v>
      </c>
      <c r="R68" s="8"/>
      <c r="T68"/>
    </row>
    <row r="69" spans="2:20" ht="23.1" customHeight="1" x14ac:dyDescent="0.25">
      <c r="B69" s="23" t="s">
        <v>106</v>
      </c>
      <c r="C69" s="49">
        <f>'Avg Week Seeta-Mukono'!C69+'Avg Week Mukono-Seeta'!C69</f>
        <v>70</v>
      </c>
      <c r="D69" s="49">
        <f>'Avg Week Seeta-Mukono'!D69+'Avg Week Mukono-Seeta'!D69</f>
        <v>30</v>
      </c>
      <c r="E69" s="49">
        <f>'Avg Week Seeta-Mukono'!E69+'Avg Week Mukono-Seeta'!E69</f>
        <v>14</v>
      </c>
      <c r="F69" s="49">
        <f>'Avg Week Seeta-Mukono'!F69+'Avg Week Mukono-Seeta'!F69</f>
        <v>72</v>
      </c>
      <c r="G69" s="49">
        <f>'Avg Week Seeta-Mukono'!G69+'Avg Week Mukono-Seeta'!G69</f>
        <v>7.5</v>
      </c>
      <c r="H69" s="49">
        <f>'Avg Week Seeta-Mukono'!H69+'Avg Week Mukono-Seeta'!H69</f>
        <v>1</v>
      </c>
      <c r="I69" s="49">
        <f>'Avg Week Seeta-Mukono'!I69+'Avg Week Mukono-Seeta'!I69</f>
        <v>14</v>
      </c>
      <c r="J69" s="49">
        <f>'Avg Week Seeta-Mukono'!J69+'Avg Week Mukono-Seeta'!J69</f>
        <v>9.5</v>
      </c>
      <c r="K69" s="49">
        <f>'Avg Week Seeta-Mukono'!K69+'Avg Week Mukono-Seeta'!K69</f>
        <v>5</v>
      </c>
      <c r="L69" s="49">
        <f>'Avg Week Seeta-Mukono'!L69+'Avg Week Mukono-Seeta'!L69</f>
        <v>16</v>
      </c>
      <c r="M69" s="49">
        <f>'Avg Week Seeta-Mukono'!M69+'Avg Week Mukono-Seeta'!M69</f>
        <v>154.5</v>
      </c>
      <c r="N69" s="49">
        <f>'Avg Week Seeta-Mukono'!N69+'Avg Week Mukono-Seeta'!N69</f>
        <v>0</v>
      </c>
      <c r="O69" s="15">
        <f t="shared" si="0"/>
        <v>239</v>
      </c>
      <c r="P69" s="15">
        <f t="shared" si="1"/>
        <v>393.5</v>
      </c>
      <c r="R69" s="8"/>
      <c r="T69"/>
    </row>
    <row r="70" spans="2:20" ht="23.1" customHeight="1" x14ac:dyDescent="0.25">
      <c r="B70" s="23" t="s">
        <v>110</v>
      </c>
      <c r="C70" s="49">
        <f>'Avg Week Seeta-Mukono'!C70+'Avg Week Mukono-Seeta'!C70</f>
        <v>58.5</v>
      </c>
      <c r="D70" s="49">
        <f>'Avg Week Seeta-Mukono'!D70+'Avg Week Mukono-Seeta'!D70</f>
        <v>24.5</v>
      </c>
      <c r="E70" s="49">
        <f>'Avg Week Seeta-Mukono'!E70+'Avg Week Mukono-Seeta'!E70</f>
        <v>26</v>
      </c>
      <c r="F70" s="49">
        <f>'Avg Week Seeta-Mukono'!F70+'Avg Week Mukono-Seeta'!F70</f>
        <v>58</v>
      </c>
      <c r="G70" s="49">
        <f>'Avg Week Seeta-Mukono'!G70+'Avg Week Mukono-Seeta'!G70</f>
        <v>9.5</v>
      </c>
      <c r="H70" s="49">
        <f>'Avg Week Seeta-Mukono'!H70+'Avg Week Mukono-Seeta'!H70</f>
        <v>6</v>
      </c>
      <c r="I70" s="49">
        <f>'Avg Week Seeta-Mukono'!I70+'Avg Week Mukono-Seeta'!I70</f>
        <v>10</v>
      </c>
      <c r="J70" s="49">
        <f>'Avg Week Seeta-Mukono'!J70+'Avg Week Mukono-Seeta'!J70</f>
        <v>10.5</v>
      </c>
      <c r="K70" s="49">
        <f>'Avg Week Seeta-Mukono'!K70+'Avg Week Mukono-Seeta'!K70</f>
        <v>8.5</v>
      </c>
      <c r="L70" s="49">
        <f>'Avg Week Seeta-Mukono'!L70+'Avg Week Mukono-Seeta'!L70</f>
        <v>27.5</v>
      </c>
      <c r="M70" s="49">
        <f>'Avg Week Seeta-Mukono'!M70+'Avg Week Mukono-Seeta'!M70</f>
        <v>128</v>
      </c>
      <c r="N70" s="49">
        <f>'Avg Week Seeta-Mukono'!N70+'Avg Week Mukono-Seeta'!N70</f>
        <v>0</v>
      </c>
      <c r="O70" s="15">
        <f t="shared" si="0"/>
        <v>239</v>
      </c>
      <c r="P70" s="15">
        <f t="shared" si="1"/>
        <v>367</v>
      </c>
      <c r="R70" s="8"/>
      <c r="T70"/>
    </row>
    <row r="71" spans="2:20" ht="23.1" customHeight="1" x14ac:dyDescent="0.25">
      <c r="B71" s="23" t="s">
        <v>111</v>
      </c>
      <c r="C71" s="49">
        <f>'Avg Week Seeta-Mukono'!C71+'Avg Week Mukono-Seeta'!C71</f>
        <v>73</v>
      </c>
      <c r="D71" s="49">
        <f>'Avg Week Seeta-Mukono'!D71+'Avg Week Mukono-Seeta'!D71</f>
        <v>29.5</v>
      </c>
      <c r="E71" s="49">
        <f>'Avg Week Seeta-Mukono'!E71+'Avg Week Mukono-Seeta'!E71</f>
        <v>10.5</v>
      </c>
      <c r="F71" s="49">
        <f>'Avg Week Seeta-Mukono'!F71+'Avg Week Mukono-Seeta'!F71</f>
        <v>65.5</v>
      </c>
      <c r="G71" s="49">
        <f>'Avg Week Seeta-Mukono'!G71+'Avg Week Mukono-Seeta'!G71</f>
        <v>5.5</v>
      </c>
      <c r="H71" s="49">
        <f>'Avg Week Seeta-Mukono'!H71+'Avg Week Mukono-Seeta'!H71</f>
        <v>2.5</v>
      </c>
      <c r="I71" s="49">
        <f>'Avg Week Seeta-Mukono'!I71+'Avg Week Mukono-Seeta'!I71</f>
        <v>15</v>
      </c>
      <c r="J71" s="49">
        <f>'Avg Week Seeta-Mukono'!J71+'Avg Week Mukono-Seeta'!J71</f>
        <v>9</v>
      </c>
      <c r="K71" s="49">
        <f>'Avg Week Seeta-Mukono'!K71+'Avg Week Mukono-Seeta'!K71</f>
        <v>4.5</v>
      </c>
      <c r="L71" s="49">
        <f>'Avg Week Seeta-Mukono'!L71+'Avg Week Mukono-Seeta'!L71</f>
        <v>13</v>
      </c>
      <c r="M71" s="49">
        <f>'Avg Week Seeta-Mukono'!M71+'Avg Week Mukono-Seeta'!M71</f>
        <v>104.5</v>
      </c>
      <c r="N71" s="49">
        <f>'Avg Week Seeta-Mukono'!N71+'Avg Week Mukono-Seeta'!N71</f>
        <v>0</v>
      </c>
      <c r="O71" s="15">
        <f t="shared" si="0"/>
        <v>228</v>
      </c>
      <c r="P71" s="15">
        <f t="shared" si="1"/>
        <v>332.5</v>
      </c>
      <c r="R71" s="8"/>
      <c r="T71"/>
    </row>
    <row r="72" spans="2:20" ht="23.1" customHeight="1" x14ac:dyDescent="0.25">
      <c r="B72" s="23" t="s">
        <v>112</v>
      </c>
      <c r="C72" s="49">
        <f>'Avg Week Seeta-Mukono'!C72+'Avg Week Mukono-Seeta'!C72</f>
        <v>78</v>
      </c>
      <c r="D72" s="49">
        <f>'Avg Week Seeta-Mukono'!D72+'Avg Week Mukono-Seeta'!D72</f>
        <v>27.5</v>
      </c>
      <c r="E72" s="49">
        <f>'Avg Week Seeta-Mukono'!E72+'Avg Week Mukono-Seeta'!E72</f>
        <v>13</v>
      </c>
      <c r="F72" s="49">
        <f>'Avg Week Seeta-Mukono'!F72+'Avg Week Mukono-Seeta'!F72</f>
        <v>72</v>
      </c>
      <c r="G72" s="49">
        <f>'Avg Week Seeta-Mukono'!G72+'Avg Week Mukono-Seeta'!G72</f>
        <v>11</v>
      </c>
      <c r="H72" s="49">
        <f>'Avg Week Seeta-Mukono'!H72+'Avg Week Mukono-Seeta'!H72</f>
        <v>0.5</v>
      </c>
      <c r="I72" s="49">
        <f>'Avg Week Seeta-Mukono'!I72+'Avg Week Mukono-Seeta'!I72</f>
        <v>12</v>
      </c>
      <c r="J72" s="49">
        <f>'Avg Week Seeta-Mukono'!J72+'Avg Week Mukono-Seeta'!J72</f>
        <v>17</v>
      </c>
      <c r="K72" s="49">
        <f>'Avg Week Seeta-Mukono'!K72+'Avg Week Mukono-Seeta'!K72</f>
        <v>4.5</v>
      </c>
      <c r="L72" s="49">
        <f>'Avg Week Seeta-Mukono'!L72+'Avg Week Mukono-Seeta'!L72</f>
        <v>15.5</v>
      </c>
      <c r="M72" s="49">
        <f>'Avg Week Seeta-Mukono'!M72+'Avg Week Mukono-Seeta'!M72</f>
        <v>113</v>
      </c>
      <c r="N72" s="49">
        <f>'Avg Week Seeta-Mukono'!N72+'Avg Week Mukono-Seeta'!N72</f>
        <v>0</v>
      </c>
      <c r="O72" s="15">
        <f t="shared" si="0"/>
        <v>251</v>
      </c>
      <c r="P72" s="15">
        <f t="shared" si="1"/>
        <v>364</v>
      </c>
      <c r="R72" s="8"/>
      <c r="T72"/>
    </row>
    <row r="73" spans="2:20" ht="23.1" customHeight="1" x14ac:dyDescent="0.25">
      <c r="B73" s="23" t="s">
        <v>113</v>
      </c>
      <c r="C73" s="49">
        <f>'Avg Week Seeta-Mukono'!C73+'Avg Week Mukono-Seeta'!C73</f>
        <v>83</v>
      </c>
      <c r="D73" s="49">
        <f>'Avg Week Seeta-Mukono'!D73+'Avg Week Mukono-Seeta'!D73</f>
        <v>39</v>
      </c>
      <c r="E73" s="49">
        <f>'Avg Week Seeta-Mukono'!E73+'Avg Week Mukono-Seeta'!E73</f>
        <v>15.5</v>
      </c>
      <c r="F73" s="49">
        <f>'Avg Week Seeta-Mukono'!F73+'Avg Week Mukono-Seeta'!F73</f>
        <v>75</v>
      </c>
      <c r="G73" s="49">
        <f>'Avg Week Seeta-Mukono'!G73+'Avg Week Mukono-Seeta'!G73</f>
        <v>6.5</v>
      </c>
      <c r="H73" s="49">
        <f>'Avg Week Seeta-Mukono'!H73+'Avg Week Mukono-Seeta'!H73</f>
        <v>5.5</v>
      </c>
      <c r="I73" s="49">
        <f>'Avg Week Seeta-Mukono'!I73+'Avg Week Mukono-Seeta'!I73</f>
        <v>22</v>
      </c>
      <c r="J73" s="49">
        <f>'Avg Week Seeta-Mukono'!J73+'Avg Week Mukono-Seeta'!J73</f>
        <v>14.5</v>
      </c>
      <c r="K73" s="49">
        <f>'Avg Week Seeta-Mukono'!K73+'Avg Week Mukono-Seeta'!K73</f>
        <v>6</v>
      </c>
      <c r="L73" s="49">
        <f>'Avg Week Seeta-Mukono'!L73+'Avg Week Mukono-Seeta'!L73</f>
        <v>29.5</v>
      </c>
      <c r="M73" s="49">
        <f>'Avg Week Seeta-Mukono'!M73+'Avg Week Mukono-Seeta'!M73</f>
        <v>82.5</v>
      </c>
      <c r="N73" s="49">
        <f>'Avg Week Seeta-Mukono'!N73+'Avg Week Mukono-Seeta'!N73</f>
        <v>0</v>
      </c>
      <c r="O73" s="15">
        <f t="shared" si="0"/>
        <v>296.5</v>
      </c>
      <c r="P73" s="15">
        <f t="shared" si="1"/>
        <v>379</v>
      </c>
      <c r="R73" s="8"/>
      <c r="T73"/>
    </row>
    <row r="74" spans="2:20" ht="23.1" customHeight="1" x14ac:dyDescent="0.25">
      <c r="B74" s="23" t="s">
        <v>114</v>
      </c>
      <c r="C74" s="49">
        <f>'Avg Week Seeta-Mukono'!C74+'Avg Week Mukono-Seeta'!C74</f>
        <v>87.5</v>
      </c>
      <c r="D74" s="49">
        <f>'Avg Week Seeta-Mukono'!D74+'Avg Week Mukono-Seeta'!D74</f>
        <v>81</v>
      </c>
      <c r="E74" s="49">
        <f>'Avg Week Seeta-Mukono'!E74+'Avg Week Mukono-Seeta'!E74</f>
        <v>11</v>
      </c>
      <c r="F74" s="49">
        <f>'Avg Week Seeta-Mukono'!F74+'Avg Week Mukono-Seeta'!F74</f>
        <v>72</v>
      </c>
      <c r="G74" s="49">
        <f>'Avg Week Seeta-Mukono'!G74+'Avg Week Mukono-Seeta'!G74</f>
        <v>7</v>
      </c>
      <c r="H74" s="49">
        <f>'Avg Week Seeta-Mukono'!H74+'Avg Week Mukono-Seeta'!H74</f>
        <v>2</v>
      </c>
      <c r="I74" s="49">
        <f>'Avg Week Seeta-Mukono'!I74+'Avg Week Mukono-Seeta'!I74</f>
        <v>20.5</v>
      </c>
      <c r="J74" s="49">
        <f>'Avg Week Seeta-Mukono'!J74+'Avg Week Mukono-Seeta'!J74</f>
        <v>10.5</v>
      </c>
      <c r="K74" s="49">
        <f>'Avg Week Seeta-Mukono'!K74+'Avg Week Mukono-Seeta'!K74</f>
        <v>5.5</v>
      </c>
      <c r="L74" s="49">
        <f>'Avg Week Seeta-Mukono'!L74+'Avg Week Mukono-Seeta'!L74</f>
        <v>13.5</v>
      </c>
      <c r="M74" s="49">
        <f>'Avg Week Seeta-Mukono'!M74+'Avg Week Mukono-Seeta'!M74</f>
        <v>89.5</v>
      </c>
      <c r="N74" s="49">
        <f>'Avg Week Seeta-Mukono'!N74+'Avg Week Mukono-Seeta'!N74</f>
        <v>0</v>
      </c>
      <c r="O74" s="15">
        <f t="shared" ref="O74:O104" si="35">SUM(C74:L74,N74)</f>
        <v>310.5</v>
      </c>
      <c r="P74" s="15">
        <f t="shared" ref="P74:P104" si="36">SUM(C74:N74)</f>
        <v>400</v>
      </c>
      <c r="R74" s="8"/>
      <c r="T74"/>
    </row>
    <row r="75" spans="2:20" ht="23.1" customHeight="1" x14ac:dyDescent="0.25">
      <c r="B75" s="23" t="s">
        <v>115</v>
      </c>
      <c r="C75" s="49">
        <f>'Avg Week Seeta-Mukono'!C75+'Avg Week Mukono-Seeta'!C75</f>
        <v>57.5</v>
      </c>
      <c r="D75" s="49">
        <f>'Avg Week Seeta-Mukono'!D75+'Avg Week Mukono-Seeta'!D75</f>
        <v>21</v>
      </c>
      <c r="E75" s="49">
        <f>'Avg Week Seeta-Mukono'!E75+'Avg Week Mukono-Seeta'!E75</f>
        <v>11</v>
      </c>
      <c r="F75" s="49">
        <f>'Avg Week Seeta-Mukono'!F75+'Avg Week Mukono-Seeta'!F75</f>
        <v>45</v>
      </c>
      <c r="G75" s="49">
        <f>'Avg Week Seeta-Mukono'!G75+'Avg Week Mukono-Seeta'!G75</f>
        <v>6</v>
      </c>
      <c r="H75" s="49">
        <f>'Avg Week Seeta-Mukono'!H75+'Avg Week Mukono-Seeta'!H75</f>
        <v>6.5</v>
      </c>
      <c r="I75" s="49">
        <f>'Avg Week Seeta-Mukono'!I75+'Avg Week Mukono-Seeta'!I75</f>
        <v>12.5</v>
      </c>
      <c r="J75" s="49">
        <f>'Avg Week Seeta-Mukono'!J75+'Avg Week Mukono-Seeta'!J75</f>
        <v>9.5</v>
      </c>
      <c r="K75" s="49">
        <f>'Avg Week Seeta-Mukono'!K75+'Avg Week Mukono-Seeta'!K75</f>
        <v>6</v>
      </c>
      <c r="L75" s="49">
        <f>'Avg Week Seeta-Mukono'!L75+'Avg Week Mukono-Seeta'!L75</f>
        <v>15.5</v>
      </c>
      <c r="M75" s="49">
        <f>'Avg Week Seeta-Mukono'!M75+'Avg Week Mukono-Seeta'!M75</f>
        <v>68</v>
      </c>
      <c r="N75" s="49">
        <f>'Avg Week Seeta-Mukono'!N75+'Avg Week Mukono-Seeta'!N75</f>
        <v>0</v>
      </c>
      <c r="O75" s="15">
        <f t="shared" si="35"/>
        <v>190.5</v>
      </c>
      <c r="P75" s="15">
        <f t="shared" si="36"/>
        <v>258.5</v>
      </c>
      <c r="R75" s="8"/>
      <c r="T75"/>
    </row>
    <row r="76" spans="2:20" ht="23.1" customHeight="1" x14ac:dyDescent="0.25">
      <c r="B76" s="23" t="s">
        <v>116</v>
      </c>
      <c r="C76" s="49">
        <f>'Avg Week Seeta-Mukono'!C76+'Avg Week Mukono-Seeta'!C76</f>
        <v>41.5</v>
      </c>
      <c r="D76" s="49">
        <f>'Avg Week Seeta-Mukono'!D76+'Avg Week Mukono-Seeta'!D76</f>
        <v>22</v>
      </c>
      <c r="E76" s="49">
        <f>'Avg Week Seeta-Mukono'!E76+'Avg Week Mukono-Seeta'!E76</f>
        <v>8</v>
      </c>
      <c r="F76" s="49">
        <f>'Avg Week Seeta-Mukono'!F76+'Avg Week Mukono-Seeta'!F76</f>
        <v>43</v>
      </c>
      <c r="G76" s="49">
        <f>'Avg Week Seeta-Mukono'!G76+'Avg Week Mukono-Seeta'!G76</f>
        <v>5</v>
      </c>
      <c r="H76" s="49">
        <f>'Avg Week Seeta-Mukono'!H76+'Avg Week Mukono-Seeta'!H76</f>
        <v>1</v>
      </c>
      <c r="I76" s="49">
        <f>'Avg Week Seeta-Mukono'!I76+'Avg Week Mukono-Seeta'!I76</f>
        <v>11</v>
      </c>
      <c r="J76" s="49">
        <f>'Avg Week Seeta-Mukono'!J76+'Avg Week Mukono-Seeta'!J76</f>
        <v>13</v>
      </c>
      <c r="K76" s="49">
        <f>'Avg Week Seeta-Mukono'!K76+'Avg Week Mukono-Seeta'!K76</f>
        <v>3</v>
      </c>
      <c r="L76" s="49">
        <f>'Avg Week Seeta-Mukono'!L76+'Avg Week Mukono-Seeta'!L76</f>
        <v>11.5</v>
      </c>
      <c r="M76" s="49">
        <f>'Avg Week Seeta-Mukono'!M76+'Avg Week Mukono-Seeta'!M76</f>
        <v>62</v>
      </c>
      <c r="N76" s="49">
        <f>'Avg Week Seeta-Mukono'!N76+'Avg Week Mukono-Seeta'!N76</f>
        <v>0</v>
      </c>
      <c r="O76" s="15">
        <f t="shared" si="35"/>
        <v>159</v>
      </c>
      <c r="P76" s="15">
        <f t="shared" si="36"/>
        <v>221</v>
      </c>
      <c r="R76" s="8"/>
      <c r="T76"/>
    </row>
    <row r="77" spans="2:20" ht="23.1" customHeight="1" x14ac:dyDescent="0.25">
      <c r="B77" s="23" t="s">
        <v>117</v>
      </c>
      <c r="C77" s="49">
        <f>'Avg Week Seeta-Mukono'!C77+'Avg Week Mukono-Seeta'!C77</f>
        <v>61.5</v>
      </c>
      <c r="D77" s="49">
        <f>'Avg Week Seeta-Mukono'!D77+'Avg Week Mukono-Seeta'!D77</f>
        <v>13</v>
      </c>
      <c r="E77" s="49">
        <f>'Avg Week Seeta-Mukono'!E77+'Avg Week Mukono-Seeta'!E77</f>
        <v>12</v>
      </c>
      <c r="F77" s="49">
        <f>'Avg Week Seeta-Mukono'!F77+'Avg Week Mukono-Seeta'!F77</f>
        <v>28.5</v>
      </c>
      <c r="G77" s="49">
        <f>'Avg Week Seeta-Mukono'!G77+'Avg Week Mukono-Seeta'!G77</f>
        <v>1</v>
      </c>
      <c r="H77" s="49">
        <f>'Avg Week Seeta-Mukono'!H77+'Avg Week Mukono-Seeta'!H77</f>
        <v>2.5</v>
      </c>
      <c r="I77" s="49">
        <f>'Avg Week Seeta-Mukono'!I77+'Avg Week Mukono-Seeta'!I77</f>
        <v>13</v>
      </c>
      <c r="J77" s="49">
        <f>'Avg Week Seeta-Mukono'!J77+'Avg Week Mukono-Seeta'!J77</f>
        <v>7.5</v>
      </c>
      <c r="K77" s="49">
        <f>'Avg Week Seeta-Mukono'!K77+'Avg Week Mukono-Seeta'!K77</f>
        <v>5.5</v>
      </c>
      <c r="L77" s="49">
        <f>'Avg Week Seeta-Mukono'!L77+'Avg Week Mukono-Seeta'!L77</f>
        <v>11.5</v>
      </c>
      <c r="M77" s="49">
        <f>'Avg Week Seeta-Mukono'!M77+'Avg Week Mukono-Seeta'!M77</f>
        <v>55.5</v>
      </c>
      <c r="N77" s="49">
        <f>'Avg Week Seeta-Mukono'!N77+'Avg Week Mukono-Seeta'!N77</f>
        <v>0</v>
      </c>
      <c r="O77" s="15">
        <f t="shared" si="35"/>
        <v>156</v>
      </c>
      <c r="P77" s="15">
        <f t="shared" si="36"/>
        <v>211.5</v>
      </c>
      <c r="R77" s="8"/>
      <c r="T77"/>
    </row>
    <row r="78" spans="2:20" ht="23.1" customHeight="1" x14ac:dyDescent="0.25">
      <c r="B78" s="24" t="s">
        <v>118</v>
      </c>
      <c r="C78" s="49">
        <f>'Avg Week Seeta-Mukono'!C78+'Avg Week Mukono-Seeta'!C78</f>
        <v>46.5</v>
      </c>
      <c r="D78" s="49">
        <f>'Avg Week Seeta-Mukono'!D78+'Avg Week Mukono-Seeta'!D78</f>
        <v>16</v>
      </c>
      <c r="E78" s="49">
        <f>'Avg Week Seeta-Mukono'!E78+'Avg Week Mukono-Seeta'!E78</f>
        <v>5</v>
      </c>
      <c r="F78" s="49">
        <f>'Avg Week Seeta-Mukono'!F78+'Avg Week Mukono-Seeta'!F78</f>
        <v>29</v>
      </c>
      <c r="G78" s="49">
        <f>'Avg Week Seeta-Mukono'!G78+'Avg Week Mukono-Seeta'!G78</f>
        <v>2</v>
      </c>
      <c r="H78" s="49">
        <f>'Avg Week Seeta-Mukono'!H78+'Avg Week Mukono-Seeta'!H78</f>
        <v>0.5</v>
      </c>
      <c r="I78" s="49">
        <f>'Avg Week Seeta-Mukono'!I78+'Avg Week Mukono-Seeta'!I78</f>
        <v>9.5</v>
      </c>
      <c r="J78" s="49">
        <f>'Avg Week Seeta-Mukono'!J78+'Avg Week Mukono-Seeta'!J78</f>
        <v>11</v>
      </c>
      <c r="K78" s="49">
        <f>'Avg Week Seeta-Mukono'!K78+'Avg Week Mukono-Seeta'!K78</f>
        <v>2.5</v>
      </c>
      <c r="L78" s="49">
        <f>'Avg Week Seeta-Mukono'!L78+'Avg Week Mukono-Seeta'!L78</f>
        <v>7.5</v>
      </c>
      <c r="M78" s="49">
        <f>'Avg Week Seeta-Mukono'!M78+'Avg Week Mukono-Seeta'!M78</f>
        <v>43</v>
      </c>
      <c r="N78" s="49">
        <f>'Avg Week Seeta-Mukono'!N78+'Avg Week Mukono-Seeta'!N78</f>
        <v>0</v>
      </c>
      <c r="O78" s="15">
        <f t="shared" si="35"/>
        <v>129.5</v>
      </c>
      <c r="P78" s="15">
        <f t="shared" si="36"/>
        <v>172.5</v>
      </c>
      <c r="R78" s="8"/>
      <c r="T78"/>
    </row>
    <row r="79" spans="2:20" ht="23.1" customHeight="1" x14ac:dyDescent="0.25">
      <c r="B79" s="23" t="s">
        <v>119</v>
      </c>
      <c r="C79" s="49">
        <f>'Avg Week Seeta-Mukono'!C79+'Avg Week Mukono-Seeta'!C79</f>
        <v>37.5</v>
      </c>
      <c r="D79" s="49">
        <f>'Avg Week Seeta-Mukono'!D79+'Avg Week Mukono-Seeta'!D79</f>
        <v>9</v>
      </c>
      <c r="E79" s="49">
        <f>'Avg Week Seeta-Mukono'!E79+'Avg Week Mukono-Seeta'!E79</f>
        <v>4</v>
      </c>
      <c r="F79" s="49">
        <f>'Avg Week Seeta-Mukono'!F79+'Avg Week Mukono-Seeta'!F79</f>
        <v>18.5</v>
      </c>
      <c r="G79" s="49">
        <f>'Avg Week Seeta-Mukono'!G79+'Avg Week Mukono-Seeta'!G79</f>
        <v>3</v>
      </c>
      <c r="H79" s="49">
        <f>'Avg Week Seeta-Mukono'!H79+'Avg Week Mukono-Seeta'!H79</f>
        <v>1</v>
      </c>
      <c r="I79" s="49">
        <f>'Avg Week Seeta-Mukono'!I79+'Avg Week Mukono-Seeta'!I79</f>
        <v>10</v>
      </c>
      <c r="J79" s="49">
        <f>'Avg Week Seeta-Mukono'!J79+'Avg Week Mukono-Seeta'!J79</f>
        <v>12.5</v>
      </c>
      <c r="K79" s="49">
        <f>'Avg Week Seeta-Mukono'!K79+'Avg Week Mukono-Seeta'!K79</f>
        <v>4</v>
      </c>
      <c r="L79" s="49">
        <f>'Avg Week Seeta-Mukono'!L79+'Avg Week Mukono-Seeta'!L79</f>
        <v>7</v>
      </c>
      <c r="M79" s="49">
        <f>'Avg Week Seeta-Mukono'!M79+'Avg Week Mukono-Seeta'!M79</f>
        <v>39.5</v>
      </c>
      <c r="N79" s="49">
        <f>'Avg Week Seeta-Mukono'!N79+'Avg Week Mukono-Seeta'!N79</f>
        <v>0</v>
      </c>
      <c r="O79" s="15">
        <f t="shared" si="35"/>
        <v>106.5</v>
      </c>
      <c r="P79" s="15">
        <f t="shared" si="36"/>
        <v>146</v>
      </c>
      <c r="R79" s="8"/>
      <c r="T79"/>
    </row>
    <row r="80" spans="2:20" ht="23.1" customHeight="1" x14ac:dyDescent="0.25">
      <c r="B80" s="25" t="s">
        <v>120</v>
      </c>
      <c r="C80" s="49">
        <f>'Avg Week Seeta-Mukono'!C80+'Avg Week Mukono-Seeta'!C80</f>
        <v>32.5</v>
      </c>
      <c r="D80" s="49">
        <f>'Avg Week Seeta-Mukono'!D80+'Avg Week Mukono-Seeta'!D80</f>
        <v>5</v>
      </c>
      <c r="E80" s="49">
        <f>'Avg Week Seeta-Mukono'!E80+'Avg Week Mukono-Seeta'!E80</f>
        <v>6.5</v>
      </c>
      <c r="F80" s="49">
        <f>'Avg Week Seeta-Mukono'!F80+'Avg Week Mukono-Seeta'!F80</f>
        <v>15.5</v>
      </c>
      <c r="G80" s="49">
        <f>'Avg Week Seeta-Mukono'!G80+'Avg Week Mukono-Seeta'!G80</f>
        <v>3.5</v>
      </c>
      <c r="H80" s="49">
        <f>'Avg Week Seeta-Mukono'!H80+'Avg Week Mukono-Seeta'!H80</f>
        <v>0.5</v>
      </c>
      <c r="I80" s="49">
        <f>'Avg Week Seeta-Mukono'!I80+'Avg Week Mukono-Seeta'!I80</f>
        <v>6</v>
      </c>
      <c r="J80" s="49">
        <f>'Avg Week Seeta-Mukono'!J80+'Avg Week Mukono-Seeta'!J80</f>
        <v>10.5</v>
      </c>
      <c r="K80" s="49">
        <f>'Avg Week Seeta-Mukono'!K80+'Avg Week Mukono-Seeta'!K80</f>
        <v>3.5</v>
      </c>
      <c r="L80" s="49">
        <f>'Avg Week Seeta-Mukono'!L80+'Avg Week Mukono-Seeta'!L80</f>
        <v>6</v>
      </c>
      <c r="M80" s="49">
        <f>'Avg Week Seeta-Mukono'!M80+'Avg Week Mukono-Seeta'!M80</f>
        <v>34.5</v>
      </c>
      <c r="N80" s="49">
        <f>'Avg Week Seeta-Mukono'!N80+'Avg Week Mukono-Seeta'!N80</f>
        <v>0</v>
      </c>
      <c r="O80" s="15">
        <f t="shared" si="35"/>
        <v>89.5</v>
      </c>
      <c r="P80" s="15">
        <f t="shared" si="36"/>
        <v>124</v>
      </c>
      <c r="R80" s="8"/>
      <c r="T80"/>
    </row>
    <row r="81" spans="2:20" ht="23.1" customHeight="1" x14ac:dyDescent="0.25">
      <c r="B81" s="23" t="s">
        <v>121</v>
      </c>
      <c r="C81" s="49">
        <f>'Avg Week Seeta-Mukono'!C81+'Avg Week Mukono-Seeta'!C81</f>
        <v>31</v>
      </c>
      <c r="D81" s="49">
        <f>'Avg Week Seeta-Mukono'!D81+'Avg Week Mukono-Seeta'!D81</f>
        <v>8.5</v>
      </c>
      <c r="E81" s="49">
        <f>'Avg Week Seeta-Mukono'!E81+'Avg Week Mukono-Seeta'!E81</f>
        <v>6.5</v>
      </c>
      <c r="F81" s="49">
        <f>'Avg Week Seeta-Mukono'!F81+'Avg Week Mukono-Seeta'!F81</f>
        <v>18.5</v>
      </c>
      <c r="G81" s="49">
        <f>'Avg Week Seeta-Mukono'!G81+'Avg Week Mukono-Seeta'!G81</f>
        <v>1.5</v>
      </c>
      <c r="H81" s="49">
        <f>'Avg Week Seeta-Mukono'!H81+'Avg Week Mukono-Seeta'!H81</f>
        <v>0.5</v>
      </c>
      <c r="I81" s="49">
        <f>'Avg Week Seeta-Mukono'!I81+'Avg Week Mukono-Seeta'!I81</f>
        <v>9.5</v>
      </c>
      <c r="J81" s="49">
        <f>'Avg Week Seeta-Mukono'!J81+'Avg Week Mukono-Seeta'!J81</f>
        <v>13</v>
      </c>
      <c r="K81" s="49">
        <f>'Avg Week Seeta-Mukono'!K81+'Avg Week Mukono-Seeta'!K81</f>
        <v>5</v>
      </c>
      <c r="L81" s="49">
        <f>'Avg Week Seeta-Mukono'!L81+'Avg Week Mukono-Seeta'!L81</f>
        <v>7.5</v>
      </c>
      <c r="M81" s="49">
        <f>'Avg Week Seeta-Mukono'!M81+'Avg Week Mukono-Seeta'!M81</f>
        <v>30</v>
      </c>
      <c r="N81" s="49">
        <f>'Avg Week Seeta-Mukono'!N81+'Avg Week Mukono-Seeta'!N81</f>
        <v>0</v>
      </c>
      <c r="O81" s="15">
        <f t="shared" si="35"/>
        <v>101.5</v>
      </c>
      <c r="P81" s="15">
        <f t="shared" si="36"/>
        <v>131.5</v>
      </c>
      <c r="R81" s="8"/>
      <c r="T81"/>
    </row>
    <row r="82" spans="2:20" ht="23.1" customHeight="1" x14ac:dyDescent="0.25">
      <c r="B82" s="24" t="s">
        <v>122</v>
      </c>
      <c r="C82" s="49">
        <f>'Avg Week Seeta-Mukono'!C82+'Avg Week Mukono-Seeta'!C82</f>
        <v>19.5</v>
      </c>
      <c r="D82" s="49">
        <f>'Avg Week Seeta-Mukono'!D82+'Avg Week Mukono-Seeta'!D82</f>
        <v>6</v>
      </c>
      <c r="E82" s="49">
        <f>'Avg Week Seeta-Mukono'!E82+'Avg Week Mukono-Seeta'!E82</f>
        <v>6.5</v>
      </c>
      <c r="F82" s="49">
        <f>'Avg Week Seeta-Mukono'!F82+'Avg Week Mukono-Seeta'!F82</f>
        <v>15.5</v>
      </c>
      <c r="G82" s="49">
        <f>'Avg Week Seeta-Mukono'!G82+'Avg Week Mukono-Seeta'!G82</f>
        <v>1.5</v>
      </c>
      <c r="H82" s="49">
        <f>'Avg Week Seeta-Mukono'!H82+'Avg Week Mukono-Seeta'!H82</f>
        <v>0</v>
      </c>
      <c r="I82" s="49">
        <f>'Avg Week Seeta-Mukono'!I82+'Avg Week Mukono-Seeta'!I82</f>
        <v>11</v>
      </c>
      <c r="J82" s="49">
        <f>'Avg Week Seeta-Mukono'!J82+'Avg Week Mukono-Seeta'!J82</f>
        <v>12.5</v>
      </c>
      <c r="K82" s="49">
        <f>'Avg Week Seeta-Mukono'!K82+'Avg Week Mukono-Seeta'!K82</f>
        <v>3.5</v>
      </c>
      <c r="L82" s="49">
        <f>'Avg Week Seeta-Mukono'!L82+'Avg Week Mukono-Seeta'!L82</f>
        <v>13</v>
      </c>
      <c r="M82" s="49">
        <f>'Avg Week Seeta-Mukono'!M82+'Avg Week Mukono-Seeta'!M82</f>
        <v>26</v>
      </c>
      <c r="N82" s="49">
        <f>'Avg Week Seeta-Mukono'!N82+'Avg Week Mukono-Seeta'!N82</f>
        <v>0</v>
      </c>
      <c r="O82" s="15">
        <f t="shared" si="35"/>
        <v>89</v>
      </c>
      <c r="P82" s="15">
        <f t="shared" si="36"/>
        <v>115</v>
      </c>
      <c r="R82" s="8"/>
      <c r="T82"/>
    </row>
    <row r="83" spans="2:20" ht="23.1" customHeight="1" x14ac:dyDescent="0.25">
      <c r="B83" s="23" t="s">
        <v>123</v>
      </c>
      <c r="C83" s="49">
        <f>'Avg Week Seeta-Mukono'!C83+'Avg Week Mukono-Seeta'!C83</f>
        <v>13.5</v>
      </c>
      <c r="D83" s="49">
        <f>'Avg Week Seeta-Mukono'!D83+'Avg Week Mukono-Seeta'!D83</f>
        <v>6</v>
      </c>
      <c r="E83" s="49">
        <f>'Avg Week Seeta-Mukono'!E83+'Avg Week Mukono-Seeta'!E83</f>
        <v>4.5</v>
      </c>
      <c r="F83" s="49">
        <f>'Avg Week Seeta-Mukono'!F83+'Avg Week Mukono-Seeta'!F83</f>
        <v>10</v>
      </c>
      <c r="G83" s="49">
        <f>'Avg Week Seeta-Mukono'!G83+'Avg Week Mukono-Seeta'!G83</f>
        <v>0.5</v>
      </c>
      <c r="H83" s="49">
        <f>'Avg Week Seeta-Mukono'!H83+'Avg Week Mukono-Seeta'!H83</f>
        <v>0</v>
      </c>
      <c r="I83" s="49">
        <f>'Avg Week Seeta-Mukono'!I83+'Avg Week Mukono-Seeta'!I83</f>
        <v>9</v>
      </c>
      <c r="J83" s="49">
        <f>'Avg Week Seeta-Mukono'!J83+'Avg Week Mukono-Seeta'!J83</f>
        <v>7.5</v>
      </c>
      <c r="K83" s="49">
        <f>'Avg Week Seeta-Mukono'!K83+'Avg Week Mukono-Seeta'!K83</f>
        <v>2</v>
      </c>
      <c r="L83" s="49">
        <f>'Avg Week Seeta-Mukono'!L83+'Avg Week Mukono-Seeta'!L83</f>
        <v>6.5</v>
      </c>
      <c r="M83" s="49">
        <f>'Avg Week Seeta-Mukono'!M83+'Avg Week Mukono-Seeta'!M83</f>
        <v>31.5</v>
      </c>
      <c r="N83" s="49">
        <f>'Avg Week Seeta-Mukono'!N83+'Avg Week Mukono-Seeta'!N83</f>
        <v>0</v>
      </c>
      <c r="O83" s="15">
        <f t="shared" si="35"/>
        <v>59.5</v>
      </c>
      <c r="P83" s="15">
        <f t="shared" si="36"/>
        <v>91</v>
      </c>
      <c r="R83" s="8"/>
      <c r="T83"/>
    </row>
    <row r="84" spans="2:20" ht="23.1" customHeight="1" x14ac:dyDescent="0.25">
      <c r="B84" s="25" t="s">
        <v>124</v>
      </c>
      <c r="C84" s="49">
        <f>'Avg Week Seeta-Mukono'!C84+'Avg Week Mukono-Seeta'!C84</f>
        <v>14.5</v>
      </c>
      <c r="D84" s="49">
        <f>'Avg Week Seeta-Mukono'!D84+'Avg Week Mukono-Seeta'!D84</f>
        <v>5.5</v>
      </c>
      <c r="E84" s="49">
        <f>'Avg Week Seeta-Mukono'!E84+'Avg Week Mukono-Seeta'!E84</f>
        <v>3.5</v>
      </c>
      <c r="F84" s="49">
        <f>'Avg Week Seeta-Mukono'!F84+'Avg Week Mukono-Seeta'!F84</f>
        <v>9.5</v>
      </c>
      <c r="G84" s="49">
        <f>'Avg Week Seeta-Mukono'!G84+'Avg Week Mukono-Seeta'!G84</f>
        <v>2.5</v>
      </c>
      <c r="H84" s="49">
        <f>'Avg Week Seeta-Mukono'!H84+'Avg Week Mukono-Seeta'!H84</f>
        <v>2.5</v>
      </c>
      <c r="I84" s="49">
        <f>'Avg Week Seeta-Mukono'!I84+'Avg Week Mukono-Seeta'!I84</f>
        <v>6.5</v>
      </c>
      <c r="J84" s="49">
        <f>'Avg Week Seeta-Mukono'!J84+'Avg Week Mukono-Seeta'!J84</f>
        <v>11</v>
      </c>
      <c r="K84" s="49">
        <f>'Avg Week Seeta-Mukono'!K84+'Avg Week Mukono-Seeta'!K84</f>
        <v>1.5</v>
      </c>
      <c r="L84" s="49">
        <f>'Avg Week Seeta-Mukono'!L84+'Avg Week Mukono-Seeta'!L84</f>
        <v>9</v>
      </c>
      <c r="M84" s="49">
        <f>'Avg Week Seeta-Mukono'!M84+'Avg Week Mukono-Seeta'!M84</f>
        <v>16.5</v>
      </c>
      <c r="N84" s="49">
        <f>'Avg Week Seeta-Mukono'!N84+'Avg Week Mukono-Seeta'!N84</f>
        <v>0.5</v>
      </c>
      <c r="O84" s="15">
        <f t="shared" si="35"/>
        <v>66.5</v>
      </c>
      <c r="P84" s="15">
        <f t="shared" si="36"/>
        <v>83</v>
      </c>
      <c r="R84" s="8"/>
      <c r="T84"/>
    </row>
    <row r="85" spans="2:20" ht="23.1" customHeight="1" x14ac:dyDescent="0.25">
      <c r="B85" s="23" t="s">
        <v>125</v>
      </c>
      <c r="C85" s="49">
        <f>'Avg Week Seeta-Mukono'!C85+'Avg Week Mukono-Seeta'!C85</f>
        <v>18.5</v>
      </c>
      <c r="D85" s="49">
        <f>'Avg Week Seeta-Mukono'!D85+'Avg Week Mukono-Seeta'!D85</f>
        <v>5.5</v>
      </c>
      <c r="E85" s="49">
        <f>'Avg Week Seeta-Mukono'!E85+'Avg Week Mukono-Seeta'!E85</f>
        <v>2</v>
      </c>
      <c r="F85" s="49">
        <f>'Avg Week Seeta-Mukono'!F85+'Avg Week Mukono-Seeta'!F85</f>
        <v>7.5</v>
      </c>
      <c r="G85" s="49">
        <f>'Avg Week Seeta-Mukono'!G85+'Avg Week Mukono-Seeta'!G85</f>
        <v>0.5</v>
      </c>
      <c r="H85" s="49">
        <f>'Avg Week Seeta-Mukono'!H85+'Avg Week Mukono-Seeta'!H85</f>
        <v>1</v>
      </c>
      <c r="I85" s="49">
        <f>'Avg Week Seeta-Mukono'!I85+'Avg Week Mukono-Seeta'!I85</f>
        <v>9</v>
      </c>
      <c r="J85" s="49">
        <f>'Avg Week Seeta-Mukono'!J85+'Avg Week Mukono-Seeta'!J85</f>
        <v>10</v>
      </c>
      <c r="K85" s="49">
        <f>'Avg Week Seeta-Mukono'!K85+'Avg Week Mukono-Seeta'!K85</f>
        <v>1</v>
      </c>
      <c r="L85" s="49">
        <f>'Avg Week Seeta-Mukono'!L85+'Avg Week Mukono-Seeta'!L85</f>
        <v>8.5</v>
      </c>
      <c r="M85" s="49">
        <f>'Avg Week Seeta-Mukono'!M85+'Avg Week Mukono-Seeta'!M85</f>
        <v>23</v>
      </c>
      <c r="N85" s="49">
        <f>'Avg Week Seeta-Mukono'!N85+'Avg Week Mukono-Seeta'!N85</f>
        <v>0</v>
      </c>
      <c r="O85" s="15">
        <f t="shared" si="35"/>
        <v>63.5</v>
      </c>
      <c r="P85" s="15">
        <f t="shared" si="36"/>
        <v>86.5</v>
      </c>
      <c r="R85" s="8"/>
      <c r="T85"/>
    </row>
    <row r="86" spans="2:20" ht="23.1" customHeight="1" x14ac:dyDescent="0.25">
      <c r="B86" s="24" t="s">
        <v>126</v>
      </c>
      <c r="C86" s="49">
        <f>'Avg Week Seeta-Mukono'!C86+'Avg Week Mukono-Seeta'!C86</f>
        <v>12.5</v>
      </c>
      <c r="D86" s="49">
        <f>'Avg Week Seeta-Mukono'!D86+'Avg Week Mukono-Seeta'!D86</f>
        <v>2.5</v>
      </c>
      <c r="E86" s="49">
        <f>'Avg Week Seeta-Mukono'!E86+'Avg Week Mukono-Seeta'!E86</f>
        <v>2.5</v>
      </c>
      <c r="F86" s="49">
        <f>'Avg Week Seeta-Mukono'!F86+'Avg Week Mukono-Seeta'!F86</f>
        <v>11</v>
      </c>
      <c r="G86" s="49">
        <f>'Avg Week Seeta-Mukono'!G86+'Avg Week Mukono-Seeta'!G86</f>
        <v>1</v>
      </c>
      <c r="H86" s="49">
        <f>'Avg Week Seeta-Mukono'!H86+'Avg Week Mukono-Seeta'!H86</f>
        <v>2.5</v>
      </c>
      <c r="I86" s="49">
        <f>'Avg Week Seeta-Mukono'!I86+'Avg Week Mukono-Seeta'!I86</f>
        <v>8</v>
      </c>
      <c r="J86" s="49">
        <f>'Avg Week Seeta-Mukono'!J86+'Avg Week Mukono-Seeta'!J86</f>
        <v>9.5</v>
      </c>
      <c r="K86" s="49">
        <f>'Avg Week Seeta-Mukono'!K86+'Avg Week Mukono-Seeta'!K86</f>
        <v>6</v>
      </c>
      <c r="L86" s="49">
        <f>'Avg Week Seeta-Mukono'!L86+'Avg Week Mukono-Seeta'!L86</f>
        <v>4.5</v>
      </c>
      <c r="M86" s="49">
        <f>'Avg Week Seeta-Mukono'!M86+'Avg Week Mukono-Seeta'!M86</f>
        <v>13</v>
      </c>
      <c r="N86" s="49">
        <f>'Avg Week Seeta-Mukono'!N86+'Avg Week Mukono-Seeta'!N86</f>
        <v>0</v>
      </c>
      <c r="O86" s="15">
        <f t="shared" si="35"/>
        <v>60</v>
      </c>
      <c r="P86" s="15">
        <f t="shared" si="36"/>
        <v>73</v>
      </c>
      <c r="R86" s="8"/>
      <c r="T86"/>
    </row>
    <row r="87" spans="2:20" ht="23.1" customHeight="1" x14ac:dyDescent="0.25">
      <c r="B87" s="23" t="s">
        <v>127</v>
      </c>
      <c r="C87" s="49">
        <f>'Avg Week Seeta-Mukono'!C87+'Avg Week Mukono-Seeta'!C87</f>
        <v>10</v>
      </c>
      <c r="D87" s="49">
        <f>'Avg Week Seeta-Mukono'!D87+'Avg Week Mukono-Seeta'!D87</f>
        <v>5.5</v>
      </c>
      <c r="E87" s="49">
        <f>'Avg Week Seeta-Mukono'!E87+'Avg Week Mukono-Seeta'!E87</f>
        <v>1</v>
      </c>
      <c r="F87" s="49">
        <f>'Avg Week Seeta-Mukono'!F87+'Avg Week Mukono-Seeta'!F87</f>
        <v>4</v>
      </c>
      <c r="G87" s="49">
        <f>'Avg Week Seeta-Mukono'!G87+'Avg Week Mukono-Seeta'!G87</f>
        <v>0.5</v>
      </c>
      <c r="H87" s="49">
        <f>'Avg Week Seeta-Mukono'!H87+'Avg Week Mukono-Seeta'!H87</f>
        <v>0</v>
      </c>
      <c r="I87" s="49">
        <f>'Avg Week Seeta-Mukono'!I87+'Avg Week Mukono-Seeta'!I87</f>
        <v>9.5</v>
      </c>
      <c r="J87" s="49">
        <f>'Avg Week Seeta-Mukono'!J87+'Avg Week Mukono-Seeta'!J87</f>
        <v>6.5</v>
      </c>
      <c r="K87" s="49">
        <f>'Avg Week Seeta-Mukono'!K87+'Avg Week Mukono-Seeta'!K87</f>
        <v>5</v>
      </c>
      <c r="L87" s="49">
        <f>'Avg Week Seeta-Mukono'!L87+'Avg Week Mukono-Seeta'!L87</f>
        <v>7</v>
      </c>
      <c r="M87" s="49">
        <f>'Avg Week Seeta-Mukono'!M87+'Avg Week Mukono-Seeta'!M87</f>
        <v>17.5</v>
      </c>
      <c r="N87" s="49">
        <f>'Avg Week Seeta-Mukono'!N87+'Avg Week Mukono-Seeta'!N87</f>
        <v>0</v>
      </c>
      <c r="O87" s="15">
        <f t="shared" si="35"/>
        <v>49</v>
      </c>
      <c r="P87" s="15">
        <f t="shared" si="36"/>
        <v>66.5</v>
      </c>
      <c r="R87" s="8"/>
      <c r="T87"/>
    </row>
    <row r="88" spans="2:20" ht="23.1" customHeight="1" x14ac:dyDescent="0.25">
      <c r="B88" s="25" t="s">
        <v>128</v>
      </c>
      <c r="C88" s="49">
        <f>'Avg Week Seeta-Mukono'!C88+'Avg Week Mukono-Seeta'!C88</f>
        <v>16</v>
      </c>
      <c r="D88" s="49">
        <f>'Avg Week Seeta-Mukono'!D88+'Avg Week Mukono-Seeta'!D88</f>
        <v>5.5</v>
      </c>
      <c r="E88" s="49">
        <f>'Avg Week Seeta-Mukono'!E88+'Avg Week Mukono-Seeta'!E88</f>
        <v>1</v>
      </c>
      <c r="F88" s="49">
        <f>'Avg Week Seeta-Mukono'!F88+'Avg Week Mukono-Seeta'!F88</f>
        <v>4</v>
      </c>
      <c r="G88" s="49">
        <f>'Avg Week Seeta-Mukono'!G88+'Avg Week Mukono-Seeta'!G88</f>
        <v>0.5</v>
      </c>
      <c r="H88" s="49">
        <f>'Avg Week Seeta-Mukono'!H88+'Avg Week Mukono-Seeta'!H88</f>
        <v>2</v>
      </c>
      <c r="I88" s="49">
        <f>'Avg Week Seeta-Mukono'!I88+'Avg Week Mukono-Seeta'!I88</f>
        <v>4</v>
      </c>
      <c r="J88" s="49">
        <f>'Avg Week Seeta-Mukono'!J88+'Avg Week Mukono-Seeta'!J88</f>
        <v>5.5</v>
      </c>
      <c r="K88" s="49">
        <f>'Avg Week Seeta-Mukono'!K88+'Avg Week Mukono-Seeta'!K88</f>
        <v>4.5</v>
      </c>
      <c r="L88" s="49">
        <f>'Avg Week Seeta-Mukono'!L88+'Avg Week Mukono-Seeta'!L88</f>
        <v>9</v>
      </c>
      <c r="M88" s="49">
        <f>'Avg Week Seeta-Mukono'!M88+'Avg Week Mukono-Seeta'!M88</f>
        <v>11.5</v>
      </c>
      <c r="N88" s="49">
        <f>'Avg Week Seeta-Mukono'!N88+'Avg Week Mukono-Seeta'!N88</f>
        <v>0</v>
      </c>
      <c r="O88" s="15">
        <f t="shared" si="35"/>
        <v>52</v>
      </c>
      <c r="P88" s="15">
        <f t="shared" si="36"/>
        <v>63.5</v>
      </c>
      <c r="R88" s="8"/>
      <c r="T88"/>
    </row>
    <row r="89" spans="2:20" ht="23.1" customHeight="1" x14ac:dyDescent="0.25">
      <c r="B89" s="23" t="s">
        <v>129</v>
      </c>
      <c r="C89" s="49">
        <f>'Avg Week Seeta-Mukono'!C89+'Avg Week Mukono-Seeta'!C89</f>
        <v>10.5</v>
      </c>
      <c r="D89" s="49">
        <f>'Avg Week Seeta-Mukono'!D89+'Avg Week Mukono-Seeta'!D89</f>
        <v>5</v>
      </c>
      <c r="E89" s="49">
        <f>'Avg Week Seeta-Mukono'!E89+'Avg Week Mukono-Seeta'!E89</f>
        <v>2.5</v>
      </c>
      <c r="F89" s="49">
        <f>'Avg Week Seeta-Mukono'!F89+'Avg Week Mukono-Seeta'!F89</f>
        <v>7</v>
      </c>
      <c r="G89" s="49">
        <f>'Avg Week Seeta-Mukono'!G89+'Avg Week Mukono-Seeta'!G89</f>
        <v>1</v>
      </c>
      <c r="H89" s="49">
        <f>'Avg Week Seeta-Mukono'!H89+'Avg Week Mukono-Seeta'!H89</f>
        <v>2.5</v>
      </c>
      <c r="I89" s="49">
        <f>'Avg Week Seeta-Mukono'!I89+'Avg Week Mukono-Seeta'!I89</f>
        <v>6.5</v>
      </c>
      <c r="J89" s="49">
        <f>'Avg Week Seeta-Mukono'!J89+'Avg Week Mukono-Seeta'!J89</f>
        <v>5</v>
      </c>
      <c r="K89" s="49">
        <f>'Avg Week Seeta-Mukono'!K89+'Avg Week Mukono-Seeta'!K89</f>
        <v>4.5</v>
      </c>
      <c r="L89" s="49">
        <f>'Avg Week Seeta-Mukono'!L89+'Avg Week Mukono-Seeta'!L89</f>
        <v>3.5</v>
      </c>
      <c r="M89" s="49">
        <f>'Avg Week Seeta-Mukono'!M89+'Avg Week Mukono-Seeta'!M89</f>
        <v>12</v>
      </c>
      <c r="N89" s="49">
        <f>'Avg Week Seeta-Mukono'!N89+'Avg Week Mukono-Seeta'!N89</f>
        <v>0</v>
      </c>
      <c r="O89" s="15">
        <f t="shared" si="35"/>
        <v>48</v>
      </c>
      <c r="P89" s="15">
        <f t="shared" si="36"/>
        <v>60</v>
      </c>
      <c r="R89" s="8"/>
      <c r="T89"/>
    </row>
    <row r="90" spans="2:20" ht="23.1" customHeight="1" x14ac:dyDescent="0.25">
      <c r="B90" s="24" t="s">
        <v>130</v>
      </c>
      <c r="C90" s="49">
        <f>'Avg Week Seeta-Mukono'!C90+'Avg Week Mukono-Seeta'!C90</f>
        <v>14.5</v>
      </c>
      <c r="D90" s="49">
        <f>'Avg Week Seeta-Mukono'!D90+'Avg Week Mukono-Seeta'!D90</f>
        <v>5</v>
      </c>
      <c r="E90" s="49">
        <f>'Avg Week Seeta-Mukono'!E90+'Avg Week Mukono-Seeta'!E90</f>
        <v>1.5</v>
      </c>
      <c r="F90" s="49">
        <f>'Avg Week Seeta-Mukono'!F90+'Avg Week Mukono-Seeta'!F90</f>
        <v>6</v>
      </c>
      <c r="G90" s="49">
        <f>'Avg Week Seeta-Mukono'!G90+'Avg Week Mukono-Seeta'!G90</f>
        <v>0.5</v>
      </c>
      <c r="H90" s="49">
        <f>'Avg Week Seeta-Mukono'!H90+'Avg Week Mukono-Seeta'!H90</f>
        <v>2</v>
      </c>
      <c r="I90" s="49">
        <f>'Avg Week Seeta-Mukono'!I90+'Avg Week Mukono-Seeta'!I90</f>
        <v>2.5</v>
      </c>
      <c r="J90" s="49">
        <f>'Avg Week Seeta-Mukono'!J90+'Avg Week Mukono-Seeta'!J90</f>
        <v>7.5</v>
      </c>
      <c r="K90" s="49">
        <f>'Avg Week Seeta-Mukono'!K90+'Avg Week Mukono-Seeta'!K90</f>
        <v>4.5</v>
      </c>
      <c r="L90" s="49">
        <f>'Avg Week Seeta-Mukono'!L90+'Avg Week Mukono-Seeta'!L90</f>
        <v>10</v>
      </c>
      <c r="M90" s="49">
        <f>'Avg Week Seeta-Mukono'!M90+'Avg Week Mukono-Seeta'!M90</f>
        <v>8.5</v>
      </c>
      <c r="N90" s="49">
        <f>'Avg Week Seeta-Mukono'!N90+'Avg Week Mukono-Seeta'!N90</f>
        <v>0</v>
      </c>
      <c r="O90" s="15">
        <f t="shared" si="35"/>
        <v>54</v>
      </c>
      <c r="P90" s="15">
        <f t="shared" si="36"/>
        <v>62.5</v>
      </c>
      <c r="R90" s="8"/>
      <c r="T90"/>
    </row>
    <row r="91" spans="2:20" ht="23.1" customHeight="1" x14ac:dyDescent="0.25">
      <c r="B91" s="23" t="s">
        <v>131</v>
      </c>
      <c r="C91" s="49">
        <f>'Avg Week Seeta-Mukono'!C91+'Avg Week Mukono-Seeta'!C91</f>
        <v>5.5</v>
      </c>
      <c r="D91" s="49">
        <f>'Avg Week Seeta-Mukono'!D91+'Avg Week Mukono-Seeta'!D91</f>
        <v>2.5</v>
      </c>
      <c r="E91" s="49">
        <f>'Avg Week Seeta-Mukono'!E91+'Avg Week Mukono-Seeta'!E91</f>
        <v>1</v>
      </c>
      <c r="F91" s="49">
        <f>'Avg Week Seeta-Mukono'!F91+'Avg Week Mukono-Seeta'!F91</f>
        <v>7</v>
      </c>
      <c r="G91" s="49">
        <f>'Avg Week Seeta-Mukono'!G91+'Avg Week Mukono-Seeta'!G91</f>
        <v>0.5</v>
      </c>
      <c r="H91" s="49">
        <f>'Avg Week Seeta-Mukono'!H91+'Avg Week Mukono-Seeta'!H91</f>
        <v>1.5</v>
      </c>
      <c r="I91" s="49">
        <f>'Avg Week Seeta-Mukono'!I91+'Avg Week Mukono-Seeta'!I91</f>
        <v>5.5</v>
      </c>
      <c r="J91" s="49">
        <f>'Avg Week Seeta-Mukono'!J91+'Avg Week Mukono-Seeta'!J91</f>
        <v>9</v>
      </c>
      <c r="K91" s="49">
        <f>'Avg Week Seeta-Mukono'!K91+'Avg Week Mukono-Seeta'!K91</f>
        <v>3.5</v>
      </c>
      <c r="L91" s="49">
        <f>'Avg Week Seeta-Mukono'!L91+'Avg Week Mukono-Seeta'!L91</f>
        <v>8.5</v>
      </c>
      <c r="M91" s="49">
        <f>'Avg Week Seeta-Mukono'!M91+'Avg Week Mukono-Seeta'!M91</f>
        <v>8.5</v>
      </c>
      <c r="N91" s="49">
        <f>'Avg Week Seeta-Mukono'!N91+'Avg Week Mukono-Seeta'!N91</f>
        <v>0</v>
      </c>
      <c r="O91" s="15">
        <f t="shared" si="35"/>
        <v>44.5</v>
      </c>
      <c r="P91" s="15">
        <f t="shared" si="36"/>
        <v>53</v>
      </c>
      <c r="R91" s="8"/>
      <c r="T91"/>
    </row>
    <row r="92" spans="2:20" ht="23.1" customHeight="1" x14ac:dyDescent="0.25">
      <c r="B92" s="25" t="s">
        <v>132</v>
      </c>
      <c r="C92" s="49">
        <f>'Avg Week Seeta-Mukono'!C92+'Avg Week Mukono-Seeta'!C92</f>
        <v>8.5</v>
      </c>
      <c r="D92" s="49">
        <f>'Avg Week Seeta-Mukono'!D92+'Avg Week Mukono-Seeta'!D92</f>
        <v>1.5</v>
      </c>
      <c r="E92" s="49">
        <f>'Avg Week Seeta-Mukono'!E92+'Avg Week Mukono-Seeta'!E92</f>
        <v>4</v>
      </c>
      <c r="F92" s="49">
        <f>'Avg Week Seeta-Mukono'!F92+'Avg Week Mukono-Seeta'!F92</f>
        <v>6</v>
      </c>
      <c r="G92" s="49">
        <f>'Avg Week Seeta-Mukono'!G92+'Avg Week Mukono-Seeta'!G92</f>
        <v>0</v>
      </c>
      <c r="H92" s="49">
        <f>'Avg Week Seeta-Mukono'!H92+'Avg Week Mukono-Seeta'!H92</f>
        <v>0</v>
      </c>
      <c r="I92" s="49">
        <f>'Avg Week Seeta-Mukono'!I92+'Avg Week Mukono-Seeta'!I92</f>
        <v>7.5</v>
      </c>
      <c r="J92" s="49">
        <f>'Avg Week Seeta-Mukono'!J92+'Avg Week Mukono-Seeta'!J92</f>
        <v>11</v>
      </c>
      <c r="K92" s="49">
        <f>'Avg Week Seeta-Mukono'!K92+'Avg Week Mukono-Seeta'!K92</f>
        <v>2</v>
      </c>
      <c r="L92" s="49">
        <f>'Avg Week Seeta-Mukono'!L92+'Avg Week Mukono-Seeta'!L92</f>
        <v>9</v>
      </c>
      <c r="M92" s="49">
        <f>'Avg Week Seeta-Mukono'!M92+'Avg Week Mukono-Seeta'!M92</f>
        <v>10</v>
      </c>
      <c r="N92" s="49">
        <f>'Avg Week Seeta-Mukono'!N92+'Avg Week Mukono-Seeta'!N92</f>
        <v>0</v>
      </c>
      <c r="O92" s="15">
        <f t="shared" si="35"/>
        <v>49.5</v>
      </c>
      <c r="P92" s="15">
        <f t="shared" si="36"/>
        <v>59.5</v>
      </c>
      <c r="R92" s="8"/>
      <c r="T92"/>
    </row>
    <row r="93" spans="2:20" ht="23.1" customHeight="1" x14ac:dyDescent="0.25">
      <c r="B93" s="23" t="s">
        <v>133</v>
      </c>
      <c r="C93" s="49">
        <f>'Avg Week Seeta-Mukono'!C93+'Avg Week Mukono-Seeta'!C93</f>
        <v>7.5</v>
      </c>
      <c r="D93" s="49">
        <f>'Avg Week Seeta-Mukono'!D93+'Avg Week Mukono-Seeta'!D93</f>
        <v>6.5</v>
      </c>
      <c r="E93" s="49">
        <f>'Avg Week Seeta-Mukono'!E93+'Avg Week Mukono-Seeta'!E93</f>
        <v>4</v>
      </c>
      <c r="F93" s="49">
        <f>'Avg Week Seeta-Mukono'!F93+'Avg Week Mukono-Seeta'!F93</f>
        <v>4.5</v>
      </c>
      <c r="G93" s="49">
        <f>'Avg Week Seeta-Mukono'!G93+'Avg Week Mukono-Seeta'!G93</f>
        <v>0</v>
      </c>
      <c r="H93" s="49">
        <f>'Avg Week Seeta-Mukono'!H93+'Avg Week Mukono-Seeta'!H93</f>
        <v>1.5</v>
      </c>
      <c r="I93" s="49">
        <f>'Avg Week Seeta-Mukono'!I93+'Avg Week Mukono-Seeta'!I93</f>
        <v>2</v>
      </c>
      <c r="J93" s="49">
        <f>'Avg Week Seeta-Mukono'!J93+'Avg Week Mukono-Seeta'!J93</f>
        <v>10.5</v>
      </c>
      <c r="K93" s="49">
        <f>'Avg Week Seeta-Mukono'!K93+'Avg Week Mukono-Seeta'!K93</f>
        <v>7.5</v>
      </c>
      <c r="L93" s="49">
        <f>'Avg Week Seeta-Mukono'!L93+'Avg Week Mukono-Seeta'!L93</f>
        <v>6.5</v>
      </c>
      <c r="M93" s="49">
        <f>'Avg Week Seeta-Mukono'!M93+'Avg Week Mukono-Seeta'!M93</f>
        <v>15</v>
      </c>
      <c r="N93" s="49">
        <f>'Avg Week Seeta-Mukono'!N93+'Avg Week Mukono-Seeta'!N93</f>
        <v>0</v>
      </c>
      <c r="O93" s="15">
        <f t="shared" si="35"/>
        <v>50.5</v>
      </c>
      <c r="P93" s="15">
        <f t="shared" si="36"/>
        <v>65.5</v>
      </c>
      <c r="R93" s="8"/>
      <c r="T93"/>
    </row>
    <row r="94" spans="2:20" ht="23.1" customHeight="1" x14ac:dyDescent="0.25">
      <c r="B94" s="24" t="s">
        <v>134</v>
      </c>
      <c r="C94" s="49">
        <f>'Avg Week Seeta-Mukono'!C94+'Avg Week Mukono-Seeta'!C94</f>
        <v>12.5</v>
      </c>
      <c r="D94" s="49">
        <f>'Avg Week Seeta-Mukono'!D94+'Avg Week Mukono-Seeta'!D94</f>
        <v>3</v>
      </c>
      <c r="E94" s="49">
        <f>'Avg Week Seeta-Mukono'!E94+'Avg Week Mukono-Seeta'!E94</f>
        <v>2</v>
      </c>
      <c r="F94" s="49">
        <f>'Avg Week Seeta-Mukono'!F94+'Avg Week Mukono-Seeta'!F94</f>
        <v>12</v>
      </c>
      <c r="G94" s="49">
        <f>'Avg Week Seeta-Mukono'!G94+'Avg Week Mukono-Seeta'!G94</f>
        <v>1</v>
      </c>
      <c r="H94" s="49">
        <f>'Avg Week Seeta-Mukono'!H94+'Avg Week Mukono-Seeta'!H94</f>
        <v>5.5</v>
      </c>
      <c r="I94" s="49">
        <f>'Avg Week Seeta-Mukono'!I94+'Avg Week Mukono-Seeta'!I94</f>
        <v>6.5</v>
      </c>
      <c r="J94" s="49">
        <f>'Avg Week Seeta-Mukono'!J94+'Avg Week Mukono-Seeta'!J94</f>
        <v>7.5</v>
      </c>
      <c r="K94" s="49">
        <f>'Avg Week Seeta-Mukono'!K94+'Avg Week Mukono-Seeta'!K94</f>
        <v>4</v>
      </c>
      <c r="L94" s="49">
        <f>'Avg Week Seeta-Mukono'!L94+'Avg Week Mukono-Seeta'!L94</f>
        <v>9.5</v>
      </c>
      <c r="M94" s="49">
        <f>'Avg Week Seeta-Mukono'!M94+'Avg Week Mukono-Seeta'!M94</f>
        <v>11.5</v>
      </c>
      <c r="N94" s="49">
        <f>'Avg Week Seeta-Mukono'!N94+'Avg Week Mukono-Seeta'!N94</f>
        <v>0</v>
      </c>
      <c r="O94" s="15">
        <f t="shared" si="35"/>
        <v>63.5</v>
      </c>
      <c r="P94" s="15">
        <f t="shared" si="36"/>
        <v>75</v>
      </c>
      <c r="R94" s="8"/>
      <c r="T94"/>
    </row>
    <row r="95" spans="2:20" ht="23.1" customHeight="1" x14ac:dyDescent="0.25">
      <c r="B95" s="23" t="s">
        <v>135</v>
      </c>
      <c r="C95" s="49">
        <f>'Avg Week Seeta-Mukono'!C95+'Avg Week Mukono-Seeta'!C95</f>
        <v>9.5</v>
      </c>
      <c r="D95" s="49">
        <f>'Avg Week Seeta-Mukono'!D95+'Avg Week Mukono-Seeta'!D95</f>
        <v>2</v>
      </c>
      <c r="E95" s="49">
        <f>'Avg Week Seeta-Mukono'!E95+'Avg Week Mukono-Seeta'!E95</f>
        <v>2</v>
      </c>
      <c r="F95" s="49">
        <f>'Avg Week Seeta-Mukono'!F95+'Avg Week Mukono-Seeta'!F95</f>
        <v>10.5</v>
      </c>
      <c r="G95" s="49">
        <f>'Avg Week Seeta-Mukono'!G95+'Avg Week Mukono-Seeta'!G95</f>
        <v>1</v>
      </c>
      <c r="H95" s="49">
        <f>'Avg Week Seeta-Mukono'!H95+'Avg Week Mukono-Seeta'!H95</f>
        <v>2</v>
      </c>
      <c r="I95" s="49">
        <f>'Avg Week Seeta-Mukono'!I95+'Avg Week Mukono-Seeta'!I95</f>
        <v>3</v>
      </c>
      <c r="J95" s="49">
        <f>'Avg Week Seeta-Mukono'!J95+'Avg Week Mukono-Seeta'!J95</f>
        <v>7</v>
      </c>
      <c r="K95" s="49">
        <f>'Avg Week Seeta-Mukono'!K95+'Avg Week Mukono-Seeta'!K95</f>
        <v>1</v>
      </c>
      <c r="L95" s="49">
        <f>'Avg Week Seeta-Mukono'!L95+'Avg Week Mukono-Seeta'!L95</f>
        <v>9</v>
      </c>
      <c r="M95" s="49">
        <f>'Avg Week Seeta-Mukono'!M95+'Avg Week Mukono-Seeta'!M95</f>
        <v>15</v>
      </c>
      <c r="N95" s="49">
        <f>'Avg Week Seeta-Mukono'!N95+'Avg Week Mukono-Seeta'!N95</f>
        <v>0</v>
      </c>
      <c r="O95" s="15">
        <f t="shared" si="35"/>
        <v>47</v>
      </c>
      <c r="P95" s="15">
        <f t="shared" si="36"/>
        <v>62</v>
      </c>
      <c r="R95" s="8"/>
      <c r="T95"/>
    </row>
    <row r="96" spans="2:20" ht="23.1" customHeight="1" x14ac:dyDescent="0.25">
      <c r="B96" s="25" t="s">
        <v>136</v>
      </c>
      <c r="C96" s="49">
        <f>'Avg Week Seeta-Mukono'!C96+'Avg Week Mukono-Seeta'!C96</f>
        <v>14</v>
      </c>
      <c r="D96" s="49">
        <f>'Avg Week Seeta-Mukono'!D96+'Avg Week Mukono-Seeta'!D96</f>
        <v>1</v>
      </c>
      <c r="E96" s="49">
        <f>'Avg Week Seeta-Mukono'!E96+'Avg Week Mukono-Seeta'!E96</f>
        <v>0.5</v>
      </c>
      <c r="F96" s="49">
        <f>'Avg Week Seeta-Mukono'!F96+'Avg Week Mukono-Seeta'!F96</f>
        <v>15</v>
      </c>
      <c r="G96" s="49">
        <f>'Avg Week Seeta-Mukono'!G96+'Avg Week Mukono-Seeta'!G96</f>
        <v>0.5</v>
      </c>
      <c r="H96" s="49">
        <f>'Avg Week Seeta-Mukono'!H96+'Avg Week Mukono-Seeta'!H96</f>
        <v>2</v>
      </c>
      <c r="I96" s="49">
        <f>'Avg Week Seeta-Mukono'!I96+'Avg Week Mukono-Seeta'!I96</f>
        <v>5</v>
      </c>
      <c r="J96" s="49">
        <f>'Avg Week Seeta-Mukono'!J96+'Avg Week Mukono-Seeta'!J96</f>
        <v>9</v>
      </c>
      <c r="K96" s="49">
        <f>'Avg Week Seeta-Mukono'!K96+'Avg Week Mukono-Seeta'!K96</f>
        <v>1.5</v>
      </c>
      <c r="L96" s="49">
        <f>'Avg Week Seeta-Mukono'!L96+'Avg Week Mukono-Seeta'!L96</f>
        <v>15</v>
      </c>
      <c r="M96" s="49">
        <f>'Avg Week Seeta-Mukono'!M96+'Avg Week Mukono-Seeta'!M96</f>
        <v>11</v>
      </c>
      <c r="N96" s="49">
        <f>'Avg Week Seeta-Mukono'!N96+'Avg Week Mukono-Seeta'!N96</f>
        <v>0</v>
      </c>
      <c r="O96" s="15">
        <f t="shared" si="35"/>
        <v>63.5</v>
      </c>
      <c r="P96" s="15">
        <f t="shared" si="36"/>
        <v>74.5</v>
      </c>
      <c r="R96" s="8"/>
      <c r="T96"/>
    </row>
    <row r="97" spans="2:20" ht="23.1" customHeight="1" x14ac:dyDescent="0.25">
      <c r="B97" s="23" t="s">
        <v>137</v>
      </c>
      <c r="C97" s="49">
        <f>'Avg Week Seeta-Mukono'!C97+'Avg Week Mukono-Seeta'!C97</f>
        <v>10</v>
      </c>
      <c r="D97" s="49">
        <f>'Avg Week Seeta-Mukono'!D97+'Avg Week Mukono-Seeta'!D97</f>
        <v>5.5</v>
      </c>
      <c r="E97" s="49">
        <f>'Avg Week Seeta-Mukono'!E97+'Avg Week Mukono-Seeta'!E97</f>
        <v>2.5</v>
      </c>
      <c r="F97" s="49">
        <f>'Avg Week Seeta-Mukono'!F97+'Avg Week Mukono-Seeta'!F97</f>
        <v>19</v>
      </c>
      <c r="G97" s="49">
        <f>'Avg Week Seeta-Mukono'!G97+'Avg Week Mukono-Seeta'!G97</f>
        <v>1</v>
      </c>
      <c r="H97" s="49">
        <f>'Avg Week Seeta-Mukono'!H97+'Avg Week Mukono-Seeta'!H97</f>
        <v>1</v>
      </c>
      <c r="I97" s="49">
        <f>'Avg Week Seeta-Mukono'!I97+'Avg Week Mukono-Seeta'!I97</f>
        <v>8</v>
      </c>
      <c r="J97" s="49">
        <f>'Avg Week Seeta-Mukono'!J97+'Avg Week Mukono-Seeta'!J97</f>
        <v>9</v>
      </c>
      <c r="K97" s="49">
        <f>'Avg Week Seeta-Mukono'!K97+'Avg Week Mukono-Seeta'!K97</f>
        <v>2.5</v>
      </c>
      <c r="L97" s="49">
        <f>'Avg Week Seeta-Mukono'!L97+'Avg Week Mukono-Seeta'!L97</f>
        <v>20.5</v>
      </c>
      <c r="M97" s="49">
        <f>'Avg Week Seeta-Mukono'!M97+'Avg Week Mukono-Seeta'!M97</f>
        <v>14</v>
      </c>
      <c r="N97" s="49">
        <f>'Avg Week Seeta-Mukono'!N97+'Avg Week Mukono-Seeta'!N97</f>
        <v>0</v>
      </c>
      <c r="O97" s="15">
        <f t="shared" si="35"/>
        <v>79</v>
      </c>
      <c r="P97" s="15">
        <f t="shared" si="36"/>
        <v>93</v>
      </c>
      <c r="R97" s="8"/>
      <c r="T97"/>
    </row>
    <row r="98" spans="2:20" ht="23.1" customHeight="1" x14ac:dyDescent="0.25">
      <c r="B98" s="24" t="s">
        <v>138</v>
      </c>
      <c r="C98" s="49">
        <f>'Avg Week Seeta-Mukono'!C98+'Avg Week Mukono-Seeta'!C98</f>
        <v>13</v>
      </c>
      <c r="D98" s="49">
        <f>'Avg Week Seeta-Mukono'!D98+'Avg Week Mukono-Seeta'!D98</f>
        <v>6</v>
      </c>
      <c r="E98" s="49">
        <f>'Avg Week Seeta-Mukono'!E98+'Avg Week Mukono-Seeta'!E98</f>
        <v>2</v>
      </c>
      <c r="F98" s="49">
        <f>'Avg Week Seeta-Mukono'!F98+'Avg Week Mukono-Seeta'!F98</f>
        <v>27</v>
      </c>
      <c r="G98" s="49">
        <f>'Avg Week Seeta-Mukono'!G98+'Avg Week Mukono-Seeta'!G98</f>
        <v>2</v>
      </c>
      <c r="H98" s="49">
        <f>'Avg Week Seeta-Mukono'!H98+'Avg Week Mukono-Seeta'!H98</f>
        <v>1.5</v>
      </c>
      <c r="I98" s="49">
        <f>'Avg Week Seeta-Mukono'!I98+'Avg Week Mukono-Seeta'!I98</f>
        <v>11.5</v>
      </c>
      <c r="J98" s="49">
        <f>'Avg Week Seeta-Mukono'!J98+'Avg Week Mukono-Seeta'!J98</f>
        <v>8.5</v>
      </c>
      <c r="K98" s="49">
        <f>'Avg Week Seeta-Mukono'!K98+'Avg Week Mukono-Seeta'!K98</f>
        <v>2.5</v>
      </c>
      <c r="L98" s="49">
        <f>'Avg Week Seeta-Mukono'!L98+'Avg Week Mukono-Seeta'!L98</f>
        <v>15.5</v>
      </c>
      <c r="M98" s="49">
        <f>'Avg Week Seeta-Mukono'!M98+'Avg Week Mukono-Seeta'!M98</f>
        <v>13</v>
      </c>
      <c r="N98" s="49">
        <f>'Avg Week Seeta-Mukono'!N98+'Avg Week Mukono-Seeta'!N98</f>
        <v>0</v>
      </c>
      <c r="O98" s="15">
        <f t="shared" si="35"/>
        <v>89.5</v>
      </c>
      <c r="P98" s="15">
        <f t="shared" si="36"/>
        <v>102.5</v>
      </c>
      <c r="R98" s="8"/>
      <c r="T98"/>
    </row>
    <row r="99" spans="2:20" ht="23.1" customHeight="1" x14ac:dyDescent="0.25">
      <c r="B99" s="23" t="s">
        <v>139</v>
      </c>
      <c r="C99" s="49">
        <f>'Avg Week Seeta-Mukono'!C99+'Avg Week Mukono-Seeta'!C99</f>
        <v>20</v>
      </c>
      <c r="D99" s="49">
        <f>'Avg Week Seeta-Mukono'!D99+'Avg Week Mukono-Seeta'!D99</f>
        <v>5.5</v>
      </c>
      <c r="E99" s="49">
        <f>'Avg Week Seeta-Mukono'!E99+'Avg Week Mukono-Seeta'!E99</f>
        <v>6</v>
      </c>
      <c r="F99" s="49">
        <f>'Avg Week Seeta-Mukono'!F99+'Avg Week Mukono-Seeta'!F99</f>
        <v>37</v>
      </c>
      <c r="G99" s="49">
        <f>'Avg Week Seeta-Mukono'!G99+'Avg Week Mukono-Seeta'!G99</f>
        <v>5</v>
      </c>
      <c r="H99" s="49">
        <f>'Avg Week Seeta-Mukono'!H99+'Avg Week Mukono-Seeta'!H99</f>
        <v>2</v>
      </c>
      <c r="I99" s="49">
        <f>'Avg Week Seeta-Mukono'!I99+'Avg Week Mukono-Seeta'!I99</f>
        <v>10.5</v>
      </c>
      <c r="J99" s="49">
        <f>'Avg Week Seeta-Mukono'!J99+'Avg Week Mukono-Seeta'!J99</f>
        <v>12.5</v>
      </c>
      <c r="K99" s="49">
        <f>'Avg Week Seeta-Mukono'!K99+'Avg Week Mukono-Seeta'!K99</f>
        <v>1.5</v>
      </c>
      <c r="L99" s="49">
        <f>'Avg Week Seeta-Mukono'!L99+'Avg Week Mukono-Seeta'!L99</f>
        <v>18.5</v>
      </c>
      <c r="M99" s="49">
        <f>'Avg Week Seeta-Mukono'!M99+'Avg Week Mukono-Seeta'!M99</f>
        <v>15</v>
      </c>
      <c r="N99" s="49">
        <f>'Avg Week Seeta-Mukono'!N99+'Avg Week Mukono-Seeta'!N99</f>
        <v>0</v>
      </c>
      <c r="O99" s="15">
        <f t="shared" si="35"/>
        <v>118.5</v>
      </c>
      <c r="P99" s="15">
        <f t="shared" si="36"/>
        <v>133.5</v>
      </c>
      <c r="R99" s="8"/>
      <c r="T99"/>
    </row>
    <row r="100" spans="2:20" ht="23.1" customHeight="1" x14ac:dyDescent="0.25">
      <c r="B100" s="25" t="s">
        <v>140</v>
      </c>
      <c r="C100" s="49">
        <f>'Avg Week Seeta-Mukono'!C100+'Avg Week Mukono-Seeta'!C100</f>
        <v>23</v>
      </c>
      <c r="D100" s="49">
        <f>'Avg Week Seeta-Mukono'!D100+'Avg Week Mukono-Seeta'!D100</f>
        <v>13</v>
      </c>
      <c r="E100" s="49">
        <f>'Avg Week Seeta-Mukono'!E100+'Avg Week Mukono-Seeta'!E100</f>
        <v>5</v>
      </c>
      <c r="F100" s="49">
        <f>'Avg Week Seeta-Mukono'!F100+'Avg Week Mukono-Seeta'!F100</f>
        <v>38.5</v>
      </c>
      <c r="G100" s="49">
        <f>'Avg Week Seeta-Mukono'!G100+'Avg Week Mukono-Seeta'!G100</f>
        <v>6</v>
      </c>
      <c r="H100" s="49">
        <f>'Avg Week Seeta-Mukono'!H100+'Avg Week Mukono-Seeta'!H100</f>
        <v>2.5</v>
      </c>
      <c r="I100" s="49">
        <f>'Avg Week Seeta-Mukono'!I100+'Avg Week Mukono-Seeta'!I100</f>
        <v>8</v>
      </c>
      <c r="J100" s="49">
        <f>'Avg Week Seeta-Mukono'!J100+'Avg Week Mukono-Seeta'!J100</f>
        <v>8.5</v>
      </c>
      <c r="K100" s="49">
        <f>'Avg Week Seeta-Mukono'!K100+'Avg Week Mukono-Seeta'!K100</f>
        <v>7.5</v>
      </c>
      <c r="L100" s="49">
        <f>'Avg Week Seeta-Mukono'!L100+'Avg Week Mukono-Seeta'!L100</f>
        <v>23.5</v>
      </c>
      <c r="M100" s="49">
        <f>'Avg Week Seeta-Mukono'!M100+'Avg Week Mukono-Seeta'!M100</f>
        <v>15</v>
      </c>
      <c r="N100" s="49">
        <f>'Avg Week Seeta-Mukono'!N100+'Avg Week Mukono-Seeta'!N100</f>
        <v>0</v>
      </c>
      <c r="O100" s="15">
        <f t="shared" si="35"/>
        <v>135.5</v>
      </c>
      <c r="P100" s="15">
        <f t="shared" si="36"/>
        <v>150.5</v>
      </c>
      <c r="R100" s="8"/>
      <c r="T100"/>
    </row>
    <row r="101" spans="2:20" ht="23.1" customHeight="1" x14ac:dyDescent="0.25">
      <c r="B101" s="23" t="s">
        <v>141</v>
      </c>
      <c r="C101" s="49">
        <f>'Avg Week Seeta-Mukono'!C101+'Avg Week Mukono-Seeta'!C101</f>
        <v>33.5</v>
      </c>
      <c r="D101" s="49">
        <f>'Avg Week Seeta-Mukono'!D101+'Avg Week Mukono-Seeta'!D101</f>
        <v>18.5</v>
      </c>
      <c r="E101" s="49">
        <f>'Avg Week Seeta-Mukono'!E101+'Avg Week Mukono-Seeta'!E101</f>
        <v>8</v>
      </c>
      <c r="F101" s="49">
        <f>'Avg Week Seeta-Mukono'!F101+'Avg Week Mukono-Seeta'!F101</f>
        <v>52.5</v>
      </c>
      <c r="G101" s="49">
        <f>'Avg Week Seeta-Mukono'!G101+'Avg Week Mukono-Seeta'!G101</f>
        <v>3</v>
      </c>
      <c r="H101" s="49">
        <f>'Avg Week Seeta-Mukono'!H101+'Avg Week Mukono-Seeta'!H101</f>
        <v>1.5</v>
      </c>
      <c r="I101" s="49">
        <f>'Avg Week Seeta-Mukono'!I101+'Avg Week Mukono-Seeta'!I101</f>
        <v>7</v>
      </c>
      <c r="J101" s="49">
        <f>'Avg Week Seeta-Mukono'!J101+'Avg Week Mukono-Seeta'!J101</f>
        <v>11</v>
      </c>
      <c r="K101" s="49">
        <f>'Avg Week Seeta-Mukono'!K101+'Avg Week Mukono-Seeta'!K101</f>
        <v>3</v>
      </c>
      <c r="L101" s="49">
        <f>'Avg Week Seeta-Mukono'!L101+'Avg Week Mukono-Seeta'!L101</f>
        <v>16</v>
      </c>
      <c r="M101" s="49">
        <f>'Avg Week Seeta-Mukono'!M101+'Avg Week Mukono-Seeta'!M101</f>
        <v>21.5</v>
      </c>
      <c r="N101" s="49">
        <f>'Avg Week Seeta-Mukono'!N101+'Avg Week Mukono-Seeta'!N101</f>
        <v>0</v>
      </c>
      <c r="O101" s="15">
        <f t="shared" si="35"/>
        <v>154</v>
      </c>
      <c r="P101" s="15">
        <f t="shared" si="36"/>
        <v>175.5</v>
      </c>
      <c r="R101" s="8"/>
      <c r="T101"/>
    </row>
    <row r="102" spans="2:20" ht="23.1" customHeight="1" x14ac:dyDescent="0.25">
      <c r="B102" s="24" t="s">
        <v>142</v>
      </c>
      <c r="C102" s="49">
        <f>'Avg Week Seeta-Mukono'!C102+'Avg Week Mukono-Seeta'!C102</f>
        <v>43</v>
      </c>
      <c r="D102" s="49">
        <f>'Avg Week Seeta-Mukono'!D102+'Avg Week Mukono-Seeta'!D102</f>
        <v>24.5</v>
      </c>
      <c r="E102" s="49">
        <f>'Avg Week Seeta-Mukono'!E102+'Avg Week Mukono-Seeta'!E102</f>
        <v>8</v>
      </c>
      <c r="F102" s="49">
        <f>'Avg Week Seeta-Mukono'!F102+'Avg Week Mukono-Seeta'!F102</f>
        <v>55</v>
      </c>
      <c r="G102" s="49">
        <f>'Avg Week Seeta-Mukono'!G102+'Avg Week Mukono-Seeta'!G102</f>
        <v>7.5</v>
      </c>
      <c r="H102" s="49">
        <f>'Avg Week Seeta-Mukono'!H102+'Avg Week Mukono-Seeta'!H102</f>
        <v>1</v>
      </c>
      <c r="I102" s="49">
        <f>'Avg Week Seeta-Mukono'!I102+'Avg Week Mukono-Seeta'!I102</f>
        <v>11.5</v>
      </c>
      <c r="J102" s="49">
        <f>'Avg Week Seeta-Mukono'!J102+'Avg Week Mukono-Seeta'!J102</f>
        <v>5</v>
      </c>
      <c r="K102" s="49">
        <f>'Avg Week Seeta-Mukono'!K102+'Avg Week Mukono-Seeta'!K102</f>
        <v>3.5</v>
      </c>
      <c r="L102" s="49">
        <f>'Avg Week Seeta-Mukono'!L102+'Avg Week Mukono-Seeta'!L102</f>
        <v>23</v>
      </c>
      <c r="M102" s="49">
        <f>'Avg Week Seeta-Mukono'!M102+'Avg Week Mukono-Seeta'!M102</f>
        <v>27.5</v>
      </c>
      <c r="N102" s="49">
        <f>'Avg Week Seeta-Mukono'!N102+'Avg Week Mukono-Seeta'!N102</f>
        <v>0</v>
      </c>
      <c r="O102" s="15">
        <f t="shared" si="35"/>
        <v>182</v>
      </c>
      <c r="P102" s="15">
        <f t="shared" si="36"/>
        <v>209.5</v>
      </c>
      <c r="R102" s="8"/>
      <c r="T102"/>
    </row>
    <row r="103" spans="2:20" ht="23.1" customHeight="1" x14ac:dyDescent="0.25">
      <c r="B103" s="23" t="s">
        <v>143</v>
      </c>
      <c r="C103" s="49">
        <f>'Avg Week Seeta-Mukono'!C103+'Avg Week Mukono-Seeta'!C103</f>
        <v>45</v>
      </c>
      <c r="D103" s="49">
        <f>'Avg Week Seeta-Mukono'!D103+'Avg Week Mukono-Seeta'!D103</f>
        <v>23</v>
      </c>
      <c r="E103" s="49">
        <f>'Avg Week Seeta-Mukono'!E103+'Avg Week Mukono-Seeta'!E103</f>
        <v>7.5</v>
      </c>
      <c r="F103" s="49">
        <f>'Avg Week Seeta-Mukono'!F103+'Avg Week Mukono-Seeta'!F103</f>
        <v>54.5</v>
      </c>
      <c r="G103" s="49">
        <f>'Avg Week Seeta-Mukono'!G103+'Avg Week Mukono-Seeta'!G103</f>
        <v>3.5</v>
      </c>
      <c r="H103" s="49">
        <f>'Avg Week Seeta-Mukono'!H103+'Avg Week Mukono-Seeta'!H103</f>
        <v>2</v>
      </c>
      <c r="I103" s="49">
        <f>'Avg Week Seeta-Mukono'!I103+'Avg Week Mukono-Seeta'!I103</f>
        <v>8.5</v>
      </c>
      <c r="J103" s="49">
        <f>'Avg Week Seeta-Mukono'!J103+'Avg Week Mukono-Seeta'!J103</f>
        <v>10.5</v>
      </c>
      <c r="K103" s="49">
        <f>'Avg Week Seeta-Mukono'!K103+'Avg Week Mukono-Seeta'!K103</f>
        <v>3</v>
      </c>
      <c r="L103" s="49">
        <f>'Avg Week Seeta-Mukono'!L103+'Avg Week Mukono-Seeta'!L103</f>
        <v>28.5</v>
      </c>
      <c r="M103" s="49">
        <f>'Avg Week Seeta-Mukono'!M103+'Avg Week Mukono-Seeta'!M103</f>
        <v>48.5</v>
      </c>
      <c r="N103" s="49">
        <f>'Avg Week Seeta-Mukono'!N103+'Avg Week Mukono-Seeta'!N103</f>
        <v>0</v>
      </c>
      <c r="O103" s="15">
        <f t="shared" si="35"/>
        <v>186</v>
      </c>
      <c r="P103" s="15">
        <f t="shared" si="36"/>
        <v>234.5</v>
      </c>
      <c r="R103" s="8"/>
      <c r="T103"/>
    </row>
    <row r="104" spans="2:20" ht="23.1" customHeight="1" x14ac:dyDescent="0.25">
      <c r="B104" s="25" t="s">
        <v>144</v>
      </c>
      <c r="C104" s="49">
        <f>'Avg Week Seeta-Mukono'!C104+'Avg Week Mukono-Seeta'!C104</f>
        <v>47</v>
      </c>
      <c r="D104" s="49">
        <f>'Avg Week Seeta-Mukono'!D104+'Avg Week Mukono-Seeta'!D104</f>
        <v>19.5</v>
      </c>
      <c r="E104" s="49">
        <f>'Avg Week Seeta-Mukono'!E104+'Avg Week Mukono-Seeta'!E104</f>
        <v>13</v>
      </c>
      <c r="F104" s="49">
        <f>'Avg Week Seeta-Mukono'!F104+'Avg Week Mukono-Seeta'!F104</f>
        <v>79</v>
      </c>
      <c r="G104" s="49">
        <f>'Avg Week Seeta-Mukono'!G104+'Avg Week Mukono-Seeta'!G104</f>
        <v>5.5</v>
      </c>
      <c r="H104" s="49">
        <f>'Avg Week Seeta-Mukono'!H104+'Avg Week Mukono-Seeta'!H104</f>
        <v>1.5</v>
      </c>
      <c r="I104" s="49">
        <f>'Avg Week Seeta-Mukono'!I104+'Avg Week Mukono-Seeta'!I104</f>
        <v>18.5</v>
      </c>
      <c r="J104" s="49">
        <f>'Avg Week Seeta-Mukono'!J104+'Avg Week Mukono-Seeta'!J104</f>
        <v>6</v>
      </c>
      <c r="K104" s="49">
        <f>'Avg Week Seeta-Mukono'!K104+'Avg Week Mukono-Seeta'!K104</f>
        <v>15</v>
      </c>
      <c r="L104" s="49">
        <f>'Avg Week Seeta-Mukono'!L104+'Avg Week Mukono-Seeta'!L104</f>
        <v>40</v>
      </c>
      <c r="M104" s="49">
        <f>'Avg Week Seeta-Mukono'!M104+'Avg Week Mukono-Seeta'!M104</f>
        <v>46.5</v>
      </c>
      <c r="N104" s="49">
        <f>'Avg Week Seeta-Mukono'!N104+'Avg Week Mukono-Seeta'!N104</f>
        <v>0</v>
      </c>
      <c r="O104" s="15">
        <f t="shared" si="35"/>
        <v>245</v>
      </c>
      <c r="P104" s="15">
        <f t="shared" si="36"/>
        <v>291.5</v>
      </c>
      <c r="R104" s="8"/>
      <c r="T104"/>
    </row>
    <row r="105" spans="2:20" ht="23.1" customHeight="1" x14ac:dyDescent="0.25">
      <c r="B105" s="23" t="s">
        <v>145</v>
      </c>
      <c r="C105" s="49">
        <f>'Avg Week Seeta-Mukono'!C105+'Avg Week Mukono-Seeta'!C105</f>
        <v>50</v>
      </c>
      <c r="D105" s="49">
        <f>'Avg Week Seeta-Mukono'!D105+'Avg Week Mukono-Seeta'!D105</f>
        <v>24.5</v>
      </c>
      <c r="E105" s="49">
        <f>'Avg Week Seeta-Mukono'!E105+'Avg Week Mukono-Seeta'!E105</f>
        <v>16</v>
      </c>
      <c r="F105" s="49">
        <f>'Avg Week Seeta-Mukono'!F105+'Avg Week Mukono-Seeta'!F105</f>
        <v>87.5</v>
      </c>
      <c r="G105" s="49">
        <f>'Avg Week Seeta-Mukono'!G105+'Avg Week Mukono-Seeta'!G105</f>
        <v>3</v>
      </c>
      <c r="H105" s="49">
        <f>'Avg Week Seeta-Mukono'!H105+'Avg Week Mukono-Seeta'!H105</f>
        <v>1</v>
      </c>
      <c r="I105" s="49">
        <f>'Avg Week Seeta-Mukono'!I105+'Avg Week Mukono-Seeta'!I105</f>
        <v>10.5</v>
      </c>
      <c r="J105" s="49">
        <f>'Avg Week Seeta-Mukono'!J105+'Avg Week Mukono-Seeta'!J105</f>
        <v>4.5</v>
      </c>
      <c r="K105" s="49">
        <f>'Avg Week Seeta-Mukono'!K105+'Avg Week Mukono-Seeta'!K105</f>
        <v>7.5</v>
      </c>
      <c r="L105" s="49">
        <f>'Avg Week Seeta-Mukono'!L105+'Avg Week Mukono-Seeta'!L105</f>
        <v>58</v>
      </c>
      <c r="M105" s="49">
        <f>'Avg Week Seeta-Mukono'!M105+'Avg Week Mukono-Seeta'!M105</f>
        <v>59</v>
      </c>
      <c r="N105" s="49">
        <f>'Avg Week Seeta-Mukono'!N105+'Avg Week Mukono-Seeta'!N105</f>
        <v>0</v>
      </c>
      <c r="O105" s="15">
        <f>SUM(C105:L105,N105)</f>
        <v>262.5</v>
      </c>
      <c r="P105" s="15">
        <f>SUM(C105:N105)</f>
        <v>321.5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5833.0714285714284</v>
      </c>
      <c r="D106" s="16">
        <f t="shared" ref="D106:P106" si="37">SUM(D10:D105)</f>
        <v>1791.5</v>
      </c>
      <c r="E106" s="16">
        <f t="shared" si="37"/>
        <v>1105.0714285714284</v>
      </c>
      <c r="F106" s="16">
        <f t="shared" si="37"/>
        <v>6237.4285714285716</v>
      </c>
      <c r="G106" s="16">
        <f t="shared" si="37"/>
        <v>411.71428571428578</v>
      </c>
      <c r="H106" s="16">
        <f t="shared" si="37"/>
        <v>180.57142857142856</v>
      </c>
      <c r="I106" s="16">
        <f t="shared" si="37"/>
        <v>1505.4999999999998</v>
      </c>
      <c r="J106" s="16">
        <f t="shared" si="37"/>
        <v>996.71428571428578</v>
      </c>
      <c r="K106" s="16">
        <f t="shared" si="37"/>
        <v>572.57142857142867</v>
      </c>
      <c r="L106" s="16">
        <f t="shared" si="37"/>
        <v>1975.3571428571427</v>
      </c>
      <c r="M106" s="16">
        <f t="shared" si="37"/>
        <v>14655.071428571426</v>
      </c>
      <c r="N106" s="16">
        <f t="shared" si="37"/>
        <v>17.785714285714281</v>
      </c>
      <c r="O106" s="16">
        <f t="shared" si="37"/>
        <v>20627.285714285717</v>
      </c>
      <c r="P106" s="16">
        <f t="shared" si="37"/>
        <v>35282.357142857145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0.1653254459432375</v>
      </c>
      <c r="D107" s="43">
        <f t="shared" si="38"/>
        <v>5.0776085983889149E-2</v>
      </c>
      <c r="E107" s="43">
        <f t="shared" si="38"/>
        <v>3.1320793678750805E-2</v>
      </c>
      <c r="F107" s="43">
        <f t="shared" si="38"/>
        <v>0.17678605049468268</v>
      </c>
      <c r="G107" s="43">
        <f t="shared" si="38"/>
        <v>1.1669126414861335E-2</v>
      </c>
      <c r="H107" s="43">
        <f t="shared" si="38"/>
        <v>5.1178958321945606E-3</v>
      </c>
      <c r="I107" s="43">
        <f t="shared" si="38"/>
        <v>4.2670051604099979E-2</v>
      </c>
      <c r="J107" s="43">
        <f t="shared" si="38"/>
        <v>2.824965128261191E-2</v>
      </c>
      <c r="K107" s="43">
        <f t="shared" si="38"/>
        <v>1.6228264632465034E-2</v>
      </c>
      <c r="L107" s="43">
        <f t="shared" si="38"/>
        <v>5.5987108085182181E-2</v>
      </c>
      <c r="M107" s="43">
        <f t="shared" si="38"/>
        <v>0.41536542950442645</v>
      </c>
      <c r="N107" s="43">
        <f t="shared" si="38"/>
        <v>5.0409654359827739E-4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0.28278424555547088</v>
      </c>
      <c r="D108" s="44">
        <f t="shared" ref="D108:N108" si="39">D106/$O$106</f>
        <v>8.6850981016822371E-2</v>
      </c>
      <c r="E108" s="44">
        <f t="shared" si="39"/>
        <v>5.3573283653413288E-2</v>
      </c>
      <c r="F108" s="44">
        <f t="shared" si="39"/>
        <v>0.30238726790450926</v>
      </c>
      <c r="G108" s="44">
        <f t="shared" si="39"/>
        <v>1.9959692778635789E-2</v>
      </c>
      <c r="H108" s="44">
        <f t="shared" si="39"/>
        <v>8.754008213808338E-3</v>
      </c>
      <c r="I108" s="44">
        <f t="shared" si="39"/>
        <v>7.2985850918686049E-2</v>
      </c>
      <c r="J108" s="44">
        <f t="shared" si="39"/>
        <v>4.8320186161187328E-2</v>
      </c>
      <c r="K108" s="44">
        <f t="shared" si="39"/>
        <v>2.7757962753911257E-2</v>
      </c>
      <c r="L108" s="44">
        <f t="shared" si="39"/>
        <v>9.5764278937052846E-2</v>
      </c>
      <c r="M108" s="44"/>
      <c r="N108" s="44">
        <f t="shared" si="39"/>
        <v>8.6224210650248244E-4</v>
      </c>
      <c r="Q108" s="7"/>
      <c r="R108" s="8"/>
      <c r="T108"/>
    </row>
    <row r="109" spans="2:20" ht="20.10000000000000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0.10000000000000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0.10000000000000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0.10000000000000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0.10000000000000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0.10000000000000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0.10000000000000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0.10000000000000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0.10000000000000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0.10000000000000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0.10000000000000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0.10000000000000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0.10000000000000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0.10000000000000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0.10000000000000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0.10000000000000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0.10000000000000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0.10000000000000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0.10000000000000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0.10000000000000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0.10000000000000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0.10000000000000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0.10000000000000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0.10000000000000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0.10000000000000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0.10000000000000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0.10000000000000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0.10000000000000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0.10000000000000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2.5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0.10000000000000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0.10000000000000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0.10000000000000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0.10000000000000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0.10000000000000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0.10000000000000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0.10000000000000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0.10000000000000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0.10000000000000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0.10000000000000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0.10000000000000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0.10000000000000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0.10000000000000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0.10000000000000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0.10000000000000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0.10000000000000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0.10000000000000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0.10000000000000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0.10000000000000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0.10000000000000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0.10000000000000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0.10000000000000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10">
    <mergeCell ref="B1:AE1"/>
    <mergeCell ref="B2:AE2"/>
    <mergeCell ref="C3:G3"/>
    <mergeCell ref="G5:H5"/>
    <mergeCell ref="G6:H6"/>
    <mergeCell ref="R8:AF8"/>
    <mergeCell ref="D6:E6"/>
    <mergeCell ref="K5:L5"/>
    <mergeCell ref="K6:L6"/>
    <mergeCell ref="D5:E5"/>
  </mergeCells>
  <pageMargins left="0" right="0" top="0" bottom="0" header="0.15748031496063" footer="0.118110236220472"/>
  <pageSetup paperSize="9" scale="21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17</vt:i4>
      </vt:variant>
      <vt:variant>
        <vt:lpstr>Named Ranges</vt:lpstr>
      </vt:variant>
      <vt:variant>
        <vt:i4>34</vt:i4>
      </vt:variant>
    </vt:vector>
  </HeadingPairs>
  <TitlesOfParts>
    <vt:vector size="51" baseType="lpstr">
      <vt:lpstr>23.09 Seeta-Mukono</vt:lpstr>
      <vt:lpstr>23.09 Mukono-Seeta</vt:lpstr>
      <vt:lpstr>24.09 Seeta-Mukono</vt:lpstr>
      <vt:lpstr>24.09 Mukono-Seeta</vt:lpstr>
      <vt:lpstr>25.09 Seeta-Mukono</vt:lpstr>
      <vt:lpstr>25.09 Mukono-Seeta</vt:lpstr>
      <vt:lpstr>26.09 Seeta-Mukono-24h</vt:lpstr>
      <vt:lpstr>26.09 Mukono-Seeta-24h</vt:lpstr>
      <vt:lpstr>27.09 Seeta-Mukono</vt:lpstr>
      <vt:lpstr>27.09 Mukono-Seeta</vt:lpstr>
      <vt:lpstr>28.09 Seeta-Mukono-24h</vt:lpstr>
      <vt:lpstr>28.09 Mukono-Seeta-24h</vt:lpstr>
      <vt:lpstr>29.09 Seeta-Mukono</vt:lpstr>
      <vt:lpstr>29.09 Mukono-Seeta</vt:lpstr>
      <vt:lpstr>Avg Week Seeta-Mukono</vt:lpstr>
      <vt:lpstr>Avg Week Mukono-Seeta</vt:lpstr>
      <vt:lpstr>Avg Week Seeta-Mukono-2Dir</vt:lpstr>
      <vt:lpstr>'23.09 Mukono-Seeta'!Print_Area</vt:lpstr>
      <vt:lpstr>'23.09 Seeta-Mukono'!Print_Area</vt:lpstr>
      <vt:lpstr>'24.09 Mukono-Seeta'!Print_Area</vt:lpstr>
      <vt:lpstr>'24.09 Seeta-Mukono'!Print_Area</vt:lpstr>
      <vt:lpstr>'25.09 Mukono-Seeta'!Print_Area</vt:lpstr>
      <vt:lpstr>'25.09 Seeta-Mukono'!Print_Area</vt:lpstr>
      <vt:lpstr>'26.09 Mukono-Seeta-24h'!Print_Area</vt:lpstr>
      <vt:lpstr>'26.09 Seeta-Mukono-24h'!Print_Area</vt:lpstr>
      <vt:lpstr>'27.09 Mukono-Seeta'!Print_Area</vt:lpstr>
      <vt:lpstr>'27.09 Seeta-Mukono'!Print_Area</vt:lpstr>
      <vt:lpstr>'28.09 Mukono-Seeta-24h'!Print_Area</vt:lpstr>
      <vt:lpstr>'28.09 Seeta-Mukono-24h'!Print_Area</vt:lpstr>
      <vt:lpstr>'29.09 Mukono-Seeta'!Print_Area</vt:lpstr>
      <vt:lpstr>'29.09 Seeta-Mukono'!Print_Area</vt:lpstr>
      <vt:lpstr>'Avg Week Mukono-Seeta'!Print_Area</vt:lpstr>
      <vt:lpstr>'Avg Week Seeta-Mukono'!Print_Area</vt:lpstr>
      <vt:lpstr>'Avg Week Seeta-Mukono-2Dir'!Print_Area</vt:lpstr>
      <vt:lpstr>'23.09 Mukono-Seeta'!Print_Titles</vt:lpstr>
      <vt:lpstr>'23.09 Seeta-Mukono'!Print_Titles</vt:lpstr>
      <vt:lpstr>'24.09 Mukono-Seeta'!Print_Titles</vt:lpstr>
      <vt:lpstr>'24.09 Seeta-Mukono'!Print_Titles</vt:lpstr>
      <vt:lpstr>'25.09 Mukono-Seeta'!Print_Titles</vt:lpstr>
      <vt:lpstr>'25.09 Seeta-Mukono'!Print_Titles</vt:lpstr>
      <vt:lpstr>'26.09 Mukono-Seeta-24h'!Print_Titles</vt:lpstr>
      <vt:lpstr>'26.09 Seeta-Mukono-24h'!Print_Titles</vt:lpstr>
      <vt:lpstr>'27.09 Mukono-Seeta'!Print_Titles</vt:lpstr>
      <vt:lpstr>'27.09 Seeta-Mukono'!Print_Titles</vt:lpstr>
      <vt:lpstr>'28.09 Mukono-Seeta-24h'!Print_Titles</vt:lpstr>
      <vt:lpstr>'28.09 Seeta-Mukono-24h'!Print_Titles</vt:lpstr>
      <vt:lpstr>'29.09 Mukono-Seeta'!Print_Titles</vt:lpstr>
      <vt:lpstr>'29.09 Seeta-Mukono'!Print_Titles</vt:lpstr>
      <vt:lpstr>'Avg Week Mukono-Seeta'!Print_Titles</vt:lpstr>
      <vt:lpstr>'Avg Week Seeta-Mukono'!Print_Titles</vt:lpstr>
      <vt:lpstr>'Avg Week Seeta-Mukono-2Dir'!Print_Titles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steward consultancy</dc:creator>
  <cp:lastModifiedBy>CLINT</cp:lastModifiedBy>
  <cp:lastPrinted>2019-07-25T18:18:41Z</cp:lastPrinted>
  <dcterms:created xsi:type="dcterms:W3CDTF">2010-07-06T07:39:49Z</dcterms:created>
  <dcterms:modified xsi:type="dcterms:W3CDTF">2020-01-16T12:04:13Z</dcterms:modified>
</cp:coreProperties>
</file>