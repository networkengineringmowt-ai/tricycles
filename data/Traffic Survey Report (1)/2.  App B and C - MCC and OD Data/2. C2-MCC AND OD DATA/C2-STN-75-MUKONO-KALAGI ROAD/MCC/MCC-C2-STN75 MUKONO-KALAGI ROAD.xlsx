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6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drawings/drawing17.xml" ContentType="application/vnd.openxmlformats-officedocument.drawing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-75-MUKONO-KALAGI ROAD\MCC\"/>
    </mc:Choice>
  </mc:AlternateContent>
  <xr:revisionPtr revIDLastSave="0" documentId="13_ncr:1_{2AEF1497-DFD2-4BB6-BC51-7F8DC2B33AAD}" xr6:coauthVersionLast="45" xr6:coauthVersionMax="45" xr10:uidLastSave="{00000000-0000-0000-0000-000000000000}"/>
  <bookViews>
    <workbookView xWindow="-120" yWindow="-120" windowWidth="20730" windowHeight="11160" tabRatio="908" firstSheet="14" activeTab="16" xr2:uid="{00000000-000D-0000-FFFF-FFFF00000000}"/>
  </bookViews>
  <sheets>
    <sheet name="29.10 MUKONO-KALAGI" sheetId="93" r:id="rId1"/>
    <sheet name="29.10 KALAGI-MUKONO" sheetId="94" r:id="rId2"/>
    <sheet name="30.10 MUKONO-KALAGI" sheetId="95" r:id="rId3"/>
    <sheet name="30.10-KALAGI-MUKONO" sheetId="96" r:id="rId4"/>
    <sheet name="31.10 MUKONO-KALAGI-24h" sheetId="101" r:id="rId5"/>
    <sheet name="31.10 KALAGI-MUKONO-24h" sheetId="109" r:id="rId6"/>
    <sheet name="1.11 MUKONO-KALAGI" sheetId="97" r:id="rId7"/>
    <sheet name="1.11 KALAGI-MUKONO" sheetId="98" r:id="rId8"/>
    <sheet name="2.11 MUKONO-KALAGI-24h" sheetId="105" r:id="rId9"/>
    <sheet name="2.11 KALAGI-MUKONO-24h" sheetId="110" r:id="rId10"/>
    <sheet name="3.11 MUKONO-KALAGI" sheetId="99" r:id="rId11"/>
    <sheet name="3.11 KALAGI-MUKONO" sheetId="100" r:id="rId12"/>
    <sheet name="4.11 MUKONO-KALAGI" sheetId="103" r:id="rId13"/>
    <sheet name="4.11 KALAGI-MUKONO" sheetId="104" r:id="rId14"/>
    <sheet name="Avg Week MUKONO-KALAGI" sheetId="107" r:id="rId15"/>
    <sheet name="Avg Week KALAGI-MUKONO" sheetId="108" r:id="rId16"/>
    <sheet name="Avg Week MUKONO-KALAGI-2Dir" sheetId="111" r:id="rId17"/>
  </sheets>
  <definedNames>
    <definedName name="_xlnm.Print_Area" localSheetId="7">'1.11 KALAGI-MUKONO'!$A$1:$AF$60</definedName>
    <definedName name="_xlnm.Print_Area" localSheetId="6">'1.11 MUKONO-KALAGI'!$A$1:$AF$60</definedName>
    <definedName name="_xlnm.Print_Area" localSheetId="9">'2.11 KALAGI-MUKONO-24h'!$A$1:$AF$108</definedName>
    <definedName name="_xlnm.Print_Area" localSheetId="8">'2.11 MUKONO-KALAGI-24h'!$A$1:$AF$108</definedName>
    <definedName name="_xlnm.Print_Area" localSheetId="1">'29.10 KALAGI-MUKONO'!$A$1:$AF$60</definedName>
    <definedName name="_xlnm.Print_Area" localSheetId="0">'29.10 MUKONO-KALAGI'!$A$1:$AF$60</definedName>
    <definedName name="_xlnm.Print_Area" localSheetId="11">'3.11 KALAGI-MUKONO'!$A$1:$AF$60</definedName>
    <definedName name="_xlnm.Print_Area" localSheetId="10">'3.11 MUKONO-KALAGI'!$A$1:$AF$60</definedName>
    <definedName name="_xlnm.Print_Area" localSheetId="2">'30.10 MUKONO-KALAGI'!$A$1:$AF$60</definedName>
    <definedName name="_xlnm.Print_Area" localSheetId="3">'30.10-KALAGI-MUKONO'!$A$1:$AF$60</definedName>
    <definedName name="_xlnm.Print_Area" localSheetId="5">'31.10 KALAGI-MUKONO-24h'!$A$1:$AF$108</definedName>
    <definedName name="_xlnm.Print_Area" localSheetId="4">'31.10 MUKONO-KALAGI-24h'!$A$1:$AF$108</definedName>
    <definedName name="_xlnm.Print_Area" localSheetId="13">'4.11 KALAGI-MUKONO'!$A$1:$AF$60</definedName>
    <definedName name="_xlnm.Print_Area" localSheetId="12">'4.11 MUKONO-KALAGI'!$A$1:$AF$60</definedName>
    <definedName name="_xlnm.Print_Area" localSheetId="15">'Avg Week KALAGI-MUKONO'!$A$1:$AF$108</definedName>
    <definedName name="_xlnm.Print_Area" localSheetId="14">'Avg Week MUKONO-KALAGI'!$A$1:$AF$108</definedName>
    <definedName name="_xlnm.Print_Area" localSheetId="16">'Avg Week MUKONO-KALAGI-2Dir'!$A$1:$AF$108</definedName>
    <definedName name="_xlnm.Print_Titles" localSheetId="7">'1.11 KALAGI-MUKONO'!$1:$8</definedName>
    <definedName name="_xlnm.Print_Titles" localSheetId="6">'1.11 MUKONO-KALAGI'!$1:$8</definedName>
    <definedName name="_xlnm.Print_Titles" localSheetId="9">'2.11 KALAGI-MUKONO-24h'!$1:$8</definedName>
    <definedName name="_xlnm.Print_Titles" localSheetId="8">'2.11 MUKONO-KALAGI-24h'!$1:$8</definedName>
    <definedName name="_xlnm.Print_Titles" localSheetId="1">'29.10 KALAGI-MUKONO'!$1:$8</definedName>
    <definedName name="_xlnm.Print_Titles" localSheetId="0">'29.10 MUKONO-KALAGI'!$1:$8</definedName>
    <definedName name="_xlnm.Print_Titles" localSheetId="11">'3.11 KALAGI-MUKONO'!$1:$8</definedName>
    <definedName name="_xlnm.Print_Titles" localSheetId="10">'3.11 MUKONO-KALAGI'!$1:$8</definedName>
    <definedName name="_xlnm.Print_Titles" localSheetId="2">'30.10 MUKONO-KALAGI'!$1:$8</definedName>
    <definedName name="_xlnm.Print_Titles" localSheetId="3">'30.10-KALAGI-MUKONO'!$1:$8</definedName>
    <definedName name="_xlnm.Print_Titles" localSheetId="5">'31.10 KALAGI-MUKONO-24h'!$1:$8</definedName>
    <definedName name="_xlnm.Print_Titles" localSheetId="4">'31.10 MUKONO-KALAGI-24h'!$1:$8</definedName>
    <definedName name="_xlnm.Print_Titles" localSheetId="13">'4.11 KALAGI-MUKONO'!$1:$8</definedName>
    <definedName name="_xlnm.Print_Titles" localSheetId="12">'4.11 MUKONO-KALAGI'!$1:$8</definedName>
    <definedName name="_xlnm.Print_Titles" localSheetId="15">'Avg Week KALAGI-MUKONO'!$1:$8</definedName>
    <definedName name="_xlnm.Print_Titles" localSheetId="14">'Avg Week MUKONO-KALAGI'!$1:$8</definedName>
    <definedName name="_xlnm.Print_Titles" localSheetId="16">'Avg Week MUKONO-KALAGI-2Dir'!$1:$8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33" i="108" l="1"/>
  <c r="AB26" i="108"/>
  <c r="X24" i="108"/>
  <c r="Y22" i="111"/>
  <c r="O105" i="107"/>
  <c r="P97" i="107"/>
  <c r="O87" i="107"/>
  <c r="P81" i="107"/>
  <c r="P68" i="107"/>
  <c r="P64" i="107"/>
  <c r="P100" i="108"/>
  <c r="P96" i="108"/>
  <c r="O85" i="108"/>
  <c r="P84" i="108"/>
  <c r="O77" i="108"/>
  <c r="P76" i="108"/>
  <c r="O69" i="108"/>
  <c r="P68" i="108"/>
  <c r="O61" i="108"/>
  <c r="P60" i="108"/>
  <c r="I58" i="111"/>
  <c r="K58" i="111"/>
  <c r="I59" i="111"/>
  <c r="J59" i="111"/>
  <c r="E60" i="111"/>
  <c r="I60" i="111"/>
  <c r="J60" i="111"/>
  <c r="H61" i="111"/>
  <c r="J61" i="111"/>
  <c r="H62" i="111"/>
  <c r="I62" i="111"/>
  <c r="D63" i="111"/>
  <c r="G63" i="111"/>
  <c r="H63" i="111"/>
  <c r="K63" i="111"/>
  <c r="L63" i="111"/>
  <c r="D64" i="111"/>
  <c r="E64" i="111"/>
  <c r="H64" i="111"/>
  <c r="I64" i="111"/>
  <c r="L64" i="111"/>
  <c r="M64" i="111"/>
  <c r="E65" i="111"/>
  <c r="F65" i="111"/>
  <c r="I65" i="111"/>
  <c r="J65" i="111"/>
  <c r="M65" i="111"/>
  <c r="N65" i="111"/>
  <c r="F66" i="111"/>
  <c r="G66" i="111"/>
  <c r="J66" i="111"/>
  <c r="K66" i="111"/>
  <c r="N66" i="111"/>
  <c r="D67" i="111"/>
  <c r="G67" i="111"/>
  <c r="H67" i="111"/>
  <c r="K67" i="111"/>
  <c r="L67" i="111"/>
  <c r="D68" i="111"/>
  <c r="E68" i="111"/>
  <c r="H68" i="111"/>
  <c r="I68" i="111"/>
  <c r="L68" i="111"/>
  <c r="M68" i="111"/>
  <c r="E69" i="111"/>
  <c r="F69" i="111"/>
  <c r="I69" i="111"/>
  <c r="J69" i="111"/>
  <c r="M69" i="111"/>
  <c r="N69" i="111"/>
  <c r="F70" i="111"/>
  <c r="G70" i="111"/>
  <c r="J70" i="111"/>
  <c r="K70" i="111"/>
  <c r="N70" i="111"/>
  <c r="D71" i="111"/>
  <c r="G71" i="111"/>
  <c r="H71" i="111"/>
  <c r="K71" i="111"/>
  <c r="L71" i="111"/>
  <c r="D72" i="111"/>
  <c r="E72" i="111"/>
  <c r="H72" i="111"/>
  <c r="I72" i="111"/>
  <c r="L72" i="111"/>
  <c r="M72" i="111"/>
  <c r="E73" i="111"/>
  <c r="F73" i="111"/>
  <c r="I73" i="111"/>
  <c r="J73" i="111"/>
  <c r="M73" i="111"/>
  <c r="N73" i="111"/>
  <c r="F74" i="111"/>
  <c r="G74" i="111"/>
  <c r="J74" i="111"/>
  <c r="K74" i="111"/>
  <c r="N74" i="111"/>
  <c r="D75" i="111"/>
  <c r="G75" i="111"/>
  <c r="H75" i="111"/>
  <c r="K75" i="111"/>
  <c r="L75" i="111"/>
  <c r="D76" i="111"/>
  <c r="E76" i="111"/>
  <c r="H76" i="111"/>
  <c r="I76" i="111"/>
  <c r="L76" i="111"/>
  <c r="M76" i="111"/>
  <c r="E77" i="111"/>
  <c r="F77" i="111"/>
  <c r="I77" i="111"/>
  <c r="J77" i="111"/>
  <c r="M77" i="111"/>
  <c r="N77" i="111"/>
  <c r="F78" i="111"/>
  <c r="G78" i="111"/>
  <c r="J78" i="111"/>
  <c r="K78" i="111"/>
  <c r="N78" i="111"/>
  <c r="D79" i="111"/>
  <c r="G79" i="111"/>
  <c r="H79" i="111"/>
  <c r="K79" i="111"/>
  <c r="L79" i="111"/>
  <c r="D80" i="111"/>
  <c r="E80" i="111"/>
  <c r="H80" i="111"/>
  <c r="I80" i="111"/>
  <c r="L80" i="111"/>
  <c r="M80" i="111"/>
  <c r="E81" i="111"/>
  <c r="F81" i="111"/>
  <c r="I81" i="111"/>
  <c r="J81" i="111"/>
  <c r="M81" i="111"/>
  <c r="N81" i="111"/>
  <c r="F82" i="111"/>
  <c r="G82" i="111"/>
  <c r="J82" i="111"/>
  <c r="K82" i="111"/>
  <c r="N82" i="111"/>
  <c r="D83" i="111"/>
  <c r="G83" i="111"/>
  <c r="H83" i="111"/>
  <c r="K83" i="111"/>
  <c r="L83" i="111"/>
  <c r="D84" i="111"/>
  <c r="E84" i="111"/>
  <c r="H84" i="111"/>
  <c r="I84" i="111"/>
  <c r="L84" i="111"/>
  <c r="M84" i="111"/>
  <c r="E85" i="111"/>
  <c r="F85" i="111"/>
  <c r="I85" i="111"/>
  <c r="J85" i="111"/>
  <c r="M85" i="111"/>
  <c r="N85" i="111"/>
  <c r="F86" i="111"/>
  <c r="G86" i="111"/>
  <c r="J86" i="111"/>
  <c r="K86" i="111"/>
  <c r="N86" i="111"/>
  <c r="D87" i="111"/>
  <c r="G87" i="111"/>
  <c r="H87" i="111"/>
  <c r="K87" i="111"/>
  <c r="L87" i="111"/>
  <c r="D88" i="111"/>
  <c r="E88" i="111"/>
  <c r="H88" i="111"/>
  <c r="I88" i="111"/>
  <c r="L88" i="111"/>
  <c r="M88" i="111"/>
  <c r="E89" i="111"/>
  <c r="F89" i="111"/>
  <c r="I89" i="111"/>
  <c r="J89" i="111"/>
  <c r="M89" i="111"/>
  <c r="N89" i="111"/>
  <c r="F90" i="111"/>
  <c r="G90" i="111"/>
  <c r="J90" i="111"/>
  <c r="K90" i="111"/>
  <c r="N90" i="111"/>
  <c r="D91" i="111"/>
  <c r="G91" i="111"/>
  <c r="H91" i="111"/>
  <c r="K91" i="111"/>
  <c r="L91" i="111"/>
  <c r="D92" i="111"/>
  <c r="E92" i="111"/>
  <c r="H92" i="111"/>
  <c r="I92" i="111"/>
  <c r="L92" i="111"/>
  <c r="M92" i="111"/>
  <c r="E93" i="111"/>
  <c r="F93" i="111"/>
  <c r="I93" i="111"/>
  <c r="J93" i="111"/>
  <c r="M93" i="111"/>
  <c r="N93" i="111"/>
  <c r="F94" i="111"/>
  <c r="G94" i="111"/>
  <c r="J94" i="111"/>
  <c r="K94" i="111"/>
  <c r="N94" i="111"/>
  <c r="D95" i="111"/>
  <c r="G95" i="111"/>
  <c r="H95" i="111"/>
  <c r="K95" i="111"/>
  <c r="L95" i="111"/>
  <c r="D96" i="111"/>
  <c r="E96" i="111"/>
  <c r="H96" i="111"/>
  <c r="I96" i="111"/>
  <c r="L96" i="111"/>
  <c r="M96" i="111"/>
  <c r="E97" i="111"/>
  <c r="F97" i="111"/>
  <c r="I97" i="111"/>
  <c r="J97" i="111"/>
  <c r="M97" i="111"/>
  <c r="N97" i="111"/>
  <c r="F98" i="111"/>
  <c r="G98" i="111"/>
  <c r="J98" i="111"/>
  <c r="K98" i="111"/>
  <c r="N98" i="111"/>
  <c r="D99" i="111"/>
  <c r="G99" i="111"/>
  <c r="H99" i="111"/>
  <c r="K99" i="111"/>
  <c r="L99" i="111"/>
  <c r="D100" i="111"/>
  <c r="E100" i="111"/>
  <c r="H100" i="111"/>
  <c r="I100" i="111"/>
  <c r="L100" i="111"/>
  <c r="M100" i="111"/>
  <c r="E101" i="111"/>
  <c r="F101" i="111"/>
  <c r="I101" i="111"/>
  <c r="J101" i="111"/>
  <c r="M101" i="111"/>
  <c r="N101" i="111"/>
  <c r="F102" i="111"/>
  <c r="G102" i="111"/>
  <c r="J102" i="111"/>
  <c r="K102" i="111"/>
  <c r="N102" i="111"/>
  <c r="D103" i="111"/>
  <c r="G103" i="111"/>
  <c r="H103" i="111"/>
  <c r="K103" i="111"/>
  <c r="L103" i="111"/>
  <c r="D104" i="111"/>
  <c r="E104" i="111"/>
  <c r="H104" i="111"/>
  <c r="I104" i="111"/>
  <c r="L104" i="111"/>
  <c r="M104" i="111"/>
  <c r="E105" i="111"/>
  <c r="F105" i="111"/>
  <c r="I105" i="111"/>
  <c r="J105" i="111"/>
  <c r="M105" i="111"/>
  <c r="N105" i="111"/>
  <c r="C61" i="111"/>
  <c r="C62" i="111"/>
  <c r="C65" i="111"/>
  <c r="C66" i="111"/>
  <c r="C69" i="111"/>
  <c r="C70" i="111"/>
  <c r="C73" i="111"/>
  <c r="C74" i="111"/>
  <c r="C77" i="111"/>
  <c r="C78" i="111"/>
  <c r="C81" i="111"/>
  <c r="C82" i="111"/>
  <c r="C85" i="111"/>
  <c r="C86" i="111"/>
  <c r="C89" i="111"/>
  <c r="C90" i="111"/>
  <c r="C93" i="111"/>
  <c r="C94" i="111"/>
  <c r="C97" i="111"/>
  <c r="C98" i="111"/>
  <c r="C101" i="111"/>
  <c r="C102" i="111"/>
  <c r="C105" i="111"/>
  <c r="D58" i="108"/>
  <c r="T22" i="108" s="1"/>
  <c r="E58" i="108"/>
  <c r="F58" i="108"/>
  <c r="G58" i="108"/>
  <c r="H58" i="108"/>
  <c r="X22" i="108" s="1"/>
  <c r="I58" i="108"/>
  <c r="J58" i="108"/>
  <c r="K58" i="108"/>
  <c r="L58" i="108"/>
  <c r="AB22" i="108" s="1"/>
  <c r="M58" i="108"/>
  <c r="N58" i="108"/>
  <c r="D59" i="108"/>
  <c r="D59" i="111" s="1"/>
  <c r="E59" i="108"/>
  <c r="U22" i="108" s="1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N61" i="111" s="1"/>
  <c r="D62" i="108"/>
  <c r="T23" i="108" s="1"/>
  <c r="E62" i="108"/>
  <c r="F62" i="108"/>
  <c r="V23" i="108" s="1"/>
  <c r="G62" i="108"/>
  <c r="H62" i="108"/>
  <c r="X23" i="108" s="1"/>
  <c r="I62" i="108"/>
  <c r="J62" i="108"/>
  <c r="K62" i="108"/>
  <c r="L62" i="108"/>
  <c r="AB23" i="108" s="1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P64" i="108" s="1"/>
  <c r="G64" i="108"/>
  <c r="H64" i="108"/>
  <c r="I64" i="108"/>
  <c r="J64" i="108"/>
  <c r="K64" i="108"/>
  <c r="L64" i="108"/>
  <c r="M64" i="108"/>
  <c r="N64" i="108"/>
  <c r="D65" i="108"/>
  <c r="E65" i="108"/>
  <c r="F65" i="108"/>
  <c r="O65" i="108" s="1"/>
  <c r="G65" i="108"/>
  <c r="H65" i="108"/>
  <c r="I65" i="108"/>
  <c r="J65" i="108"/>
  <c r="K65" i="108"/>
  <c r="L65" i="108"/>
  <c r="M65" i="108"/>
  <c r="N65" i="108"/>
  <c r="D66" i="108"/>
  <c r="T24" i="108" s="1"/>
  <c r="E66" i="108"/>
  <c r="F66" i="108"/>
  <c r="G66" i="108"/>
  <c r="H66" i="108"/>
  <c r="I66" i="108"/>
  <c r="J66" i="108"/>
  <c r="K66" i="108"/>
  <c r="L66" i="108"/>
  <c r="AB24" i="108" s="1"/>
  <c r="M66" i="108"/>
  <c r="N66" i="108"/>
  <c r="D67" i="108"/>
  <c r="E67" i="108"/>
  <c r="F67" i="108"/>
  <c r="G67" i="108"/>
  <c r="H67" i="108"/>
  <c r="I67" i="108"/>
  <c r="Y24" i="108" s="1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T25" i="108" s="1"/>
  <c r="E70" i="108"/>
  <c r="F70" i="108"/>
  <c r="G70" i="108"/>
  <c r="H70" i="108"/>
  <c r="X25" i="108" s="1"/>
  <c r="I70" i="108"/>
  <c r="J70" i="108"/>
  <c r="Z25" i="108" s="1"/>
  <c r="K70" i="108"/>
  <c r="L70" i="108"/>
  <c r="AB25" i="108" s="1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P72" i="108" s="1"/>
  <c r="G72" i="108"/>
  <c r="H72" i="108"/>
  <c r="I72" i="108"/>
  <c r="J72" i="108"/>
  <c r="K72" i="108"/>
  <c r="L72" i="108"/>
  <c r="M72" i="108"/>
  <c r="N72" i="108"/>
  <c r="D73" i="108"/>
  <c r="E73" i="108"/>
  <c r="F73" i="108"/>
  <c r="O73" i="108" s="1"/>
  <c r="G73" i="108"/>
  <c r="H73" i="108"/>
  <c r="I73" i="108"/>
  <c r="J73" i="108"/>
  <c r="K73" i="108"/>
  <c r="L73" i="108"/>
  <c r="M73" i="108"/>
  <c r="N73" i="108"/>
  <c r="D74" i="108"/>
  <c r="T26" i="108" s="1"/>
  <c r="E74" i="108"/>
  <c r="F74" i="108"/>
  <c r="G74" i="108"/>
  <c r="H74" i="108"/>
  <c r="X26" i="108" s="1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AC26" i="108" s="1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T27" i="108" s="1"/>
  <c r="E78" i="108"/>
  <c r="F78" i="108"/>
  <c r="G78" i="108"/>
  <c r="H78" i="108"/>
  <c r="X27" i="108" s="1"/>
  <c r="I78" i="108"/>
  <c r="J78" i="108"/>
  <c r="K78" i="108"/>
  <c r="L78" i="108"/>
  <c r="AB27" i="108" s="1"/>
  <c r="M78" i="108"/>
  <c r="N78" i="108"/>
  <c r="AD27" i="108" s="1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P80" i="108" s="1"/>
  <c r="G80" i="108"/>
  <c r="H80" i="108"/>
  <c r="I80" i="108"/>
  <c r="J80" i="108"/>
  <c r="K80" i="108"/>
  <c r="L80" i="108"/>
  <c r="M80" i="108"/>
  <c r="N80" i="108"/>
  <c r="D81" i="108"/>
  <c r="E81" i="108"/>
  <c r="F81" i="108"/>
  <c r="O81" i="108" s="1"/>
  <c r="G81" i="108"/>
  <c r="H81" i="108"/>
  <c r="I81" i="108"/>
  <c r="J81" i="108"/>
  <c r="K81" i="108"/>
  <c r="L81" i="108"/>
  <c r="M81" i="108"/>
  <c r="N81" i="108"/>
  <c r="D82" i="108"/>
  <c r="T28" i="108" s="1"/>
  <c r="E82" i="108"/>
  <c r="F82" i="108"/>
  <c r="G82" i="108"/>
  <c r="H82" i="108"/>
  <c r="X28" i="108" s="1"/>
  <c r="I82" i="108"/>
  <c r="J82" i="108"/>
  <c r="K82" i="108"/>
  <c r="L82" i="108"/>
  <c r="AB28" i="108" s="1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T29" i="108" s="1"/>
  <c r="E86" i="108"/>
  <c r="F86" i="108"/>
  <c r="G86" i="108"/>
  <c r="H86" i="108"/>
  <c r="X29" i="108" s="1"/>
  <c r="I86" i="108"/>
  <c r="J86" i="108"/>
  <c r="K86" i="108"/>
  <c r="L86" i="108"/>
  <c r="AB29" i="108" s="1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P88" i="108" s="1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T30" i="108" s="1"/>
  <c r="E90" i="108"/>
  <c r="U30" i="108" s="1"/>
  <c r="F90" i="108"/>
  <c r="G90" i="108"/>
  <c r="H90" i="108"/>
  <c r="X30" i="108" s="1"/>
  <c r="I90" i="108"/>
  <c r="J90" i="108"/>
  <c r="K90" i="108"/>
  <c r="L90" i="108"/>
  <c r="AB30" i="108" s="1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P92" i="108" s="1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T31" i="108" s="1"/>
  <c r="E94" i="108"/>
  <c r="F94" i="108"/>
  <c r="G94" i="108"/>
  <c r="H94" i="108"/>
  <c r="X31" i="108" s="1"/>
  <c r="I94" i="108"/>
  <c r="J94" i="108"/>
  <c r="K94" i="108"/>
  <c r="L94" i="108"/>
  <c r="AB31" i="108" s="1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V31" i="108" s="1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T32" i="108" s="1"/>
  <c r="E98" i="108"/>
  <c r="F98" i="108"/>
  <c r="G98" i="108"/>
  <c r="H98" i="108"/>
  <c r="X32" i="108" s="1"/>
  <c r="I98" i="108"/>
  <c r="Y32" i="108" s="1"/>
  <c r="J98" i="108"/>
  <c r="K98" i="108"/>
  <c r="L98" i="108"/>
  <c r="AB32" i="108" s="1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T33" i="108" s="1"/>
  <c r="E102" i="108"/>
  <c r="F102" i="108"/>
  <c r="G102" i="108"/>
  <c r="H102" i="108"/>
  <c r="X33" i="108" s="1"/>
  <c r="I102" i="108"/>
  <c r="J102" i="108"/>
  <c r="K102" i="108"/>
  <c r="L102" i="108"/>
  <c r="AB33" i="108" s="1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P104" i="108" s="1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D58" i="107"/>
  <c r="E58" i="107"/>
  <c r="U22" i="107" s="1"/>
  <c r="F58" i="107"/>
  <c r="G58" i="107"/>
  <c r="H58" i="107"/>
  <c r="I58" i="107"/>
  <c r="Y22" i="107" s="1"/>
  <c r="J58" i="107"/>
  <c r="K58" i="107"/>
  <c r="L58" i="107"/>
  <c r="M58" i="107"/>
  <c r="N58" i="107"/>
  <c r="D59" i="107"/>
  <c r="E59" i="107"/>
  <c r="F59" i="107"/>
  <c r="F59" i="111" s="1"/>
  <c r="G59" i="107"/>
  <c r="G59" i="111" s="1"/>
  <c r="H59" i="107"/>
  <c r="H59" i="111" s="1"/>
  <c r="I59" i="107"/>
  <c r="J59" i="107"/>
  <c r="K59" i="107"/>
  <c r="K59" i="111" s="1"/>
  <c r="L59" i="107"/>
  <c r="L59" i="111" s="1"/>
  <c r="M59" i="107"/>
  <c r="N59" i="107"/>
  <c r="N59" i="111" s="1"/>
  <c r="D60" i="107"/>
  <c r="D60" i="111" s="1"/>
  <c r="E60" i="107"/>
  <c r="F60" i="107"/>
  <c r="G60" i="107"/>
  <c r="G60" i="111" s="1"/>
  <c r="H60" i="107"/>
  <c r="H60" i="111" s="1"/>
  <c r="I60" i="107"/>
  <c r="J60" i="107"/>
  <c r="K60" i="107"/>
  <c r="K60" i="111" s="1"/>
  <c r="L60" i="107"/>
  <c r="L60" i="111" s="1"/>
  <c r="M60" i="107"/>
  <c r="M60" i="111" s="1"/>
  <c r="N60" i="107"/>
  <c r="N60" i="111" s="1"/>
  <c r="D61" i="107"/>
  <c r="E61" i="107"/>
  <c r="E61" i="111" s="1"/>
  <c r="F61" i="107"/>
  <c r="F61" i="111" s="1"/>
  <c r="G61" i="107"/>
  <c r="H61" i="107"/>
  <c r="I61" i="107"/>
  <c r="I61" i="111" s="1"/>
  <c r="J61" i="107"/>
  <c r="K61" i="107"/>
  <c r="L61" i="107"/>
  <c r="L61" i="111" s="1"/>
  <c r="M61" i="107"/>
  <c r="M61" i="111" s="1"/>
  <c r="N61" i="107"/>
  <c r="D62" i="107"/>
  <c r="E62" i="107"/>
  <c r="F62" i="107"/>
  <c r="G62" i="107"/>
  <c r="H62" i="107"/>
  <c r="I62" i="107"/>
  <c r="Y23" i="107" s="1"/>
  <c r="J62" i="107"/>
  <c r="K62" i="107"/>
  <c r="L62" i="107"/>
  <c r="M62" i="107"/>
  <c r="AC23" i="107" s="1"/>
  <c r="N62" i="107"/>
  <c r="D63" i="107"/>
  <c r="E63" i="107"/>
  <c r="F63" i="107"/>
  <c r="F63" i="111" s="1"/>
  <c r="G63" i="107"/>
  <c r="H63" i="107"/>
  <c r="I63" i="107"/>
  <c r="J63" i="107"/>
  <c r="J63" i="111" s="1"/>
  <c r="K63" i="107"/>
  <c r="L63" i="107"/>
  <c r="M63" i="107"/>
  <c r="N63" i="107"/>
  <c r="N63" i="111" s="1"/>
  <c r="D64" i="107"/>
  <c r="E64" i="107"/>
  <c r="F64" i="107"/>
  <c r="G64" i="107"/>
  <c r="G64" i="111" s="1"/>
  <c r="H64" i="107"/>
  <c r="I64" i="107"/>
  <c r="J64" i="107"/>
  <c r="K64" i="107"/>
  <c r="K64" i="111" s="1"/>
  <c r="L64" i="107"/>
  <c r="M64" i="107"/>
  <c r="N64" i="107"/>
  <c r="D65" i="107"/>
  <c r="E65" i="107"/>
  <c r="F65" i="107"/>
  <c r="G65" i="107"/>
  <c r="H65" i="107"/>
  <c r="H65" i="111" s="1"/>
  <c r="I65" i="107"/>
  <c r="J65" i="107"/>
  <c r="K65" i="107"/>
  <c r="L65" i="107"/>
  <c r="L65" i="111" s="1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F67" i="111" s="1"/>
  <c r="G67" i="107"/>
  <c r="H67" i="107"/>
  <c r="I67" i="107"/>
  <c r="J67" i="107"/>
  <c r="J67" i="111" s="1"/>
  <c r="K67" i="107"/>
  <c r="L67" i="107"/>
  <c r="M67" i="107"/>
  <c r="N67" i="107"/>
  <c r="N67" i="111" s="1"/>
  <c r="D68" i="107"/>
  <c r="E68" i="107"/>
  <c r="F68" i="107"/>
  <c r="G68" i="107"/>
  <c r="G68" i="111" s="1"/>
  <c r="H68" i="107"/>
  <c r="I68" i="107"/>
  <c r="J68" i="107"/>
  <c r="K68" i="107"/>
  <c r="K68" i="111" s="1"/>
  <c r="L68" i="107"/>
  <c r="M68" i="107"/>
  <c r="N68" i="107"/>
  <c r="D69" i="107"/>
  <c r="E69" i="107"/>
  <c r="F69" i="107"/>
  <c r="G69" i="107"/>
  <c r="H69" i="107"/>
  <c r="H69" i="111" s="1"/>
  <c r="I69" i="107"/>
  <c r="J69" i="107"/>
  <c r="K69" i="107"/>
  <c r="L69" i="107"/>
  <c r="L69" i="111" s="1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F71" i="111" s="1"/>
  <c r="G71" i="107"/>
  <c r="H71" i="107"/>
  <c r="I71" i="107"/>
  <c r="J71" i="107"/>
  <c r="J71" i="111" s="1"/>
  <c r="K71" i="107"/>
  <c r="L71" i="107"/>
  <c r="M71" i="107"/>
  <c r="N71" i="107"/>
  <c r="N71" i="111" s="1"/>
  <c r="D72" i="107"/>
  <c r="E72" i="107"/>
  <c r="F72" i="107"/>
  <c r="G72" i="107"/>
  <c r="G72" i="111" s="1"/>
  <c r="H72" i="107"/>
  <c r="I72" i="107"/>
  <c r="J72" i="107"/>
  <c r="K72" i="107"/>
  <c r="K72" i="111" s="1"/>
  <c r="L72" i="107"/>
  <c r="M72" i="107"/>
  <c r="N72" i="107"/>
  <c r="D73" i="107"/>
  <c r="E73" i="107"/>
  <c r="F73" i="107"/>
  <c r="G73" i="107"/>
  <c r="H73" i="107"/>
  <c r="H73" i="111" s="1"/>
  <c r="I73" i="107"/>
  <c r="J73" i="107"/>
  <c r="K73" i="107"/>
  <c r="L73" i="107"/>
  <c r="L73" i="111" s="1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F75" i="111" s="1"/>
  <c r="G75" i="107"/>
  <c r="H75" i="107"/>
  <c r="I75" i="107"/>
  <c r="J75" i="107"/>
  <c r="J75" i="111" s="1"/>
  <c r="K75" i="107"/>
  <c r="L75" i="107"/>
  <c r="M75" i="107"/>
  <c r="N75" i="107"/>
  <c r="N75" i="111" s="1"/>
  <c r="D76" i="107"/>
  <c r="E76" i="107"/>
  <c r="F76" i="107"/>
  <c r="G76" i="107"/>
  <c r="G76" i="111" s="1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H77" i="111" s="1"/>
  <c r="I77" i="107"/>
  <c r="J77" i="107"/>
  <c r="K77" i="107"/>
  <c r="L77" i="107"/>
  <c r="L77" i="111" s="1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F79" i="111" s="1"/>
  <c r="G79" i="107"/>
  <c r="H79" i="107"/>
  <c r="I79" i="107"/>
  <c r="J79" i="107"/>
  <c r="J79" i="111" s="1"/>
  <c r="K79" i="107"/>
  <c r="L79" i="107"/>
  <c r="M79" i="107"/>
  <c r="N79" i="107"/>
  <c r="N79" i="111" s="1"/>
  <c r="D80" i="107"/>
  <c r="E80" i="107"/>
  <c r="F80" i="107"/>
  <c r="G80" i="107"/>
  <c r="G80" i="111" s="1"/>
  <c r="H80" i="107"/>
  <c r="I80" i="107"/>
  <c r="J80" i="107"/>
  <c r="K80" i="107"/>
  <c r="K80" i="111" s="1"/>
  <c r="L80" i="107"/>
  <c r="M80" i="107"/>
  <c r="N80" i="107"/>
  <c r="D81" i="107"/>
  <c r="D81" i="111" s="1"/>
  <c r="E81" i="107"/>
  <c r="F81" i="107"/>
  <c r="G81" i="107"/>
  <c r="H81" i="107"/>
  <c r="H81" i="111" s="1"/>
  <c r="I81" i="107"/>
  <c r="J81" i="107"/>
  <c r="K81" i="107"/>
  <c r="L81" i="107"/>
  <c r="L81" i="111" s="1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F83" i="111" s="1"/>
  <c r="G83" i="107"/>
  <c r="H83" i="107"/>
  <c r="I83" i="107"/>
  <c r="J83" i="107"/>
  <c r="J83" i="111" s="1"/>
  <c r="K83" i="107"/>
  <c r="L83" i="107"/>
  <c r="M83" i="107"/>
  <c r="N83" i="107"/>
  <c r="N83" i="111" s="1"/>
  <c r="D84" i="107"/>
  <c r="E84" i="107"/>
  <c r="F84" i="107"/>
  <c r="G84" i="107"/>
  <c r="G84" i="111" s="1"/>
  <c r="H84" i="107"/>
  <c r="I84" i="107"/>
  <c r="J84" i="107"/>
  <c r="K84" i="107"/>
  <c r="K84" i="111" s="1"/>
  <c r="L84" i="107"/>
  <c r="M84" i="107"/>
  <c r="N84" i="107"/>
  <c r="D85" i="107"/>
  <c r="D85" i="111" s="1"/>
  <c r="E85" i="107"/>
  <c r="F85" i="107"/>
  <c r="G85" i="107"/>
  <c r="H85" i="107"/>
  <c r="H85" i="111" s="1"/>
  <c r="I85" i="107"/>
  <c r="J85" i="107"/>
  <c r="K85" i="107"/>
  <c r="L85" i="107"/>
  <c r="L85" i="111" s="1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F87" i="111" s="1"/>
  <c r="G87" i="107"/>
  <c r="H87" i="107"/>
  <c r="I87" i="107"/>
  <c r="J87" i="107"/>
  <c r="J87" i="111" s="1"/>
  <c r="K87" i="107"/>
  <c r="L87" i="107"/>
  <c r="M87" i="107"/>
  <c r="N87" i="107"/>
  <c r="N87" i="111" s="1"/>
  <c r="D88" i="107"/>
  <c r="E88" i="107"/>
  <c r="F88" i="107"/>
  <c r="G88" i="107"/>
  <c r="G88" i="111" s="1"/>
  <c r="H88" i="107"/>
  <c r="I88" i="107"/>
  <c r="J88" i="107"/>
  <c r="K88" i="107"/>
  <c r="K88" i="111" s="1"/>
  <c r="L88" i="107"/>
  <c r="M88" i="107"/>
  <c r="N88" i="107"/>
  <c r="D89" i="107"/>
  <c r="D89" i="111" s="1"/>
  <c r="E89" i="107"/>
  <c r="F89" i="107"/>
  <c r="G89" i="107"/>
  <c r="H89" i="107"/>
  <c r="H89" i="111" s="1"/>
  <c r="I89" i="107"/>
  <c r="J89" i="107"/>
  <c r="K89" i="107"/>
  <c r="L89" i="107"/>
  <c r="L89" i="111" s="1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F91" i="111" s="1"/>
  <c r="G91" i="107"/>
  <c r="H91" i="107"/>
  <c r="I91" i="107"/>
  <c r="J91" i="107"/>
  <c r="J91" i="111" s="1"/>
  <c r="K91" i="107"/>
  <c r="L91" i="107"/>
  <c r="M91" i="107"/>
  <c r="N91" i="107"/>
  <c r="N91" i="111" s="1"/>
  <c r="D92" i="107"/>
  <c r="E92" i="107"/>
  <c r="F92" i="107"/>
  <c r="G92" i="107"/>
  <c r="G92" i="111" s="1"/>
  <c r="H92" i="107"/>
  <c r="I92" i="107"/>
  <c r="J92" i="107"/>
  <c r="K92" i="107"/>
  <c r="K92" i="111" s="1"/>
  <c r="L92" i="107"/>
  <c r="M92" i="107"/>
  <c r="N92" i="107"/>
  <c r="D93" i="107"/>
  <c r="D93" i="111" s="1"/>
  <c r="E93" i="107"/>
  <c r="F93" i="107"/>
  <c r="G93" i="107"/>
  <c r="H93" i="107"/>
  <c r="H93" i="111" s="1"/>
  <c r="I93" i="107"/>
  <c r="J93" i="107"/>
  <c r="K93" i="107"/>
  <c r="L93" i="107"/>
  <c r="L93" i="111" s="1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F95" i="111" s="1"/>
  <c r="G95" i="107"/>
  <c r="H95" i="107"/>
  <c r="I95" i="107"/>
  <c r="J95" i="107"/>
  <c r="J95" i="111" s="1"/>
  <c r="K95" i="107"/>
  <c r="L95" i="107"/>
  <c r="M95" i="107"/>
  <c r="N95" i="107"/>
  <c r="N95" i="111" s="1"/>
  <c r="D96" i="107"/>
  <c r="E96" i="107"/>
  <c r="F96" i="107"/>
  <c r="G96" i="107"/>
  <c r="G96" i="111" s="1"/>
  <c r="H96" i="107"/>
  <c r="I96" i="107"/>
  <c r="J96" i="107"/>
  <c r="K96" i="107"/>
  <c r="K96" i="111" s="1"/>
  <c r="L96" i="107"/>
  <c r="M96" i="107"/>
  <c r="N96" i="107"/>
  <c r="D97" i="107"/>
  <c r="D97" i="111" s="1"/>
  <c r="E97" i="107"/>
  <c r="F97" i="107"/>
  <c r="G97" i="107"/>
  <c r="H97" i="107"/>
  <c r="H97" i="111" s="1"/>
  <c r="I97" i="107"/>
  <c r="J97" i="107"/>
  <c r="K97" i="107"/>
  <c r="L97" i="107"/>
  <c r="L97" i="111" s="1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F99" i="111" s="1"/>
  <c r="G99" i="107"/>
  <c r="H99" i="107"/>
  <c r="I99" i="107"/>
  <c r="J99" i="107"/>
  <c r="J99" i="111" s="1"/>
  <c r="K99" i="107"/>
  <c r="L99" i="107"/>
  <c r="M99" i="107"/>
  <c r="N99" i="107"/>
  <c r="N99" i="111" s="1"/>
  <c r="D100" i="107"/>
  <c r="E100" i="107"/>
  <c r="F100" i="107"/>
  <c r="G100" i="107"/>
  <c r="G100" i="111" s="1"/>
  <c r="H100" i="107"/>
  <c r="I100" i="107"/>
  <c r="J100" i="107"/>
  <c r="K100" i="107"/>
  <c r="K100" i="111" s="1"/>
  <c r="L100" i="107"/>
  <c r="M100" i="107"/>
  <c r="N100" i="107"/>
  <c r="D101" i="107"/>
  <c r="D101" i="111" s="1"/>
  <c r="E101" i="107"/>
  <c r="F101" i="107"/>
  <c r="G101" i="107"/>
  <c r="H101" i="107"/>
  <c r="H101" i="111" s="1"/>
  <c r="I101" i="107"/>
  <c r="J101" i="107"/>
  <c r="K101" i="107"/>
  <c r="L101" i="107"/>
  <c r="L101" i="111" s="1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F103" i="111" s="1"/>
  <c r="G103" i="107"/>
  <c r="H103" i="107"/>
  <c r="I103" i="107"/>
  <c r="J103" i="107"/>
  <c r="J103" i="111" s="1"/>
  <c r="K103" i="107"/>
  <c r="L103" i="107"/>
  <c r="M103" i="107"/>
  <c r="N103" i="107"/>
  <c r="N103" i="111" s="1"/>
  <c r="D104" i="107"/>
  <c r="E104" i="107"/>
  <c r="F104" i="107"/>
  <c r="G104" i="107"/>
  <c r="G104" i="111" s="1"/>
  <c r="H104" i="107"/>
  <c r="I104" i="107"/>
  <c r="J104" i="107"/>
  <c r="K104" i="107"/>
  <c r="K104" i="111" s="1"/>
  <c r="L104" i="107"/>
  <c r="M104" i="107"/>
  <c r="N104" i="107"/>
  <c r="D105" i="107"/>
  <c r="D105" i="111" s="1"/>
  <c r="E105" i="107"/>
  <c r="F105" i="107"/>
  <c r="G105" i="107"/>
  <c r="H105" i="107"/>
  <c r="H105" i="111" s="1"/>
  <c r="I105" i="107"/>
  <c r="J105" i="107"/>
  <c r="K105" i="107"/>
  <c r="L105" i="107"/>
  <c r="L105" i="111" s="1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P89" i="107" s="1"/>
  <c r="C90" i="107"/>
  <c r="C91" i="107"/>
  <c r="C92" i="107"/>
  <c r="O92" i="107" s="1"/>
  <c r="C93" i="107"/>
  <c r="C94" i="107"/>
  <c r="C95" i="107"/>
  <c r="C96" i="107"/>
  <c r="C97" i="107"/>
  <c r="C98" i="107"/>
  <c r="C99" i="107"/>
  <c r="C100" i="107"/>
  <c r="C101" i="107"/>
  <c r="P101" i="107" s="1"/>
  <c r="C102" i="107"/>
  <c r="C103" i="107"/>
  <c r="C104" i="107"/>
  <c r="C105" i="107"/>
  <c r="P105" i="107" s="1"/>
  <c r="C58" i="108"/>
  <c r="C58" i="107"/>
  <c r="W29" i="111" l="1"/>
  <c r="S22" i="108"/>
  <c r="O58" i="108"/>
  <c r="AE22" i="108" s="1"/>
  <c r="P58" i="108"/>
  <c r="O70" i="111"/>
  <c r="AA29" i="111"/>
  <c r="P61" i="111"/>
  <c r="AD30" i="111"/>
  <c r="AD28" i="111"/>
  <c r="P104" i="107"/>
  <c r="O104" i="107"/>
  <c r="C104" i="111"/>
  <c r="P96" i="107"/>
  <c r="O96" i="107"/>
  <c r="C96" i="111"/>
  <c r="P88" i="107"/>
  <c r="O88" i="107"/>
  <c r="C88" i="111"/>
  <c r="P80" i="107"/>
  <c r="O80" i="107"/>
  <c r="C80" i="111"/>
  <c r="O72" i="107"/>
  <c r="C72" i="111"/>
  <c r="O64" i="107"/>
  <c r="C64" i="111"/>
  <c r="AC33" i="107"/>
  <c r="M102" i="111"/>
  <c r="AC33" i="111" s="1"/>
  <c r="Y33" i="107"/>
  <c r="I102" i="111"/>
  <c r="AC32" i="107"/>
  <c r="M98" i="111"/>
  <c r="AC32" i="111" s="1"/>
  <c r="AC31" i="107"/>
  <c r="M94" i="111"/>
  <c r="U31" i="107"/>
  <c r="E94" i="111"/>
  <c r="P94" i="111" s="1"/>
  <c r="AC30" i="107"/>
  <c r="M90" i="111"/>
  <c r="U30" i="107"/>
  <c r="E90" i="111"/>
  <c r="U30" i="111" s="1"/>
  <c r="U29" i="107"/>
  <c r="E86" i="111"/>
  <c r="Y28" i="107"/>
  <c r="I82" i="111"/>
  <c r="Y28" i="111" s="1"/>
  <c r="AC27" i="107"/>
  <c r="M78" i="111"/>
  <c r="U27" i="107"/>
  <c r="E78" i="111"/>
  <c r="U27" i="111" s="1"/>
  <c r="D77" i="111"/>
  <c r="O77" i="111" s="1"/>
  <c r="O77" i="107"/>
  <c r="Y26" i="107"/>
  <c r="I74" i="111"/>
  <c r="Y26" i="111" s="1"/>
  <c r="Y25" i="107"/>
  <c r="I70" i="111"/>
  <c r="Y24" i="107"/>
  <c r="I66" i="111"/>
  <c r="Y24" i="111" s="1"/>
  <c r="P103" i="108"/>
  <c r="O103" i="108"/>
  <c r="P95" i="108"/>
  <c r="O95" i="108"/>
  <c r="P87" i="108"/>
  <c r="O87" i="108"/>
  <c r="P79" i="108"/>
  <c r="O79" i="108"/>
  <c r="P71" i="108"/>
  <c r="O71" i="108"/>
  <c r="P63" i="108"/>
  <c r="O63" i="108"/>
  <c r="D62" i="111"/>
  <c r="E59" i="111"/>
  <c r="P72" i="107"/>
  <c r="O78" i="111"/>
  <c r="AA27" i="111"/>
  <c r="W24" i="111"/>
  <c r="AA22" i="111"/>
  <c r="V32" i="111"/>
  <c r="V28" i="111"/>
  <c r="Z25" i="111"/>
  <c r="X23" i="111"/>
  <c r="O101" i="111"/>
  <c r="P100" i="107"/>
  <c r="O100" i="107"/>
  <c r="C100" i="111"/>
  <c r="P92" i="107"/>
  <c r="C92" i="111"/>
  <c r="P84" i="107"/>
  <c r="O84" i="107"/>
  <c r="C84" i="111"/>
  <c r="S28" i="111" s="1"/>
  <c r="O76" i="107"/>
  <c r="C76" i="111"/>
  <c r="O68" i="107"/>
  <c r="C68" i="111"/>
  <c r="O60" i="107"/>
  <c r="C60" i="111"/>
  <c r="U33" i="107"/>
  <c r="E102" i="111"/>
  <c r="U33" i="111" s="1"/>
  <c r="Y32" i="107"/>
  <c r="I98" i="111"/>
  <c r="U32" i="107"/>
  <c r="E98" i="111"/>
  <c r="U32" i="111" s="1"/>
  <c r="Y31" i="107"/>
  <c r="I94" i="111"/>
  <c r="Y30" i="107"/>
  <c r="I90" i="111"/>
  <c r="Y30" i="111" s="1"/>
  <c r="AC29" i="107"/>
  <c r="M86" i="111"/>
  <c r="Y29" i="107"/>
  <c r="I86" i="111"/>
  <c r="Y29" i="111" s="1"/>
  <c r="AC28" i="107"/>
  <c r="M82" i="111"/>
  <c r="U28" i="107"/>
  <c r="E82" i="111"/>
  <c r="U28" i="111" s="1"/>
  <c r="Y27" i="107"/>
  <c r="I78" i="111"/>
  <c r="K76" i="111"/>
  <c r="AA26" i="107"/>
  <c r="AC26" i="107"/>
  <c r="M74" i="111"/>
  <c r="U26" i="107"/>
  <c r="E74" i="111"/>
  <c r="U26" i="111" s="1"/>
  <c r="D73" i="111"/>
  <c r="O73" i="107"/>
  <c r="AC25" i="107"/>
  <c r="M70" i="111"/>
  <c r="AC25" i="111" s="1"/>
  <c r="U25" i="107"/>
  <c r="E70" i="111"/>
  <c r="D69" i="111"/>
  <c r="P69" i="111" s="1"/>
  <c r="O69" i="107"/>
  <c r="AC24" i="107"/>
  <c r="M66" i="111"/>
  <c r="U24" i="107"/>
  <c r="E66" i="111"/>
  <c r="U24" i="111" s="1"/>
  <c r="D65" i="111"/>
  <c r="O65" i="107"/>
  <c r="U23" i="107"/>
  <c r="E62" i="111"/>
  <c r="U23" i="111" s="1"/>
  <c r="O61" i="107"/>
  <c r="AC22" i="107"/>
  <c r="M58" i="111"/>
  <c r="AC22" i="111" s="1"/>
  <c r="P99" i="108"/>
  <c r="O99" i="108"/>
  <c r="P91" i="108"/>
  <c r="O91" i="108"/>
  <c r="P83" i="108"/>
  <c r="O83" i="108"/>
  <c r="P75" i="108"/>
  <c r="O75" i="108"/>
  <c r="P67" i="108"/>
  <c r="O67" i="108"/>
  <c r="P59" i="108"/>
  <c r="O59" i="108"/>
  <c r="O74" i="111"/>
  <c r="W33" i="111"/>
  <c r="AA32" i="111"/>
  <c r="W31" i="111"/>
  <c r="D61" i="111"/>
  <c r="O61" i="111" s="1"/>
  <c r="E58" i="111"/>
  <c r="U22" i="111" s="1"/>
  <c r="O58" i="107"/>
  <c r="S22" i="107"/>
  <c r="P58" i="107"/>
  <c r="C58" i="111"/>
  <c r="P103" i="107"/>
  <c r="O103" i="107"/>
  <c r="C103" i="111"/>
  <c r="P99" i="107"/>
  <c r="O99" i="107"/>
  <c r="C99" i="111"/>
  <c r="P95" i="107"/>
  <c r="C95" i="111"/>
  <c r="O95" i="107"/>
  <c r="P91" i="107"/>
  <c r="O91" i="107"/>
  <c r="C91" i="111"/>
  <c r="C87" i="111"/>
  <c r="S29" i="111" s="1"/>
  <c r="P87" i="107"/>
  <c r="P83" i="107"/>
  <c r="O83" i="107"/>
  <c r="C83" i="111"/>
  <c r="P79" i="107"/>
  <c r="C79" i="111"/>
  <c r="O79" i="107"/>
  <c r="P75" i="107"/>
  <c r="O75" i="107"/>
  <c r="C75" i="111"/>
  <c r="P71" i="107"/>
  <c r="O71" i="107"/>
  <c r="C71" i="111"/>
  <c r="P67" i="107"/>
  <c r="O67" i="107"/>
  <c r="C67" i="111"/>
  <c r="P63" i="107"/>
  <c r="O63" i="107"/>
  <c r="C63" i="111"/>
  <c r="P59" i="107"/>
  <c r="O59" i="107"/>
  <c r="C59" i="111"/>
  <c r="K105" i="111"/>
  <c r="AA33" i="111" s="1"/>
  <c r="G105" i="111"/>
  <c r="N104" i="111"/>
  <c r="J104" i="111"/>
  <c r="Z33" i="111" s="1"/>
  <c r="F104" i="111"/>
  <c r="M103" i="111"/>
  <c r="I103" i="111"/>
  <c r="E103" i="111"/>
  <c r="AB33" i="107"/>
  <c r="L102" i="111"/>
  <c r="AB33" i="111" s="1"/>
  <c r="X33" i="107"/>
  <c r="H102" i="111"/>
  <c r="X33" i="111" s="1"/>
  <c r="T33" i="107"/>
  <c r="D102" i="111"/>
  <c r="T33" i="111" s="1"/>
  <c r="K101" i="111"/>
  <c r="G101" i="111"/>
  <c r="P101" i="111" s="1"/>
  <c r="N100" i="111"/>
  <c r="AD32" i="111" s="1"/>
  <c r="J100" i="111"/>
  <c r="F100" i="111"/>
  <c r="M99" i="111"/>
  <c r="I99" i="111"/>
  <c r="E99" i="111"/>
  <c r="AB32" i="107"/>
  <c r="L98" i="111"/>
  <c r="AB32" i="111" s="1"/>
  <c r="X32" i="107"/>
  <c r="H98" i="111"/>
  <c r="X32" i="111" s="1"/>
  <c r="T32" i="107"/>
  <c r="D98" i="111"/>
  <c r="T32" i="111" s="1"/>
  <c r="O98" i="107"/>
  <c r="AE32" i="107" s="1"/>
  <c r="K97" i="111"/>
  <c r="AA31" i="111" s="1"/>
  <c r="G97" i="111"/>
  <c r="N96" i="111"/>
  <c r="AD31" i="111" s="1"/>
  <c r="J96" i="111"/>
  <c r="Z31" i="111" s="1"/>
  <c r="F96" i="111"/>
  <c r="M95" i="111"/>
  <c r="I95" i="111"/>
  <c r="E95" i="111"/>
  <c r="AB31" i="107"/>
  <c r="L94" i="111"/>
  <c r="AB31" i="111" s="1"/>
  <c r="X31" i="107"/>
  <c r="H94" i="111"/>
  <c r="X31" i="111" s="1"/>
  <c r="T31" i="107"/>
  <c r="D94" i="111"/>
  <c r="T31" i="111" s="1"/>
  <c r="K93" i="111"/>
  <c r="AA30" i="111" s="1"/>
  <c r="G93" i="111"/>
  <c r="P93" i="111" s="1"/>
  <c r="N92" i="111"/>
  <c r="J92" i="111"/>
  <c r="F92" i="111"/>
  <c r="V30" i="111" s="1"/>
  <c r="M91" i="111"/>
  <c r="I91" i="111"/>
  <c r="E91" i="111"/>
  <c r="AB30" i="107"/>
  <c r="L90" i="111"/>
  <c r="AB30" i="111" s="1"/>
  <c r="X30" i="107"/>
  <c r="H90" i="111"/>
  <c r="X30" i="111" s="1"/>
  <c r="T30" i="107"/>
  <c r="D90" i="111"/>
  <c r="T30" i="111" s="1"/>
  <c r="K89" i="111"/>
  <c r="G89" i="111"/>
  <c r="N88" i="111"/>
  <c r="AD29" i="111" s="1"/>
  <c r="J88" i="111"/>
  <c r="Z29" i="111" s="1"/>
  <c r="F88" i="111"/>
  <c r="M87" i="111"/>
  <c r="I87" i="111"/>
  <c r="E87" i="111"/>
  <c r="AB29" i="107"/>
  <c r="L86" i="111"/>
  <c r="AB29" i="111" s="1"/>
  <c r="X29" i="107"/>
  <c r="H86" i="111"/>
  <c r="X29" i="111" s="1"/>
  <c r="T29" i="107"/>
  <c r="D86" i="111"/>
  <c r="T29" i="111" s="1"/>
  <c r="K85" i="111"/>
  <c r="AA28" i="111" s="1"/>
  <c r="G85" i="111"/>
  <c r="W28" i="111" s="1"/>
  <c r="N84" i="111"/>
  <c r="J84" i="111"/>
  <c r="F84" i="111"/>
  <c r="M83" i="111"/>
  <c r="I83" i="111"/>
  <c r="E83" i="111"/>
  <c r="AB28" i="107"/>
  <c r="L82" i="111"/>
  <c r="AB28" i="111" s="1"/>
  <c r="X28" i="107"/>
  <c r="H82" i="111"/>
  <c r="X28" i="111" s="1"/>
  <c r="T28" i="107"/>
  <c r="D82" i="111"/>
  <c r="T28" i="111" s="1"/>
  <c r="O82" i="107"/>
  <c r="K81" i="111"/>
  <c r="G81" i="111"/>
  <c r="W27" i="111" s="1"/>
  <c r="N80" i="111"/>
  <c r="J80" i="111"/>
  <c r="Z27" i="111" s="1"/>
  <c r="F80" i="111"/>
  <c r="M79" i="111"/>
  <c r="I79" i="111"/>
  <c r="E79" i="111"/>
  <c r="AB27" i="107"/>
  <c r="L78" i="111"/>
  <c r="AB27" i="111" s="1"/>
  <c r="X27" i="107"/>
  <c r="H78" i="111"/>
  <c r="X27" i="111" s="1"/>
  <c r="T27" i="107"/>
  <c r="D78" i="111"/>
  <c r="T27" i="111" s="1"/>
  <c r="K77" i="111"/>
  <c r="AA26" i="111" s="1"/>
  <c r="G77" i="111"/>
  <c r="W26" i="111" s="1"/>
  <c r="N76" i="111"/>
  <c r="AD26" i="111" s="1"/>
  <c r="J76" i="111"/>
  <c r="Z26" i="111" s="1"/>
  <c r="F76" i="111"/>
  <c r="V26" i="111" s="1"/>
  <c r="M75" i="111"/>
  <c r="I75" i="111"/>
  <c r="E75" i="111"/>
  <c r="AB26" i="107"/>
  <c r="L74" i="111"/>
  <c r="AB26" i="111" s="1"/>
  <c r="X26" i="107"/>
  <c r="H74" i="111"/>
  <c r="X26" i="111" s="1"/>
  <c r="T26" i="107"/>
  <c r="D74" i="111"/>
  <c r="T26" i="111" s="1"/>
  <c r="K73" i="111"/>
  <c r="AA25" i="111" s="1"/>
  <c r="G73" i="111"/>
  <c r="W25" i="111" s="1"/>
  <c r="N72" i="111"/>
  <c r="AD25" i="111" s="1"/>
  <c r="J72" i="111"/>
  <c r="F72" i="111"/>
  <c r="M71" i="111"/>
  <c r="I71" i="111"/>
  <c r="E71" i="111"/>
  <c r="AB25" i="107"/>
  <c r="L70" i="111"/>
  <c r="AB25" i="111" s="1"/>
  <c r="X25" i="107"/>
  <c r="H70" i="111"/>
  <c r="X25" i="111" s="1"/>
  <c r="T25" i="107"/>
  <c r="D70" i="111"/>
  <c r="T25" i="111" s="1"/>
  <c r="K69" i="111"/>
  <c r="AA24" i="111" s="1"/>
  <c r="G69" i="111"/>
  <c r="N68" i="111"/>
  <c r="AD24" i="111" s="1"/>
  <c r="J68" i="111"/>
  <c r="Z24" i="111" s="1"/>
  <c r="F68" i="111"/>
  <c r="V24" i="111" s="1"/>
  <c r="M67" i="111"/>
  <c r="I67" i="111"/>
  <c r="E67" i="111"/>
  <c r="AB24" i="107"/>
  <c r="L66" i="111"/>
  <c r="AB24" i="111" s="1"/>
  <c r="X24" i="107"/>
  <c r="H66" i="111"/>
  <c r="X24" i="111" s="1"/>
  <c r="T24" i="107"/>
  <c r="D66" i="111"/>
  <c r="K65" i="111"/>
  <c r="G65" i="111"/>
  <c r="P65" i="111" s="1"/>
  <c r="N64" i="111"/>
  <c r="J64" i="111"/>
  <c r="F64" i="111"/>
  <c r="M63" i="111"/>
  <c r="I63" i="111"/>
  <c r="Y23" i="111" s="1"/>
  <c r="E63" i="111"/>
  <c r="AB23" i="107"/>
  <c r="L62" i="111"/>
  <c r="AB23" i="111" s="1"/>
  <c r="X23" i="107"/>
  <c r="T23" i="107"/>
  <c r="K61" i="111"/>
  <c r="G61" i="111"/>
  <c r="F60" i="111"/>
  <c r="M59" i="111"/>
  <c r="AB22" i="107"/>
  <c r="L58" i="111"/>
  <c r="AB22" i="111" s="1"/>
  <c r="X22" i="107"/>
  <c r="H58" i="111"/>
  <c r="X22" i="111" s="1"/>
  <c r="T22" i="107"/>
  <c r="S33" i="108"/>
  <c r="O102" i="108"/>
  <c r="P102" i="108"/>
  <c r="S32" i="108"/>
  <c r="O98" i="108"/>
  <c r="P98" i="108"/>
  <c r="AF32" i="108" s="1"/>
  <c r="S31" i="108"/>
  <c r="O94" i="108"/>
  <c r="P94" i="108"/>
  <c r="S30" i="108"/>
  <c r="O90" i="108"/>
  <c r="P90" i="108"/>
  <c r="O86" i="108"/>
  <c r="P86" i="108"/>
  <c r="AF29" i="108" s="1"/>
  <c r="S29" i="108"/>
  <c r="S28" i="108"/>
  <c r="O82" i="108"/>
  <c r="P82" i="108"/>
  <c r="AF28" i="108" s="1"/>
  <c r="S27" i="108"/>
  <c r="O78" i="108"/>
  <c r="P78" i="108"/>
  <c r="S26" i="108"/>
  <c r="O74" i="108"/>
  <c r="P74" i="108"/>
  <c r="S25" i="108"/>
  <c r="O70" i="108"/>
  <c r="AE25" i="108" s="1"/>
  <c r="P70" i="108"/>
  <c r="S24" i="108"/>
  <c r="O66" i="108"/>
  <c r="P66" i="108"/>
  <c r="AF24" i="108" s="1"/>
  <c r="S23" i="108"/>
  <c r="O62" i="108"/>
  <c r="P62" i="108"/>
  <c r="O105" i="108"/>
  <c r="AA33" i="108"/>
  <c r="W33" i="108"/>
  <c r="O101" i="108"/>
  <c r="AA32" i="108"/>
  <c r="W32" i="108"/>
  <c r="O97" i="108"/>
  <c r="AA31" i="108"/>
  <c r="W31" i="108"/>
  <c r="O93" i="108"/>
  <c r="AA30" i="108"/>
  <c r="W30" i="108"/>
  <c r="O89" i="108"/>
  <c r="AA29" i="108"/>
  <c r="W29" i="108"/>
  <c r="AA28" i="108"/>
  <c r="W28" i="108"/>
  <c r="AA27" i="108"/>
  <c r="W27" i="108"/>
  <c r="AA26" i="108"/>
  <c r="W26" i="108"/>
  <c r="AA25" i="108"/>
  <c r="W25" i="108"/>
  <c r="AA24" i="108"/>
  <c r="W24" i="108"/>
  <c r="AA23" i="108"/>
  <c r="W23" i="108"/>
  <c r="AA22" i="108"/>
  <c r="W22" i="108"/>
  <c r="P97" i="111"/>
  <c r="P89" i="111"/>
  <c r="P81" i="111"/>
  <c r="AD33" i="111"/>
  <c r="V33" i="111"/>
  <c r="Z32" i="111"/>
  <c r="V31" i="111"/>
  <c r="Z30" i="111"/>
  <c r="V29" i="111"/>
  <c r="Z28" i="111"/>
  <c r="AD27" i="111"/>
  <c r="V27" i="111"/>
  <c r="V25" i="111"/>
  <c r="M62" i="111"/>
  <c r="D58" i="111"/>
  <c r="T22" i="111" s="1"/>
  <c r="O65" i="111"/>
  <c r="O89" i="111"/>
  <c r="O97" i="111"/>
  <c r="P60" i="107"/>
  <c r="P76" i="107"/>
  <c r="O93" i="107"/>
  <c r="W26" i="107"/>
  <c r="S33" i="107"/>
  <c r="P102" i="107"/>
  <c r="AF33" i="107" s="1"/>
  <c r="O102" i="107"/>
  <c r="AE33" i="107" s="1"/>
  <c r="P98" i="107"/>
  <c r="S32" i="107"/>
  <c r="S31" i="107"/>
  <c r="P94" i="107"/>
  <c r="AF31" i="107" s="1"/>
  <c r="O94" i="107"/>
  <c r="S30" i="107"/>
  <c r="P90" i="107"/>
  <c r="S29" i="107"/>
  <c r="P86" i="107"/>
  <c r="AF29" i="107" s="1"/>
  <c r="O86" i="107"/>
  <c r="S28" i="107"/>
  <c r="P82" i="107"/>
  <c r="AF28" i="107" s="1"/>
  <c r="S27" i="107"/>
  <c r="P78" i="107"/>
  <c r="O78" i="107"/>
  <c r="S26" i="107"/>
  <c r="O74" i="107"/>
  <c r="AE26" i="107" s="1"/>
  <c r="S25" i="107"/>
  <c r="O70" i="107"/>
  <c r="AE25" i="107" s="1"/>
  <c r="O66" i="107"/>
  <c r="AE24" i="107" s="1"/>
  <c r="S24" i="107"/>
  <c r="S23" i="107"/>
  <c r="O62" i="107"/>
  <c r="AE23" i="107" s="1"/>
  <c r="AA33" i="107"/>
  <c r="W33" i="107"/>
  <c r="AA32" i="107"/>
  <c r="W32" i="107"/>
  <c r="AA31" i="107"/>
  <c r="W31" i="107"/>
  <c r="AA30" i="107"/>
  <c r="W30" i="107"/>
  <c r="AA29" i="107"/>
  <c r="W29" i="107"/>
  <c r="AA28" i="107"/>
  <c r="W28" i="107"/>
  <c r="AA27" i="107"/>
  <c r="W27" i="107"/>
  <c r="AA25" i="107"/>
  <c r="W25" i="107"/>
  <c r="AA24" i="107"/>
  <c r="W24" i="107"/>
  <c r="AA23" i="107"/>
  <c r="W23" i="107"/>
  <c r="AA22" i="107"/>
  <c r="W22" i="107"/>
  <c r="P105" i="108"/>
  <c r="P101" i="108"/>
  <c r="P97" i="108"/>
  <c r="P93" i="108"/>
  <c r="P89" i="108"/>
  <c r="P85" i="108"/>
  <c r="P81" i="108"/>
  <c r="P77" i="108"/>
  <c r="P73" i="108"/>
  <c r="P69" i="108"/>
  <c r="P65" i="108"/>
  <c r="P61" i="108"/>
  <c r="AD33" i="108"/>
  <c r="V33" i="108"/>
  <c r="AD32" i="108"/>
  <c r="Z32" i="108"/>
  <c r="V32" i="108"/>
  <c r="AD31" i="108"/>
  <c r="Z31" i="108"/>
  <c r="AD30" i="108"/>
  <c r="Z30" i="108"/>
  <c r="V30" i="108"/>
  <c r="AD29" i="108"/>
  <c r="Z29" i="108"/>
  <c r="V29" i="108"/>
  <c r="AD28" i="108"/>
  <c r="Z28" i="108"/>
  <c r="V28" i="108"/>
  <c r="Z27" i="108"/>
  <c r="V27" i="108"/>
  <c r="AD26" i="108"/>
  <c r="Z26" i="108"/>
  <c r="V26" i="108"/>
  <c r="AD25" i="108"/>
  <c r="V25" i="108"/>
  <c r="AD24" i="108"/>
  <c r="Z24" i="108"/>
  <c r="V24" i="108"/>
  <c r="AD23" i="108"/>
  <c r="Z23" i="108"/>
  <c r="AD22" i="108"/>
  <c r="Z22" i="108"/>
  <c r="V22" i="108"/>
  <c r="G62" i="111"/>
  <c r="P62" i="107"/>
  <c r="P66" i="107"/>
  <c r="AF24" i="107" s="1"/>
  <c r="P70" i="107"/>
  <c r="AF25" i="107" s="1"/>
  <c r="P74" i="107"/>
  <c r="O101" i="107"/>
  <c r="O97" i="107"/>
  <c r="P93" i="107"/>
  <c r="O89" i="107"/>
  <c r="P85" i="107"/>
  <c r="O81" i="107"/>
  <c r="P77" i="107"/>
  <c r="P73" i="107"/>
  <c r="P69" i="107"/>
  <c r="P65" i="107"/>
  <c r="P61" i="107"/>
  <c r="AD33" i="107"/>
  <c r="Z33" i="107"/>
  <c r="V33" i="107"/>
  <c r="AD32" i="107"/>
  <c r="Z32" i="107"/>
  <c r="V32" i="107"/>
  <c r="AD31" i="107"/>
  <c r="Z31" i="107"/>
  <c r="V31" i="107"/>
  <c r="AD30" i="107"/>
  <c r="Z30" i="107"/>
  <c r="V30" i="107"/>
  <c r="AD29" i="107"/>
  <c r="Z29" i="107"/>
  <c r="V29" i="107"/>
  <c r="AD28" i="107"/>
  <c r="Z28" i="107"/>
  <c r="V28" i="107"/>
  <c r="AD27" i="107"/>
  <c r="Z27" i="107"/>
  <c r="V27" i="107"/>
  <c r="AD26" i="107"/>
  <c r="Z26" i="107"/>
  <c r="V26" i="107"/>
  <c r="AD25" i="107"/>
  <c r="Z25" i="107"/>
  <c r="V25" i="107"/>
  <c r="AD24" i="107"/>
  <c r="Z24" i="107"/>
  <c r="V24" i="107"/>
  <c r="AD23" i="107"/>
  <c r="N62" i="111"/>
  <c r="AD23" i="111" s="1"/>
  <c r="Z23" i="107"/>
  <c r="J62" i="111"/>
  <c r="Z23" i="111" s="1"/>
  <c r="V23" i="107"/>
  <c r="F62" i="111"/>
  <c r="V23" i="111" s="1"/>
  <c r="AD22" i="107"/>
  <c r="N58" i="111"/>
  <c r="AD22" i="111" s="1"/>
  <c r="Z22" i="107"/>
  <c r="J58" i="111"/>
  <c r="Z22" i="111" s="1"/>
  <c r="V22" i="107"/>
  <c r="F58" i="111"/>
  <c r="O104" i="108"/>
  <c r="O100" i="108"/>
  <c r="O96" i="108"/>
  <c r="O92" i="108"/>
  <c r="O88" i="108"/>
  <c r="O84" i="108"/>
  <c r="O80" i="108"/>
  <c r="O76" i="108"/>
  <c r="O72" i="108"/>
  <c r="O68" i="108"/>
  <c r="O64" i="108"/>
  <c r="O60" i="108"/>
  <c r="AC33" i="108"/>
  <c r="Y33" i="108"/>
  <c r="U33" i="108"/>
  <c r="AC32" i="108"/>
  <c r="U32" i="108"/>
  <c r="AC31" i="108"/>
  <c r="Y31" i="108"/>
  <c r="U31" i="108"/>
  <c r="AC30" i="108"/>
  <c r="Y30" i="108"/>
  <c r="AC29" i="108"/>
  <c r="Y29" i="108"/>
  <c r="U29" i="108"/>
  <c r="AC28" i="108"/>
  <c r="Y28" i="108"/>
  <c r="U28" i="108"/>
  <c r="AC27" i="108"/>
  <c r="Y27" i="108"/>
  <c r="U27" i="108"/>
  <c r="Y26" i="108"/>
  <c r="U26" i="108"/>
  <c r="AC25" i="108"/>
  <c r="Y25" i="108"/>
  <c r="U25" i="108"/>
  <c r="AC24" i="108"/>
  <c r="U24" i="108"/>
  <c r="AC23" i="108"/>
  <c r="Y23" i="108"/>
  <c r="U23" i="108"/>
  <c r="AC22" i="108"/>
  <c r="Y22" i="108"/>
  <c r="K62" i="111"/>
  <c r="AA23" i="111" s="1"/>
  <c r="G58" i="111"/>
  <c r="W22" i="111" s="1"/>
  <c r="O85" i="107"/>
  <c r="O90" i="107"/>
  <c r="AE33" i="108" l="1"/>
  <c r="P63" i="111"/>
  <c r="O63" i="111"/>
  <c r="P95" i="111"/>
  <c r="AF31" i="111" s="1"/>
  <c r="O95" i="111"/>
  <c r="S22" i="111"/>
  <c r="O58" i="111"/>
  <c r="AE22" i="111" s="1"/>
  <c r="P58" i="111"/>
  <c r="O68" i="111"/>
  <c r="P68" i="111"/>
  <c r="P62" i="111"/>
  <c r="O66" i="111"/>
  <c r="P102" i="111"/>
  <c r="O93" i="111"/>
  <c r="AF30" i="107"/>
  <c r="AE24" i="108"/>
  <c r="AE28" i="108"/>
  <c r="AF31" i="108"/>
  <c r="P75" i="111"/>
  <c r="O75" i="111"/>
  <c r="AE26" i="111" s="1"/>
  <c r="AF22" i="107"/>
  <c r="S26" i="111"/>
  <c r="O85" i="111"/>
  <c r="S23" i="111"/>
  <c r="S24" i="111"/>
  <c r="O88" i="111"/>
  <c r="P88" i="111"/>
  <c r="P85" i="111"/>
  <c r="P86" i="111"/>
  <c r="AF29" i="111" s="1"/>
  <c r="V22" i="111"/>
  <c r="AF23" i="107"/>
  <c r="AF27" i="107"/>
  <c r="AE29" i="107"/>
  <c r="O81" i="111"/>
  <c r="AC23" i="111"/>
  <c r="AE23" i="108"/>
  <c r="AF26" i="108"/>
  <c r="AE27" i="108"/>
  <c r="AF30" i="108"/>
  <c r="AE31" i="108"/>
  <c r="P71" i="111"/>
  <c r="O71" i="111"/>
  <c r="P99" i="111"/>
  <c r="O99" i="111"/>
  <c r="P90" i="111"/>
  <c r="AF30" i="111" s="1"/>
  <c r="AC24" i="111"/>
  <c r="U25" i="111"/>
  <c r="AC26" i="111"/>
  <c r="Y27" i="111"/>
  <c r="AC28" i="111"/>
  <c r="AC29" i="111"/>
  <c r="Y31" i="111"/>
  <c r="Y32" i="111"/>
  <c r="O60" i="111"/>
  <c r="P60" i="111"/>
  <c r="O76" i="111"/>
  <c r="P76" i="111"/>
  <c r="P77" i="111"/>
  <c r="W32" i="111"/>
  <c r="O62" i="111"/>
  <c r="S31" i="111"/>
  <c r="T23" i="111"/>
  <c r="P82" i="111"/>
  <c r="O98" i="111"/>
  <c r="Y25" i="111"/>
  <c r="AC27" i="111"/>
  <c r="U29" i="111"/>
  <c r="AC30" i="111"/>
  <c r="AC31" i="111"/>
  <c r="Y33" i="111"/>
  <c r="O64" i="111"/>
  <c r="P64" i="111"/>
  <c r="O80" i="111"/>
  <c r="P80" i="111"/>
  <c r="P70" i="111"/>
  <c r="O102" i="111"/>
  <c r="O69" i="111"/>
  <c r="P91" i="111"/>
  <c r="O91" i="111"/>
  <c r="S30" i="111"/>
  <c r="O84" i="111"/>
  <c r="P84" i="111"/>
  <c r="U31" i="111"/>
  <c r="O72" i="111"/>
  <c r="AE25" i="111" s="1"/>
  <c r="P72" i="111"/>
  <c r="O96" i="111"/>
  <c r="P96" i="111"/>
  <c r="AE27" i="107"/>
  <c r="AF23" i="108"/>
  <c r="AF27" i="108"/>
  <c r="AE29" i="108"/>
  <c r="AE32" i="108"/>
  <c r="P59" i="111"/>
  <c r="O59" i="111"/>
  <c r="P79" i="111"/>
  <c r="O79" i="111"/>
  <c r="AE27" i="111" s="1"/>
  <c r="P103" i="111"/>
  <c r="O103" i="111"/>
  <c r="O100" i="111"/>
  <c r="P100" i="111"/>
  <c r="P98" i="111"/>
  <c r="W30" i="111"/>
  <c r="S33" i="111"/>
  <c r="AE30" i="107"/>
  <c r="AF26" i="107"/>
  <c r="W23" i="111"/>
  <c r="AE31" i="107"/>
  <c r="AF32" i="107"/>
  <c r="O105" i="111"/>
  <c r="O73" i="111"/>
  <c r="P73" i="111"/>
  <c r="P105" i="111"/>
  <c r="AF25" i="108"/>
  <c r="AE26" i="108"/>
  <c r="AE30" i="108"/>
  <c r="AF33" i="108"/>
  <c r="T24" i="111"/>
  <c r="AE28" i="107"/>
  <c r="P67" i="111"/>
  <c r="O67" i="111"/>
  <c r="P83" i="111"/>
  <c r="O83" i="111"/>
  <c r="P87" i="111"/>
  <c r="O87" i="111"/>
  <c r="AE22" i="107"/>
  <c r="P74" i="111"/>
  <c r="O90" i="111"/>
  <c r="O92" i="111"/>
  <c r="P92" i="111"/>
  <c r="P78" i="111"/>
  <c r="O94" i="111"/>
  <c r="AE31" i="111" s="1"/>
  <c r="P66" i="111"/>
  <c r="AF24" i="111" s="1"/>
  <c r="O82" i="111"/>
  <c r="S32" i="111"/>
  <c r="O104" i="111"/>
  <c r="P104" i="111"/>
  <c r="S25" i="111"/>
  <c r="O86" i="111"/>
  <c r="AF22" i="108"/>
  <c r="S27" i="111"/>
  <c r="P45" i="100"/>
  <c r="O44" i="100"/>
  <c r="O45" i="100"/>
  <c r="C3" i="94"/>
  <c r="AE30" i="111" l="1"/>
  <c r="AE23" i="111"/>
  <c r="AF27" i="111"/>
  <c r="AF26" i="111"/>
  <c r="AF25" i="111"/>
  <c r="AF28" i="111"/>
  <c r="AE24" i="111"/>
  <c r="AF33" i="111"/>
  <c r="AE33" i="111"/>
  <c r="AE32" i="111"/>
  <c r="AE29" i="111"/>
  <c r="AE28" i="111"/>
  <c r="AF32" i="111"/>
  <c r="AF23" i="111"/>
  <c r="AF22" i="111"/>
  <c r="K6" i="98"/>
  <c r="K6" i="99" s="1"/>
  <c r="K6" i="100" s="1"/>
  <c r="K6" i="101" s="1"/>
  <c r="K6" i="109" s="1"/>
  <c r="K6" i="105" s="1"/>
  <c r="K6" i="110" s="1"/>
  <c r="K6" i="103" s="1"/>
  <c r="K5" i="10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K5" i="95"/>
  <c r="G5" i="95"/>
  <c r="K6" i="94"/>
  <c r="G5" i="94"/>
  <c r="G6" i="104"/>
  <c r="G6" i="108" s="1"/>
  <c r="G6" i="110"/>
  <c r="G6" i="109"/>
  <c r="G6" i="100"/>
  <c r="G6" i="98"/>
  <c r="G6" i="96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7" l="1"/>
  <c r="K6" i="104"/>
  <c r="K6" i="108" s="1"/>
  <c r="K6" i="111" s="1"/>
  <c r="K5" i="107"/>
  <c r="K5" i="108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AA39" i="101" l="1"/>
  <c r="Y39" i="109"/>
  <c r="X26" i="98"/>
  <c r="AA27" i="99"/>
  <c r="X39" i="105"/>
  <c r="AD38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U38" i="110" s="1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Y16" i="108" s="1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U17" i="108" s="1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Y18" i="108" s="1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U19" i="108" s="1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6" i="108" s="1"/>
  <c r="AA18" i="94"/>
  <c r="K42" i="108"/>
  <c r="M54" i="108"/>
  <c r="M50" i="108"/>
  <c r="AC20" i="108" s="1"/>
  <c r="M46" i="108"/>
  <c r="C42" i="108"/>
  <c r="C34" i="108"/>
  <c r="C26" i="108"/>
  <c r="S14" i="108" s="1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U20" i="108" s="1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I22" i="108"/>
  <c r="Y13" i="108" s="1"/>
  <c r="K22" i="108"/>
  <c r="AA13" i="108" s="1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K50" i="108"/>
  <c r="G50" i="108"/>
  <c r="C50" i="108"/>
  <c r="S20" i="108" s="1"/>
  <c r="K46" i="108"/>
  <c r="G46" i="108"/>
  <c r="G38" i="108"/>
  <c r="G30" i="108"/>
  <c r="W15" i="108" s="1"/>
  <c r="G26" i="108"/>
  <c r="F22" i="108"/>
  <c r="H12" i="108"/>
  <c r="L12" i="108"/>
  <c r="D13" i="108"/>
  <c r="H13" i="108"/>
  <c r="L13" i="108"/>
  <c r="D14" i="108"/>
  <c r="T11" i="108" s="1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T12" i="108" s="1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T13" i="108" s="1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P44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AD17" i="107" s="1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A10" i="107" l="1"/>
  <c r="K106" i="107"/>
  <c r="Z21" i="107"/>
  <c r="AD20" i="107"/>
  <c r="V20" i="107"/>
  <c r="AD19" i="107"/>
  <c r="V19" i="107"/>
  <c r="Z18" i="107"/>
  <c r="AD15" i="107"/>
  <c r="V15" i="107"/>
  <c r="AD14" i="107"/>
  <c r="V14" i="107"/>
  <c r="AD13" i="107"/>
  <c r="V13" i="107"/>
  <c r="Z12" i="107"/>
  <c r="Z11" i="107"/>
  <c r="T10" i="108"/>
  <c r="D106" i="108"/>
  <c r="AD18" i="108"/>
  <c r="V17" i="108"/>
  <c r="V15" i="108"/>
  <c r="V14" i="108"/>
  <c r="W11" i="108"/>
  <c r="V21" i="108"/>
  <c r="V36" i="108" s="1"/>
  <c r="V20" i="108"/>
  <c r="V10" i="107"/>
  <c r="F106" i="107"/>
  <c r="AC21" i="107"/>
  <c r="U20" i="107"/>
  <c r="AC19" i="107"/>
  <c r="AC18" i="107"/>
  <c r="Y17" i="107"/>
  <c r="U16" i="107"/>
  <c r="Y15" i="107"/>
  <c r="U14" i="107"/>
  <c r="U13" i="107"/>
  <c r="U12" i="107"/>
  <c r="AC11" i="107"/>
  <c r="X10" i="108"/>
  <c r="H106" i="108"/>
  <c r="AB18" i="108"/>
  <c r="T18" i="108"/>
  <c r="AB17" i="108"/>
  <c r="T17" i="108"/>
  <c r="AB16" i="108"/>
  <c r="T16" i="108"/>
  <c r="AB15" i="108"/>
  <c r="T15" i="108"/>
  <c r="AB14" i="108"/>
  <c r="T14" i="108"/>
  <c r="T35" i="108" s="1"/>
  <c r="W17" i="108"/>
  <c r="W20" i="108"/>
  <c r="Y38" i="108"/>
  <c r="Y20" i="108"/>
  <c r="S15" i="108"/>
  <c r="U21" i="108"/>
  <c r="AD10" i="108"/>
  <c r="N106" i="108"/>
  <c r="S16" i="108"/>
  <c r="AC21" i="108"/>
  <c r="W18" i="108"/>
  <c r="AC17" i="108"/>
  <c r="W16" i="108"/>
  <c r="AC15" i="108"/>
  <c r="AC12" i="108"/>
  <c r="U12" i="108"/>
  <c r="AC11" i="108"/>
  <c r="U11" i="108"/>
  <c r="I106" i="108"/>
  <c r="Y10" i="108"/>
  <c r="AB21" i="108"/>
  <c r="T21" i="108"/>
  <c r="T36" i="108" s="1"/>
  <c r="AB20" i="108"/>
  <c r="T20" i="108"/>
  <c r="T39" i="108" s="1"/>
  <c r="AB19" i="108"/>
  <c r="AD11" i="108"/>
  <c r="V39" i="108"/>
  <c r="AD17" i="108"/>
  <c r="V16" i="108"/>
  <c r="T38" i="108"/>
  <c r="AA10" i="108"/>
  <c r="K106" i="108"/>
  <c r="Z10" i="107"/>
  <c r="J106" i="107"/>
  <c r="Y21" i="107"/>
  <c r="Y20" i="107"/>
  <c r="Y19" i="107"/>
  <c r="Y18" i="107"/>
  <c r="AC17" i="107"/>
  <c r="AC16" i="107"/>
  <c r="AC15" i="107"/>
  <c r="AC14" i="107"/>
  <c r="AC13" i="107"/>
  <c r="AC12" i="107"/>
  <c r="U11" i="107"/>
  <c r="Y10" i="107"/>
  <c r="I106" i="107"/>
  <c r="U10" i="107"/>
  <c r="E106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X26" i="96"/>
  <c r="AB10" i="108"/>
  <c r="L106" i="108"/>
  <c r="Z18" i="108"/>
  <c r="Z17" i="108"/>
  <c r="Z16" i="108"/>
  <c r="Z15" i="108"/>
  <c r="Z14" i="108"/>
  <c r="AB13" i="108"/>
  <c r="AB12" i="108"/>
  <c r="AB11" i="108"/>
  <c r="V13" i="108"/>
  <c r="W19" i="108"/>
  <c r="AA20" i="108"/>
  <c r="W13" i="108"/>
  <c r="Y21" i="108"/>
  <c r="AA21" i="108"/>
  <c r="S17" i="108"/>
  <c r="J106" i="108"/>
  <c r="Z10" i="108"/>
  <c r="S18" i="108"/>
  <c r="S38" i="108" s="1"/>
  <c r="AA18" i="108"/>
  <c r="AA15" i="108"/>
  <c r="AA38" i="108" s="1"/>
  <c r="U18" i="108"/>
  <c r="AA17" i="108"/>
  <c r="AA35" i="108" s="1"/>
  <c r="U16" i="108"/>
  <c r="Y15" i="108"/>
  <c r="AC14" i="108"/>
  <c r="AA12" i="108"/>
  <c r="S12" i="108"/>
  <c r="AA11" i="108"/>
  <c r="S11" i="108"/>
  <c r="W10" i="108"/>
  <c r="G106" i="108"/>
  <c r="Z21" i="108"/>
  <c r="Z20" i="108"/>
  <c r="Z19" i="108"/>
  <c r="AD12" i="108"/>
  <c r="Z11" i="108"/>
  <c r="S10" i="107"/>
  <c r="C106" i="107"/>
  <c r="W10" i="107"/>
  <c r="G106" i="107"/>
  <c r="AD21" i="107"/>
  <c r="V21" i="107"/>
  <c r="Z20" i="107"/>
  <c r="Z19" i="107"/>
  <c r="AD18" i="107"/>
  <c r="V18" i="107"/>
  <c r="Z17" i="107"/>
  <c r="V17" i="107"/>
  <c r="AD16" i="107"/>
  <c r="Z16" i="107"/>
  <c r="V16" i="107"/>
  <c r="Z15" i="107"/>
  <c r="Z14" i="107"/>
  <c r="Z13" i="107"/>
  <c r="AD12" i="107"/>
  <c r="V12" i="107"/>
  <c r="AD11" i="107"/>
  <c r="V11" i="107"/>
  <c r="V18" i="108"/>
  <c r="AD16" i="108"/>
  <c r="AD15" i="108"/>
  <c r="AD14" i="108"/>
  <c r="U39" i="108"/>
  <c r="U36" i="108"/>
  <c r="U14" i="108"/>
  <c r="W12" i="108"/>
  <c r="AD21" i="108"/>
  <c r="AD20" i="108"/>
  <c r="AD19" i="108"/>
  <c r="Z13" i="108"/>
  <c r="AD10" i="107"/>
  <c r="N106" i="107"/>
  <c r="U21" i="107"/>
  <c r="AC20" i="107"/>
  <c r="U19" i="107"/>
  <c r="U18" i="107"/>
  <c r="U17" i="107"/>
  <c r="Y16" i="107"/>
  <c r="U15" i="107"/>
  <c r="Y14" i="107"/>
  <c r="Y13" i="107"/>
  <c r="Y12" i="107"/>
  <c r="Y11" i="107"/>
  <c r="AC10" i="107"/>
  <c r="M106" i="107"/>
  <c r="AB10" i="107"/>
  <c r="L106" i="107"/>
  <c r="H106" i="107"/>
  <c r="X10" i="107"/>
  <c r="T10" i="107"/>
  <c r="D106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V39" i="109"/>
  <c r="S35" i="110"/>
  <c r="S10" i="108"/>
  <c r="C106" i="108"/>
  <c r="X18" i="108"/>
  <c r="X17" i="108"/>
  <c r="X16" i="108"/>
  <c r="X15" i="108"/>
  <c r="X14" i="108"/>
  <c r="X13" i="108"/>
  <c r="X12" i="108"/>
  <c r="X11" i="108"/>
  <c r="W14" i="108"/>
  <c r="AA19" i="108"/>
  <c r="S21" i="108"/>
  <c r="AC13" i="108"/>
  <c r="U13" i="108"/>
  <c r="V11" i="108"/>
  <c r="S19" i="108"/>
  <c r="V10" i="108"/>
  <c r="F106" i="108"/>
  <c r="AC19" i="108"/>
  <c r="Y19" i="108"/>
  <c r="AC18" i="108"/>
  <c r="Y17" i="108"/>
  <c r="S38" i="110"/>
  <c r="AC16" i="108"/>
  <c r="U15" i="108"/>
  <c r="Y14" i="108"/>
  <c r="Y35" i="108" s="1"/>
  <c r="Y12" i="108"/>
  <c r="Y11" i="108"/>
  <c r="M106" i="108"/>
  <c r="AC10" i="108"/>
  <c r="E106" i="108"/>
  <c r="U10" i="108"/>
  <c r="X21" i="108"/>
  <c r="X20" i="108"/>
  <c r="X19" i="108"/>
  <c r="AD13" i="108"/>
  <c r="Z12" i="108"/>
  <c r="Y38" i="105"/>
  <c r="U38" i="109"/>
  <c r="AB26" i="98"/>
  <c r="AF32" i="101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S20" i="111" s="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U18" i="111" s="1"/>
  <c r="C42" i="111"/>
  <c r="S18" i="111" s="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AB21" i="111" s="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AB19" i="111" s="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AB17" i="111" s="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AB15" i="111" s="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AB14" i="111" s="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AD13" i="111" s="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X11" i="111" s="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U14" i="111" s="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W12" i="111" s="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W11" i="111" s="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AD20" i="111" s="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AC19" i="111" s="1"/>
  <c r="K46" i="111"/>
  <c r="I46" i="111"/>
  <c r="Y19" i="111" s="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U15" i="111" s="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U13" i="111" s="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U11" i="111" s="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AF14" i="108" s="1"/>
  <c r="U24" i="94"/>
  <c r="AC26" i="94"/>
  <c r="O51" i="108"/>
  <c r="O47" i="108"/>
  <c r="O26" i="108"/>
  <c r="O22" i="108"/>
  <c r="O18" i="108"/>
  <c r="P54" i="108"/>
  <c r="O50" i="108"/>
  <c r="O44" i="108"/>
  <c r="O46" i="108"/>
  <c r="AE19" i="108" s="1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AF16" i="108" s="1"/>
  <c r="O54" i="108"/>
  <c r="O42" i="108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AE17" i="107" s="1"/>
  <c r="P37" i="107"/>
  <c r="O36" i="107"/>
  <c r="O35" i="107"/>
  <c r="O34" i="107"/>
  <c r="AE16" i="107" s="1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AF17" i="107" s="1"/>
  <c r="P30" i="107"/>
  <c r="AF15" i="107" s="1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14" i="107" l="1"/>
  <c r="AF19" i="108"/>
  <c r="AB38" i="111"/>
  <c r="AB35" i="111"/>
  <c r="AD39" i="111"/>
  <c r="AD36" i="111"/>
  <c r="W38" i="111"/>
  <c r="W35" i="111"/>
  <c r="U16" i="111"/>
  <c r="Z12" i="111"/>
  <c r="U17" i="111"/>
  <c r="U35" i="111" s="1"/>
  <c r="U19" i="111"/>
  <c r="W21" i="111"/>
  <c r="T10" i="111"/>
  <c r="D106" i="111"/>
  <c r="AA38" i="107"/>
  <c r="AA35" i="107"/>
  <c r="AC34" i="107"/>
  <c r="AC37" i="107"/>
  <c r="AC41" i="107"/>
  <c r="AC42" i="107" s="1"/>
  <c r="AC40" i="107"/>
  <c r="W37" i="108"/>
  <c r="W41" i="108"/>
  <c r="W40" i="108"/>
  <c r="W34" i="108"/>
  <c r="W36" i="108"/>
  <c r="W39" i="108"/>
  <c r="X38" i="107"/>
  <c r="X35" i="107"/>
  <c r="AA37" i="108"/>
  <c r="AA41" i="108"/>
  <c r="AA42" i="108" s="1"/>
  <c r="AA34" i="108"/>
  <c r="AA40" i="108"/>
  <c r="AE10" i="107"/>
  <c r="O106" i="107"/>
  <c r="H108" i="107" s="1"/>
  <c r="AE15" i="107"/>
  <c r="AF14" i="107"/>
  <c r="AE12" i="107"/>
  <c r="AF18" i="107"/>
  <c r="AF19" i="107"/>
  <c r="AF20" i="107"/>
  <c r="AE21" i="107"/>
  <c r="AF12" i="107"/>
  <c r="AE16" i="108"/>
  <c r="AF18" i="108"/>
  <c r="AF11" i="108"/>
  <c r="AE13" i="108"/>
  <c r="AF17" i="108"/>
  <c r="S42" i="110"/>
  <c r="AA10" i="111"/>
  <c r="K106" i="111"/>
  <c r="Y11" i="111"/>
  <c r="Y12" i="111"/>
  <c r="Y13" i="111"/>
  <c r="Y14" i="111"/>
  <c r="AC15" i="111"/>
  <c r="AC16" i="111"/>
  <c r="W18" i="111"/>
  <c r="Y39" i="111"/>
  <c r="Y36" i="111"/>
  <c r="Y20" i="111"/>
  <c r="U21" i="111"/>
  <c r="X10" i="111"/>
  <c r="H106" i="111"/>
  <c r="T11" i="111"/>
  <c r="T12" i="111"/>
  <c r="T13" i="111"/>
  <c r="AA11" i="111"/>
  <c r="AA12" i="111"/>
  <c r="AA13" i="111"/>
  <c r="AA14" i="111"/>
  <c r="Y15" i="111"/>
  <c r="Y16" i="111"/>
  <c r="AD11" i="111"/>
  <c r="S10" i="111"/>
  <c r="C106" i="111"/>
  <c r="AA17" i="111"/>
  <c r="Y18" i="111"/>
  <c r="W19" i="111"/>
  <c r="U20" i="111"/>
  <c r="Y21" i="111"/>
  <c r="Z10" i="111"/>
  <c r="J106" i="111"/>
  <c r="AD38" i="108"/>
  <c r="AD35" i="108"/>
  <c r="U34" i="108"/>
  <c r="U41" i="108"/>
  <c r="U40" i="108"/>
  <c r="U37" i="108"/>
  <c r="Y39" i="108"/>
  <c r="Y36" i="108"/>
  <c r="S36" i="108"/>
  <c r="S39" i="108"/>
  <c r="S37" i="108"/>
  <c r="S41" i="108"/>
  <c r="S40" i="108"/>
  <c r="S34" i="108"/>
  <c r="W36" i="107"/>
  <c r="W39" i="107"/>
  <c r="U39" i="107"/>
  <c r="U36" i="107"/>
  <c r="AD41" i="107"/>
  <c r="AD42" i="107" s="1"/>
  <c r="AD37" i="107"/>
  <c r="AD34" i="107"/>
  <c r="AD40" i="107"/>
  <c r="S37" i="107"/>
  <c r="S41" i="107"/>
  <c r="S42" i="107" s="1"/>
  <c r="S34" i="107"/>
  <c r="S40" i="107"/>
  <c r="Z41" i="108"/>
  <c r="Z34" i="108"/>
  <c r="Z40" i="108"/>
  <c r="Z37" i="108"/>
  <c r="V38" i="108"/>
  <c r="V35" i="108"/>
  <c r="AB38" i="107"/>
  <c r="AB35" i="107"/>
  <c r="T39" i="107"/>
  <c r="T36" i="107"/>
  <c r="Y34" i="107"/>
  <c r="Y37" i="107"/>
  <c r="Y41" i="107"/>
  <c r="Y40" i="107"/>
  <c r="X41" i="108"/>
  <c r="X34" i="108"/>
  <c r="X40" i="108"/>
  <c r="X37" i="108"/>
  <c r="V39" i="107"/>
  <c r="V36" i="107"/>
  <c r="U38" i="111"/>
  <c r="V41" i="108"/>
  <c r="V42" i="108" s="1"/>
  <c r="V37" i="108"/>
  <c r="V34" i="108"/>
  <c r="V40" i="108"/>
  <c r="S36" i="107"/>
  <c r="S39" i="107"/>
  <c r="AF10" i="107"/>
  <c r="P106" i="107"/>
  <c r="AF16" i="107"/>
  <c r="AE18" i="107"/>
  <c r="AE19" i="107"/>
  <c r="AE20" i="107"/>
  <c r="AF21" i="107"/>
  <c r="AF11" i="107"/>
  <c r="AE18" i="108"/>
  <c r="AF20" i="108"/>
  <c r="AF15" i="108"/>
  <c r="AE20" i="108"/>
  <c r="AE36" i="108" s="1"/>
  <c r="AE14" i="108"/>
  <c r="AF10" i="108"/>
  <c r="P106" i="108"/>
  <c r="AC11" i="111"/>
  <c r="AC12" i="111"/>
  <c r="AC13" i="111"/>
  <c r="Y17" i="111"/>
  <c r="AC18" i="111"/>
  <c r="AA19" i="111"/>
  <c r="AC21" i="111"/>
  <c r="AD10" i="111"/>
  <c r="N106" i="111"/>
  <c r="V12" i="111"/>
  <c r="V13" i="111"/>
  <c r="V14" i="111"/>
  <c r="V15" i="111"/>
  <c r="V16" i="111"/>
  <c r="V17" i="111"/>
  <c r="V18" i="111"/>
  <c r="V19" i="111"/>
  <c r="V20" i="111"/>
  <c r="V21" i="111"/>
  <c r="AC14" i="111"/>
  <c r="AA15" i="111"/>
  <c r="AA16" i="111"/>
  <c r="T14" i="111"/>
  <c r="T15" i="111"/>
  <c r="T16" i="111"/>
  <c r="T17" i="111"/>
  <c r="T18" i="111"/>
  <c r="T19" i="111"/>
  <c r="T20" i="111"/>
  <c r="T21" i="111"/>
  <c r="U10" i="111"/>
  <c r="E106" i="111"/>
  <c r="AA18" i="111"/>
  <c r="AA20" i="111"/>
  <c r="AA21" i="111"/>
  <c r="AB10" i="111"/>
  <c r="L106" i="111"/>
  <c r="X39" i="108"/>
  <c r="X36" i="108"/>
  <c r="AC39" i="108"/>
  <c r="AC36" i="108"/>
  <c r="AA36" i="108"/>
  <c r="AA39" i="108"/>
  <c r="X38" i="108"/>
  <c r="X35" i="108"/>
  <c r="S38" i="107"/>
  <c r="S35" i="107"/>
  <c r="AA36" i="107"/>
  <c r="AA39" i="107"/>
  <c r="T41" i="107"/>
  <c r="T34" i="107"/>
  <c r="T37" i="107"/>
  <c r="T40" i="107"/>
  <c r="AB41" i="107"/>
  <c r="AB40" i="107"/>
  <c r="AB37" i="107"/>
  <c r="AB34" i="107"/>
  <c r="Z38" i="108"/>
  <c r="Z35" i="108"/>
  <c r="S35" i="108"/>
  <c r="Z39" i="107"/>
  <c r="Z36" i="107"/>
  <c r="W38" i="108"/>
  <c r="W35" i="108"/>
  <c r="X39" i="107"/>
  <c r="X36" i="107"/>
  <c r="Y39" i="107"/>
  <c r="Y36" i="107"/>
  <c r="Z41" i="107"/>
  <c r="Z42" i="107" s="1"/>
  <c r="Z34" i="107"/>
  <c r="Z40" i="107"/>
  <c r="Z37" i="107"/>
  <c r="AB39" i="108"/>
  <c r="AB36" i="108"/>
  <c r="AC39" i="107"/>
  <c r="AC36" i="107"/>
  <c r="V41" i="107"/>
  <c r="V42" i="107" s="1"/>
  <c r="V37" i="107"/>
  <c r="V34" i="107"/>
  <c r="V40" i="107"/>
  <c r="V38" i="107"/>
  <c r="V35" i="107"/>
  <c r="AD39" i="107"/>
  <c r="AD36" i="107"/>
  <c r="AF13" i="107"/>
  <c r="AE12" i="108"/>
  <c r="AE10" i="108"/>
  <c r="O106" i="108"/>
  <c r="W10" i="111"/>
  <c r="G106" i="111"/>
  <c r="S39" i="111"/>
  <c r="S36" i="111"/>
  <c r="V10" i="111"/>
  <c r="F106" i="111"/>
  <c r="AD35" i="111"/>
  <c r="AD38" i="111"/>
  <c r="AB36" i="111"/>
  <c r="AB39" i="111"/>
  <c r="AC10" i="111"/>
  <c r="M106" i="111"/>
  <c r="AC35" i="108"/>
  <c r="AC38" i="108"/>
  <c r="Z38" i="107"/>
  <c r="Z35" i="107"/>
  <c r="Z39" i="108"/>
  <c r="Z36" i="108"/>
  <c r="AB38" i="108"/>
  <c r="AB35" i="108"/>
  <c r="AC35" i="107"/>
  <c r="AC38" i="107"/>
  <c r="AD41" i="108"/>
  <c r="AD37" i="108"/>
  <c r="AD34" i="108"/>
  <c r="AD40" i="108"/>
  <c r="U35" i="107"/>
  <c r="U38" i="107"/>
  <c r="AE11" i="107"/>
  <c r="AE13" i="107"/>
  <c r="AE21" i="108"/>
  <c r="AF21" i="108"/>
  <c r="AE11" i="108"/>
  <c r="AE15" i="108"/>
  <c r="AE17" i="108"/>
  <c r="AF13" i="108"/>
  <c r="AC17" i="111"/>
  <c r="AC39" i="111"/>
  <c r="AB12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I106" i="111"/>
  <c r="Y10" i="111"/>
  <c r="S17" i="111"/>
  <c r="AC20" i="111"/>
  <c r="AC36" i="111" s="1"/>
  <c r="AC34" i="108"/>
  <c r="AC41" i="108"/>
  <c r="AC42" i="108" s="1"/>
  <c r="AC40" i="108"/>
  <c r="AC37" i="108"/>
  <c r="U35" i="108"/>
  <c r="U38" i="108"/>
  <c r="W38" i="107"/>
  <c r="W35" i="107"/>
  <c r="X41" i="107"/>
  <c r="X34" i="107"/>
  <c r="X40" i="107"/>
  <c r="X37" i="107"/>
  <c r="Y35" i="107"/>
  <c r="Y38" i="107"/>
  <c r="AD39" i="108"/>
  <c r="AD36" i="108"/>
  <c r="W37" i="107"/>
  <c r="W41" i="107"/>
  <c r="W42" i="107" s="1"/>
  <c r="W34" i="107"/>
  <c r="W40" i="107"/>
  <c r="AB41" i="108"/>
  <c r="AB34" i="108"/>
  <c r="AB40" i="108"/>
  <c r="AB37" i="108"/>
  <c r="T38" i="107"/>
  <c r="T35" i="107"/>
  <c r="AB39" i="107"/>
  <c r="AB36" i="107"/>
  <c r="U34" i="107"/>
  <c r="U41" i="107"/>
  <c r="U42" i="107" s="1"/>
  <c r="U40" i="107"/>
  <c r="U37" i="107"/>
  <c r="Y34" i="108"/>
  <c r="Y37" i="108"/>
  <c r="Y41" i="108"/>
  <c r="Y40" i="108"/>
  <c r="T41" i="108"/>
  <c r="T40" i="108"/>
  <c r="T42" i="108" s="1"/>
  <c r="T34" i="108"/>
  <c r="T37" i="108"/>
  <c r="AD38" i="107"/>
  <c r="AD35" i="107"/>
  <c r="AA37" i="107"/>
  <c r="AA41" i="107"/>
  <c r="AA34" i="107"/>
  <c r="AA40" i="107"/>
  <c r="AE24" i="98"/>
  <c r="O47" i="111"/>
  <c r="O52" i="111"/>
  <c r="O12" i="111"/>
  <c r="P26" i="111"/>
  <c r="P46" i="111"/>
  <c r="P10" i="111"/>
  <c r="O22" i="111"/>
  <c r="AE13" i="111" s="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AE14" i="111" s="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AE21" i="111" s="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E10" i="111" l="1"/>
  <c r="O106" i="111"/>
  <c r="AF21" i="111"/>
  <c r="X36" i="111"/>
  <c r="X39" i="111"/>
  <c r="AF41" i="107"/>
  <c r="AF34" i="107"/>
  <c r="AF40" i="107"/>
  <c r="AF42" i="107" s="1"/>
  <c r="AF37" i="107"/>
  <c r="AF11" i="111"/>
  <c r="AE19" i="111"/>
  <c r="AF16" i="111"/>
  <c r="AE18" i="111"/>
  <c r="AF10" i="111"/>
  <c r="P106" i="111"/>
  <c r="N107" i="111" s="1"/>
  <c r="Z35" i="111"/>
  <c r="Z38" i="111"/>
  <c r="V40" i="111"/>
  <c r="V37" i="111"/>
  <c r="V41" i="111"/>
  <c r="V42" i="111" s="1"/>
  <c r="V34" i="111"/>
  <c r="AF38" i="107"/>
  <c r="AF35" i="107"/>
  <c r="T42" i="107"/>
  <c r="S42" i="108"/>
  <c r="U42" i="108"/>
  <c r="W39" i="111"/>
  <c r="W36" i="111"/>
  <c r="AE38" i="108"/>
  <c r="AE35" i="108"/>
  <c r="W42" i="108"/>
  <c r="AF13" i="111"/>
  <c r="AF20" i="111"/>
  <c r="AF15" i="111"/>
  <c r="AE11" i="111"/>
  <c r="AE16" i="111"/>
  <c r="AF19" i="111"/>
  <c r="AA42" i="107"/>
  <c r="X38" i="111"/>
  <c r="X35" i="111"/>
  <c r="S38" i="111"/>
  <c r="S35" i="111"/>
  <c r="AF38" i="108"/>
  <c r="AF35" i="108"/>
  <c r="AB40" i="111"/>
  <c r="AB37" i="111"/>
  <c r="AB41" i="111"/>
  <c r="AB42" i="111" s="1"/>
  <c r="AB34" i="111"/>
  <c r="T36" i="111"/>
  <c r="T39" i="111"/>
  <c r="AD40" i="111"/>
  <c r="AD37" i="111"/>
  <c r="AD41" i="111"/>
  <c r="AD34" i="111"/>
  <c r="AE39" i="108"/>
  <c r="X42" i="108"/>
  <c r="Y42" i="107"/>
  <c r="Z42" i="108"/>
  <c r="Z40" i="111"/>
  <c r="Z34" i="111"/>
  <c r="Z37" i="111"/>
  <c r="Z41" i="111"/>
  <c r="AA38" i="111"/>
  <c r="AA35" i="111"/>
  <c r="Y38" i="111"/>
  <c r="Y35" i="111"/>
  <c r="AA41" i="111"/>
  <c r="AA42" i="111" s="1"/>
  <c r="AA37" i="111"/>
  <c r="AA40" i="111"/>
  <c r="AA34" i="111"/>
  <c r="AE37" i="107"/>
  <c r="AE41" i="107"/>
  <c r="AE42" i="107" s="1"/>
  <c r="AE40" i="107"/>
  <c r="AE34" i="107"/>
  <c r="T40" i="111"/>
  <c r="T34" i="111"/>
  <c r="T41" i="111"/>
  <c r="T37" i="111"/>
  <c r="AF39" i="108"/>
  <c r="AF36" i="108"/>
  <c r="Y41" i="111"/>
  <c r="Y34" i="111"/>
  <c r="Y37" i="111"/>
  <c r="Y40" i="111"/>
  <c r="AE38" i="107"/>
  <c r="AE35" i="107"/>
  <c r="AA39" i="111"/>
  <c r="AA36" i="111"/>
  <c r="AE39" i="107"/>
  <c r="AE36" i="107"/>
  <c r="AF39" i="107"/>
  <c r="AF36" i="107"/>
  <c r="U39" i="111"/>
  <c r="U36" i="111"/>
  <c r="AE17" i="111"/>
  <c r="W41" i="111"/>
  <c r="W34" i="111"/>
  <c r="W40" i="111"/>
  <c r="W37" i="111"/>
  <c r="V39" i="111"/>
  <c r="V36" i="111"/>
  <c r="S41" i="111"/>
  <c r="S42" i="111" s="1"/>
  <c r="S37" i="111"/>
  <c r="S34" i="111"/>
  <c r="S40" i="111"/>
  <c r="T38" i="111"/>
  <c r="T35" i="111"/>
  <c r="X34" i="111"/>
  <c r="X41" i="111"/>
  <c r="X40" i="111"/>
  <c r="X37" i="111"/>
  <c r="AF12" i="111"/>
  <c r="AE12" i="111"/>
  <c r="AE20" i="111"/>
  <c r="AF18" i="111"/>
  <c r="AE15" i="111"/>
  <c r="AE38" i="111" s="1"/>
  <c r="AF17" i="111"/>
  <c r="AF14" i="111"/>
  <c r="Y42" i="108"/>
  <c r="AB42" i="108"/>
  <c r="X42" i="107"/>
  <c r="Z39" i="111"/>
  <c r="Z36" i="111"/>
  <c r="AD42" i="108"/>
  <c r="AC41" i="111"/>
  <c r="AC34" i="111"/>
  <c r="AC40" i="111"/>
  <c r="AC37" i="111"/>
  <c r="AE37" i="108"/>
  <c r="AE41" i="108"/>
  <c r="AE42" i="108" s="1"/>
  <c r="AE40" i="108"/>
  <c r="AE34" i="108"/>
  <c r="AB42" i="107"/>
  <c r="U41" i="111"/>
  <c r="U34" i="111"/>
  <c r="U40" i="111"/>
  <c r="U37" i="111"/>
  <c r="V35" i="111"/>
  <c r="V38" i="111"/>
  <c r="AC38" i="111"/>
  <c r="AC35" i="111"/>
  <c r="AF41" i="108"/>
  <c r="AF34" i="108"/>
  <c r="AF40" i="108"/>
  <c r="AF37" i="108"/>
  <c r="K108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9" i="111" l="1"/>
  <c r="AE36" i="111"/>
  <c r="AF42" i="108"/>
  <c r="U42" i="111"/>
  <c r="W42" i="111"/>
  <c r="Y42" i="111"/>
  <c r="AE35" i="111"/>
  <c r="Z42" i="111"/>
  <c r="AF37" i="111"/>
  <c r="AF40" i="111"/>
  <c r="AF41" i="111"/>
  <c r="AF42" i="111" s="1"/>
  <c r="AF34" i="111"/>
  <c r="AF38" i="111"/>
  <c r="AF35" i="111"/>
  <c r="X42" i="111"/>
  <c r="AC42" i="111"/>
  <c r="T42" i="111"/>
  <c r="AD42" i="111"/>
  <c r="AF39" i="111"/>
  <c r="AF36" i="111"/>
  <c r="AE41" i="111"/>
  <c r="AE37" i="111"/>
  <c r="AE34" i="111"/>
  <c r="AE40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</calcChain>
</file>

<file path=xl/sharedStrings.xml><?xml version="1.0" encoding="utf-8"?>
<sst xmlns="http://schemas.openxmlformats.org/spreadsheetml/2006/main" count="2334" uniqueCount="178">
  <si>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</si>
  <si>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</si>
  <si>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</si>
  <si>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</si>
  <si>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</si>
  <si>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</si>
  <si>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</si>
  <si>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</si>
  <si>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</si>
  <si>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</si>
  <si>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</si>
  <si>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</si>
  <si>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</si>
  <si>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</si>
  <si>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</si>
  <si>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</si>
  <si>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</si>
  <si>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</si>
  <si>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</si>
  <si>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</si>
  <si>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</si>
  <si>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</si>
  <si>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</si>
  <si>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</si>
  <si>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</si>
  <si>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</si>
  <si>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</si>
  <si>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</si>
  <si>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</si>
  <si>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</si>
  <si>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</si>
  <si>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</si>
  <si>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</si>
  <si>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</si>
  <si>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</si>
  <si>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</si>
  <si>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</si>
  <si>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</si>
  <si>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</si>
  <si>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</si>
  <si>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</si>
  <si>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</si>
  <si>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</si>
  <si>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</si>
  <si>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</si>
  <si>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</si>
  <si>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</si>
  <si>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</si>
  <si>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</si>
  <si>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</si>
  <si>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</si>
  <si>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</si>
  <si>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</si>
  <si>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</si>
  <si>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</si>
  <si>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</si>
  <si>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</si>
  <si>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</si>
  <si>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</si>
  <si>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</si>
  <si>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</si>
  <si>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</si>
  <si>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</si>
  <si>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</si>
  <si>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</si>
  <si>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</si>
  <si>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</si>
  <si>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</si>
  <si>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</si>
  <si>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</si>
  <si>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</si>
  <si>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</si>
  <si>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</si>
  <si>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</si>
  <si>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</si>
  <si>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</si>
  <si>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</si>
  <si>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</si>
  <si>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</si>
  <si>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</si>
  <si>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</si>
  <si>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</si>
  <si>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</si>
  <si>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</si>
  <si>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</si>
  <si>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</si>
  <si>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</si>
  <si>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</si>
  <si>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</si>
  <si>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</si>
  <si>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</si>
  <si>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</si>
  <si>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</si>
  <si>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</si>
  <si>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</si>
  <si>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</si>
  <si>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</si>
  <si>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</si>
  <si>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</si>
  <si>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</si>
  <si>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</si>
  <si>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</si>
  <si>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</si>
  <si>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</si>
  <si>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</si>
  <si>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</si>
  <si>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</si>
  <si>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</si>
  <si>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</si>
  <si>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</si>
  <si>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</si>
  <si>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</si>
  <si>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</si>
  <si>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</si>
  <si>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</si>
  <si>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</si>
  <si>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</si>
  <si>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</si>
  <si>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</si>
  <si>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</si>
  <si>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</si>
  <si>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</si>
  <si>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</si>
  <si>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</si>
  <si>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</si>
  <si>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</si>
  <si>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</si>
  <si>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</si>
  <si>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</si>
  <si>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</si>
  <si>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</si>
  <si>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</si>
  <si>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</si>
  <si>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</si>
  <si>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</si>
  <si>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</si>
  <si>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</si>
  <si>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</si>
  <si>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</si>
  <si>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</si>
  <si>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</si>
  <si>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</si>
  <si>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</si>
  <si>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</si>
  <si>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</si>
  <si>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</si>
  <si>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</si>
  <si>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</si>
  <si>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</si>
  <si>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</si>
  <si>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</si>
  <si>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</si>
  <si>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</si>
  <si>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</si>
  <si>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</si>
  <si>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</si>
  <si>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</si>
  <si>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</si>
  <si>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</si>
  <si>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</si>
  <si>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</si>
  <si>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</si>
  <si>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</si>
  <si>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RACHEAL</t>
  </si>
  <si>
    <t>BEATRICE</t>
  </si>
  <si>
    <t>KABEMBE</t>
  </si>
  <si>
    <t>KALAGI</t>
  </si>
  <si>
    <t>MUKONO</t>
  </si>
  <si>
    <t>MCC - C2 - STN075- KALAGI ROAD</t>
  </si>
  <si>
    <t>29.10.2019</t>
  </si>
  <si>
    <t>30.10.2019</t>
  </si>
  <si>
    <t>31.10.2019</t>
  </si>
  <si>
    <t>1.11.2019</t>
  </si>
  <si>
    <t>2.11.2019</t>
  </si>
  <si>
    <t>JEROME COLLION</t>
  </si>
  <si>
    <t>3.11.2019</t>
  </si>
  <si>
    <t>4.11.2019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</si>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</sst>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2" borderId="4" xfId="0" applyFill="1" applyBorder="1"/>
    <xf numFmtId="1" fontId="0" fillId="4" borderId="5" xfId="0" applyNumberFormat="1" applyFill="1" applyBorder="1" applyAlignment="1">
      <alignment horizontal="center" vertical="center"/>
    </xf>
    <xf numFmtId="1" fontId="0" fillId="4" borderId="5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MUKONO-KALAGI'!$AE$9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MUKONO-KALAGI'!$AE$10:$AE$21</c:f>
              <c:numCache>
                <c:formatCode>0</c:formatCode>
                <c:ptCount val="12"/>
                <c:pt idx="0">
                  <c:v>83</c:v>
                </c:pt>
                <c:pt idx="1">
                  <c:v>101</c:v>
                </c:pt>
                <c:pt idx="2">
                  <c:v>102</c:v>
                </c:pt>
                <c:pt idx="3">
                  <c:v>115</c:v>
                </c:pt>
                <c:pt idx="4">
                  <c:v>91</c:v>
                </c:pt>
                <c:pt idx="5">
                  <c:v>81</c:v>
                </c:pt>
                <c:pt idx="6">
                  <c:v>105</c:v>
                </c:pt>
                <c:pt idx="7">
                  <c:v>112</c:v>
                </c:pt>
                <c:pt idx="8">
                  <c:v>122</c:v>
                </c:pt>
                <c:pt idx="9">
                  <c:v>110</c:v>
                </c:pt>
                <c:pt idx="10">
                  <c:v>99</c:v>
                </c:pt>
                <c:pt idx="11">
                  <c:v>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'29.10 MUKONO-KALAGI'!$AF$9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MUKONO-KALAGI'!$AF$10:$AF$21</c:f>
              <c:numCache>
                <c:formatCode>0</c:formatCode>
                <c:ptCount val="12"/>
                <c:pt idx="0">
                  <c:v>153</c:v>
                </c:pt>
                <c:pt idx="1">
                  <c:v>174</c:v>
                </c:pt>
                <c:pt idx="2">
                  <c:v>180</c:v>
                </c:pt>
                <c:pt idx="3">
                  <c:v>197</c:v>
                </c:pt>
                <c:pt idx="4">
                  <c:v>191</c:v>
                </c:pt>
                <c:pt idx="5">
                  <c:v>167</c:v>
                </c:pt>
                <c:pt idx="6">
                  <c:v>199</c:v>
                </c:pt>
                <c:pt idx="7">
                  <c:v>200</c:v>
                </c:pt>
                <c:pt idx="8">
                  <c:v>191</c:v>
                </c:pt>
                <c:pt idx="9">
                  <c:v>190</c:v>
                </c:pt>
                <c:pt idx="10">
                  <c:v>191</c:v>
                </c:pt>
                <c:pt idx="11">
                  <c:v>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125376"/>
        <c:axId val="103127296"/>
      </c:lineChart>
      <c:catAx>
        <c:axId val="103125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127296"/>
        <c:crosses val="autoZero"/>
        <c:auto val="1"/>
        <c:lblAlgn val="ctr"/>
        <c:lblOffset val="100"/>
        <c:noMultiLvlLbl val="0"/>
      </c:catAx>
      <c:valAx>
        <c:axId val="103127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12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MUKONO-KALAGI'!$C$59:$N$59</c:f>
              <c:numCache>
                <c:formatCode>0.0%</c:formatCode>
                <c:ptCount val="12"/>
                <c:pt idx="0">
                  <c:v>0.15370705244122965</c:v>
                </c:pt>
                <c:pt idx="1">
                  <c:v>5.4249547920433995E-2</c:v>
                </c:pt>
                <c:pt idx="2">
                  <c:v>4.9728752260397829E-2</c:v>
                </c:pt>
                <c:pt idx="3">
                  <c:v>0.21699819168173598</c:v>
                </c:pt>
                <c:pt idx="4">
                  <c:v>4.06871609403255E-3</c:v>
                </c:pt>
                <c:pt idx="5">
                  <c:v>4.5207956600361662E-4</c:v>
                </c:pt>
                <c:pt idx="6">
                  <c:v>5.1989150090415916E-2</c:v>
                </c:pt>
                <c:pt idx="7">
                  <c:v>8.5895117540687165E-3</c:v>
                </c:pt>
                <c:pt idx="8">
                  <c:v>6.7811934900542494E-3</c:v>
                </c:pt>
                <c:pt idx="9">
                  <c:v>2.2603978300180833E-3</c:v>
                </c:pt>
                <c:pt idx="10">
                  <c:v>0.45072332730560577</c:v>
                </c:pt>
                <c:pt idx="11">
                  <c:v>4.5207956600361662E-4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MUKONO-KALAGI'!$C$60:$N$60</c:f>
              <c:numCache>
                <c:formatCode>0.00%</c:formatCode>
                <c:ptCount val="12"/>
                <c:pt idx="0">
                  <c:v>0.27983539094650206</c:v>
                </c:pt>
                <c:pt idx="1">
                  <c:v>9.8765432098765427E-2</c:v>
                </c:pt>
                <c:pt idx="2">
                  <c:v>9.0534979423868317E-2</c:v>
                </c:pt>
                <c:pt idx="3">
                  <c:v>0.39506172839506171</c:v>
                </c:pt>
                <c:pt idx="4">
                  <c:v>7.4074074074074077E-3</c:v>
                </c:pt>
                <c:pt idx="5">
                  <c:v>8.2304526748971192E-4</c:v>
                </c:pt>
                <c:pt idx="6">
                  <c:v>9.4650205761316872E-2</c:v>
                </c:pt>
                <c:pt idx="7">
                  <c:v>1.5637860082304528E-2</c:v>
                </c:pt>
                <c:pt idx="8">
                  <c:v>1.2345679012345678E-2</c:v>
                </c:pt>
                <c:pt idx="9">
                  <c:v>4.11522633744856E-3</c:v>
                </c:pt>
                <c:pt idx="11">
                  <c:v>8.2304526748971192E-4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KALAGI-MUKONO'!$AE$9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KALAGI-MUKONO'!$AE$10:$AE$21</c:f>
              <c:numCache>
                <c:formatCode>0</c:formatCode>
                <c:ptCount val="12"/>
                <c:pt idx="0">
                  <c:v>88</c:v>
                </c:pt>
                <c:pt idx="1">
                  <c:v>93</c:v>
                </c:pt>
                <c:pt idx="2">
                  <c:v>80</c:v>
                </c:pt>
                <c:pt idx="3">
                  <c:v>84</c:v>
                </c:pt>
                <c:pt idx="4">
                  <c:v>85</c:v>
                </c:pt>
                <c:pt idx="5">
                  <c:v>78</c:v>
                </c:pt>
                <c:pt idx="6">
                  <c:v>83</c:v>
                </c:pt>
                <c:pt idx="7">
                  <c:v>82</c:v>
                </c:pt>
                <c:pt idx="8">
                  <c:v>92</c:v>
                </c:pt>
                <c:pt idx="9">
                  <c:v>92</c:v>
                </c:pt>
                <c:pt idx="10">
                  <c:v>118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'29.10 KALAGI-MUKONO'!$AF$9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KALAGI-MUKONO'!$AF$10:$AF$21</c:f>
              <c:numCache>
                <c:formatCode>0</c:formatCode>
                <c:ptCount val="12"/>
                <c:pt idx="0">
                  <c:v>224</c:v>
                </c:pt>
                <c:pt idx="1">
                  <c:v>217</c:v>
                </c:pt>
                <c:pt idx="2">
                  <c:v>182</c:v>
                </c:pt>
                <c:pt idx="3">
                  <c:v>171</c:v>
                </c:pt>
                <c:pt idx="4">
                  <c:v>173</c:v>
                </c:pt>
                <c:pt idx="5">
                  <c:v>175</c:v>
                </c:pt>
                <c:pt idx="6">
                  <c:v>178</c:v>
                </c:pt>
                <c:pt idx="7">
                  <c:v>164</c:v>
                </c:pt>
                <c:pt idx="8">
                  <c:v>192</c:v>
                </c:pt>
                <c:pt idx="9">
                  <c:v>177</c:v>
                </c:pt>
                <c:pt idx="10">
                  <c:v>202</c:v>
                </c:pt>
                <c:pt idx="11">
                  <c:v>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663872"/>
        <c:axId val="104681856"/>
      </c:lineChart>
      <c:catAx>
        <c:axId val="103663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81856"/>
        <c:crosses val="autoZero"/>
        <c:auto val="1"/>
        <c:lblAlgn val="ctr"/>
        <c:lblOffset val="100"/>
        <c:noMultiLvlLbl val="0"/>
      </c:catAx>
      <c:valAx>
        <c:axId val="1046818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66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KALAGI-MUKONO'!$C$59:$N$59</c:f>
              <c:numCache>
                <c:formatCode>0.0%</c:formatCode>
                <c:ptCount val="12"/>
                <c:pt idx="0">
                  <c:v>0.15512708150744961</c:v>
                </c:pt>
                <c:pt idx="1">
                  <c:v>2.5416301489921123E-2</c:v>
                </c:pt>
                <c:pt idx="2">
                  <c:v>3.812445223488168E-2</c:v>
                </c:pt>
                <c:pt idx="3">
                  <c:v>0.17747589833479405</c:v>
                </c:pt>
                <c:pt idx="4">
                  <c:v>5.6967572304995615E-3</c:v>
                </c:pt>
                <c:pt idx="5">
                  <c:v>0</c:v>
                </c:pt>
                <c:pt idx="6">
                  <c:v>5.0394390885188434E-2</c:v>
                </c:pt>
                <c:pt idx="7">
                  <c:v>1.5337423312883436E-2</c:v>
                </c:pt>
                <c:pt idx="8">
                  <c:v>7.0113935144609993E-3</c:v>
                </c:pt>
                <c:pt idx="9">
                  <c:v>1.3146362839614374E-3</c:v>
                </c:pt>
                <c:pt idx="10">
                  <c:v>0.52366345311130591</c:v>
                </c:pt>
                <c:pt idx="11">
                  <c:v>4.3821209465381246E-4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KALAGI-MUKONO'!$S$9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KALAGI-MUKONO'!$S$10:$S$21</c:f>
              <c:numCache>
                <c:formatCode>0</c:formatCode>
                <c:ptCount val="12"/>
                <c:pt idx="0">
                  <c:v>29</c:v>
                </c:pt>
                <c:pt idx="1">
                  <c:v>31</c:v>
                </c:pt>
                <c:pt idx="2">
                  <c:v>21</c:v>
                </c:pt>
                <c:pt idx="3">
                  <c:v>21</c:v>
                </c:pt>
                <c:pt idx="4">
                  <c:v>32</c:v>
                </c:pt>
                <c:pt idx="5">
                  <c:v>24</c:v>
                </c:pt>
                <c:pt idx="6">
                  <c:v>29</c:v>
                </c:pt>
                <c:pt idx="7">
                  <c:v>27</c:v>
                </c:pt>
                <c:pt idx="8">
                  <c:v>38</c:v>
                </c:pt>
                <c:pt idx="9">
                  <c:v>33</c:v>
                </c:pt>
                <c:pt idx="10">
                  <c:v>39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'29.10 KALAGI-MUKONO'!$T$9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KALAGI-MUKONO'!$T$10:$T$21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6</c:v>
                </c:pt>
                <c:pt idx="7">
                  <c:v>2</c:v>
                </c:pt>
                <c:pt idx="8">
                  <c:v>6</c:v>
                </c:pt>
                <c:pt idx="9">
                  <c:v>4</c:v>
                </c:pt>
                <c:pt idx="10">
                  <c:v>13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'29.10 KALAGI-MUKONO'!$U$9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KALAGI-MUKONO'!$U$10:$U$21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4</c:v>
                </c:pt>
                <c:pt idx="7">
                  <c:v>8</c:v>
                </c:pt>
                <c:pt idx="8">
                  <c:v>7</c:v>
                </c:pt>
                <c:pt idx="9">
                  <c:v>5</c:v>
                </c:pt>
                <c:pt idx="10">
                  <c:v>10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'29.10 KALAGI-MUKONO'!$V$9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KALAGI-MUKONO'!$V$10:$V$21</c:f>
              <c:numCache>
                <c:formatCode>0</c:formatCode>
                <c:ptCount val="12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32</c:v>
                </c:pt>
                <c:pt idx="4">
                  <c:v>29</c:v>
                </c:pt>
                <c:pt idx="5">
                  <c:v>32</c:v>
                </c:pt>
                <c:pt idx="6">
                  <c:v>31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38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'29.10 KALAGI-MUKONO'!$W$9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'29.10 KALAGI-MUKONO'!$X$9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'29.10 KALAGI-MUKONO'!$Y$9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KALAGI-MUKONO'!$Y$10:$Y$21</c:f>
              <c:numCache>
                <c:formatCode>0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7</c:v>
                </c:pt>
                <c:pt idx="8">
                  <c:v>9</c:v>
                </c:pt>
                <c:pt idx="9">
                  <c:v>14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'29.10 KALAGI-MUKONO'!$Z$9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KALAGI-MUKONO'!$Z$10:$Z$21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4">
                  <c:v>6</c:v>
                </c:pt>
                <c:pt idx="5">
                  <c:v>2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'29.10 KALAGI-MUKONO'!$AA$9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'29.10 KALAGI-MUKONO'!$AB$9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'29.10 KALAGI-MUKONO'!$AC$9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KALAGI-MUKONO'!$AC$10:$AC$21</c:f>
              <c:numCache>
                <c:formatCode>0</c:formatCode>
                <c:ptCount val="12"/>
                <c:pt idx="0">
                  <c:v>136</c:v>
                </c:pt>
                <c:pt idx="1">
                  <c:v>124</c:v>
                </c:pt>
                <c:pt idx="2">
                  <c:v>102</c:v>
                </c:pt>
                <c:pt idx="3">
                  <c:v>87</c:v>
                </c:pt>
                <c:pt idx="4">
                  <c:v>88</c:v>
                </c:pt>
                <c:pt idx="5">
                  <c:v>97</c:v>
                </c:pt>
                <c:pt idx="6">
                  <c:v>95</c:v>
                </c:pt>
                <c:pt idx="7">
                  <c:v>82</c:v>
                </c:pt>
                <c:pt idx="8">
                  <c:v>100</c:v>
                </c:pt>
                <c:pt idx="9">
                  <c:v>85</c:v>
                </c:pt>
                <c:pt idx="10">
                  <c:v>84</c:v>
                </c:pt>
                <c:pt idx="11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'29.10 KALAGI-MUKONO'!$AD$9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KALAGI-MUKONO'!$AD$10:$AD$21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546880"/>
        <c:axId val="103548416"/>
      </c:lineChart>
      <c:catAx>
        <c:axId val="103546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548416"/>
        <c:crosses val="autoZero"/>
        <c:auto val="1"/>
        <c:lblAlgn val="ctr"/>
        <c:lblOffset val="100"/>
        <c:noMultiLvlLbl val="0"/>
      </c:catAx>
      <c:valAx>
        <c:axId val="10354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54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KALAGI-MUKONO'!$C$60:$N$60</c:f>
              <c:numCache>
                <c:formatCode>0.00%</c:formatCode>
                <c:ptCount val="12"/>
                <c:pt idx="0">
                  <c:v>0.32566697332106714</c:v>
                </c:pt>
                <c:pt idx="1">
                  <c:v>5.3357865685372582E-2</c:v>
                </c:pt>
                <c:pt idx="2">
                  <c:v>8.0036798528058881E-2</c:v>
                </c:pt>
                <c:pt idx="3">
                  <c:v>0.37258509659613614</c:v>
                </c:pt>
                <c:pt idx="4">
                  <c:v>1.1959521619135235E-2</c:v>
                </c:pt>
                <c:pt idx="5">
                  <c:v>0</c:v>
                </c:pt>
                <c:pt idx="6">
                  <c:v>0.10579576816927323</c:v>
                </c:pt>
                <c:pt idx="7">
                  <c:v>3.219871205151794E-2</c:v>
                </c:pt>
                <c:pt idx="8">
                  <c:v>1.4719411223551058E-2</c:v>
                </c:pt>
                <c:pt idx="9">
                  <c:v>2.7598896044158236E-3</c:v>
                </c:pt>
                <c:pt idx="11">
                  <c:v>9.1996320147194111E-4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MUKONO-KALAGI'!$AE$9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MUKONO-KALAGI'!$AE$10:$AE$21</c:f>
              <c:numCache>
                <c:formatCode>0</c:formatCode>
                <c:ptCount val="12"/>
                <c:pt idx="0">
                  <c:v>87</c:v>
                </c:pt>
                <c:pt idx="1">
                  <c:v>99</c:v>
                </c:pt>
                <c:pt idx="2">
                  <c:v>92</c:v>
                </c:pt>
                <c:pt idx="3">
                  <c:v>101</c:v>
                </c:pt>
                <c:pt idx="4">
                  <c:v>99</c:v>
                </c:pt>
                <c:pt idx="5">
                  <c:v>95</c:v>
                </c:pt>
                <c:pt idx="6">
                  <c:v>111</c:v>
                </c:pt>
                <c:pt idx="7">
                  <c:v>98</c:v>
                </c:pt>
                <c:pt idx="8">
                  <c:v>88</c:v>
                </c:pt>
                <c:pt idx="9">
                  <c:v>109</c:v>
                </c:pt>
                <c:pt idx="10">
                  <c:v>113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'30.10 MUKONO-KALAGI'!$AF$9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MUKONO-KALAGI'!$AF$10:$AF$21</c:f>
              <c:numCache>
                <c:formatCode>0</c:formatCode>
                <c:ptCount val="12"/>
                <c:pt idx="0">
                  <c:v>153</c:v>
                </c:pt>
                <c:pt idx="1">
                  <c:v>174</c:v>
                </c:pt>
                <c:pt idx="2">
                  <c:v>162</c:v>
                </c:pt>
                <c:pt idx="3">
                  <c:v>171</c:v>
                </c:pt>
                <c:pt idx="4">
                  <c:v>170</c:v>
                </c:pt>
                <c:pt idx="5">
                  <c:v>148</c:v>
                </c:pt>
                <c:pt idx="6">
                  <c:v>195</c:v>
                </c:pt>
                <c:pt idx="7">
                  <c:v>163</c:v>
                </c:pt>
                <c:pt idx="8">
                  <c:v>185</c:v>
                </c:pt>
                <c:pt idx="9">
                  <c:v>221</c:v>
                </c:pt>
                <c:pt idx="10">
                  <c:v>201</c:v>
                </c:pt>
                <c:pt idx="11">
                  <c:v>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957824"/>
        <c:axId val="104976384"/>
      </c:lineChart>
      <c:catAx>
        <c:axId val="104957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976384"/>
        <c:crosses val="autoZero"/>
        <c:auto val="1"/>
        <c:lblAlgn val="ctr"/>
        <c:lblOffset val="100"/>
        <c:noMultiLvlLbl val="0"/>
      </c:catAx>
      <c:valAx>
        <c:axId val="104976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95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MUKONO-KALAGI'!$C$59:$N$59</c:f>
              <c:numCache>
                <c:formatCode>0.0%</c:formatCode>
                <c:ptCount val="12"/>
                <c:pt idx="0">
                  <c:v>0.15080113100848255</c:v>
                </c:pt>
                <c:pt idx="1">
                  <c:v>5.513666352497644E-2</c:v>
                </c:pt>
                <c:pt idx="2">
                  <c:v>4.7596606974552307E-2</c:v>
                </c:pt>
                <c:pt idx="3">
                  <c:v>0.21442035815268615</c:v>
                </c:pt>
                <c:pt idx="4">
                  <c:v>5.1837888784165885E-3</c:v>
                </c:pt>
                <c:pt idx="5">
                  <c:v>0</c:v>
                </c:pt>
                <c:pt idx="6">
                  <c:v>6.0320452403393024E-2</c:v>
                </c:pt>
                <c:pt idx="7">
                  <c:v>7.0688030160226201E-3</c:v>
                </c:pt>
                <c:pt idx="8">
                  <c:v>8.4825636192271438E-3</c:v>
                </c:pt>
                <c:pt idx="9">
                  <c:v>4.7125353440150798E-3</c:v>
                </c:pt>
                <c:pt idx="10">
                  <c:v>0.4462770970782281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MUKONO-KALAGI'!$S$9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MUKONO-KALAGI'!$S$10:$S$21</c:f>
              <c:numCache>
                <c:formatCode>0</c:formatCode>
                <c:ptCount val="12"/>
                <c:pt idx="0">
                  <c:v>22</c:v>
                </c:pt>
                <c:pt idx="1">
                  <c:v>23</c:v>
                </c:pt>
                <c:pt idx="2">
                  <c:v>26</c:v>
                </c:pt>
                <c:pt idx="3">
                  <c:v>37</c:v>
                </c:pt>
                <c:pt idx="4">
                  <c:v>22</c:v>
                </c:pt>
                <c:pt idx="5">
                  <c:v>24</c:v>
                </c:pt>
                <c:pt idx="6">
                  <c:v>33</c:v>
                </c:pt>
                <c:pt idx="7">
                  <c:v>18</c:v>
                </c:pt>
                <c:pt idx="8">
                  <c:v>25</c:v>
                </c:pt>
                <c:pt idx="9">
                  <c:v>34</c:v>
                </c:pt>
                <c:pt idx="10">
                  <c:v>30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'30.10 MUKONO-KALAGI'!$T$9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MUKONO-KALAGI'!$T$10:$T$21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12</c:v>
                </c:pt>
                <c:pt idx="3">
                  <c:v>6</c:v>
                </c:pt>
                <c:pt idx="4">
                  <c:v>11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7</c:v>
                </c:pt>
                <c:pt idx="9">
                  <c:v>13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'30.10 MUKONO-KALAGI'!$U$9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MUKONO-KALAGI'!$U$10:$U$21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8</c:v>
                </c:pt>
                <c:pt idx="9">
                  <c:v>7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'30.10 MUKONO-KALAGI'!$V$9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MUKONO-KALAGI'!$V$10:$V$21</c:f>
              <c:numCache>
                <c:formatCode>0</c:formatCode>
                <c:ptCount val="12"/>
                <c:pt idx="0">
                  <c:v>40</c:v>
                </c:pt>
                <c:pt idx="1">
                  <c:v>44</c:v>
                </c:pt>
                <c:pt idx="2">
                  <c:v>31</c:v>
                </c:pt>
                <c:pt idx="3">
                  <c:v>33</c:v>
                </c:pt>
                <c:pt idx="4">
                  <c:v>37</c:v>
                </c:pt>
                <c:pt idx="5">
                  <c:v>34</c:v>
                </c:pt>
                <c:pt idx="6">
                  <c:v>38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  <c:pt idx="10">
                  <c:v>44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'30.10 MUKONO-KALAGI'!$W$9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'30.10 MUKONO-KALAGI'!$X$9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'30.10 MUKONO-KALAGI'!$Y$9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MUKONO-KALAGI'!$Y$10:$Y$21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14</c:v>
                </c:pt>
                <c:pt idx="3">
                  <c:v>9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7</c:v>
                </c:pt>
                <c:pt idx="9">
                  <c:v>11</c:v>
                </c:pt>
                <c:pt idx="10">
                  <c:v>12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'30.10 MUKONO-KALAGI'!$Z$9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'30.10 MUKONO-KALAGI'!$AA$9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'30.10 MUKONO-KALAGI'!$AB$9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'30.10 MUKONO-KALAGI'!$AC$9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MUKONO-KALAGI'!$AC$10:$AC$21</c:f>
              <c:numCache>
                <c:formatCode>0</c:formatCode>
                <c:ptCount val="12"/>
                <c:pt idx="0">
                  <c:v>66</c:v>
                </c:pt>
                <c:pt idx="1">
                  <c:v>75</c:v>
                </c:pt>
                <c:pt idx="2">
                  <c:v>70</c:v>
                </c:pt>
                <c:pt idx="3">
                  <c:v>70</c:v>
                </c:pt>
                <c:pt idx="4">
                  <c:v>71</c:v>
                </c:pt>
                <c:pt idx="5">
                  <c:v>53</c:v>
                </c:pt>
                <c:pt idx="6">
                  <c:v>84</c:v>
                </c:pt>
                <c:pt idx="7">
                  <c:v>65</c:v>
                </c:pt>
                <c:pt idx="8">
                  <c:v>97</c:v>
                </c:pt>
                <c:pt idx="9">
                  <c:v>112</c:v>
                </c:pt>
                <c:pt idx="10">
                  <c:v>88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'30.10 MUKONO-KALAGI'!$AD$9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MUKONO-KALAGI'!$AD$10:$AD$21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221504"/>
        <c:axId val="105231488"/>
      </c:lineChart>
      <c:catAx>
        <c:axId val="10522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231488"/>
        <c:crosses val="autoZero"/>
        <c:auto val="1"/>
        <c:lblAlgn val="ctr"/>
        <c:lblOffset val="100"/>
        <c:noMultiLvlLbl val="0"/>
      </c:catAx>
      <c:valAx>
        <c:axId val="1052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22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MUKONO-KALAGI'!$C$60:$N$60</c:f>
              <c:numCache>
                <c:formatCode>0.00%</c:formatCode>
                <c:ptCount val="12"/>
                <c:pt idx="0">
                  <c:v>0.2723404255319149</c:v>
                </c:pt>
                <c:pt idx="1">
                  <c:v>9.957446808510638E-2</c:v>
                </c:pt>
                <c:pt idx="2">
                  <c:v>8.595744680851064E-2</c:v>
                </c:pt>
                <c:pt idx="3">
                  <c:v>0.38723404255319149</c:v>
                </c:pt>
                <c:pt idx="4">
                  <c:v>9.3617021276595751E-3</c:v>
                </c:pt>
                <c:pt idx="5">
                  <c:v>0</c:v>
                </c:pt>
                <c:pt idx="6">
                  <c:v>0.10893617021276596</c:v>
                </c:pt>
                <c:pt idx="7">
                  <c:v>1.276595744680851E-2</c:v>
                </c:pt>
                <c:pt idx="8">
                  <c:v>1.5319148936170212E-2</c:v>
                </c:pt>
                <c:pt idx="9">
                  <c:v>8.5106382978723406E-3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'30.10-KALAGI-MUKONO'!$AE$9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'30.10-KALAGI-MUKONO'!$R$10:$R$21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'30.10-KALAGI-MUKONO'!$AE$10:$AE$21</c:f>
              <c:numCache>
                <c:formatCode>0</c:formatCode>
                <c:ptCount val="12"/>
                <c:pt idx="0">
                  <c:v>73</c:v>
                </c:pt>
                <c:pt idx="1">
                  <c:v>90</c:v>
                </c:pt>
                <c:pt idx="2">
                  <c:v>72</c:v>
                </c:pt>
                <c:pt idx="3">
                  <c:v>60</c:v>
                </c:pt>
                <c:pt idx="4">
                  <c:v>70</c:v>
                </c:pt>
                <c:pt idx="5">
                  <c:v>77</c:v>
                </c:pt>
                <c:pt idx="6">
                  <c:v>81</c:v>
                </c:pt>
                <c:pt idx="7">
                  <c:v>94</c:v>
                </c:pt>
                <c:pt idx="8">
                  <c:v>75</c:v>
                </c:pt>
                <c:pt idx="9">
                  <c:v>113</c:v>
                </c:pt>
                <c:pt idx="10">
                  <c:v>112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'30.10-KALAGI-MUKONO'!$AF$9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'30.10-KALAGI-MUKONO'!$R$10:$R$21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'30.10-KALAGI-MUKONO'!$AF$10:$AF$21</c:f>
              <c:numCache>
                <c:formatCode>0</c:formatCode>
                <c:ptCount val="12"/>
                <c:pt idx="0">
                  <c:v>160</c:v>
                </c:pt>
                <c:pt idx="1">
                  <c:v>205</c:v>
                </c:pt>
                <c:pt idx="2">
                  <c:v>177</c:v>
                </c:pt>
                <c:pt idx="3">
                  <c:v>158</c:v>
                </c:pt>
                <c:pt idx="4">
                  <c:v>160</c:v>
                </c:pt>
                <c:pt idx="5">
                  <c:v>169</c:v>
                </c:pt>
                <c:pt idx="6">
                  <c:v>165</c:v>
                </c:pt>
                <c:pt idx="7">
                  <c:v>170</c:v>
                </c:pt>
                <c:pt idx="8">
                  <c:v>141</c:v>
                </c:pt>
                <c:pt idx="9">
                  <c:v>207</c:v>
                </c:pt>
                <c:pt idx="10">
                  <c:v>205</c:v>
                </c:pt>
                <c:pt idx="11">
                  <c:v>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501632"/>
        <c:axId val="106503552"/>
      </c:lineChart>
      <c:catAx>
        <c:axId val="106501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503552"/>
        <c:crosses val="autoZero"/>
        <c:auto val="1"/>
        <c:lblAlgn val="ctr"/>
        <c:lblOffset val="100"/>
        <c:noMultiLvlLbl val="0"/>
      </c:catAx>
      <c:valAx>
        <c:axId val="1065035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50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'30.10-KALAGI-MUKONO'!$C$9:$N$9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'30.10-KALAGI-MUKONO'!$C$59:$N$59</c:f>
              <c:numCache>
                <c:formatCode>0.0%</c:formatCode>
                <c:ptCount val="12"/>
                <c:pt idx="0">
                  <c:v>0.13364705882352942</c:v>
                </c:pt>
                <c:pt idx="1">
                  <c:v>4.6588235294117646E-2</c:v>
                </c:pt>
                <c:pt idx="2">
                  <c:v>3.5294117647058823E-2</c:v>
                </c:pt>
                <c:pt idx="3">
                  <c:v>0.18494117647058825</c:v>
                </c:pt>
                <c:pt idx="4">
                  <c:v>6.5882352941176473E-3</c:v>
                </c:pt>
                <c:pt idx="5">
                  <c:v>9.4117647058823532E-4</c:v>
                </c:pt>
                <c:pt idx="6">
                  <c:v>5.0823529411764705E-2</c:v>
                </c:pt>
                <c:pt idx="7">
                  <c:v>1.5529411764705882E-2</c:v>
                </c:pt>
                <c:pt idx="8">
                  <c:v>5.1764705882352945E-3</c:v>
                </c:pt>
                <c:pt idx="9">
                  <c:v>4.7058823529411761E-3</c:v>
                </c:pt>
                <c:pt idx="10">
                  <c:v>0.5157647058823529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'30.10-KALAGI-MUKONO'!$S$9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'30.10-KALAGI-MUKONO'!$R$10:$R$21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'30.10-KALAGI-MUKONO'!$S$10:$S$21</c:f>
              <c:numCache>
                <c:formatCode>0</c:formatCode>
                <c:ptCount val="12"/>
                <c:pt idx="0">
                  <c:v>19</c:v>
                </c:pt>
                <c:pt idx="1">
                  <c:v>33</c:v>
                </c:pt>
                <c:pt idx="2">
                  <c:v>18</c:v>
                </c:pt>
                <c:pt idx="3">
                  <c:v>16</c:v>
                </c:pt>
                <c:pt idx="4">
                  <c:v>13</c:v>
                </c:pt>
                <c:pt idx="5">
                  <c:v>20</c:v>
                </c:pt>
                <c:pt idx="6">
                  <c:v>17</c:v>
                </c:pt>
                <c:pt idx="7">
                  <c:v>29</c:v>
                </c:pt>
                <c:pt idx="8">
                  <c:v>19</c:v>
                </c:pt>
                <c:pt idx="9">
                  <c:v>26</c:v>
                </c:pt>
                <c:pt idx="10">
                  <c:v>41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'30.10-KALAGI-MUKONO'!$T$9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'30.10-KALAGI-MUKONO'!$R$10:$R$21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'30.10-KALAGI-MUKONO'!$T$10:$T$21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7</c:v>
                </c:pt>
                <c:pt idx="5">
                  <c:v>12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7</c:v>
                </c:pt>
                <c:pt idx="10">
                  <c:v>15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'30.10-KALAGI-MUKONO'!$U$9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7</c:v>
                </c:pt>
                <c:pt idx="7">
                  <c:v>5</c:v>
                </c:pt>
                <c:pt idx="8">
                  <c:v>5</c:v>
                </c:pt>
                <c:pt idx="9">
                  <c:v>8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'30.10-KALAGI-MUKONO'!$V$9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'30.10-KALAGI-MUKONO'!$V$10:$V$21</c:f>
              <c:numCache>
                <c:formatCode>0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32</c:v>
                </c:pt>
                <c:pt idx="3">
                  <c:v>25</c:v>
                </c:pt>
                <c:pt idx="4">
                  <c:v>37</c:v>
                </c:pt>
                <c:pt idx="5">
                  <c:v>23</c:v>
                </c:pt>
                <c:pt idx="6">
                  <c:v>33</c:v>
                </c:pt>
                <c:pt idx="7">
                  <c:v>34</c:v>
                </c:pt>
                <c:pt idx="8">
                  <c:v>28</c:v>
                </c:pt>
                <c:pt idx="9">
                  <c:v>41</c:v>
                </c:pt>
                <c:pt idx="10">
                  <c:v>33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'30.10-KALAGI-MUKONO'!$W$9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'30.10-KALAGI-MUKONO'!$X$9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'30.10-KALAGI-MUKONO'!$Y$9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'30.10-KALAGI-MUKONO'!$Y$10:$Y$21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4">
                  <c:v>4</c:v>
                </c:pt>
                <c:pt idx="5">
                  <c:v>13</c:v>
                </c:pt>
                <c:pt idx="6">
                  <c:v>9</c:v>
                </c:pt>
                <c:pt idx="7">
                  <c:v>11</c:v>
                </c:pt>
                <c:pt idx="8">
                  <c:v>8</c:v>
                </c:pt>
                <c:pt idx="9">
                  <c:v>18</c:v>
                </c:pt>
                <c:pt idx="10">
                  <c:v>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'30.10-KALAGI-MUKONO'!$Z$9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'30.10-KALAGI-MUKONO'!$AA$9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'30.10-KALAGI-MUKONO'!$AB$9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'30.10-KALAGI-MUKONO'!$AC$9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'30.10-KALAGI-MUKONO'!$AC$10:$AC$21</c:f>
              <c:numCache>
                <c:formatCode>0</c:formatCode>
                <c:ptCount val="12"/>
                <c:pt idx="0">
                  <c:v>87</c:v>
                </c:pt>
                <c:pt idx="1">
                  <c:v>115</c:v>
                </c:pt>
                <c:pt idx="2">
                  <c:v>105</c:v>
                </c:pt>
                <c:pt idx="3">
                  <c:v>98</c:v>
                </c:pt>
                <c:pt idx="4">
                  <c:v>90</c:v>
                </c:pt>
                <c:pt idx="5">
                  <c:v>92</c:v>
                </c:pt>
                <c:pt idx="6">
                  <c:v>84</c:v>
                </c:pt>
                <c:pt idx="7">
                  <c:v>76</c:v>
                </c:pt>
                <c:pt idx="8">
                  <c:v>66</c:v>
                </c:pt>
                <c:pt idx="9">
                  <c:v>94</c:v>
                </c:pt>
                <c:pt idx="10">
                  <c:v>93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'30.10-KALAGI-MUKONO'!$AD$9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'30.10-KALAGI-MUKONO'!$AD$10:$AD$21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85792"/>
        <c:axId val="106803968"/>
      </c:lineChart>
      <c:catAx>
        <c:axId val="106785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803968"/>
        <c:crosses val="autoZero"/>
        <c:auto val="1"/>
        <c:lblAlgn val="ctr"/>
        <c:lblOffset val="100"/>
        <c:noMultiLvlLbl val="0"/>
      </c:catAx>
      <c:valAx>
        <c:axId val="10680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78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'30.10-KALAGI-MUKONO'!$C$9:$N$9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'30.10-KALAGI-MUKONO'!$C$60:$N$60</c:f>
              <c:numCache>
                <c:formatCode>0.00%</c:formatCode>
                <c:ptCount val="12"/>
                <c:pt idx="0">
                  <c:v>0.2759961127308066</c:v>
                </c:pt>
                <c:pt idx="1">
                  <c:v>9.6209912536443148E-2</c:v>
                </c:pt>
                <c:pt idx="2">
                  <c:v>7.2886297376093298E-2</c:v>
                </c:pt>
                <c:pt idx="3">
                  <c:v>0.38192419825072887</c:v>
                </c:pt>
                <c:pt idx="4">
                  <c:v>1.3605442176870748E-2</c:v>
                </c:pt>
                <c:pt idx="5">
                  <c:v>1.9436345966958211E-3</c:v>
                </c:pt>
                <c:pt idx="6">
                  <c:v>0.10495626822157435</c:v>
                </c:pt>
                <c:pt idx="7">
                  <c:v>3.2069970845481049E-2</c:v>
                </c:pt>
                <c:pt idx="8">
                  <c:v>1.0689990281827016E-2</c:v>
                </c:pt>
                <c:pt idx="9">
                  <c:v>9.7181729834791061E-3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MUKONO-KALAGI-24h'!$AE$9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MUKONO-KALAGI-24h'!$R$10:$R$33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MUKONO-KALAGI-24h'!$AE$10:$AE$33</c:f>
              <c:numCache>
                <c:formatCode>0</c:formatCode>
                <c:ptCount val="24"/>
                <c:pt idx="0">
                  <c:v>88</c:v>
                </c:pt>
                <c:pt idx="1">
                  <c:v>88</c:v>
                </c:pt>
                <c:pt idx="2">
                  <c:v>75</c:v>
                </c:pt>
                <c:pt idx="3">
                  <c:v>106</c:v>
                </c:pt>
                <c:pt idx="4">
                  <c:v>99</c:v>
                </c:pt>
                <c:pt idx="5">
                  <c:v>97</c:v>
                </c:pt>
                <c:pt idx="6">
                  <c:v>100</c:v>
                </c:pt>
                <c:pt idx="7">
                  <c:v>118</c:v>
                </c:pt>
                <c:pt idx="8">
                  <c:v>94</c:v>
                </c:pt>
                <c:pt idx="9">
                  <c:v>108</c:v>
                </c:pt>
                <c:pt idx="10">
                  <c:v>104</c:v>
                </c:pt>
                <c:pt idx="11">
                  <c:v>101</c:v>
                </c:pt>
                <c:pt idx="12">
                  <c:v>94</c:v>
                </c:pt>
                <c:pt idx="13">
                  <c:v>84</c:v>
                </c:pt>
                <c:pt idx="14">
                  <c:v>76</c:v>
                </c:pt>
                <c:pt idx="15">
                  <c:v>50</c:v>
                </c:pt>
                <c:pt idx="16">
                  <c:v>24</c:v>
                </c:pt>
                <c:pt idx="17">
                  <c:v>16</c:v>
                </c:pt>
                <c:pt idx="18">
                  <c:v>5</c:v>
                </c:pt>
                <c:pt idx="19">
                  <c:v>5</c:v>
                </c:pt>
                <c:pt idx="20">
                  <c:v>12</c:v>
                </c:pt>
                <c:pt idx="21">
                  <c:v>11</c:v>
                </c:pt>
                <c:pt idx="22">
                  <c:v>18</c:v>
                </c:pt>
                <c:pt idx="23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'31.10 MUKONO-KALAGI-24h'!$AF$9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MUKONO-KALAGI-24h'!$R$10:$R$33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MUKONO-KALAGI-24h'!$AF$10:$AF$33</c:f>
              <c:numCache>
                <c:formatCode>0</c:formatCode>
                <c:ptCount val="24"/>
                <c:pt idx="0">
                  <c:v>141</c:v>
                </c:pt>
                <c:pt idx="1">
                  <c:v>162</c:v>
                </c:pt>
                <c:pt idx="2">
                  <c:v>134</c:v>
                </c:pt>
                <c:pt idx="3">
                  <c:v>160</c:v>
                </c:pt>
                <c:pt idx="4">
                  <c:v>200</c:v>
                </c:pt>
                <c:pt idx="5">
                  <c:v>187</c:v>
                </c:pt>
                <c:pt idx="6">
                  <c:v>181</c:v>
                </c:pt>
                <c:pt idx="7">
                  <c:v>222</c:v>
                </c:pt>
                <c:pt idx="8">
                  <c:v>147</c:v>
                </c:pt>
                <c:pt idx="9">
                  <c:v>179</c:v>
                </c:pt>
                <c:pt idx="10">
                  <c:v>189</c:v>
                </c:pt>
                <c:pt idx="11">
                  <c:v>171</c:v>
                </c:pt>
                <c:pt idx="12">
                  <c:v>177</c:v>
                </c:pt>
                <c:pt idx="13">
                  <c:v>199</c:v>
                </c:pt>
                <c:pt idx="14">
                  <c:v>144</c:v>
                </c:pt>
                <c:pt idx="15">
                  <c:v>105</c:v>
                </c:pt>
                <c:pt idx="16">
                  <c:v>59</c:v>
                </c:pt>
                <c:pt idx="17">
                  <c:v>29</c:v>
                </c:pt>
                <c:pt idx="18">
                  <c:v>18</c:v>
                </c:pt>
                <c:pt idx="19">
                  <c:v>8</c:v>
                </c:pt>
                <c:pt idx="20">
                  <c:v>18</c:v>
                </c:pt>
                <c:pt idx="21">
                  <c:v>14</c:v>
                </c:pt>
                <c:pt idx="22">
                  <c:v>36</c:v>
                </c:pt>
                <c:pt idx="23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80288"/>
        <c:axId val="129990656"/>
      </c:lineChart>
      <c:catAx>
        <c:axId val="129980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990656"/>
        <c:crosses val="autoZero"/>
        <c:auto val="1"/>
        <c:lblAlgn val="ctr"/>
        <c:lblOffset val="100"/>
        <c:noMultiLvlLbl val="0"/>
      </c:catAx>
      <c:valAx>
        <c:axId val="129990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98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MUKONO-KALAGI-24h'!$C$9:$N$9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MUKONO-KALAGI-24h'!$C$107:$N$107</c:f>
              <c:numCache>
                <c:formatCode>0.0%</c:formatCode>
                <c:ptCount val="12"/>
                <c:pt idx="0">
                  <c:v>0.15651295859979805</c:v>
                </c:pt>
                <c:pt idx="1">
                  <c:v>3.9380679905755639E-2</c:v>
                </c:pt>
                <c:pt idx="2">
                  <c:v>3.7697744867048133E-2</c:v>
                </c:pt>
                <c:pt idx="3">
                  <c:v>0.21777179400875127</c:v>
                </c:pt>
                <c:pt idx="4">
                  <c:v>8.0780881857960285E-3</c:v>
                </c:pt>
                <c:pt idx="5">
                  <c:v>1.3463480309660047E-3</c:v>
                </c:pt>
                <c:pt idx="6">
                  <c:v>7.9097946819252779E-2</c:v>
                </c:pt>
                <c:pt idx="7">
                  <c:v>1.6829350387075059E-3</c:v>
                </c:pt>
                <c:pt idx="8">
                  <c:v>1.6829350387075059E-3</c:v>
                </c:pt>
                <c:pt idx="9">
                  <c:v>4.3756311006395154E-3</c:v>
                </c:pt>
                <c:pt idx="10">
                  <c:v>0.45136317738135306</c:v>
                </c:pt>
                <c:pt idx="11">
                  <c:v>1.0097610232245036E-3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MUKONO-KALAGI-24h'!$C$9:$N$9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MUKONO-KALAGI-24h'!$C$108:$N$108</c:f>
              <c:numCache>
                <c:formatCode>0.00%</c:formatCode>
                <c:ptCount val="12"/>
                <c:pt idx="0">
                  <c:v>0.28527607361963192</c:v>
                </c:pt>
                <c:pt idx="1">
                  <c:v>7.177914110429448E-2</c:v>
                </c:pt>
                <c:pt idx="2">
                  <c:v>6.8711656441717797E-2</c:v>
                </c:pt>
                <c:pt idx="3">
                  <c:v>0.3969325153374233</c:v>
                </c:pt>
                <c:pt idx="4">
                  <c:v>1.4723926380368098E-2</c:v>
                </c:pt>
                <c:pt idx="5">
                  <c:v>2.4539877300613498E-3</c:v>
                </c:pt>
                <c:pt idx="6">
                  <c:v>0.14417177914110429</c:v>
                </c:pt>
                <c:pt idx="7">
                  <c:v>3.0674846625766872E-3</c:v>
                </c:pt>
                <c:pt idx="8">
                  <c:v>3.0674846625766872E-3</c:v>
                </c:pt>
                <c:pt idx="9">
                  <c:v>7.9754601226993873E-3</c:v>
                </c:pt>
                <c:pt idx="11">
                  <c:v>1.8404907975460123E-3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KALAGI-MUKONO-24h'!$AE$9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KALAGI-MUKONO-24h'!$R$10:$R$33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KALAGI-MUKONO-24h'!$AE$10:$AE$33</c:f>
              <c:numCache>
                <c:formatCode>0</c:formatCode>
                <c:ptCount val="24"/>
                <c:pt idx="0">
                  <c:v>87</c:v>
                </c:pt>
                <c:pt idx="1">
                  <c:v>83</c:v>
                </c:pt>
                <c:pt idx="2">
                  <c:v>72</c:v>
                </c:pt>
                <c:pt idx="3">
                  <c:v>76</c:v>
                </c:pt>
                <c:pt idx="4">
                  <c:v>82</c:v>
                </c:pt>
                <c:pt idx="5">
                  <c:v>91</c:v>
                </c:pt>
                <c:pt idx="6">
                  <c:v>84</c:v>
                </c:pt>
                <c:pt idx="7">
                  <c:v>100</c:v>
                </c:pt>
                <c:pt idx="8">
                  <c:v>93</c:v>
                </c:pt>
                <c:pt idx="9">
                  <c:v>127</c:v>
                </c:pt>
                <c:pt idx="10">
                  <c:v>111</c:v>
                </c:pt>
                <c:pt idx="11">
                  <c:v>75</c:v>
                </c:pt>
                <c:pt idx="12">
                  <c:v>78</c:v>
                </c:pt>
                <c:pt idx="13">
                  <c:v>80</c:v>
                </c:pt>
                <c:pt idx="14">
                  <c:v>52</c:v>
                </c:pt>
                <c:pt idx="15">
                  <c:v>36</c:v>
                </c:pt>
                <c:pt idx="16">
                  <c:v>26</c:v>
                </c:pt>
                <c:pt idx="17">
                  <c:v>10</c:v>
                </c:pt>
                <c:pt idx="18">
                  <c:v>3</c:v>
                </c:pt>
                <c:pt idx="19">
                  <c:v>4</c:v>
                </c:pt>
                <c:pt idx="20">
                  <c:v>7</c:v>
                </c:pt>
                <c:pt idx="21">
                  <c:v>30</c:v>
                </c:pt>
                <c:pt idx="22">
                  <c:v>62</c:v>
                </c:pt>
                <c:pt idx="23">
                  <c:v>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'31.10 KALAGI-MUKONO-24h'!$AF$9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KALAGI-MUKONO-24h'!$R$10:$R$33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'31.10 KALAGI-MUKONO-24h'!$AF$10:$AF$33</c:f>
              <c:numCache>
                <c:formatCode>0</c:formatCode>
                <c:ptCount val="24"/>
                <c:pt idx="0">
                  <c:v>206</c:v>
                </c:pt>
                <c:pt idx="1">
                  <c:v>179</c:v>
                </c:pt>
                <c:pt idx="2">
                  <c:v>144</c:v>
                </c:pt>
                <c:pt idx="3">
                  <c:v>176</c:v>
                </c:pt>
                <c:pt idx="4">
                  <c:v>175</c:v>
                </c:pt>
                <c:pt idx="5">
                  <c:v>185</c:v>
                </c:pt>
                <c:pt idx="6">
                  <c:v>165</c:v>
                </c:pt>
                <c:pt idx="7">
                  <c:v>195</c:v>
                </c:pt>
                <c:pt idx="8">
                  <c:v>169</c:v>
                </c:pt>
                <c:pt idx="9">
                  <c:v>204</c:v>
                </c:pt>
                <c:pt idx="10">
                  <c:v>199</c:v>
                </c:pt>
                <c:pt idx="11">
                  <c:v>152</c:v>
                </c:pt>
                <c:pt idx="12">
                  <c:v>165</c:v>
                </c:pt>
                <c:pt idx="13">
                  <c:v>141</c:v>
                </c:pt>
                <c:pt idx="14">
                  <c:v>107</c:v>
                </c:pt>
                <c:pt idx="15">
                  <c:v>49</c:v>
                </c:pt>
                <c:pt idx="16">
                  <c:v>50</c:v>
                </c:pt>
                <c:pt idx="17">
                  <c:v>18</c:v>
                </c:pt>
                <c:pt idx="18">
                  <c:v>4</c:v>
                </c:pt>
                <c:pt idx="19">
                  <c:v>6</c:v>
                </c:pt>
                <c:pt idx="20">
                  <c:v>10</c:v>
                </c:pt>
                <c:pt idx="21">
                  <c:v>34</c:v>
                </c:pt>
                <c:pt idx="22">
                  <c:v>82</c:v>
                </c:pt>
                <c:pt idx="23">
                  <c:v>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32288"/>
        <c:axId val="129950848"/>
      </c:lineChart>
      <c:catAx>
        <c:axId val="129932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950848"/>
        <c:crosses val="autoZero"/>
        <c:auto val="1"/>
        <c:lblAlgn val="ctr"/>
        <c:lblOffset val="100"/>
        <c:noMultiLvlLbl val="0"/>
      </c:catAx>
      <c:valAx>
        <c:axId val="129950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93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KALAGI-MUKONO-24h'!$C$9:$N$9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KALAGI-MUKONO-24h'!$C$107:$N$107</c:f>
              <c:numCache>
                <c:formatCode>0.0%</c:formatCode>
                <c:ptCount val="12"/>
                <c:pt idx="0">
                  <c:v>0.16112618724559022</c:v>
                </c:pt>
                <c:pt idx="1">
                  <c:v>2.5780189959294438E-2</c:v>
                </c:pt>
                <c:pt idx="2">
                  <c:v>3.7313432835820892E-2</c:v>
                </c:pt>
                <c:pt idx="3">
                  <c:v>0.20183175033921302</c:v>
                </c:pt>
                <c:pt idx="4">
                  <c:v>1.0854816824966078E-2</c:v>
                </c:pt>
                <c:pt idx="5">
                  <c:v>3.3921302578018993E-4</c:v>
                </c:pt>
                <c:pt idx="6">
                  <c:v>6.3432835820895525E-2</c:v>
                </c:pt>
                <c:pt idx="7">
                  <c:v>1.3568521031207599E-2</c:v>
                </c:pt>
                <c:pt idx="8">
                  <c:v>5.0881953867028496E-3</c:v>
                </c:pt>
                <c:pt idx="9">
                  <c:v>3.0529172320217096E-3</c:v>
                </c:pt>
                <c:pt idx="10">
                  <c:v>0.47659430122116692</c:v>
                </c:pt>
                <c:pt idx="11">
                  <c:v>1.0176390773405698E-3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KALAGI-MUKONO-24h'!$C$9:$N$9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KALAGI-MUKONO-24h'!$C$108:$N$108</c:f>
              <c:numCache>
                <c:formatCode>0.00%</c:formatCode>
                <c:ptCount val="12"/>
                <c:pt idx="0">
                  <c:v>0.30784186649384315</c:v>
                </c:pt>
                <c:pt idx="1">
                  <c:v>4.9254698639014903E-2</c:v>
                </c:pt>
                <c:pt idx="2">
                  <c:v>7.1289695398574202E-2</c:v>
                </c:pt>
                <c:pt idx="3">
                  <c:v>0.38561244329228778</c:v>
                </c:pt>
                <c:pt idx="4">
                  <c:v>2.0738820479585224E-2</c:v>
                </c:pt>
                <c:pt idx="5">
                  <c:v>6.4808813998703824E-4</c:v>
                </c:pt>
                <c:pt idx="6">
                  <c:v>0.12119248217757615</c:v>
                </c:pt>
                <c:pt idx="7">
                  <c:v>2.592352559948153E-2</c:v>
                </c:pt>
                <c:pt idx="8">
                  <c:v>9.7213220998055728E-3</c:v>
                </c:pt>
                <c:pt idx="9">
                  <c:v>5.8327932598833442E-3</c:v>
                </c:pt>
                <c:pt idx="11">
                  <c:v>1.9442644199611147E-3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MUKONO-KALAGI'!$AE$9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MUKONO-KALAGI'!$AE$10:$AE$21</c:f>
              <c:numCache>
                <c:formatCode>0</c:formatCode>
                <c:ptCount val="12"/>
                <c:pt idx="0">
                  <c:v>81</c:v>
                </c:pt>
                <c:pt idx="1">
                  <c:v>112</c:v>
                </c:pt>
                <c:pt idx="2">
                  <c:v>115</c:v>
                </c:pt>
                <c:pt idx="3">
                  <c:v>99</c:v>
                </c:pt>
                <c:pt idx="4">
                  <c:v>116</c:v>
                </c:pt>
                <c:pt idx="5">
                  <c:v>107</c:v>
                </c:pt>
                <c:pt idx="6">
                  <c:v>124</c:v>
                </c:pt>
                <c:pt idx="7">
                  <c:v>115</c:v>
                </c:pt>
                <c:pt idx="8">
                  <c:v>117</c:v>
                </c:pt>
                <c:pt idx="9">
                  <c:v>135</c:v>
                </c:pt>
                <c:pt idx="10">
                  <c:v>113</c:v>
                </c:pt>
                <c:pt idx="11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'1.11 MUKONO-KALAGI'!$AF$9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MUKONO-KALAGI'!$AF$10:$AF$21</c:f>
              <c:numCache>
                <c:formatCode>0</c:formatCode>
                <c:ptCount val="12"/>
                <c:pt idx="0">
                  <c:v>139</c:v>
                </c:pt>
                <c:pt idx="1">
                  <c:v>193</c:v>
                </c:pt>
                <c:pt idx="2">
                  <c:v>174</c:v>
                </c:pt>
                <c:pt idx="3">
                  <c:v>164</c:v>
                </c:pt>
                <c:pt idx="4">
                  <c:v>201</c:v>
                </c:pt>
                <c:pt idx="5">
                  <c:v>195</c:v>
                </c:pt>
                <c:pt idx="6">
                  <c:v>202</c:v>
                </c:pt>
                <c:pt idx="7">
                  <c:v>194</c:v>
                </c:pt>
                <c:pt idx="8">
                  <c:v>202</c:v>
                </c:pt>
                <c:pt idx="9">
                  <c:v>218</c:v>
                </c:pt>
                <c:pt idx="10">
                  <c:v>188</c:v>
                </c:pt>
                <c:pt idx="11">
                  <c:v>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099264"/>
        <c:axId val="107101184"/>
      </c:lineChart>
      <c:catAx>
        <c:axId val="107099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101184"/>
        <c:crosses val="autoZero"/>
        <c:auto val="1"/>
        <c:lblAlgn val="ctr"/>
        <c:lblOffset val="100"/>
        <c:noMultiLvlLbl val="0"/>
      </c:catAx>
      <c:valAx>
        <c:axId val="107101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09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MUKONO-KALAGI'!$C$59:$N$59</c:f>
              <c:numCache>
                <c:formatCode>0.0%</c:formatCode>
                <c:ptCount val="12"/>
                <c:pt idx="0">
                  <c:v>0.18513573653760571</c:v>
                </c:pt>
                <c:pt idx="1">
                  <c:v>6.2750333778371165E-2</c:v>
                </c:pt>
                <c:pt idx="2">
                  <c:v>3.9163328882955054E-2</c:v>
                </c:pt>
                <c:pt idx="3">
                  <c:v>0.20338228749443701</c:v>
                </c:pt>
                <c:pt idx="4">
                  <c:v>3.5603026257231864E-3</c:v>
                </c:pt>
                <c:pt idx="5">
                  <c:v>1.3351134846461949E-3</c:v>
                </c:pt>
                <c:pt idx="6">
                  <c:v>8.0106809078771699E-2</c:v>
                </c:pt>
                <c:pt idx="7">
                  <c:v>4.0053404539385851E-3</c:v>
                </c:pt>
                <c:pt idx="8">
                  <c:v>4.8954161103693817E-3</c:v>
                </c:pt>
                <c:pt idx="9">
                  <c:v>4.450378282153983E-3</c:v>
                </c:pt>
                <c:pt idx="10">
                  <c:v>0.41032487761459724</c:v>
                </c:pt>
                <c:pt idx="11">
                  <c:v>8.9007565643079659E-4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MUKONO-KALAGI'!$S$9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MUKONO-KALAGI'!$S$10:$S$21</c:f>
              <c:numCache>
                <c:formatCode>0</c:formatCode>
                <c:ptCount val="12"/>
                <c:pt idx="0">
                  <c:v>30</c:v>
                </c:pt>
                <c:pt idx="1">
                  <c:v>38</c:v>
                </c:pt>
                <c:pt idx="2">
                  <c:v>32</c:v>
                </c:pt>
                <c:pt idx="3">
                  <c:v>27</c:v>
                </c:pt>
                <c:pt idx="4">
                  <c:v>35</c:v>
                </c:pt>
                <c:pt idx="5">
                  <c:v>30</c:v>
                </c:pt>
                <c:pt idx="6">
                  <c:v>47</c:v>
                </c:pt>
                <c:pt idx="7">
                  <c:v>32</c:v>
                </c:pt>
                <c:pt idx="8">
                  <c:v>37</c:v>
                </c:pt>
                <c:pt idx="9">
                  <c:v>50</c:v>
                </c:pt>
                <c:pt idx="10">
                  <c:v>28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'1.11 MUKONO-KALAGI'!$T$9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MUKONO-KALAGI'!$T$10:$T$21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14</c:v>
                </c:pt>
                <c:pt idx="3">
                  <c:v>10</c:v>
                </c:pt>
                <c:pt idx="4">
                  <c:v>12</c:v>
                </c:pt>
                <c:pt idx="5">
                  <c:v>10</c:v>
                </c:pt>
                <c:pt idx="6">
                  <c:v>9</c:v>
                </c:pt>
                <c:pt idx="7">
                  <c:v>12</c:v>
                </c:pt>
                <c:pt idx="8">
                  <c:v>19</c:v>
                </c:pt>
                <c:pt idx="9">
                  <c:v>13</c:v>
                </c:pt>
                <c:pt idx="10">
                  <c:v>16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'1.11 MUKONO-KALAGI'!$U$9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MUKONO-KALAGI'!$U$10:$U$21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6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14</c:v>
                </c:pt>
                <c:pt idx="7">
                  <c:v>10</c:v>
                </c:pt>
                <c:pt idx="8">
                  <c:v>8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'1.11 MUKONO-KALAGI'!$V$9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MUKONO-KALAGI'!$V$10:$V$21</c:f>
              <c:numCache>
                <c:formatCode>0</c:formatCode>
                <c:ptCount val="12"/>
                <c:pt idx="0">
                  <c:v>31</c:v>
                </c:pt>
                <c:pt idx="1">
                  <c:v>44</c:v>
                </c:pt>
                <c:pt idx="2">
                  <c:v>42</c:v>
                </c:pt>
                <c:pt idx="3">
                  <c:v>43</c:v>
                </c:pt>
                <c:pt idx="4">
                  <c:v>43</c:v>
                </c:pt>
                <c:pt idx="5">
                  <c:v>38</c:v>
                </c:pt>
                <c:pt idx="6">
                  <c:v>39</c:v>
                </c:pt>
                <c:pt idx="7">
                  <c:v>38</c:v>
                </c:pt>
                <c:pt idx="8">
                  <c:v>33</c:v>
                </c:pt>
                <c:pt idx="9">
                  <c:v>37</c:v>
                </c:pt>
                <c:pt idx="10">
                  <c:v>43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'1.11 MUKONO-KALAGI'!$W$9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'1.11 MUKONO-KALAGI'!$X$9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'1.11 MUKONO-KALAGI'!$Y$9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MUKONO-KALAGI'!$Y$10:$Y$21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17</c:v>
                </c:pt>
                <c:pt idx="5">
                  <c:v>16</c:v>
                </c:pt>
                <c:pt idx="6">
                  <c:v>13</c:v>
                </c:pt>
                <c:pt idx="7">
                  <c:v>19</c:v>
                </c:pt>
                <c:pt idx="8">
                  <c:v>15</c:v>
                </c:pt>
                <c:pt idx="9">
                  <c:v>26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'1.11 MUKONO-KALAGI'!$Z$9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'1.11 MUKONO-KALAGI'!$AA$9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'1.11 MUKONO-KALAGI'!$AB$9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'1.11 MUKONO-KALAGI'!$AC$9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MUKONO-KALAGI'!$AC$10:$AC$21</c:f>
              <c:numCache>
                <c:formatCode>0</c:formatCode>
                <c:ptCount val="12"/>
                <c:pt idx="0">
                  <c:v>58</c:v>
                </c:pt>
                <c:pt idx="1">
                  <c:v>81</c:v>
                </c:pt>
                <c:pt idx="2">
                  <c:v>59</c:v>
                </c:pt>
                <c:pt idx="3">
                  <c:v>65</c:v>
                </c:pt>
                <c:pt idx="4">
                  <c:v>85</c:v>
                </c:pt>
                <c:pt idx="5">
                  <c:v>88</c:v>
                </c:pt>
                <c:pt idx="6">
                  <c:v>78</c:v>
                </c:pt>
                <c:pt idx="7">
                  <c:v>79</c:v>
                </c:pt>
                <c:pt idx="8">
                  <c:v>85</c:v>
                </c:pt>
                <c:pt idx="9">
                  <c:v>83</c:v>
                </c:pt>
                <c:pt idx="10">
                  <c:v>75</c:v>
                </c:pt>
                <c:pt idx="1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'1.11 MUKONO-KALAGI'!$AD$9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'1.11 MUKONO-KALAGI'!$AD$10:$AD$21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891904"/>
        <c:axId val="106897792"/>
      </c:lineChart>
      <c:catAx>
        <c:axId val="10689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897792"/>
        <c:crosses val="autoZero"/>
        <c:auto val="1"/>
        <c:lblAlgn val="ctr"/>
        <c:lblOffset val="100"/>
        <c:noMultiLvlLbl val="0"/>
      </c:catAx>
      <c:valAx>
        <c:axId val="10689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89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MUKONO-KALAGI'!$C$60:$N$60</c:f>
              <c:numCache>
                <c:formatCode>0.00%</c:formatCode>
                <c:ptCount val="12"/>
                <c:pt idx="0">
                  <c:v>0.31396226415094342</c:v>
                </c:pt>
                <c:pt idx="1">
                  <c:v>0.10641509433962264</c:v>
                </c:pt>
                <c:pt idx="2">
                  <c:v>6.6415094339622643E-2</c:v>
                </c:pt>
                <c:pt idx="3">
                  <c:v>0.34490566037735848</c:v>
                </c:pt>
                <c:pt idx="4">
                  <c:v>6.0377358490566035E-3</c:v>
                </c:pt>
                <c:pt idx="5">
                  <c:v>2.2641509433962265E-3</c:v>
                </c:pt>
                <c:pt idx="6">
                  <c:v>0.13584905660377358</c:v>
                </c:pt>
                <c:pt idx="7">
                  <c:v>6.7924528301886791E-3</c:v>
                </c:pt>
                <c:pt idx="8">
                  <c:v>8.3018867924528304E-3</c:v>
                </c:pt>
                <c:pt idx="9">
                  <c:v>7.5471698113207548E-3</c:v>
                </c:pt>
                <c:pt idx="11">
                  <c:v>1.5094339622641509E-3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'1.11 KALAGI-MUKONO'!$AE$9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KALAGI-MUKONO'!$AE$10:$AE$21</c:f>
              <c:numCache>
                <c:formatCode>0</c:formatCode>
                <c:ptCount val="12"/>
                <c:pt idx="0">
                  <c:v>92</c:v>
                </c:pt>
                <c:pt idx="1">
                  <c:v>66</c:v>
                </c:pt>
                <c:pt idx="2">
                  <c:v>91</c:v>
                </c:pt>
                <c:pt idx="3">
                  <c:v>94</c:v>
                </c:pt>
                <c:pt idx="4">
                  <c:v>97</c:v>
                </c:pt>
                <c:pt idx="5">
                  <c:v>93</c:v>
                </c:pt>
                <c:pt idx="6">
                  <c:v>92</c:v>
                </c:pt>
                <c:pt idx="7">
                  <c:v>97</c:v>
                </c:pt>
                <c:pt idx="8">
                  <c:v>88</c:v>
                </c:pt>
                <c:pt idx="9">
                  <c:v>123</c:v>
                </c:pt>
                <c:pt idx="10">
                  <c:v>130</c:v>
                </c:pt>
                <c:pt idx="11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'1.11 KALAGI-MUKONO'!$AF$9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'1.11 KALAGI-MUKONO'!$AF$10:$AF$21</c:f>
              <c:numCache>
                <c:formatCode>0</c:formatCode>
                <c:ptCount val="12"/>
                <c:pt idx="0">
                  <c:v>209</c:v>
                </c:pt>
                <c:pt idx="1">
                  <c:v>181</c:v>
                </c:pt>
                <c:pt idx="2">
                  <c:v>196</c:v>
                </c:pt>
                <c:pt idx="3">
                  <c:v>189</c:v>
                </c:pt>
                <c:pt idx="4">
                  <c:v>205</c:v>
                </c:pt>
                <c:pt idx="5">
                  <c:v>175</c:v>
                </c:pt>
                <c:pt idx="6">
                  <c:v>164</c:v>
                </c:pt>
                <c:pt idx="7">
                  <c:v>165</c:v>
                </c:pt>
                <c:pt idx="8">
                  <c:v>167</c:v>
                </c:pt>
                <c:pt idx="9">
                  <c:v>218</c:v>
                </c:pt>
                <c:pt idx="10">
                  <c:v>228</c:v>
                </c:pt>
                <c:pt idx="11">
                  <c:v>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459328"/>
        <c:axId val="107461248"/>
      </c:lineChart>
      <c:catAx>
        <c:axId val="107459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61248"/>
        <c:crosses val="autoZero"/>
        <c:auto val="1"/>
        <c:lblAlgn val="ctr"/>
        <c:lblOffset val="100"/>
        <c:noMultiLvlLbl val="0"/>
      </c:catAx>
      <c:valAx>
        <c:axId val="107461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5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KALAGI-MUKONO'!$C$59:$N$59</c:f>
              <c:numCache>
                <c:formatCode>0.0%</c:formatCode>
                <c:ptCount val="12"/>
                <c:pt idx="0">
                  <c:v>0.18389793224813022</c:v>
                </c:pt>
                <c:pt idx="1">
                  <c:v>3.915530136383634E-2</c:v>
                </c:pt>
                <c:pt idx="2">
                  <c:v>3.6955565332160142E-2</c:v>
                </c:pt>
                <c:pt idx="3">
                  <c:v>0.1803783545974483</c:v>
                </c:pt>
                <c:pt idx="4">
                  <c:v>7.479102507699076E-3</c:v>
                </c:pt>
                <c:pt idx="5">
                  <c:v>4.399472063352398E-4</c:v>
                </c:pt>
                <c:pt idx="6">
                  <c:v>5.6313242410910694E-2</c:v>
                </c:pt>
                <c:pt idx="7">
                  <c:v>5.2793664760228771E-3</c:v>
                </c:pt>
                <c:pt idx="8">
                  <c:v>6.5992080950285966E-3</c:v>
                </c:pt>
                <c:pt idx="9">
                  <c:v>3.5195776506819184E-3</c:v>
                </c:pt>
                <c:pt idx="10">
                  <c:v>0.47954245490541136</c:v>
                </c:pt>
                <c:pt idx="11">
                  <c:v>4.399472063352398E-4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'1.11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'1.11 KALAGI-MUKONO'!$C$60:$N$60</c:f>
              <c:numCache>
                <c:formatCode>0.00%</c:formatCode>
                <c:ptCount val="12"/>
                <c:pt idx="0">
                  <c:v>0.35333896872358411</c:v>
                </c:pt>
                <c:pt idx="1">
                  <c:v>7.5232459847844463E-2</c:v>
                </c:pt>
                <c:pt idx="2">
                  <c:v>7.1005917159763315E-2</c:v>
                </c:pt>
                <c:pt idx="3">
                  <c:v>0.34657650042265425</c:v>
                </c:pt>
                <c:pt idx="4">
                  <c:v>1.4370245139475908E-2</c:v>
                </c:pt>
                <c:pt idx="5">
                  <c:v>8.4530853761622987E-4</c:v>
                </c:pt>
                <c:pt idx="6">
                  <c:v>0.10819949281487742</c:v>
                </c:pt>
                <c:pt idx="7">
                  <c:v>1.0143702451394759E-2</c:v>
                </c:pt>
                <c:pt idx="8">
                  <c:v>1.2679628064243449E-2</c:v>
                </c:pt>
                <c:pt idx="9">
                  <c:v>6.762468300929839E-3</c:v>
                </c:pt>
                <c:pt idx="11">
                  <c:v>8.4530853761622987E-4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'2.11 MUKONO-KALAGI-24h'!$AE$9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'2.11 MUKONO-KALAGI-24h'!$R$10:$R$33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MUKONO-KALAGI-24h'!$AE$10:$AE$33</c:f>
              <c:numCache>
                <c:formatCode>0</c:formatCode>
                <c:ptCount val="24"/>
                <c:pt idx="0">
                  <c:v>67</c:v>
                </c:pt>
                <c:pt idx="1">
                  <c:v>81</c:v>
                </c:pt>
                <c:pt idx="2">
                  <c:v>108</c:v>
                </c:pt>
                <c:pt idx="3">
                  <c:v>118</c:v>
                </c:pt>
                <c:pt idx="4">
                  <c:v>116</c:v>
                </c:pt>
                <c:pt idx="5">
                  <c:v>122</c:v>
                </c:pt>
                <c:pt idx="6">
                  <c:v>119</c:v>
                </c:pt>
                <c:pt idx="7">
                  <c:v>133</c:v>
                </c:pt>
                <c:pt idx="8">
                  <c:v>145</c:v>
                </c:pt>
                <c:pt idx="9">
                  <c:v>194</c:v>
                </c:pt>
                <c:pt idx="10">
                  <c:v>211</c:v>
                </c:pt>
                <c:pt idx="11">
                  <c:v>210</c:v>
                </c:pt>
                <c:pt idx="12">
                  <c:v>116</c:v>
                </c:pt>
                <c:pt idx="13">
                  <c:v>117</c:v>
                </c:pt>
                <c:pt idx="14">
                  <c:v>103</c:v>
                </c:pt>
                <c:pt idx="15">
                  <c:v>59</c:v>
                </c:pt>
                <c:pt idx="16">
                  <c:v>38</c:v>
                </c:pt>
                <c:pt idx="17">
                  <c:v>23</c:v>
                </c:pt>
                <c:pt idx="18">
                  <c:v>7</c:v>
                </c:pt>
                <c:pt idx="19">
                  <c:v>11</c:v>
                </c:pt>
                <c:pt idx="20">
                  <c:v>9</c:v>
                </c:pt>
                <c:pt idx="21">
                  <c:v>11</c:v>
                </c:pt>
                <c:pt idx="22">
                  <c:v>9</c:v>
                </c:pt>
                <c:pt idx="23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'2.11 MUKONO-KALAGI-24h'!$AF$9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'2.11 MUKONO-KALAGI-24h'!$R$10:$R$33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MUKONO-KALAGI-24h'!$AF$10:$AF$33</c:f>
              <c:numCache>
                <c:formatCode>0</c:formatCode>
                <c:ptCount val="24"/>
                <c:pt idx="0">
                  <c:v>100</c:v>
                </c:pt>
                <c:pt idx="1">
                  <c:v>126</c:v>
                </c:pt>
                <c:pt idx="2">
                  <c:v>184</c:v>
                </c:pt>
                <c:pt idx="3">
                  <c:v>203</c:v>
                </c:pt>
                <c:pt idx="4">
                  <c:v>217</c:v>
                </c:pt>
                <c:pt idx="5">
                  <c:v>274</c:v>
                </c:pt>
                <c:pt idx="6">
                  <c:v>192</c:v>
                </c:pt>
                <c:pt idx="7">
                  <c:v>167</c:v>
                </c:pt>
                <c:pt idx="8">
                  <c:v>221</c:v>
                </c:pt>
                <c:pt idx="9">
                  <c:v>320</c:v>
                </c:pt>
                <c:pt idx="10">
                  <c:v>358</c:v>
                </c:pt>
                <c:pt idx="11">
                  <c:v>358</c:v>
                </c:pt>
                <c:pt idx="12">
                  <c:v>222</c:v>
                </c:pt>
                <c:pt idx="13">
                  <c:v>238</c:v>
                </c:pt>
                <c:pt idx="14">
                  <c:v>189</c:v>
                </c:pt>
                <c:pt idx="15">
                  <c:v>123</c:v>
                </c:pt>
                <c:pt idx="16">
                  <c:v>82</c:v>
                </c:pt>
                <c:pt idx="17">
                  <c:v>43</c:v>
                </c:pt>
                <c:pt idx="18">
                  <c:v>22</c:v>
                </c:pt>
                <c:pt idx="19">
                  <c:v>27</c:v>
                </c:pt>
                <c:pt idx="20">
                  <c:v>14</c:v>
                </c:pt>
                <c:pt idx="21">
                  <c:v>17</c:v>
                </c:pt>
                <c:pt idx="22">
                  <c:v>16</c:v>
                </c:pt>
                <c:pt idx="23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568000"/>
        <c:axId val="131569920"/>
      </c:lineChart>
      <c:catAx>
        <c:axId val="131568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569920"/>
        <c:crosses val="autoZero"/>
        <c:auto val="1"/>
        <c:lblAlgn val="ctr"/>
        <c:lblOffset val="100"/>
        <c:noMultiLvlLbl val="0"/>
      </c:catAx>
      <c:valAx>
        <c:axId val="131569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5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MUKONO-KALAGI-24h'!$C$9:$N$9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MUKONO-KALAGI-24h'!$C$107:$N$107</c:f>
              <c:numCache>
                <c:formatCode>0.0%</c:formatCode>
                <c:ptCount val="12"/>
                <c:pt idx="0">
                  <c:v>0.21191354770690565</c:v>
                </c:pt>
                <c:pt idx="1">
                  <c:v>8.4343700579862943E-2</c:v>
                </c:pt>
                <c:pt idx="2">
                  <c:v>3.8745387453874541E-2</c:v>
                </c:pt>
                <c:pt idx="3">
                  <c:v>0.1742224565102794</c:v>
                </c:pt>
                <c:pt idx="4">
                  <c:v>4.7443331576172906E-3</c:v>
                </c:pt>
                <c:pt idx="5">
                  <c:v>2.6357406431207171E-4</c:v>
                </c:pt>
                <c:pt idx="6">
                  <c:v>4.7179757511860834E-2</c:v>
                </c:pt>
                <c:pt idx="7">
                  <c:v>4.7443331576172906E-3</c:v>
                </c:pt>
                <c:pt idx="8">
                  <c:v>2.8993147074327886E-3</c:v>
                </c:pt>
                <c:pt idx="9">
                  <c:v>4.4807590933052185E-3</c:v>
                </c:pt>
                <c:pt idx="10">
                  <c:v>0.42593568792830783</c:v>
                </c:pt>
                <c:pt idx="11">
                  <c:v>5.2714812862414342E-4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MUKONO-KALAGI-24h'!$C$9:$N$9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MUKONO-KALAGI-24h'!$C$108:$N$108</c:f>
              <c:numCache>
                <c:formatCode>0.00%</c:formatCode>
                <c:ptCount val="12"/>
                <c:pt idx="0">
                  <c:v>0.36914600550964188</c:v>
                </c:pt>
                <c:pt idx="1">
                  <c:v>0.14692378328741965</c:v>
                </c:pt>
                <c:pt idx="2">
                  <c:v>6.7493112947658404E-2</c:v>
                </c:pt>
                <c:pt idx="3">
                  <c:v>0.30348943985307619</c:v>
                </c:pt>
                <c:pt idx="4">
                  <c:v>8.2644628099173556E-3</c:v>
                </c:pt>
                <c:pt idx="5">
                  <c:v>4.591368227731864E-4</c:v>
                </c:pt>
                <c:pt idx="6">
                  <c:v>8.2185491276400374E-2</c:v>
                </c:pt>
                <c:pt idx="7">
                  <c:v>8.2644628099173556E-3</c:v>
                </c:pt>
                <c:pt idx="8">
                  <c:v>5.0505050505050509E-3</c:v>
                </c:pt>
                <c:pt idx="9">
                  <c:v>7.8053259871441686E-3</c:v>
                </c:pt>
                <c:pt idx="11">
                  <c:v>9.1827364554637281E-4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'2.11 KALAGI-MUKONO-24h'!$AE$9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'2.11 KALAGI-MUKONO-24h'!$R$10:$R$33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KALAGI-MUKONO-24h'!$AE$10:$AE$33</c:f>
              <c:numCache>
                <c:formatCode>0</c:formatCode>
                <c:ptCount val="24"/>
                <c:pt idx="0">
                  <c:v>71</c:v>
                </c:pt>
                <c:pt idx="1">
                  <c:v>89</c:v>
                </c:pt>
                <c:pt idx="2">
                  <c:v>78</c:v>
                </c:pt>
                <c:pt idx="3">
                  <c:v>99</c:v>
                </c:pt>
                <c:pt idx="4">
                  <c:v>94</c:v>
                </c:pt>
                <c:pt idx="5">
                  <c:v>117</c:v>
                </c:pt>
                <c:pt idx="6">
                  <c:v>133</c:v>
                </c:pt>
                <c:pt idx="7">
                  <c:v>130</c:v>
                </c:pt>
                <c:pt idx="8">
                  <c:v>167</c:v>
                </c:pt>
                <c:pt idx="9">
                  <c:v>123</c:v>
                </c:pt>
                <c:pt idx="10">
                  <c:v>135</c:v>
                </c:pt>
                <c:pt idx="11">
                  <c:v>130</c:v>
                </c:pt>
                <c:pt idx="12">
                  <c:v>119</c:v>
                </c:pt>
                <c:pt idx="13">
                  <c:v>100</c:v>
                </c:pt>
                <c:pt idx="14">
                  <c:v>78</c:v>
                </c:pt>
                <c:pt idx="15">
                  <c:v>70</c:v>
                </c:pt>
                <c:pt idx="16">
                  <c:v>22</c:v>
                </c:pt>
                <c:pt idx="17">
                  <c:v>20</c:v>
                </c:pt>
                <c:pt idx="18">
                  <c:v>3</c:v>
                </c:pt>
                <c:pt idx="19">
                  <c:v>3</c:v>
                </c:pt>
                <c:pt idx="20">
                  <c:v>13</c:v>
                </c:pt>
                <c:pt idx="21">
                  <c:v>37</c:v>
                </c:pt>
                <c:pt idx="22">
                  <c:v>81</c:v>
                </c:pt>
                <c:pt idx="23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'2.11 KALAGI-MUKONO-24h'!$AF$9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'2.11 KALAGI-MUKONO-24h'!$R$10:$R$33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'2.11 KALAGI-MUKONO-24h'!$AF$10:$AF$33</c:f>
              <c:numCache>
                <c:formatCode>0</c:formatCode>
                <c:ptCount val="24"/>
                <c:pt idx="0">
                  <c:v>156</c:v>
                </c:pt>
                <c:pt idx="1">
                  <c:v>196</c:v>
                </c:pt>
                <c:pt idx="2">
                  <c:v>180</c:v>
                </c:pt>
                <c:pt idx="3">
                  <c:v>220</c:v>
                </c:pt>
                <c:pt idx="4">
                  <c:v>175</c:v>
                </c:pt>
                <c:pt idx="5">
                  <c:v>196</c:v>
                </c:pt>
                <c:pt idx="6">
                  <c:v>204</c:v>
                </c:pt>
                <c:pt idx="7">
                  <c:v>256</c:v>
                </c:pt>
                <c:pt idx="8">
                  <c:v>248</c:v>
                </c:pt>
                <c:pt idx="9">
                  <c:v>237</c:v>
                </c:pt>
                <c:pt idx="10">
                  <c:v>272</c:v>
                </c:pt>
                <c:pt idx="11">
                  <c:v>235</c:v>
                </c:pt>
                <c:pt idx="12">
                  <c:v>223</c:v>
                </c:pt>
                <c:pt idx="13">
                  <c:v>177</c:v>
                </c:pt>
                <c:pt idx="14">
                  <c:v>136</c:v>
                </c:pt>
                <c:pt idx="15">
                  <c:v>107</c:v>
                </c:pt>
                <c:pt idx="16">
                  <c:v>38</c:v>
                </c:pt>
                <c:pt idx="17">
                  <c:v>36</c:v>
                </c:pt>
                <c:pt idx="18">
                  <c:v>7</c:v>
                </c:pt>
                <c:pt idx="19">
                  <c:v>3</c:v>
                </c:pt>
                <c:pt idx="20">
                  <c:v>17</c:v>
                </c:pt>
                <c:pt idx="21">
                  <c:v>42</c:v>
                </c:pt>
                <c:pt idx="22">
                  <c:v>98</c:v>
                </c:pt>
                <c:pt idx="23">
                  <c:v>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954176"/>
        <c:axId val="131956096"/>
      </c:lineChart>
      <c:catAx>
        <c:axId val="131954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956096"/>
        <c:crosses val="autoZero"/>
        <c:auto val="1"/>
        <c:lblAlgn val="ctr"/>
        <c:lblOffset val="100"/>
        <c:noMultiLvlLbl val="0"/>
      </c:catAx>
      <c:valAx>
        <c:axId val="131956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95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KALAGI-MUKONO-24h'!$C$9:$N$9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KALAGI-MUKONO-24h'!$C$107:$N$107</c:f>
              <c:numCache>
                <c:formatCode>0.0%</c:formatCode>
                <c:ptCount val="12"/>
                <c:pt idx="0">
                  <c:v>0.19778393351800555</c:v>
                </c:pt>
                <c:pt idx="1">
                  <c:v>7.5069252077562321E-2</c:v>
                </c:pt>
                <c:pt idx="2">
                  <c:v>3.1301939058171746E-2</c:v>
                </c:pt>
                <c:pt idx="3">
                  <c:v>0.17257617728531857</c:v>
                </c:pt>
                <c:pt idx="4">
                  <c:v>4.9861495844875344E-3</c:v>
                </c:pt>
                <c:pt idx="5">
                  <c:v>1.9390581717451524E-3</c:v>
                </c:pt>
                <c:pt idx="6">
                  <c:v>4.8476454293628811E-2</c:v>
                </c:pt>
                <c:pt idx="7">
                  <c:v>1.4404432132963989E-2</c:v>
                </c:pt>
                <c:pt idx="8">
                  <c:v>4.7091412742382268E-3</c:v>
                </c:pt>
                <c:pt idx="9">
                  <c:v>5.263157894736842E-3</c:v>
                </c:pt>
                <c:pt idx="10">
                  <c:v>0.44293628808864266</c:v>
                </c:pt>
                <c:pt idx="11">
                  <c:v>5.54016620498615E-4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'2.11 KALAGI-MUKONO-24h'!$C$9:$N$9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'2.11 KALAGI-MUKONO-24h'!$C$108:$N$108</c:f>
              <c:numCache>
                <c:formatCode>0.00%</c:formatCode>
                <c:ptCount val="12"/>
                <c:pt idx="0">
                  <c:v>0.3550472401790154</c:v>
                </c:pt>
                <c:pt idx="1">
                  <c:v>0.13475882645450024</c:v>
                </c:pt>
                <c:pt idx="2">
                  <c:v>5.6190949776230729E-2</c:v>
                </c:pt>
                <c:pt idx="3">
                  <c:v>0.30979612133267032</c:v>
                </c:pt>
                <c:pt idx="4">
                  <c:v>8.950770760815515E-3</c:v>
                </c:pt>
                <c:pt idx="5">
                  <c:v>3.4808552958727002E-3</c:v>
                </c:pt>
                <c:pt idx="6">
                  <c:v>8.7021382396817504E-2</c:v>
                </c:pt>
                <c:pt idx="7">
                  <c:v>2.5857782197911485E-2</c:v>
                </c:pt>
                <c:pt idx="8">
                  <c:v>8.4535057185479868E-3</c:v>
                </c:pt>
                <c:pt idx="9">
                  <c:v>9.4480358030830432E-3</c:v>
                </c:pt>
                <c:pt idx="11">
                  <c:v>9.945300845350571E-4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MUKONO-KALAGI'!$AE$9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MUKONO-KALAGI'!$AE$10:$AE$21</c:f>
              <c:numCache>
                <c:formatCode>0</c:formatCode>
                <c:ptCount val="12"/>
                <c:pt idx="0">
                  <c:v>58</c:v>
                </c:pt>
                <c:pt idx="1">
                  <c:v>79</c:v>
                </c:pt>
                <c:pt idx="2">
                  <c:v>107</c:v>
                </c:pt>
                <c:pt idx="3">
                  <c:v>125</c:v>
                </c:pt>
                <c:pt idx="4">
                  <c:v>135</c:v>
                </c:pt>
                <c:pt idx="5">
                  <c:v>147</c:v>
                </c:pt>
                <c:pt idx="6">
                  <c:v>151</c:v>
                </c:pt>
                <c:pt idx="7">
                  <c:v>143</c:v>
                </c:pt>
                <c:pt idx="8">
                  <c:v>141</c:v>
                </c:pt>
                <c:pt idx="9">
                  <c:v>150</c:v>
                </c:pt>
                <c:pt idx="10">
                  <c:v>150</c:v>
                </c:pt>
                <c:pt idx="11">
                  <c:v>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'3.11 MUKONO-KALAGI'!$AF$9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MUKONO-KALAGI'!$AF$10:$AF$21</c:f>
              <c:numCache>
                <c:formatCode>0</c:formatCode>
                <c:ptCount val="12"/>
                <c:pt idx="0">
                  <c:v>97</c:v>
                </c:pt>
                <c:pt idx="1">
                  <c:v>142</c:v>
                </c:pt>
                <c:pt idx="2">
                  <c:v>180</c:v>
                </c:pt>
                <c:pt idx="3">
                  <c:v>231</c:v>
                </c:pt>
                <c:pt idx="4">
                  <c:v>230</c:v>
                </c:pt>
                <c:pt idx="5">
                  <c:v>248</c:v>
                </c:pt>
                <c:pt idx="6">
                  <c:v>253</c:v>
                </c:pt>
                <c:pt idx="7">
                  <c:v>238</c:v>
                </c:pt>
                <c:pt idx="8">
                  <c:v>222</c:v>
                </c:pt>
                <c:pt idx="9">
                  <c:v>241</c:v>
                </c:pt>
                <c:pt idx="10">
                  <c:v>240</c:v>
                </c:pt>
                <c:pt idx="11">
                  <c:v>204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718528"/>
        <c:axId val="107741184"/>
      </c:lineChart>
      <c:catAx>
        <c:axId val="107718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741184"/>
        <c:crosses val="autoZero"/>
        <c:auto val="1"/>
        <c:lblAlgn val="ctr"/>
        <c:lblOffset val="100"/>
        <c:noMultiLvlLbl val="0"/>
      </c:catAx>
      <c:valAx>
        <c:axId val="107741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71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MUKONO-KALAGI'!$C$59:$N$59</c:f>
              <c:numCache>
                <c:formatCode>0.0%</c:formatCode>
                <c:ptCount val="12"/>
                <c:pt idx="0">
                  <c:v>0.23000791765637371</c:v>
                </c:pt>
                <c:pt idx="1">
                  <c:v>5.5819477434679333E-2</c:v>
                </c:pt>
                <c:pt idx="2">
                  <c:v>3.5233570863024546E-2</c:v>
                </c:pt>
                <c:pt idx="3">
                  <c:v>0.20942201108471892</c:v>
                </c:pt>
                <c:pt idx="4">
                  <c:v>3.1670625494853522E-3</c:v>
                </c:pt>
                <c:pt idx="5">
                  <c:v>1.979414093428345E-3</c:v>
                </c:pt>
                <c:pt idx="6">
                  <c:v>5.3444180522565318E-2</c:v>
                </c:pt>
                <c:pt idx="7">
                  <c:v>7.9176563737133805E-4</c:v>
                </c:pt>
                <c:pt idx="8">
                  <c:v>0</c:v>
                </c:pt>
                <c:pt idx="9">
                  <c:v>3.1670625494853522E-3</c:v>
                </c:pt>
                <c:pt idx="10">
                  <c:v>0.40657165479018209</c:v>
                </c:pt>
                <c:pt idx="11">
                  <c:v>3.9588281868566902E-4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MUKONO-KALAGI'!$S$9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MUKONO-KALAGI'!$S$10:$S$21</c:f>
              <c:numCache>
                <c:formatCode>0</c:formatCode>
                <c:ptCount val="12"/>
                <c:pt idx="0">
                  <c:v>13</c:v>
                </c:pt>
                <c:pt idx="1">
                  <c:v>27</c:v>
                </c:pt>
                <c:pt idx="2">
                  <c:v>43</c:v>
                </c:pt>
                <c:pt idx="3">
                  <c:v>41</c:v>
                </c:pt>
                <c:pt idx="4">
                  <c:v>50</c:v>
                </c:pt>
                <c:pt idx="5">
                  <c:v>64</c:v>
                </c:pt>
                <c:pt idx="6">
                  <c:v>65</c:v>
                </c:pt>
                <c:pt idx="7">
                  <c:v>66</c:v>
                </c:pt>
                <c:pt idx="8">
                  <c:v>55</c:v>
                </c:pt>
                <c:pt idx="9">
                  <c:v>46</c:v>
                </c:pt>
                <c:pt idx="10">
                  <c:v>65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'3.11 MUKONO-KALAGI'!$T$9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MUKONO-KALAGI'!$T$10:$T$21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7</c:v>
                </c:pt>
                <c:pt idx="3">
                  <c:v>16</c:v>
                </c:pt>
                <c:pt idx="4">
                  <c:v>14</c:v>
                </c:pt>
                <c:pt idx="5">
                  <c:v>19</c:v>
                </c:pt>
                <c:pt idx="6">
                  <c:v>7</c:v>
                </c:pt>
                <c:pt idx="7">
                  <c:v>15</c:v>
                </c:pt>
                <c:pt idx="8">
                  <c:v>18</c:v>
                </c:pt>
                <c:pt idx="9">
                  <c:v>15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'3.11 MUKONO-KALAGI'!$U$9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MUKONO-KALAGI'!$U$10:$U$21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6</c:v>
                </c:pt>
                <c:pt idx="7">
                  <c:v>4</c:v>
                </c:pt>
                <c:pt idx="8">
                  <c:v>8</c:v>
                </c:pt>
                <c:pt idx="9">
                  <c:v>14</c:v>
                </c:pt>
                <c:pt idx="10">
                  <c:v>14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'3.11 MUKONO-KALAGI'!$V$9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MUKONO-KALAGI'!$V$10:$V$21</c:f>
              <c:numCache>
                <c:formatCode>0</c:formatCode>
                <c:ptCount val="12"/>
                <c:pt idx="0">
                  <c:v>30</c:v>
                </c:pt>
                <c:pt idx="1">
                  <c:v>30</c:v>
                </c:pt>
                <c:pt idx="2">
                  <c:v>35</c:v>
                </c:pt>
                <c:pt idx="3">
                  <c:v>45</c:v>
                </c:pt>
                <c:pt idx="4">
                  <c:v>46</c:v>
                </c:pt>
                <c:pt idx="5">
                  <c:v>42</c:v>
                </c:pt>
                <c:pt idx="6">
                  <c:v>54</c:v>
                </c:pt>
                <c:pt idx="7">
                  <c:v>51</c:v>
                </c:pt>
                <c:pt idx="8">
                  <c:v>46</c:v>
                </c:pt>
                <c:pt idx="9">
                  <c:v>64</c:v>
                </c:pt>
                <c:pt idx="10">
                  <c:v>46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'3.11 MUKONO-KALAGI'!$W$9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'3.11 MUKONO-KALAGI'!$X$9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'3.11 MUKONO-KALAGI'!$Y$9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MUKONO-KALAGI'!$Y$10:$Y$21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15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16</c:v>
                </c:pt>
                <c:pt idx="7">
                  <c:v>7</c:v>
                </c:pt>
                <c:pt idx="8">
                  <c:v>12</c:v>
                </c:pt>
                <c:pt idx="9">
                  <c:v>7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'3.11 MUKONO-KALAGI'!$Z$9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'3.11 MUKONO-KALAGI'!$AA$9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'3.11 MUKONO-KALAGI'!$AB$9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'3.11 MUKONO-KALAGI'!$AC$9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MUKONO-KALAGI'!$AC$10:$AC$21</c:f>
              <c:numCache>
                <c:formatCode>0</c:formatCode>
                <c:ptCount val="12"/>
                <c:pt idx="0">
                  <c:v>39</c:v>
                </c:pt>
                <c:pt idx="1">
                  <c:v>63</c:v>
                </c:pt>
                <c:pt idx="2">
                  <c:v>73</c:v>
                </c:pt>
                <c:pt idx="3">
                  <c:v>106</c:v>
                </c:pt>
                <c:pt idx="4">
                  <c:v>95</c:v>
                </c:pt>
                <c:pt idx="5">
                  <c:v>101</c:v>
                </c:pt>
                <c:pt idx="6">
                  <c:v>102</c:v>
                </c:pt>
                <c:pt idx="7">
                  <c:v>95</c:v>
                </c:pt>
                <c:pt idx="8">
                  <c:v>81</c:v>
                </c:pt>
                <c:pt idx="9">
                  <c:v>91</c:v>
                </c:pt>
                <c:pt idx="10">
                  <c:v>90</c:v>
                </c:pt>
                <c:pt idx="11">
                  <c:v>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'3.11 MUKONO-KALAGI'!$AD$9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MUKONO-KALAGI'!$AD$10:$AD$21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978112"/>
        <c:axId val="107988096"/>
      </c:lineChart>
      <c:catAx>
        <c:axId val="10797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988096"/>
        <c:crosses val="autoZero"/>
        <c:auto val="1"/>
        <c:lblAlgn val="ctr"/>
        <c:lblOffset val="100"/>
        <c:noMultiLvlLbl val="0"/>
      </c:catAx>
      <c:valAx>
        <c:axId val="10798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97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MUKONO-KALAGI'!$C$60:$N$60</c:f>
              <c:numCache>
                <c:formatCode>0.00%</c:formatCode>
                <c:ptCount val="12"/>
                <c:pt idx="0">
                  <c:v>0.38759172781854567</c:v>
                </c:pt>
                <c:pt idx="1">
                  <c:v>9.4062708472314877E-2</c:v>
                </c:pt>
                <c:pt idx="2">
                  <c:v>5.9372915276851235E-2</c:v>
                </c:pt>
                <c:pt idx="3">
                  <c:v>0.35290193462308206</c:v>
                </c:pt>
                <c:pt idx="4">
                  <c:v>5.3368912608405599E-3</c:v>
                </c:pt>
                <c:pt idx="5">
                  <c:v>3.3355570380253501E-3</c:v>
                </c:pt>
                <c:pt idx="6">
                  <c:v>9.0060040026684454E-2</c:v>
                </c:pt>
                <c:pt idx="7">
                  <c:v>1.33422281521014E-3</c:v>
                </c:pt>
                <c:pt idx="8">
                  <c:v>0</c:v>
                </c:pt>
                <c:pt idx="9">
                  <c:v>5.3368912608405599E-3</c:v>
                </c:pt>
                <c:pt idx="11">
                  <c:v>6.6711140760506999E-4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KALAGI-MUKONO'!$AE$9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KALAGI-MUKONO'!$AE$10:$AE$21</c:f>
              <c:numCache>
                <c:formatCode>0</c:formatCode>
                <c:ptCount val="12"/>
                <c:pt idx="0">
                  <c:v>78</c:v>
                </c:pt>
                <c:pt idx="1">
                  <c:v>58</c:v>
                </c:pt>
                <c:pt idx="2">
                  <c:v>75</c:v>
                </c:pt>
                <c:pt idx="3">
                  <c:v>95</c:v>
                </c:pt>
                <c:pt idx="4">
                  <c:v>102</c:v>
                </c:pt>
                <c:pt idx="5">
                  <c:v>109</c:v>
                </c:pt>
                <c:pt idx="6">
                  <c:v>102</c:v>
                </c:pt>
                <c:pt idx="7">
                  <c:v>125</c:v>
                </c:pt>
                <c:pt idx="8">
                  <c:v>144</c:v>
                </c:pt>
                <c:pt idx="9">
                  <c:v>142</c:v>
                </c:pt>
                <c:pt idx="10">
                  <c:v>158</c:v>
                </c:pt>
                <c:pt idx="11">
                  <c:v>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'3.11 KALAGI-MUKONO'!$AF$9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KALAGI-MUKONO'!$AF$10:$AF$21</c:f>
              <c:numCache>
                <c:formatCode>0</c:formatCode>
                <c:ptCount val="12"/>
                <c:pt idx="0">
                  <c:v>149</c:v>
                </c:pt>
                <c:pt idx="1">
                  <c:v>154</c:v>
                </c:pt>
                <c:pt idx="2">
                  <c:v>179</c:v>
                </c:pt>
                <c:pt idx="3">
                  <c:v>205</c:v>
                </c:pt>
                <c:pt idx="4">
                  <c:v>189</c:v>
                </c:pt>
                <c:pt idx="5">
                  <c:v>208</c:v>
                </c:pt>
                <c:pt idx="6">
                  <c:v>178</c:v>
                </c:pt>
                <c:pt idx="7">
                  <c:v>210</c:v>
                </c:pt>
                <c:pt idx="8">
                  <c:v>277</c:v>
                </c:pt>
                <c:pt idx="9">
                  <c:v>294</c:v>
                </c:pt>
                <c:pt idx="10">
                  <c:v>265</c:v>
                </c:pt>
                <c:pt idx="11">
                  <c:v>270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086784"/>
        <c:axId val="108088704"/>
      </c:lineChart>
      <c:catAx>
        <c:axId val="1080867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088704"/>
        <c:crosses val="autoZero"/>
        <c:auto val="1"/>
        <c:lblAlgn val="ctr"/>
        <c:lblOffset val="100"/>
        <c:noMultiLvlLbl val="0"/>
      </c:catAx>
      <c:valAx>
        <c:axId val="108088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08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KALAGI-MUKONO'!$C$59:$N$59</c:f>
              <c:numCache>
                <c:formatCode>0.0%</c:formatCode>
                <c:ptCount val="12"/>
                <c:pt idx="0">
                  <c:v>0.21024049650892165</c:v>
                </c:pt>
                <c:pt idx="1">
                  <c:v>3.1807602792862683E-2</c:v>
                </c:pt>
                <c:pt idx="2">
                  <c:v>3.335919317300233E-2</c:v>
                </c:pt>
                <c:pt idx="3">
                  <c:v>0.18463925523661753</c:v>
                </c:pt>
                <c:pt idx="4">
                  <c:v>5.4305663304887513E-3</c:v>
                </c:pt>
                <c:pt idx="5">
                  <c:v>1.5515903801396431E-3</c:v>
                </c:pt>
                <c:pt idx="6">
                  <c:v>4.2280837858805279E-2</c:v>
                </c:pt>
                <c:pt idx="7">
                  <c:v>4.2668735453840183E-3</c:v>
                </c:pt>
                <c:pt idx="8">
                  <c:v>5.0426687354538403E-3</c:v>
                </c:pt>
                <c:pt idx="9">
                  <c:v>3.8789759503491078E-4</c:v>
                </c:pt>
                <c:pt idx="10">
                  <c:v>0.48060512024825447</c:v>
                </c:pt>
                <c:pt idx="11">
                  <c:v>3.8789759503491078E-4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'3.11 KALAGI-MUKONO'!$S$9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KALAGI-MUKONO'!$S$10:$S$21</c:f>
              <c:numCache>
                <c:formatCode>0</c:formatCode>
                <c:ptCount val="12"/>
                <c:pt idx="0">
                  <c:v>18</c:v>
                </c:pt>
                <c:pt idx="1">
                  <c:v>11</c:v>
                </c:pt>
                <c:pt idx="2">
                  <c:v>24</c:v>
                </c:pt>
                <c:pt idx="3">
                  <c:v>38</c:v>
                </c:pt>
                <c:pt idx="4">
                  <c:v>33</c:v>
                </c:pt>
                <c:pt idx="5">
                  <c:v>45</c:v>
                </c:pt>
                <c:pt idx="6">
                  <c:v>43</c:v>
                </c:pt>
                <c:pt idx="7">
                  <c:v>61</c:v>
                </c:pt>
                <c:pt idx="8">
                  <c:v>69</c:v>
                </c:pt>
                <c:pt idx="9">
                  <c:v>63</c:v>
                </c:pt>
                <c:pt idx="10">
                  <c:v>75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'3.11 KALAGI-MUKONO'!$T$9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'3.11 KALAGI-MUKONO'!$T$10:$T$21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9</c:v>
                </c:pt>
                <c:pt idx="8">
                  <c:v>16</c:v>
                </c:pt>
                <c:pt idx="9">
                  <c:v>12</c:v>
                </c:pt>
                <c:pt idx="10">
                  <c:v>15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'3.11 KALAGI-MUKONO'!$U$9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KALAGI-MUKONO'!$U$10:$U$21</c:f>
              <c:numCache>
                <c:formatCode>0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8</c:v>
                </c:pt>
                <c:pt idx="8">
                  <c:v>9</c:v>
                </c:pt>
                <c:pt idx="9">
                  <c:v>11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'3.11 KALAGI-MUKONO'!$V$9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KALAGI-MUKONO'!$V$10:$V$21</c:f>
              <c:numCache>
                <c:formatCode>0</c:formatCode>
                <c:ptCount val="12"/>
                <c:pt idx="0">
                  <c:v>42</c:v>
                </c:pt>
                <c:pt idx="1">
                  <c:v>35</c:v>
                </c:pt>
                <c:pt idx="2">
                  <c:v>31</c:v>
                </c:pt>
                <c:pt idx="3">
                  <c:v>30</c:v>
                </c:pt>
                <c:pt idx="4">
                  <c:v>42</c:v>
                </c:pt>
                <c:pt idx="5">
                  <c:v>42</c:v>
                </c:pt>
                <c:pt idx="6">
                  <c:v>33</c:v>
                </c:pt>
                <c:pt idx="7">
                  <c:v>31</c:v>
                </c:pt>
                <c:pt idx="8">
                  <c:v>41</c:v>
                </c:pt>
                <c:pt idx="9">
                  <c:v>39</c:v>
                </c:pt>
                <c:pt idx="10">
                  <c:v>52</c:v>
                </c:pt>
                <c:pt idx="11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'3.11 KALAGI-MUKONO'!$W$9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'3.11 KALAGI-MUKONO'!$X$9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'3.11 KALAGI-MUKONO'!$Y$9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KALAGI-MUKONO'!$Y$10:$Y$21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12</c:v>
                </c:pt>
                <c:pt idx="4">
                  <c:v>10</c:v>
                </c:pt>
                <c:pt idx="5">
                  <c:v>7</c:v>
                </c:pt>
                <c:pt idx="6">
                  <c:v>10</c:v>
                </c:pt>
                <c:pt idx="7">
                  <c:v>13</c:v>
                </c:pt>
                <c:pt idx="8">
                  <c:v>7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'3.11 KALAGI-MUKONO'!$Z$9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'3.11 KALAGI-MUKONO'!$AA$9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'3.11 KALAGI-MUKONO'!$AB$9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'3.11 KALAGI-MUKONO'!$AC$9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KALAGI-MUKONO'!$AC$10:$AC$21</c:f>
              <c:numCache>
                <c:formatCode>0</c:formatCode>
                <c:ptCount val="12"/>
                <c:pt idx="0">
                  <c:v>71</c:v>
                </c:pt>
                <c:pt idx="1">
                  <c:v>96</c:v>
                </c:pt>
                <c:pt idx="2">
                  <c:v>104</c:v>
                </c:pt>
                <c:pt idx="3">
                  <c:v>110</c:v>
                </c:pt>
                <c:pt idx="4">
                  <c:v>87</c:v>
                </c:pt>
                <c:pt idx="5">
                  <c:v>99</c:v>
                </c:pt>
                <c:pt idx="6">
                  <c:v>76</c:v>
                </c:pt>
                <c:pt idx="7">
                  <c:v>85</c:v>
                </c:pt>
                <c:pt idx="8">
                  <c:v>133</c:v>
                </c:pt>
                <c:pt idx="9">
                  <c:v>152</c:v>
                </c:pt>
                <c:pt idx="10">
                  <c:v>107</c:v>
                </c:pt>
                <c:pt idx="11">
                  <c:v>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'3.11 KALAGI-MUKONO'!$AD$9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'3.11 KALAGI-MUKONO'!$AD$10:$AD$21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89024"/>
        <c:axId val="108307200"/>
      </c:lineChart>
      <c:catAx>
        <c:axId val="10828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307200"/>
        <c:crosses val="autoZero"/>
        <c:auto val="1"/>
        <c:lblAlgn val="ctr"/>
        <c:lblOffset val="100"/>
        <c:noMultiLvlLbl val="0"/>
      </c:catAx>
      <c:valAx>
        <c:axId val="1083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28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'3.11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'3.11 KALAGI-MUKONO'!$C$60:$N$60</c:f>
              <c:numCache>
                <c:formatCode>0.00%</c:formatCode>
                <c:ptCount val="12"/>
                <c:pt idx="0">
                  <c:v>0.40477968633308437</c:v>
                </c:pt>
                <c:pt idx="1">
                  <c:v>6.1239731142643763E-2</c:v>
                </c:pt>
                <c:pt idx="2">
                  <c:v>6.4227035100821506E-2</c:v>
                </c:pt>
                <c:pt idx="3">
                  <c:v>0.35548917102315158</c:v>
                </c:pt>
                <c:pt idx="4">
                  <c:v>1.0455563853622106E-2</c:v>
                </c:pt>
                <c:pt idx="5">
                  <c:v>2.9873039581777448E-3</c:v>
                </c:pt>
                <c:pt idx="6">
                  <c:v>8.1404032860343534E-2</c:v>
                </c:pt>
                <c:pt idx="7">
                  <c:v>8.215085884988798E-3</c:v>
                </c:pt>
                <c:pt idx="8">
                  <c:v>9.7087378640776691E-3</c:v>
                </c:pt>
                <c:pt idx="9">
                  <c:v>7.468259895444362E-4</c:v>
                </c:pt>
                <c:pt idx="11">
                  <c:v>7.468259895444362E-4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MUKONO-KALAGI'!$AE$9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MUKONO-KALAGI'!$AE$10:$AE$21</c:f>
              <c:numCache>
                <c:formatCode>0</c:formatCode>
                <c:ptCount val="12"/>
                <c:pt idx="0">
                  <c:v>91</c:v>
                </c:pt>
                <c:pt idx="1">
                  <c:v>126</c:v>
                </c:pt>
                <c:pt idx="2">
                  <c:v>106</c:v>
                </c:pt>
                <c:pt idx="3">
                  <c:v>103</c:v>
                </c:pt>
                <c:pt idx="4">
                  <c:v>116</c:v>
                </c:pt>
                <c:pt idx="5">
                  <c:v>114</c:v>
                </c:pt>
                <c:pt idx="6">
                  <c:v>111</c:v>
                </c:pt>
                <c:pt idx="7">
                  <c:v>104</c:v>
                </c:pt>
                <c:pt idx="8">
                  <c:v>109</c:v>
                </c:pt>
                <c:pt idx="9">
                  <c:v>108</c:v>
                </c:pt>
                <c:pt idx="10">
                  <c:v>120</c:v>
                </c:pt>
                <c:pt idx="11">
                  <c:v>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'4.11 MUKONO-KALAGI'!$AF$9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MUKONO-KALAGI'!$AF$10:$AF$21</c:f>
              <c:numCache>
                <c:formatCode>0</c:formatCode>
                <c:ptCount val="12"/>
                <c:pt idx="0">
                  <c:v>160</c:v>
                </c:pt>
                <c:pt idx="1">
                  <c:v>212</c:v>
                </c:pt>
                <c:pt idx="2">
                  <c:v>197</c:v>
                </c:pt>
                <c:pt idx="3">
                  <c:v>187</c:v>
                </c:pt>
                <c:pt idx="4">
                  <c:v>203</c:v>
                </c:pt>
                <c:pt idx="5">
                  <c:v>207</c:v>
                </c:pt>
                <c:pt idx="6">
                  <c:v>210</c:v>
                </c:pt>
                <c:pt idx="7">
                  <c:v>196</c:v>
                </c:pt>
                <c:pt idx="8">
                  <c:v>193</c:v>
                </c:pt>
                <c:pt idx="9">
                  <c:v>201</c:v>
                </c:pt>
                <c:pt idx="10">
                  <c:v>242</c:v>
                </c:pt>
                <c:pt idx="11">
                  <c:v>243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180608"/>
        <c:axId val="132002176"/>
      </c:lineChart>
      <c:catAx>
        <c:axId val="1321806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002176"/>
        <c:crosses val="autoZero"/>
        <c:auto val="1"/>
        <c:lblAlgn val="ctr"/>
        <c:lblOffset val="100"/>
        <c:noMultiLvlLbl val="0"/>
      </c:catAx>
      <c:valAx>
        <c:axId val="1320021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18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MUKONO-KALAGI'!$C$59:$N$59</c:f>
              <c:numCache>
                <c:formatCode>0.0%</c:formatCode>
                <c:ptCount val="12"/>
                <c:pt idx="0">
                  <c:v>0.14810281517747859</c:v>
                </c:pt>
                <c:pt idx="1">
                  <c:v>5.0999592003263976E-2</c:v>
                </c:pt>
                <c:pt idx="2">
                  <c:v>4.1207670338637294E-2</c:v>
                </c:pt>
                <c:pt idx="3">
                  <c:v>0.20236638106895144</c:v>
                </c:pt>
                <c:pt idx="4">
                  <c:v>3.2639738882088943E-3</c:v>
                </c:pt>
                <c:pt idx="5">
                  <c:v>4.0799673602611179E-4</c:v>
                </c:pt>
                <c:pt idx="6">
                  <c:v>8.5271317829457363E-2</c:v>
                </c:pt>
                <c:pt idx="7">
                  <c:v>2.4479804161566705E-3</c:v>
                </c:pt>
                <c:pt idx="8">
                  <c:v>1.2239902080783353E-3</c:v>
                </c:pt>
                <c:pt idx="9">
                  <c:v>3.6719706242350062E-3</c:v>
                </c:pt>
                <c:pt idx="10">
                  <c:v>0.46062831497348022</c:v>
                </c:pt>
                <c:pt idx="11">
                  <c:v>4.0799673602611179E-4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MUKONO-KALAGI'!$S$9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MUKONO-KALAGI'!$S$10:$S$21</c:f>
              <c:numCache>
                <c:formatCode>0</c:formatCode>
                <c:ptCount val="12"/>
                <c:pt idx="0">
                  <c:v>30</c:v>
                </c:pt>
                <c:pt idx="1">
                  <c:v>35</c:v>
                </c:pt>
                <c:pt idx="2">
                  <c:v>26</c:v>
                </c:pt>
                <c:pt idx="3">
                  <c:v>21</c:v>
                </c:pt>
                <c:pt idx="4">
                  <c:v>33</c:v>
                </c:pt>
                <c:pt idx="5">
                  <c:v>27</c:v>
                </c:pt>
                <c:pt idx="6">
                  <c:v>28</c:v>
                </c:pt>
                <c:pt idx="7">
                  <c:v>35</c:v>
                </c:pt>
                <c:pt idx="8">
                  <c:v>31</c:v>
                </c:pt>
                <c:pt idx="9">
                  <c:v>33</c:v>
                </c:pt>
                <c:pt idx="10">
                  <c:v>32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'4.11 MUKONO-KALAGI'!$T$9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'4.11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MUKONO-KALAGI'!$T$10:$T$21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7</c:v>
                </c:pt>
                <c:pt idx="3">
                  <c:v>9</c:v>
                </c:pt>
                <c:pt idx="4">
                  <c:v>12</c:v>
                </c:pt>
                <c:pt idx="5">
                  <c:v>18</c:v>
                </c:pt>
                <c:pt idx="6">
                  <c:v>7</c:v>
                </c:pt>
                <c:pt idx="7">
                  <c:v>7</c:v>
                </c:pt>
                <c:pt idx="8">
                  <c:v>16</c:v>
                </c:pt>
                <c:pt idx="9">
                  <c:v>9</c:v>
                </c:pt>
                <c:pt idx="10">
                  <c:v>14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'4.11 MUKONO-KALAGI'!$U$9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MUKONO-KALAGI'!$U$10:$U$21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7</c:v>
                </c:pt>
                <c:pt idx="4">
                  <c:v>11</c:v>
                </c:pt>
                <c:pt idx="5">
                  <c:v>8</c:v>
                </c:pt>
                <c:pt idx="6">
                  <c:v>10</c:v>
                </c:pt>
                <c:pt idx="7">
                  <c:v>4</c:v>
                </c:pt>
                <c:pt idx="8">
                  <c:v>6</c:v>
                </c:pt>
                <c:pt idx="9">
                  <c:v>12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'4.11 MUKONO-KALAGI'!$V$9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MUKONO-KALAGI'!$V$10:$V$21</c:f>
              <c:numCache>
                <c:formatCode>0</c:formatCode>
                <c:ptCount val="12"/>
                <c:pt idx="0">
                  <c:v>36</c:v>
                </c:pt>
                <c:pt idx="1">
                  <c:v>51</c:v>
                </c:pt>
                <c:pt idx="2">
                  <c:v>42</c:v>
                </c:pt>
                <c:pt idx="3">
                  <c:v>47</c:v>
                </c:pt>
                <c:pt idx="4">
                  <c:v>41</c:v>
                </c:pt>
                <c:pt idx="5">
                  <c:v>41</c:v>
                </c:pt>
                <c:pt idx="6">
                  <c:v>43</c:v>
                </c:pt>
                <c:pt idx="7">
                  <c:v>34</c:v>
                </c:pt>
                <c:pt idx="8">
                  <c:v>34</c:v>
                </c:pt>
                <c:pt idx="9">
                  <c:v>36</c:v>
                </c:pt>
                <c:pt idx="10">
                  <c:v>47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'4.11 MUKONO-KALAGI'!$W$9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'4.11 MUKONO-KALAGI'!$X$9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'4.11 MUKONO-KALAGI'!$Y$9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MUKONO-KALAGI'!$Y$10:$Y$21</c:f>
              <c:numCache>
                <c:formatCode>0</c:formatCode>
                <c:ptCount val="12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18</c:v>
                </c:pt>
                <c:pt idx="7">
                  <c:v>21</c:v>
                </c:pt>
                <c:pt idx="8">
                  <c:v>20</c:v>
                </c:pt>
                <c:pt idx="9">
                  <c:v>16</c:v>
                </c:pt>
                <c:pt idx="10">
                  <c:v>14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'4.11 MUKONO-KALAGI'!$Z$9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'4.11 MUKONO-KALAGI'!$AA$9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'4.11 MUKONO-KALAGI'!$AB$9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'4.11 MUKONO-KALAGI'!$AC$9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MUKONO-KALAGI'!$AC$10:$AC$21</c:f>
              <c:numCache>
                <c:formatCode>0</c:formatCode>
                <c:ptCount val="12"/>
                <c:pt idx="0">
                  <c:v>69</c:v>
                </c:pt>
                <c:pt idx="1">
                  <c:v>86</c:v>
                </c:pt>
                <c:pt idx="2">
                  <c:v>91</c:v>
                </c:pt>
                <c:pt idx="3">
                  <c:v>84</c:v>
                </c:pt>
                <c:pt idx="4">
                  <c:v>87</c:v>
                </c:pt>
                <c:pt idx="5">
                  <c:v>93</c:v>
                </c:pt>
                <c:pt idx="6">
                  <c:v>99</c:v>
                </c:pt>
                <c:pt idx="7">
                  <c:v>92</c:v>
                </c:pt>
                <c:pt idx="8">
                  <c:v>84</c:v>
                </c:pt>
                <c:pt idx="9">
                  <c:v>93</c:v>
                </c:pt>
                <c:pt idx="10">
                  <c:v>122</c:v>
                </c:pt>
                <c:pt idx="11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'4.11 MUKONO-KALAGI'!$AD$9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MUKONO-KALAGI'!$AD$10:$AD$21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431232"/>
        <c:axId val="132252800"/>
      </c:lineChart>
      <c:catAx>
        <c:axId val="13243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252800"/>
        <c:crosses val="autoZero"/>
        <c:auto val="1"/>
        <c:lblAlgn val="ctr"/>
        <c:lblOffset val="100"/>
        <c:noMultiLvlLbl val="0"/>
      </c:catAx>
      <c:valAx>
        <c:axId val="13225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43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MUKONO-KALAGI'!$C$60:$N$60</c:f>
              <c:numCache>
                <c:formatCode>0.00%</c:formatCode>
                <c:ptCount val="12"/>
                <c:pt idx="0">
                  <c:v>0.27458396369137672</c:v>
                </c:pt>
                <c:pt idx="1">
                  <c:v>9.4553706505295002E-2</c:v>
                </c:pt>
                <c:pt idx="2">
                  <c:v>7.6399394856278363E-2</c:v>
                </c:pt>
                <c:pt idx="3">
                  <c:v>0.37518910741301059</c:v>
                </c:pt>
                <c:pt idx="4">
                  <c:v>6.0514372163388806E-3</c:v>
                </c:pt>
                <c:pt idx="5">
                  <c:v>7.5642965204236008E-4</c:v>
                </c:pt>
                <c:pt idx="6">
                  <c:v>0.15809379727685324</c:v>
                </c:pt>
                <c:pt idx="7">
                  <c:v>4.5385779122541605E-3</c:v>
                </c:pt>
                <c:pt idx="8">
                  <c:v>2.2692889561270802E-3</c:v>
                </c:pt>
                <c:pt idx="9">
                  <c:v>6.8078668683812403E-3</c:v>
                </c:pt>
                <c:pt idx="11">
                  <c:v>7.5642965204236008E-4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KALAGI-MUKONO'!$AE$9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KALAGI-MUKONO'!$AE$10:$AE$21</c:f>
              <c:numCache>
                <c:formatCode>0</c:formatCode>
                <c:ptCount val="12"/>
                <c:pt idx="0">
                  <c:v>91</c:v>
                </c:pt>
                <c:pt idx="1">
                  <c:v>104</c:v>
                </c:pt>
                <c:pt idx="2">
                  <c:v>101</c:v>
                </c:pt>
                <c:pt idx="3">
                  <c:v>84</c:v>
                </c:pt>
                <c:pt idx="4">
                  <c:v>85</c:v>
                </c:pt>
                <c:pt idx="5">
                  <c:v>85</c:v>
                </c:pt>
                <c:pt idx="6">
                  <c:v>93</c:v>
                </c:pt>
                <c:pt idx="7">
                  <c:v>93</c:v>
                </c:pt>
                <c:pt idx="8">
                  <c:v>119</c:v>
                </c:pt>
                <c:pt idx="9">
                  <c:v>96</c:v>
                </c:pt>
                <c:pt idx="10">
                  <c:v>119</c:v>
                </c:pt>
                <c:pt idx="11">
                  <c:v>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'4.11 KALAGI-MUKONO'!$AF$9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KALAGI-MUKONO'!$AF$10:$AF$21</c:f>
              <c:numCache>
                <c:formatCode>0</c:formatCode>
                <c:ptCount val="12"/>
                <c:pt idx="0">
                  <c:v>223</c:v>
                </c:pt>
                <c:pt idx="1">
                  <c:v>227</c:v>
                </c:pt>
                <c:pt idx="2">
                  <c:v>228</c:v>
                </c:pt>
                <c:pt idx="3">
                  <c:v>183</c:v>
                </c:pt>
                <c:pt idx="4">
                  <c:v>182</c:v>
                </c:pt>
                <c:pt idx="5">
                  <c:v>154</c:v>
                </c:pt>
                <c:pt idx="6">
                  <c:v>211</c:v>
                </c:pt>
                <c:pt idx="7">
                  <c:v>183</c:v>
                </c:pt>
                <c:pt idx="8">
                  <c:v>225</c:v>
                </c:pt>
                <c:pt idx="9">
                  <c:v>200</c:v>
                </c:pt>
                <c:pt idx="10">
                  <c:v>246</c:v>
                </c:pt>
                <c:pt idx="11">
                  <c:v>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683264"/>
        <c:axId val="132685184"/>
      </c:lineChart>
      <c:catAx>
        <c:axId val="132683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685184"/>
        <c:crosses val="autoZero"/>
        <c:auto val="1"/>
        <c:lblAlgn val="ctr"/>
        <c:lblOffset val="100"/>
        <c:noMultiLvlLbl val="0"/>
      </c:catAx>
      <c:valAx>
        <c:axId val="132685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68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KALAGI-MUKONO'!$C$59:$N$59</c:f>
              <c:numCache>
                <c:formatCode>0.0%</c:formatCode>
                <c:ptCount val="12"/>
                <c:pt idx="0">
                  <c:v>0.14575059571088164</c:v>
                </c:pt>
                <c:pt idx="1">
                  <c:v>2.9785544082605243E-2</c:v>
                </c:pt>
                <c:pt idx="2">
                  <c:v>3.6934074662430504E-2</c:v>
                </c:pt>
                <c:pt idx="3">
                  <c:v>0.18625893566322479</c:v>
                </c:pt>
                <c:pt idx="4">
                  <c:v>4.368546465448769E-3</c:v>
                </c:pt>
                <c:pt idx="5">
                  <c:v>0</c:v>
                </c:pt>
                <c:pt idx="6">
                  <c:v>5.8379666401906276E-2</c:v>
                </c:pt>
                <c:pt idx="7">
                  <c:v>1.0722795869737888E-2</c:v>
                </c:pt>
                <c:pt idx="8">
                  <c:v>4.368546465448769E-3</c:v>
                </c:pt>
                <c:pt idx="9">
                  <c:v>7.9428117553613975E-4</c:v>
                </c:pt>
                <c:pt idx="10">
                  <c:v>0.52223987291501195</c:v>
                </c:pt>
                <c:pt idx="11">
                  <c:v>3.9714058776806987E-4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'4.11 KALAGI-MUKONO'!$S$9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KALAGI-MUKONO'!$S$10:$S$21</c:f>
              <c:numCache>
                <c:formatCode>0</c:formatCode>
                <c:ptCount val="12"/>
                <c:pt idx="0">
                  <c:v>34</c:v>
                </c:pt>
                <c:pt idx="1">
                  <c:v>32</c:v>
                </c:pt>
                <c:pt idx="2">
                  <c:v>32</c:v>
                </c:pt>
                <c:pt idx="3">
                  <c:v>21</c:v>
                </c:pt>
                <c:pt idx="4">
                  <c:v>13</c:v>
                </c:pt>
                <c:pt idx="5">
                  <c:v>30</c:v>
                </c:pt>
                <c:pt idx="6">
                  <c:v>29</c:v>
                </c:pt>
                <c:pt idx="7">
                  <c:v>28</c:v>
                </c:pt>
                <c:pt idx="8">
                  <c:v>37</c:v>
                </c:pt>
                <c:pt idx="9">
                  <c:v>28</c:v>
                </c:pt>
                <c:pt idx="10">
                  <c:v>39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'4.11 KALAGI-MUKONO'!$T$9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'4.11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'4.11 KALAGI-MUKONO'!$T$10:$T$21</c:f>
              <c:numCache>
                <c:formatCode>0</c:formatCode>
                <c:ptCount val="12"/>
                <c:pt idx="0">
                  <c:v>0</c:v>
                </c:pt>
                <c:pt idx="1">
                  <c:v>6</c:v>
                </c:pt>
                <c:pt idx="2">
                  <c:v>9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15</c:v>
                </c:pt>
                <c:pt idx="9">
                  <c:v>7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'4.11 KALAGI-MUKONO'!$U$9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KALAGI-MUKONO'!$U$10:$U$21</c:f>
              <c:numCache>
                <c:formatCode>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10</c:v>
                </c:pt>
                <c:pt idx="3">
                  <c:v>6</c:v>
                </c:pt>
                <c:pt idx="4">
                  <c:v>7</c:v>
                </c:pt>
                <c:pt idx="5">
                  <c:v>3</c:v>
                </c:pt>
                <c:pt idx="6">
                  <c:v>11</c:v>
                </c:pt>
                <c:pt idx="7">
                  <c:v>6</c:v>
                </c:pt>
                <c:pt idx="8">
                  <c:v>8</c:v>
                </c:pt>
                <c:pt idx="9">
                  <c:v>8</c:v>
                </c:pt>
                <c:pt idx="10">
                  <c:v>14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'4.11 KALAGI-MUKONO'!$V$9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KALAGI-MUKONO'!$V$10:$V$21</c:f>
              <c:numCache>
                <c:formatCode>0</c:formatCode>
                <c:ptCount val="12"/>
                <c:pt idx="0">
                  <c:v>33</c:v>
                </c:pt>
                <c:pt idx="1">
                  <c:v>51</c:v>
                </c:pt>
                <c:pt idx="2">
                  <c:v>39</c:v>
                </c:pt>
                <c:pt idx="3">
                  <c:v>33</c:v>
                </c:pt>
                <c:pt idx="4">
                  <c:v>41</c:v>
                </c:pt>
                <c:pt idx="5">
                  <c:v>30</c:v>
                </c:pt>
                <c:pt idx="6">
                  <c:v>29</c:v>
                </c:pt>
                <c:pt idx="7">
                  <c:v>37</c:v>
                </c:pt>
                <c:pt idx="8">
                  <c:v>46</c:v>
                </c:pt>
                <c:pt idx="9">
                  <c:v>35</c:v>
                </c:pt>
                <c:pt idx="10">
                  <c:v>44</c:v>
                </c:pt>
                <c:pt idx="11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'4.11 KALAGI-MUKONO'!$W$9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'4.11 KALAGI-MUKONO'!$X$9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'4.11 KALAGI-MUKONO'!$Y$9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KALAGI-MUKONO'!$Y$10:$Y$21</c:f>
              <c:numCache>
                <c:formatCode>0</c:formatCode>
                <c:ptCount val="12"/>
                <c:pt idx="0">
                  <c:v>15</c:v>
                </c:pt>
                <c:pt idx="1">
                  <c:v>13</c:v>
                </c:pt>
                <c:pt idx="2">
                  <c:v>11</c:v>
                </c:pt>
                <c:pt idx="3">
                  <c:v>10</c:v>
                </c:pt>
                <c:pt idx="4">
                  <c:v>14</c:v>
                </c:pt>
                <c:pt idx="5">
                  <c:v>17</c:v>
                </c:pt>
                <c:pt idx="6">
                  <c:v>16</c:v>
                </c:pt>
                <c:pt idx="7">
                  <c:v>14</c:v>
                </c:pt>
                <c:pt idx="8">
                  <c:v>8</c:v>
                </c:pt>
                <c:pt idx="9">
                  <c:v>11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'4.11 KALAGI-MUKONO'!$Z$9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5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'4.11 KALAGI-MUKONO'!$AA$9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'4.11 KALAGI-MUKONO'!$AB$9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'4.11 KALAGI-MUKONO'!$AC$9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KALAGI-MUKONO'!$AC$10:$AC$21</c:f>
              <c:numCache>
                <c:formatCode>0</c:formatCode>
                <c:ptCount val="12"/>
                <c:pt idx="0">
                  <c:v>132</c:v>
                </c:pt>
                <c:pt idx="1">
                  <c:v>123</c:v>
                </c:pt>
                <c:pt idx="2">
                  <c:v>127</c:v>
                </c:pt>
                <c:pt idx="3">
                  <c:v>99</c:v>
                </c:pt>
                <c:pt idx="4">
                  <c:v>97</c:v>
                </c:pt>
                <c:pt idx="5">
                  <c:v>69</c:v>
                </c:pt>
                <c:pt idx="6">
                  <c:v>118</c:v>
                </c:pt>
                <c:pt idx="7">
                  <c:v>90</c:v>
                </c:pt>
                <c:pt idx="8">
                  <c:v>106</c:v>
                </c:pt>
                <c:pt idx="9">
                  <c:v>104</c:v>
                </c:pt>
                <c:pt idx="10">
                  <c:v>127</c:v>
                </c:pt>
                <c:pt idx="11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'4.11 KALAGI-MUKONO'!$AD$9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'4.11 KALAGI-MUKONO'!$AD$10:$AD$21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93696"/>
        <c:axId val="132580096"/>
      </c:lineChart>
      <c:catAx>
        <c:axId val="13289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580096"/>
        <c:crosses val="autoZero"/>
        <c:auto val="1"/>
        <c:lblAlgn val="ctr"/>
        <c:lblOffset val="100"/>
        <c:noMultiLvlLbl val="0"/>
      </c:catAx>
      <c:valAx>
        <c:axId val="13258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89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'4.11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'4.11 KALAGI-MUKONO'!$C$60:$N$60</c:f>
              <c:numCache>
                <c:formatCode>0.00%</c:formatCode>
                <c:ptCount val="12"/>
                <c:pt idx="0">
                  <c:v>0.30507065669160432</c:v>
                </c:pt>
                <c:pt idx="1">
                  <c:v>6.2344139650872821E-2</c:v>
                </c:pt>
                <c:pt idx="2">
                  <c:v>7.7306733167082295E-2</c:v>
                </c:pt>
                <c:pt idx="3">
                  <c:v>0.38985868661679135</c:v>
                </c:pt>
                <c:pt idx="4">
                  <c:v>9.14380714879468E-3</c:v>
                </c:pt>
                <c:pt idx="5">
                  <c:v>0</c:v>
                </c:pt>
                <c:pt idx="6">
                  <c:v>0.12219451371571072</c:v>
                </c:pt>
                <c:pt idx="7">
                  <c:v>2.2443890274314215E-2</c:v>
                </c:pt>
                <c:pt idx="8">
                  <c:v>9.14380714879468E-3</c:v>
                </c:pt>
                <c:pt idx="9">
                  <c:v>1.6625103906899418E-3</c:v>
                </c:pt>
                <c:pt idx="11">
                  <c:v>8.3125519534497092E-4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MUKONO-KALAGI'!$AE$9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MUKONO-KALAGI'!$R$10:$R$33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MUKONO-KALAGI'!$AE$10:$AE$33</c:f>
              <c:numCache>
                <c:formatCode>0</c:formatCode>
                <c:ptCount val="24"/>
                <c:pt idx="0">
                  <c:v>79.285714285714278</c:v>
                </c:pt>
                <c:pt idx="1">
                  <c:v>98</c:v>
                </c:pt>
                <c:pt idx="2">
                  <c:v>100.71428571428571</c:v>
                </c:pt>
                <c:pt idx="3">
                  <c:v>109.57142857142857</c:v>
                </c:pt>
                <c:pt idx="4">
                  <c:v>110.28571428571426</c:v>
                </c:pt>
                <c:pt idx="5">
                  <c:v>109</c:v>
                </c:pt>
                <c:pt idx="6">
                  <c:v>117.28571428571428</c:v>
                </c:pt>
                <c:pt idx="7">
                  <c:v>117.57142857142857</c:v>
                </c:pt>
                <c:pt idx="8">
                  <c:v>116.57142857142857</c:v>
                </c:pt>
                <c:pt idx="9">
                  <c:v>130.57142857142858</c:v>
                </c:pt>
                <c:pt idx="10">
                  <c:v>130</c:v>
                </c:pt>
                <c:pt idx="11">
                  <c:v>115.14285714285714</c:v>
                </c:pt>
                <c:pt idx="12">
                  <c:v>105</c:v>
                </c:pt>
                <c:pt idx="13">
                  <c:v>100.5</c:v>
                </c:pt>
                <c:pt idx="14">
                  <c:v>89.5</c:v>
                </c:pt>
                <c:pt idx="15">
                  <c:v>54.5</c:v>
                </c:pt>
                <c:pt idx="16">
                  <c:v>31</c:v>
                </c:pt>
                <c:pt idx="17">
                  <c:v>19.5</c:v>
                </c:pt>
                <c:pt idx="18">
                  <c:v>6</c:v>
                </c:pt>
                <c:pt idx="19">
                  <c:v>8</c:v>
                </c:pt>
                <c:pt idx="20">
                  <c:v>10.5</c:v>
                </c:pt>
                <c:pt idx="21">
                  <c:v>11</c:v>
                </c:pt>
                <c:pt idx="22">
                  <c:v>13.5</c:v>
                </c:pt>
                <c:pt idx="23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MUKONO-KALAGI'!$AF$9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MUKONO-KALAGI'!$R$10:$R$33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MUKONO-KALAGI'!$AF$10:$AF$33</c:f>
              <c:numCache>
                <c:formatCode>0</c:formatCode>
                <c:ptCount val="24"/>
                <c:pt idx="0">
                  <c:v>134.71428571428569</c:v>
                </c:pt>
                <c:pt idx="1">
                  <c:v>169</c:v>
                </c:pt>
                <c:pt idx="2">
                  <c:v>173</c:v>
                </c:pt>
                <c:pt idx="3">
                  <c:v>187.57142857142856</c:v>
                </c:pt>
                <c:pt idx="4">
                  <c:v>201.71428571428569</c:v>
                </c:pt>
                <c:pt idx="5">
                  <c:v>203.71428571428572</c:v>
                </c:pt>
                <c:pt idx="6">
                  <c:v>204.57142857142858</c:v>
                </c:pt>
                <c:pt idx="7">
                  <c:v>197.14285714285714</c:v>
                </c:pt>
                <c:pt idx="8">
                  <c:v>194.42857142857144</c:v>
                </c:pt>
                <c:pt idx="9">
                  <c:v>224.28571428571431</c:v>
                </c:pt>
                <c:pt idx="10">
                  <c:v>229.85714285714286</c:v>
                </c:pt>
                <c:pt idx="11">
                  <c:v>215.85714285714283</c:v>
                </c:pt>
                <c:pt idx="12">
                  <c:v>199.5</c:v>
                </c:pt>
                <c:pt idx="13">
                  <c:v>218.5</c:v>
                </c:pt>
                <c:pt idx="14">
                  <c:v>166.5</c:v>
                </c:pt>
                <c:pt idx="15">
                  <c:v>114</c:v>
                </c:pt>
                <c:pt idx="16">
                  <c:v>70.5</c:v>
                </c:pt>
                <c:pt idx="17">
                  <c:v>36</c:v>
                </c:pt>
                <c:pt idx="18">
                  <c:v>20</c:v>
                </c:pt>
                <c:pt idx="19">
                  <c:v>17.5</c:v>
                </c:pt>
                <c:pt idx="20">
                  <c:v>16</c:v>
                </c:pt>
                <c:pt idx="21">
                  <c:v>15.5</c:v>
                </c:pt>
                <c:pt idx="22">
                  <c:v>26</c:v>
                </c:pt>
                <c:pt idx="23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108864"/>
        <c:axId val="133110784"/>
      </c:lineChart>
      <c:catAx>
        <c:axId val="1331088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110784"/>
        <c:crosses val="autoZero"/>
        <c:auto val="1"/>
        <c:lblAlgn val="ctr"/>
        <c:lblOffset val="100"/>
        <c:noMultiLvlLbl val="0"/>
      </c:catAx>
      <c:valAx>
        <c:axId val="133110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10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MUKONO-KALAGI'!$C$107:$N$107</c:f>
              <c:numCache>
                <c:formatCode>0.0%</c:formatCode>
                <c:ptCount val="12"/>
                <c:pt idx="0">
                  <c:v>0.17079516621511204</c:v>
                </c:pt>
                <c:pt idx="1">
                  <c:v>5.6272308949382885E-2</c:v>
                </c:pt>
                <c:pt idx="2">
                  <c:v>3.9586289941082875E-2</c:v>
                </c:pt>
                <c:pt idx="3">
                  <c:v>0.20319958715004516</c:v>
                </c:pt>
                <c:pt idx="4">
                  <c:v>6.2787597299273218E-3</c:v>
                </c:pt>
                <c:pt idx="5">
                  <c:v>1.0751300907409797E-3</c:v>
                </c:pt>
                <c:pt idx="6">
                  <c:v>6.5625940738829394E-2</c:v>
                </c:pt>
                <c:pt idx="7">
                  <c:v>3.397411086741495E-3</c:v>
                </c:pt>
                <c:pt idx="8">
                  <c:v>3.0318668558895635E-3</c:v>
                </c:pt>
                <c:pt idx="9">
                  <c:v>3.3114006794822183E-3</c:v>
                </c:pt>
                <c:pt idx="10">
                  <c:v>0.44699608652646966</c:v>
                </c:pt>
                <c:pt idx="11">
                  <c:v>4.3005203629639183E-4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MUKONO-KALAGI'!$S$9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MUKONO-KALAGI'!$S$10:$S$21</c:f>
              <c:numCache>
                <c:formatCode>0</c:formatCode>
                <c:ptCount val="12"/>
                <c:pt idx="0">
                  <c:v>24.285714285714288</c:v>
                </c:pt>
                <c:pt idx="1">
                  <c:v>29</c:v>
                </c:pt>
                <c:pt idx="2">
                  <c:v>32.142857142857139</c:v>
                </c:pt>
                <c:pt idx="3">
                  <c:v>34.428571428571431</c:v>
                </c:pt>
                <c:pt idx="4">
                  <c:v>33.571428571428569</c:v>
                </c:pt>
                <c:pt idx="5">
                  <c:v>33.142857142857146</c:v>
                </c:pt>
                <c:pt idx="6">
                  <c:v>39.428571428571431</c:v>
                </c:pt>
                <c:pt idx="7">
                  <c:v>39.571428571428569</c:v>
                </c:pt>
                <c:pt idx="8">
                  <c:v>35.857142857142861</c:v>
                </c:pt>
                <c:pt idx="9">
                  <c:v>44.714285714285715</c:v>
                </c:pt>
                <c:pt idx="10">
                  <c:v>44.571428571428569</c:v>
                </c:pt>
                <c:pt idx="11">
                  <c:v>40.142857142857139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68-4FCD-A619-4501F07B66D1}"/>
            </c:ext>
          </c:extLst>
        </c:ser>
        <c:ser>
          <c:idx val="1"/>
          <c:order val="1"/>
          <c:tx>
            <c:strRef>
              <c:f>'Avg Week MUKONO-KALAGI'!$T$9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MUKONO-KALAGI'!$R$10:$R$21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MUKONO-KALAGI'!$T$10:$T$21</c:f>
              <c:numCache>
                <c:formatCode>0</c:formatCode>
                <c:ptCount val="12"/>
                <c:pt idx="0">
                  <c:v>5.1428571428571423</c:v>
                </c:pt>
                <c:pt idx="1">
                  <c:v>8.1428571428571423</c:v>
                </c:pt>
                <c:pt idx="2">
                  <c:v>9</c:v>
                </c:pt>
                <c:pt idx="3">
                  <c:v>9.428571428571427</c:v>
                </c:pt>
                <c:pt idx="4">
                  <c:v>11.714285714285715</c:v>
                </c:pt>
                <c:pt idx="5">
                  <c:v>13.714285714285715</c:v>
                </c:pt>
                <c:pt idx="6">
                  <c:v>9.2857142857142865</c:v>
                </c:pt>
                <c:pt idx="7">
                  <c:v>13</c:v>
                </c:pt>
                <c:pt idx="8">
                  <c:v>19.142857142857142</c:v>
                </c:pt>
                <c:pt idx="9">
                  <c:v>15.857142857142856</c:v>
                </c:pt>
                <c:pt idx="10">
                  <c:v>15.571428571428571</c:v>
                </c:pt>
                <c:pt idx="11">
                  <c:v>11.428571428571427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68-4FCD-A619-4501F07B66D1}"/>
            </c:ext>
          </c:extLst>
        </c:ser>
        <c:ser>
          <c:idx val="2"/>
          <c:order val="2"/>
          <c:tx>
            <c:strRef>
              <c:f>'Avg Week MUKONO-KALAGI'!$U$9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MUKONO-KALAGI'!$U$10:$U$21</c:f>
              <c:numCache>
                <c:formatCode>0</c:formatCode>
                <c:ptCount val="12"/>
                <c:pt idx="0">
                  <c:v>4.2857142857142856</c:v>
                </c:pt>
                <c:pt idx="1">
                  <c:v>6.4285714285714288</c:v>
                </c:pt>
                <c:pt idx="2">
                  <c:v>7.5714285714285712</c:v>
                </c:pt>
                <c:pt idx="3">
                  <c:v>7.7142857142857144</c:v>
                </c:pt>
                <c:pt idx="4">
                  <c:v>9.5714285714285712</c:v>
                </c:pt>
                <c:pt idx="5">
                  <c:v>7.7142857142857144</c:v>
                </c:pt>
                <c:pt idx="6">
                  <c:v>10.571428571428571</c:v>
                </c:pt>
                <c:pt idx="7">
                  <c:v>6.5714285714285712</c:v>
                </c:pt>
                <c:pt idx="8">
                  <c:v>8.1428571428571423</c:v>
                </c:pt>
                <c:pt idx="9">
                  <c:v>9.7142857142857135</c:v>
                </c:pt>
                <c:pt idx="10">
                  <c:v>9.7142857142857153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8-4FCD-A619-4501F07B66D1}"/>
            </c:ext>
          </c:extLst>
        </c:ser>
        <c:ser>
          <c:idx val="3"/>
          <c:order val="3"/>
          <c:tx>
            <c:strRef>
              <c:f>'Avg Week MUKONO-KALAGI'!$V$9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MUKONO-KALAGI'!$V$10:$V$21</c:f>
              <c:numCache>
                <c:formatCode>0</c:formatCode>
                <c:ptCount val="12"/>
                <c:pt idx="0">
                  <c:v>34.714285714285715</c:v>
                </c:pt>
                <c:pt idx="1">
                  <c:v>41.142857142857139</c:v>
                </c:pt>
                <c:pt idx="2">
                  <c:v>35</c:v>
                </c:pt>
                <c:pt idx="3">
                  <c:v>41.285714285714285</c:v>
                </c:pt>
                <c:pt idx="4">
                  <c:v>37.714285714285715</c:v>
                </c:pt>
                <c:pt idx="5">
                  <c:v>38</c:v>
                </c:pt>
                <c:pt idx="6">
                  <c:v>40.857142857142854</c:v>
                </c:pt>
                <c:pt idx="7">
                  <c:v>41.142857142857139</c:v>
                </c:pt>
                <c:pt idx="8">
                  <c:v>36.428571428571431</c:v>
                </c:pt>
                <c:pt idx="9">
                  <c:v>42.571428571428569</c:v>
                </c:pt>
                <c:pt idx="10">
                  <c:v>44.714285714285715</c:v>
                </c:pt>
                <c:pt idx="11">
                  <c:v>41.428571428571431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8-4FCD-A619-4501F07B66D1}"/>
            </c:ext>
          </c:extLst>
        </c:ser>
        <c:ser>
          <c:idx val="4"/>
          <c:order val="4"/>
          <c:tx>
            <c:strRef>
              <c:f>'Avg Week MUKONO-KALAGI'!$W$9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MUKONO-KALAGI'!$W$10:$W$21</c:f>
              <c:numCache>
                <c:formatCode>0</c:formatCode>
                <c:ptCount val="12"/>
                <c:pt idx="0">
                  <c:v>0.71428571428571419</c:v>
                </c:pt>
                <c:pt idx="1">
                  <c:v>0.14285714285714285</c:v>
                </c:pt>
                <c:pt idx="2">
                  <c:v>0.5714285714285714</c:v>
                </c:pt>
                <c:pt idx="3">
                  <c:v>0.2857142857142857</c:v>
                </c:pt>
                <c:pt idx="4">
                  <c:v>0.42857142857142855</c:v>
                </c:pt>
                <c:pt idx="5">
                  <c:v>0.2857142857142857</c:v>
                </c:pt>
                <c:pt idx="6">
                  <c:v>0.71428571428571419</c:v>
                </c:pt>
                <c:pt idx="7">
                  <c:v>1.2857142857142856</c:v>
                </c:pt>
                <c:pt idx="8">
                  <c:v>0.2857142857142857</c:v>
                </c:pt>
                <c:pt idx="9">
                  <c:v>2</c:v>
                </c:pt>
                <c:pt idx="10">
                  <c:v>1.2857142857142856</c:v>
                </c:pt>
                <c:pt idx="11">
                  <c:v>0.85714285714285698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8-4FCD-A619-4501F07B66D1}"/>
            </c:ext>
          </c:extLst>
        </c:ser>
        <c:ser>
          <c:idx val="5"/>
          <c:order val="5"/>
          <c:tx>
            <c:strRef>
              <c:f>'Avg Week MUKONO-KALAGI'!$X$9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MUKONO-KALAGI'!$X$10:$X$21</c:f>
              <c:numCache>
                <c:formatCode>0</c:formatCode>
                <c:ptCount val="12"/>
                <c:pt idx="0">
                  <c:v>0.2857142857142857</c:v>
                </c:pt>
                <c:pt idx="1">
                  <c:v>0</c:v>
                </c:pt>
                <c:pt idx="2">
                  <c:v>0.14285714285714285</c:v>
                </c:pt>
                <c:pt idx="3">
                  <c:v>0</c:v>
                </c:pt>
                <c:pt idx="4">
                  <c:v>0.14285714285714285</c:v>
                </c:pt>
                <c:pt idx="5">
                  <c:v>0.14285714285714285</c:v>
                </c:pt>
                <c:pt idx="6">
                  <c:v>0.14285714285714285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0.2857142857142857</c:v>
                </c:pt>
                <c:pt idx="11">
                  <c:v>0.42857142857142855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8-4FCD-A619-4501F07B66D1}"/>
            </c:ext>
          </c:extLst>
        </c:ser>
        <c:ser>
          <c:idx val="6"/>
          <c:order val="6"/>
          <c:tx>
            <c:strRef>
              <c:f>'Avg Week MUKONO-KALAGI'!$Y$9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MUKONO-KALAGI'!$Y$10:$Y$21</c:f>
              <c:numCache>
                <c:formatCode>0</c:formatCode>
                <c:ptCount val="12"/>
                <c:pt idx="0">
                  <c:v>8.5714285714285712</c:v>
                </c:pt>
                <c:pt idx="1">
                  <c:v>10.428571428571429</c:v>
                </c:pt>
                <c:pt idx="2">
                  <c:v>13.714285714285715</c:v>
                </c:pt>
                <c:pt idx="3">
                  <c:v>13.142857142857142</c:v>
                </c:pt>
                <c:pt idx="4">
                  <c:v>14.285714285714285</c:v>
                </c:pt>
                <c:pt idx="5">
                  <c:v>13.142857142857142</c:v>
                </c:pt>
                <c:pt idx="6">
                  <c:v>12.571428571428569</c:v>
                </c:pt>
                <c:pt idx="7">
                  <c:v>13.714285714285715</c:v>
                </c:pt>
                <c:pt idx="8">
                  <c:v>14</c:v>
                </c:pt>
                <c:pt idx="9">
                  <c:v>13.857142857142858</c:v>
                </c:pt>
                <c:pt idx="10">
                  <c:v>11.999999999999998</c:v>
                </c:pt>
                <c:pt idx="11">
                  <c:v>9.5714285714285712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8-4FCD-A619-4501F07B66D1}"/>
            </c:ext>
          </c:extLst>
        </c:ser>
        <c:ser>
          <c:idx val="7"/>
          <c:order val="7"/>
          <c:tx>
            <c:strRef>
              <c:f>'Avg Week MUKONO-KALAGI'!$Z$9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MUKONO-KALAGI'!$Z$10:$Z$21</c:f>
              <c:numCache>
                <c:formatCode>0</c:formatCode>
                <c:ptCount val="12"/>
                <c:pt idx="0">
                  <c:v>0.2857142857142857</c:v>
                </c:pt>
                <c:pt idx="1">
                  <c:v>0.71428571428571419</c:v>
                </c:pt>
                <c:pt idx="2">
                  <c:v>1.1428571428571428</c:v>
                </c:pt>
                <c:pt idx="3">
                  <c:v>1.5714285714285712</c:v>
                </c:pt>
                <c:pt idx="4">
                  <c:v>1.2857142857142856</c:v>
                </c:pt>
                <c:pt idx="5">
                  <c:v>1.7142857142857142</c:v>
                </c:pt>
                <c:pt idx="6">
                  <c:v>1.4285714285714284</c:v>
                </c:pt>
                <c:pt idx="7">
                  <c:v>0.14285714285714285</c:v>
                </c:pt>
                <c:pt idx="8">
                  <c:v>0.42857142857142855</c:v>
                </c:pt>
                <c:pt idx="9">
                  <c:v>0.42857142857142855</c:v>
                </c:pt>
                <c:pt idx="10">
                  <c:v>0.5714285714285714</c:v>
                </c:pt>
                <c:pt idx="11">
                  <c:v>0.5714285714285714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8-4FCD-A619-4501F07B66D1}"/>
            </c:ext>
          </c:extLst>
        </c:ser>
        <c:ser>
          <c:idx val="8"/>
          <c:order val="8"/>
          <c:tx>
            <c:strRef>
              <c:f>'Avg Week MUKONO-KALAGI'!$AA$9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MUKONO-KALAGI'!$AA$10:$AA$21</c:f>
              <c:numCache>
                <c:formatCode>0</c:formatCode>
                <c:ptCount val="12"/>
                <c:pt idx="0">
                  <c:v>0.5714285714285714</c:v>
                </c:pt>
                <c:pt idx="1">
                  <c:v>1.2857142857142856</c:v>
                </c:pt>
                <c:pt idx="2">
                  <c:v>0.42857142857142855</c:v>
                </c:pt>
                <c:pt idx="3">
                  <c:v>0.42857142857142855</c:v>
                </c:pt>
                <c:pt idx="4">
                  <c:v>0.5714285714285714</c:v>
                </c:pt>
                <c:pt idx="5">
                  <c:v>0.42857142857142855</c:v>
                </c:pt>
                <c:pt idx="6">
                  <c:v>0.85714285714285698</c:v>
                </c:pt>
                <c:pt idx="7">
                  <c:v>1.2857142857142856</c:v>
                </c:pt>
                <c:pt idx="8">
                  <c:v>0.71428571428571419</c:v>
                </c:pt>
                <c:pt idx="9">
                  <c:v>0.71428571428571419</c:v>
                </c:pt>
                <c:pt idx="10">
                  <c:v>0.5714285714285714</c:v>
                </c:pt>
                <c:pt idx="11">
                  <c:v>0.71428571428571419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68-4FCD-A619-4501F07B66D1}"/>
            </c:ext>
          </c:extLst>
        </c:ser>
        <c:ser>
          <c:idx val="9"/>
          <c:order val="9"/>
          <c:tx>
            <c:strRef>
              <c:f>'Avg Week MUKONO-KALAGI'!$AB$9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MUKONO-KALAGI'!$AB$10:$AB$21</c:f>
              <c:numCache>
                <c:formatCode>0</c:formatCode>
                <c:ptCount val="12"/>
                <c:pt idx="0">
                  <c:v>0.42857142857142855</c:v>
                </c:pt>
                <c:pt idx="1">
                  <c:v>0.71428571428571419</c:v>
                </c:pt>
                <c:pt idx="2">
                  <c:v>1</c:v>
                </c:pt>
                <c:pt idx="3">
                  <c:v>1.1428571428571428</c:v>
                </c:pt>
                <c:pt idx="4">
                  <c:v>1</c:v>
                </c:pt>
                <c:pt idx="5">
                  <c:v>0.71428571428571419</c:v>
                </c:pt>
                <c:pt idx="6">
                  <c:v>1.1428571428571428</c:v>
                </c:pt>
                <c:pt idx="7">
                  <c:v>0.85714285714285698</c:v>
                </c:pt>
                <c:pt idx="8">
                  <c:v>1.1428571428571428</c:v>
                </c:pt>
                <c:pt idx="9">
                  <c:v>0.71428571428571419</c:v>
                </c:pt>
                <c:pt idx="10">
                  <c:v>0.42857142857142855</c:v>
                </c:pt>
                <c:pt idx="11">
                  <c:v>0.71428571428571419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68-4FCD-A619-4501F07B66D1}"/>
            </c:ext>
          </c:extLst>
        </c:ser>
        <c:ser>
          <c:idx val="10"/>
          <c:order val="10"/>
          <c:tx>
            <c:strRef>
              <c:f>'Avg Week MUKONO-KALAGI'!$AC$9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MUKONO-KALAGI'!$AC$10:$AC$21</c:f>
              <c:numCache>
                <c:formatCode>0</c:formatCode>
                <c:ptCount val="12"/>
                <c:pt idx="0">
                  <c:v>55.428571428571431</c:v>
                </c:pt>
                <c:pt idx="1">
                  <c:v>71</c:v>
                </c:pt>
                <c:pt idx="2">
                  <c:v>72.285714285714278</c:v>
                </c:pt>
                <c:pt idx="3">
                  <c:v>78</c:v>
                </c:pt>
                <c:pt idx="4">
                  <c:v>91.428571428571416</c:v>
                </c:pt>
                <c:pt idx="5">
                  <c:v>94.714285714285708</c:v>
                </c:pt>
                <c:pt idx="6">
                  <c:v>87.285714285714278</c:v>
                </c:pt>
                <c:pt idx="7">
                  <c:v>79.571428571428584</c:v>
                </c:pt>
                <c:pt idx="8">
                  <c:v>77.857142857142847</c:v>
                </c:pt>
                <c:pt idx="9">
                  <c:v>93.714285714285722</c:v>
                </c:pt>
                <c:pt idx="10">
                  <c:v>99.857142857142861</c:v>
                </c:pt>
                <c:pt idx="11">
                  <c:v>100.71428571428572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68-4FCD-A619-4501F07B66D1}"/>
            </c:ext>
          </c:extLst>
        </c:ser>
        <c:ser>
          <c:idx val="11"/>
          <c:order val="11"/>
          <c:tx>
            <c:strRef>
              <c:f>'Avg Week MUKONO-KALAGI'!$AD$9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MUKONO-KALAGI'!$AD$10:$AD$21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</c:v>
                </c:pt>
                <c:pt idx="5">
                  <c:v>0</c:v>
                </c:pt>
                <c:pt idx="6">
                  <c:v>0.2857142857142857</c:v>
                </c:pt>
                <c:pt idx="7">
                  <c:v>0</c:v>
                </c:pt>
                <c:pt idx="8">
                  <c:v>0.42857142857142855</c:v>
                </c:pt>
                <c:pt idx="9">
                  <c:v>0</c:v>
                </c:pt>
                <c:pt idx="10">
                  <c:v>0.2857142857142857</c:v>
                </c:pt>
                <c:pt idx="11">
                  <c:v>0.2857142857142857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668-4FCD-A619-4501F07B6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257856"/>
        <c:axId val="133267840"/>
      </c:lineChart>
      <c:catAx>
        <c:axId val="13325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267840"/>
        <c:crosses val="autoZero"/>
        <c:auto val="1"/>
        <c:lblAlgn val="ctr"/>
        <c:lblOffset val="100"/>
        <c:noMultiLvlLbl val="0"/>
      </c:catAx>
      <c:valAx>
        <c:axId val="13326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25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4401834578394184E-2"/>
          <c:y val="0.16313614644323307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MUKONO-KALAGI'!$C$9:$N$9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MUKONO-KALAGI'!$C$108:$N$108</c:f>
              <c:numCache>
                <c:formatCode>0.00%</c:formatCode>
                <c:ptCount val="12"/>
                <c:pt idx="0">
                  <c:v>0.30884983280192857</c:v>
                </c:pt>
                <c:pt idx="1">
                  <c:v>0.10175752391321254</c:v>
                </c:pt>
                <c:pt idx="2">
                  <c:v>7.1584104518236241E-2</c:v>
                </c:pt>
                <c:pt idx="3">
                  <c:v>0.36744692433315185</c:v>
                </c:pt>
                <c:pt idx="4">
                  <c:v>1.1353915545532311E-2</c:v>
                </c:pt>
                <c:pt idx="5">
                  <c:v>1.944163620810327E-3</c:v>
                </c:pt>
                <c:pt idx="6">
                  <c:v>0.11867174741426235</c:v>
                </c:pt>
                <c:pt idx="7">
                  <c:v>6.1435570417606323E-3</c:v>
                </c:pt>
                <c:pt idx="8">
                  <c:v>5.4825414106851236E-3</c:v>
                </c:pt>
                <c:pt idx="9">
                  <c:v>5.9880239520958087E-3</c:v>
                </c:pt>
                <c:pt idx="11">
                  <c:v>7.7766544832413072E-4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KALAGI-MUKONO'!$AE$9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KALAGI-MUKONO'!$R$10:$R$33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KALAGI-MUKONO'!$AE$10:$AE$33</c:f>
              <c:numCache>
                <c:formatCode>0</c:formatCode>
                <c:ptCount val="24"/>
                <c:pt idx="0">
                  <c:v>82.857142857142847</c:v>
                </c:pt>
                <c:pt idx="1">
                  <c:v>83.285714285714292</c:v>
                </c:pt>
                <c:pt idx="2">
                  <c:v>81.285714285714278</c:v>
                </c:pt>
                <c:pt idx="3">
                  <c:v>84.571428571428569</c:v>
                </c:pt>
                <c:pt idx="4">
                  <c:v>87.857142857142847</c:v>
                </c:pt>
                <c:pt idx="5">
                  <c:v>92.857142857142847</c:v>
                </c:pt>
                <c:pt idx="6">
                  <c:v>95.428571428571416</c:v>
                </c:pt>
                <c:pt idx="7">
                  <c:v>103</c:v>
                </c:pt>
                <c:pt idx="8">
                  <c:v>111.14285714285714</c:v>
                </c:pt>
                <c:pt idx="9">
                  <c:v>116.57142857142856</c:v>
                </c:pt>
                <c:pt idx="10">
                  <c:v>126.14285714285714</c:v>
                </c:pt>
                <c:pt idx="11">
                  <c:v>118.99999999999999</c:v>
                </c:pt>
                <c:pt idx="12">
                  <c:v>98.5</c:v>
                </c:pt>
                <c:pt idx="13">
                  <c:v>90</c:v>
                </c:pt>
                <c:pt idx="14">
                  <c:v>65</c:v>
                </c:pt>
                <c:pt idx="15">
                  <c:v>53</c:v>
                </c:pt>
                <c:pt idx="16">
                  <c:v>24</c:v>
                </c:pt>
                <c:pt idx="17">
                  <c:v>15</c:v>
                </c:pt>
                <c:pt idx="18">
                  <c:v>3</c:v>
                </c:pt>
                <c:pt idx="19">
                  <c:v>3.5</c:v>
                </c:pt>
                <c:pt idx="20">
                  <c:v>10</c:v>
                </c:pt>
                <c:pt idx="21">
                  <c:v>33.5</c:v>
                </c:pt>
                <c:pt idx="22">
                  <c:v>71.5</c:v>
                </c:pt>
                <c:pt idx="23">
                  <c:v>86.5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KALAGI-MUKONO'!$AF$9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KALAGI-MUKONO'!$R$10:$R$33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KALAGI-MUKONO'!$AF$10:$AF$33</c:f>
              <c:numCache>
                <c:formatCode>0</c:formatCode>
                <c:ptCount val="24"/>
                <c:pt idx="0">
                  <c:v>189.57142857142856</c:v>
                </c:pt>
                <c:pt idx="1">
                  <c:v>194.14285714285711</c:v>
                </c:pt>
                <c:pt idx="2">
                  <c:v>183.71428571428572</c:v>
                </c:pt>
                <c:pt idx="3">
                  <c:v>186</c:v>
                </c:pt>
                <c:pt idx="4">
                  <c:v>179.85714285714286</c:v>
                </c:pt>
                <c:pt idx="5">
                  <c:v>180.28571428571428</c:v>
                </c:pt>
                <c:pt idx="6">
                  <c:v>180.71428571428572</c:v>
                </c:pt>
                <c:pt idx="7">
                  <c:v>191.85714285714286</c:v>
                </c:pt>
                <c:pt idx="8">
                  <c:v>202.71428571428569</c:v>
                </c:pt>
                <c:pt idx="9">
                  <c:v>219.57142857142856</c:v>
                </c:pt>
                <c:pt idx="10">
                  <c:v>231</c:v>
                </c:pt>
                <c:pt idx="11">
                  <c:v>217.71428571428572</c:v>
                </c:pt>
                <c:pt idx="12">
                  <c:v>194</c:v>
                </c:pt>
                <c:pt idx="13">
                  <c:v>159</c:v>
                </c:pt>
                <c:pt idx="14">
                  <c:v>121.5</c:v>
                </c:pt>
                <c:pt idx="15">
                  <c:v>78</c:v>
                </c:pt>
                <c:pt idx="16">
                  <c:v>44</c:v>
                </c:pt>
                <c:pt idx="17">
                  <c:v>27</c:v>
                </c:pt>
                <c:pt idx="18">
                  <c:v>5.5</c:v>
                </c:pt>
                <c:pt idx="19">
                  <c:v>4.5</c:v>
                </c:pt>
                <c:pt idx="20">
                  <c:v>13.5</c:v>
                </c:pt>
                <c:pt idx="21">
                  <c:v>38</c:v>
                </c:pt>
                <c:pt idx="22">
                  <c:v>90</c:v>
                </c:pt>
                <c:pt idx="23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772032"/>
        <c:axId val="133773952"/>
      </c:lineChart>
      <c:catAx>
        <c:axId val="1337720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773952"/>
        <c:crosses val="autoZero"/>
        <c:auto val="1"/>
        <c:lblAlgn val="ctr"/>
        <c:lblOffset val="100"/>
        <c:noMultiLvlLbl val="0"/>
      </c:catAx>
      <c:valAx>
        <c:axId val="133773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77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4401834578394184E-2"/>
          <c:y val="0.14759613090321752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KALAGI-MUKONO'!$C$107:$N$107</c:f>
              <c:numCache>
                <c:formatCode>0.0%</c:formatCode>
                <c:ptCount val="12"/>
                <c:pt idx="0">
                  <c:v>0.17306601509664463</c:v>
                </c:pt>
                <c:pt idx="1">
                  <c:v>4.0468606832758831E-2</c:v>
                </c:pt>
                <c:pt idx="2">
                  <c:v>3.4818273048562311E-2</c:v>
                </c:pt>
                <c:pt idx="3">
                  <c:v>0.19322396265107544</c:v>
                </c:pt>
                <c:pt idx="4">
                  <c:v>6.8283956542606553E-3</c:v>
                </c:pt>
                <c:pt idx="5">
                  <c:v>1.4180374361883147E-3</c:v>
                </c:pt>
                <c:pt idx="6">
                  <c:v>5.9077621187660877E-2</c:v>
                </c:pt>
                <c:pt idx="7">
                  <c:v>1.287141672847855E-2</c:v>
                </c:pt>
                <c:pt idx="8">
                  <c:v>5.1485666913914201E-3</c:v>
                </c:pt>
                <c:pt idx="9">
                  <c:v>3.2505781229547528E-3</c:v>
                </c:pt>
                <c:pt idx="10">
                  <c:v>0.4693267594572188</c:v>
                </c:pt>
                <c:pt idx="11">
                  <c:v>5.0176709280509593E-4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KALAGI-MUKONO'!$S$9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KALAGI-MUKONO'!$S$10:$S$21</c:f>
              <c:numCache>
                <c:formatCode>0</c:formatCode>
                <c:ptCount val="12"/>
                <c:pt idx="0">
                  <c:v>24</c:v>
                </c:pt>
                <c:pt idx="1">
                  <c:v>26.714285714285715</c:v>
                </c:pt>
                <c:pt idx="2">
                  <c:v>25.142857142857142</c:v>
                </c:pt>
                <c:pt idx="3">
                  <c:v>28.000000000000004</c:v>
                </c:pt>
                <c:pt idx="4">
                  <c:v>26.571428571428569</c:v>
                </c:pt>
                <c:pt idx="5">
                  <c:v>32.285714285714285</c:v>
                </c:pt>
                <c:pt idx="6">
                  <c:v>32.142857142857146</c:v>
                </c:pt>
                <c:pt idx="7">
                  <c:v>40.285714285714292</c:v>
                </c:pt>
                <c:pt idx="8">
                  <c:v>41.571428571428569</c:v>
                </c:pt>
                <c:pt idx="9">
                  <c:v>41.285714285714285</c:v>
                </c:pt>
                <c:pt idx="10">
                  <c:v>49</c:v>
                </c:pt>
                <c:pt idx="11">
                  <c:v>37.142857142857139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B2-4E89-BB96-27269775CB4B}"/>
            </c:ext>
          </c:extLst>
        </c:ser>
        <c:ser>
          <c:idx val="1"/>
          <c:order val="1"/>
          <c:tx>
            <c:strRef>
              <c:f>'Avg Week KALAGI-MUKONO'!$T$9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KALAGI-MUKONO'!$R$10:$R$21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KALAGI-MUKONO'!$T$10:$T$21</c:f>
              <c:numCache>
                <c:formatCode>0</c:formatCode>
                <c:ptCount val="12"/>
                <c:pt idx="0">
                  <c:v>3</c:v>
                </c:pt>
                <c:pt idx="1">
                  <c:v>5.8571428571428577</c:v>
                </c:pt>
                <c:pt idx="2">
                  <c:v>5.4285714285714288</c:v>
                </c:pt>
                <c:pt idx="3">
                  <c:v>7</c:v>
                </c:pt>
                <c:pt idx="4">
                  <c:v>5.5714285714285712</c:v>
                </c:pt>
                <c:pt idx="5">
                  <c:v>7.9999999999999991</c:v>
                </c:pt>
                <c:pt idx="6">
                  <c:v>9.5714285714285712</c:v>
                </c:pt>
                <c:pt idx="7">
                  <c:v>8</c:v>
                </c:pt>
                <c:pt idx="8">
                  <c:v>12.571428571428573</c:v>
                </c:pt>
                <c:pt idx="9">
                  <c:v>9</c:v>
                </c:pt>
                <c:pt idx="10">
                  <c:v>13.714285714285715</c:v>
                </c:pt>
                <c:pt idx="11">
                  <c:v>9.2857142857142847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B2-4E89-BB96-27269775CB4B}"/>
            </c:ext>
          </c:extLst>
        </c:ser>
        <c:ser>
          <c:idx val="2"/>
          <c:order val="2"/>
          <c:tx>
            <c:strRef>
              <c:f>'Avg Week KALAGI-MUKONO'!$U$9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KALAGI-MUKONO'!$U$10:$U$21</c:f>
              <c:numCache>
                <c:formatCode>0</c:formatCode>
                <c:ptCount val="12"/>
                <c:pt idx="0">
                  <c:v>5.4285714285714288</c:v>
                </c:pt>
                <c:pt idx="1">
                  <c:v>3.7142857142857144</c:v>
                </c:pt>
                <c:pt idx="2">
                  <c:v>5.5714285714285712</c:v>
                </c:pt>
                <c:pt idx="3">
                  <c:v>6.2857142857142856</c:v>
                </c:pt>
                <c:pt idx="4">
                  <c:v>6.5714285714285712</c:v>
                </c:pt>
                <c:pt idx="5">
                  <c:v>6</c:v>
                </c:pt>
                <c:pt idx="6">
                  <c:v>7.4285714285714288</c:v>
                </c:pt>
                <c:pt idx="7">
                  <c:v>7.1428571428571423</c:v>
                </c:pt>
                <c:pt idx="8">
                  <c:v>7.4285714285714279</c:v>
                </c:pt>
                <c:pt idx="9">
                  <c:v>8.1428571428571423</c:v>
                </c:pt>
                <c:pt idx="10">
                  <c:v>9</c:v>
                </c:pt>
                <c:pt idx="11">
                  <c:v>11.285714285714286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B2-4E89-BB96-27269775CB4B}"/>
            </c:ext>
          </c:extLst>
        </c:ser>
        <c:ser>
          <c:idx val="3"/>
          <c:order val="3"/>
          <c:tx>
            <c:strRef>
              <c:f>'Avg Week KALAGI-MUKONO'!$V$9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KALAGI-MUKONO'!$V$10:$V$21</c:f>
              <c:numCache>
                <c:formatCode>0</c:formatCode>
                <c:ptCount val="12"/>
                <c:pt idx="0">
                  <c:v>36.714285714285715</c:v>
                </c:pt>
                <c:pt idx="1">
                  <c:v>36.571428571428569</c:v>
                </c:pt>
                <c:pt idx="2">
                  <c:v>33.428571428571423</c:v>
                </c:pt>
                <c:pt idx="3">
                  <c:v>29.571428571428569</c:v>
                </c:pt>
                <c:pt idx="4">
                  <c:v>35</c:v>
                </c:pt>
                <c:pt idx="5">
                  <c:v>32.285714285714285</c:v>
                </c:pt>
                <c:pt idx="6">
                  <c:v>30.142857142857146</c:v>
                </c:pt>
                <c:pt idx="7">
                  <c:v>31.428571428571431</c:v>
                </c:pt>
                <c:pt idx="8">
                  <c:v>35.571428571428569</c:v>
                </c:pt>
                <c:pt idx="9">
                  <c:v>38.714285714285708</c:v>
                </c:pt>
                <c:pt idx="10">
                  <c:v>39.142857142857146</c:v>
                </c:pt>
                <c:pt idx="11">
                  <c:v>42.571428571428569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B2-4E89-BB96-27269775CB4B}"/>
            </c:ext>
          </c:extLst>
        </c:ser>
        <c:ser>
          <c:idx val="4"/>
          <c:order val="4"/>
          <c:tx>
            <c:strRef>
              <c:f>'Avg Week KALAGI-MUKONO'!$W$9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KALAGI-MUKONO'!$W$10:$W$21</c:f>
              <c:numCache>
                <c:formatCode>0</c:formatCode>
                <c:ptCount val="12"/>
                <c:pt idx="0">
                  <c:v>2.8571428571428568</c:v>
                </c:pt>
                <c:pt idx="1">
                  <c:v>0.5714285714285714</c:v>
                </c:pt>
                <c:pt idx="2">
                  <c:v>0.8571428571428571</c:v>
                </c:pt>
                <c:pt idx="3">
                  <c:v>1</c:v>
                </c:pt>
                <c:pt idx="4">
                  <c:v>0.71428571428571419</c:v>
                </c:pt>
                <c:pt idx="5">
                  <c:v>0.71428571428571419</c:v>
                </c:pt>
                <c:pt idx="6">
                  <c:v>0.5714285714285714</c:v>
                </c:pt>
                <c:pt idx="7">
                  <c:v>0.8571428571428571</c:v>
                </c:pt>
                <c:pt idx="8">
                  <c:v>1.5714285714285712</c:v>
                </c:pt>
                <c:pt idx="9">
                  <c:v>2</c:v>
                </c:pt>
                <c:pt idx="10">
                  <c:v>1.4285714285714286</c:v>
                </c:pt>
                <c:pt idx="11">
                  <c:v>1.7142857142857142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B2-4E89-BB96-27269775CB4B}"/>
            </c:ext>
          </c:extLst>
        </c:ser>
        <c:ser>
          <c:idx val="5"/>
          <c:order val="5"/>
          <c:tx>
            <c:strRef>
              <c:f>'Avg Week KALAGI-MUKONO'!$X$9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KALAGI-MUKONO'!$X$10:$X$21</c:f>
              <c:numCache>
                <c:formatCode>0</c:formatCode>
                <c:ptCount val="12"/>
                <c:pt idx="0">
                  <c:v>0</c:v>
                </c:pt>
                <c:pt idx="1">
                  <c:v>0.14285714285714285</c:v>
                </c:pt>
                <c:pt idx="2">
                  <c:v>0</c:v>
                </c:pt>
                <c:pt idx="3">
                  <c:v>0.14285714285714285</c:v>
                </c:pt>
                <c:pt idx="4">
                  <c:v>0</c:v>
                </c:pt>
                <c:pt idx="5">
                  <c:v>0</c:v>
                </c:pt>
                <c:pt idx="6">
                  <c:v>0.14285714285714285</c:v>
                </c:pt>
                <c:pt idx="7">
                  <c:v>0</c:v>
                </c:pt>
                <c:pt idx="8">
                  <c:v>0</c:v>
                </c:pt>
                <c:pt idx="9">
                  <c:v>0.5714285714285714</c:v>
                </c:pt>
                <c:pt idx="10">
                  <c:v>0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AB2-4E89-BB96-27269775CB4B}"/>
            </c:ext>
          </c:extLst>
        </c:ser>
        <c:ser>
          <c:idx val="6"/>
          <c:order val="6"/>
          <c:tx>
            <c:strRef>
              <c:f>'Avg Week KALAGI-MUKONO'!$Y$9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KALAGI-MUKONO'!$Y$10:$Y$21</c:f>
              <c:numCache>
                <c:formatCode>0</c:formatCode>
                <c:ptCount val="12"/>
                <c:pt idx="0">
                  <c:v>7.8571428571428577</c:v>
                </c:pt>
                <c:pt idx="1">
                  <c:v>8.1428571428571423</c:v>
                </c:pt>
                <c:pt idx="2">
                  <c:v>8.8571428571428577</c:v>
                </c:pt>
                <c:pt idx="3">
                  <c:v>7.8571428571428577</c:v>
                </c:pt>
                <c:pt idx="4">
                  <c:v>9.1428571428571423</c:v>
                </c:pt>
                <c:pt idx="5">
                  <c:v>10.428571428571429</c:v>
                </c:pt>
                <c:pt idx="6">
                  <c:v>11.571428571428569</c:v>
                </c:pt>
                <c:pt idx="7">
                  <c:v>10.285714285714285</c:v>
                </c:pt>
                <c:pt idx="8">
                  <c:v>9.5714285714285712</c:v>
                </c:pt>
                <c:pt idx="9">
                  <c:v>11.142857142857142</c:v>
                </c:pt>
                <c:pt idx="10">
                  <c:v>10.285714285714285</c:v>
                </c:pt>
                <c:pt idx="11">
                  <c:v>11.285714285714285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B2-4E89-BB96-27269775CB4B}"/>
            </c:ext>
          </c:extLst>
        </c:ser>
        <c:ser>
          <c:idx val="7"/>
          <c:order val="7"/>
          <c:tx>
            <c:strRef>
              <c:f>'Avg Week KALAGI-MUKONO'!$Z$9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KALAGI-MUKONO'!$Z$10:$Z$21</c:f>
              <c:numCache>
                <c:formatCode>0</c:formatCode>
                <c:ptCount val="12"/>
                <c:pt idx="0">
                  <c:v>2.1428571428571428</c:v>
                </c:pt>
                <c:pt idx="1">
                  <c:v>1.1428571428571428</c:v>
                </c:pt>
                <c:pt idx="2">
                  <c:v>0.85714285714285698</c:v>
                </c:pt>
                <c:pt idx="3">
                  <c:v>2.714285714285714</c:v>
                </c:pt>
                <c:pt idx="4">
                  <c:v>2.5714285714285712</c:v>
                </c:pt>
                <c:pt idx="5">
                  <c:v>1.7142857142857142</c:v>
                </c:pt>
                <c:pt idx="6">
                  <c:v>2.1428571428571428</c:v>
                </c:pt>
                <c:pt idx="7">
                  <c:v>2</c:v>
                </c:pt>
                <c:pt idx="8">
                  <c:v>1.4285714285714284</c:v>
                </c:pt>
                <c:pt idx="9">
                  <c:v>3.5714285714285712</c:v>
                </c:pt>
                <c:pt idx="10">
                  <c:v>2.2857142857142856</c:v>
                </c:pt>
                <c:pt idx="11">
                  <c:v>2.5714285714285712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AB2-4E89-BB96-27269775CB4B}"/>
            </c:ext>
          </c:extLst>
        </c:ser>
        <c:ser>
          <c:idx val="8"/>
          <c:order val="8"/>
          <c:tx>
            <c:strRef>
              <c:f>'Avg Week KALAGI-MUKONO'!$AA$9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KALAGI-MUKONO'!$AA$10:$AA$21</c:f>
              <c:numCache>
                <c:formatCode>0</c:formatCode>
                <c:ptCount val="12"/>
                <c:pt idx="0">
                  <c:v>0.2857142857142857</c:v>
                </c:pt>
                <c:pt idx="1">
                  <c:v>0</c:v>
                </c:pt>
                <c:pt idx="2">
                  <c:v>0.71428571428571419</c:v>
                </c:pt>
                <c:pt idx="3">
                  <c:v>1.4285714285714286</c:v>
                </c:pt>
                <c:pt idx="4">
                  <c:v>0.99999999999999989</c:v>
                </c:pt>
                <c:pt idx="5">
                  <c:v>1.2857142857142856</c:v>
                </c:pt>
                <c:pt idx="6">
                  <c:v>1.2857142857142856</c:v>
                </c:pt>
                <c:pt idx="7">
                  <c:v>1.714285714285714</c:v>
                </c:pt>
                <c:pt idx="8">
                  <c:v>0.85714285714285698</c:v>
                </c:pt>
                <c:pt idx="9">
                  <c:v>1.5714285714285712</c:v>
                </c:pt>
                <c:pt idx="10">
                  <c:v>1</c:v>
                </c:pt>
                <c:pt idx="11">
                  <c:v>1.7142857142857142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B2-4E89-BB96-27269775CB4B}"/>
            </c:ext>
          </c:extLst>
        </c:ser>
        <c:ser>
          <c:idx val="9"/>
          <c:order val="9"/>
          <c:tx>
            <c:strRef>
              <c:f>'Avg Week KALAGI-MUKONO'!$AB$9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KALAGI-MUKONO'!$AB$10:$AB$21</c:f>
              <c:numCache>
                <c:formatCode>0</c:formatCode>
                <c:ptCount val="12"/>
                <c:pt idx="0">
                  <c:v>0.2857142857142857</c:v>
                </c:pt>
                <c:pt idx="1">
                  <c:v>0.2857142857142857</c:v>
                </c:pt>
                <c:pt idx="2">
                  <c:v>0.2857142857142857</c:v>
                </c:pt>
                <c:pt idx="3">
                  <c:v>0.5714285714285714</c:v>
                </c:pt>
                <c:pt idx="4">
                  <c:v>0.42857142857142855</c:v>
                </c:pt>
                <c:pt idx="5">
                  <c:v>0.14285714285714285</c:v>
                </c:pt>
                <c:pt idx="6">
                  <c:v>0.42857142857142855</c:v>
                </c:pt>
                <c:pt idx="7">
                  <c:v>1.1428571428571428</c:v>
                </c:pt>
                <c:pt idx="8">
                  <c:v>0.5714285714285714</c:v>
                </c:pt>
                <c:pt idx="9">
                  <c:v>0.5714285714285714</c:v>
                </c:pt>
                <c:pt idx="10">
                  <c:v>0.2857142857142857</c:v>
                </c:pt>
                <c:pt idx="11">
                  <c:v>1.1428571428571428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AB2-4E89-BB96-27269775CB4B}"/>
            </c:ext>
          </c:extLst>
        </c:ser>
        <c:ser>
          <c:idx val="10"/>
          <c:order val="10"/>
          <c:tx>
            <c:strRef>
              <c:f>'Avg Week KALAGI-MUKONO'!$AC$9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KALAGI-MUKONO'!$AC$10:$AC$21</c:f>
              <c:numCache>
                <c:formatCode>0</c:formatCode>
                <c:ptCount val="12"/>
                <c:pt idx="0">
                  <c:v>106.71428571428571</c:v>
                </c:pt>
                <c:pt idx="1">
                  <c:v>110.85714285714285</c:v>
                </c:pt>
                <c:pt idx="2">
                  <c:v>102.42857142857143</c:v>
                </c:pt>
                <c:pt idx="3">
                  <c:v>101.42857142857143</c:v>
                </c:pt>
                <c:pt idx="4">
                  <c:v>92</c:v>
                </c:pt>
                <c:pt idx="5">
                  <c:v>87.428571428571416</c:v>
                </c:pt>
                <c:pt idx="6">
                  <c:v>85.285714285714278</c:v>
                </c:pt>
                <c:pt idx="7">
                  <c:v>88.857142857142861</c:v>
                </c:pt>
                <c:pt idx="8">
                  <c:v>91.571428571428569</c:v>
                </c:pt>
                <c:pt idx="9">
                  <c:v>103</c:v>
                </c:pt>
                <c:pt idx="10">
                  <c:v>104.85714285714286</c:v>
                </c:pt>
                <c:pt idx="11">
                  <c:v>98.714285714285722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AB2-4E89-BB96-27269775CB4B}"/>
            </c:ext>
          </c:extLst>
        </c:ser>
        <c:ser>
          <c:idx val="11"/>
          <c:order val="11"/>
          <c:tx>
            <c:strRef>
              <c:f>'Avg Week KALAGI-MUKONO'!$AD$9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KALAGI-MUKONO'!$AD$10:$AD$21</c:f>
              <c:numCache>
                <c:formatCode>0</c:formatCode>
                <c:ptCount val="12"/>
                <c:pt idx="0">
                  <c:v>0.2857142857142857</c:v>
                </c:pt>
                <c:pt idx="1">
                  <c:v>0.14285714285714285</c:v>
                </c:pt>
                <c:pt idx="2">
                  <c:v>0.14285714285714285</c:v>
                </c:pt>
                <c:pt idx="3">
                  <c:v>0</c:v>
                </c:pt>
                <c:pt idx="4">
                  <c:v>0.2857142857142857</c:v>
                </c:pt>
                <c:pt idx="5">
                  <c:v>0</c:v>
                </c:pt>
                <c:pt idx="6">
                  <c:v>0</c:v>
                </c:pt>
                <c:pt idx="7">
                  <c:v>0.14285714285714285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AB2-4E89-BB96-27269775C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900544"/>
        <c:axId val="133910528"/>
      </c:lineChart>
      <c:catAx>
        <c:axId val="13390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910528"/>
        <c:crosses val="autoZero"/>
        <c:auto val="1"/>
        <c:lblAlgn val="ctr"/>
        <c:lblOffset val="100"/>
        <c:noMultiLvlLbl val="0"/>
      </c:catAx>
      <c:valAx>
        <c:axId val="13391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90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855822782633258E-2"/>
          <c:y val="0.15692014022722683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KALAGI-MUKONO'!$C$9:$N$9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KALAGI-MUKONO'!$C$108:$N$108</c:f>
              <c:numCache>
                <c:formatCode>0.00%</c:formatCode>
                <c:ptCount val="12"/>
                <c:pt idx="0">
                  <c:v>0.32612538540596092</c:v>
                </c:pt>
                <c:pt idx="1">
                  <c:v>7.6258992805755391E-2</c:v>
                </c:pt>
                <c:pt idx="2">
                  <c:v>6.56115107913669E-2</c:v>
                </c:pt>
                <c:pt idx="3">
                  <c:v>0.36411099691675231</c:v>
                </c:pt>
                <c:pt idx="4">
                  <c:v>1.2867420349434739E-2</c:v>
                </c:pt>
                <c:pt idx="5">
                  <c:v>2.6721479958890029E-3</c:v>
                </c:pt>
                <c:pt idx="6">
                  <c:v>0.11132579650565264</c:v>
                </c:pt>
                <c:pt idx="7">
                  <c:v>2.4254881808838641E-2</c:v>
                </c:pt>
                <c:pt idx="8">
                  <c:v>9.701952723535457E-3</c:v>
                </c:pt>
                <c:pt idx="9">
                  <c:v>6.125385405960946E-3</c:v>
                </c:pt>
                <c:pt idx="11">
                  <c:v>9.4552929085303173E-4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MUKONO-KALAGI-2Dir'!$C$9:$N$9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MUKONO-KALAGI-2Dir'!$C$107:$N$107</c:f>
              <c:numCache>
                <c:formatCode>0.0%</c:formatCode>
                <c:ptCount val="12"/>
                <c:pt idx="0">
                  <c:v>0.17192237719830192</c:v>
                </c:pt>
                <c:pt idx="1">
                  <c:v>4.8427618470068434E-2</c:v>
                </c:pt>
                <c:pt idx="2">
                  <c:v>3.7219526986052145E-2</c:v>
                </c:pt>
                <c:pt idx="3">
                  <c:v>0.19824785584336826</c:v>
                </c:pt>
                <c:pt idx="4">
                  <c:v>6.5515897080481679E-3</c:v>
                </c:pt>
                <c:pt idx="5">
                  <c:v>1.2453434982240316E-3</c:v>
                </c:pt>
                <c:pt idx="6">
                  <c:v>6.2375465650177583E-2</c:v>
                </c:pt>
                <c:pt idx="7">
                  <c:v>8.1001472754050063E-3</c:v>
                </c:pt>
                <c:pt idx="8">
                  <c:v>4.0825608593953039E-3</c:v>
                </c:pt>
                <c:pt idx="9">
                  <c:v>3.2812093909728841E-3</c:v>
                </c:pt>
                <c:pt idx="10">
                  <c:v>0.45808065494238925</c:v>
                </c:pt>
                <c:pt idx="11">
                  <c:v>4.6565017759681173E-4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MUKONO-KALAGI-2Dir'!$C$9:$N$9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MUKONO-KALAGI-2Dir'!$C$108:$N$108</c:f>
              <c:numCache>
                <c:formatCode>0.00%</c:formatCode>
                <c:ptCount val="12"/>
                <c:pt idx="0">
                  <c:v>0.3172471674360049</c:v>
                </c:pt>
                <c:pt idx="1">
                  <c:v>8.9363147692984021E-2</c:v>
                </c:pt>
                <c:pt idx="2">
                  <c:v>6.8680934396419063E-2</c:v>
                </c:pt>
                <c:pt idx="3">
                  <c:v>0.36582539016445859</c:v>
                </c:pt>
                <c:pt idx="4">
                  <c:v>1.2089602941470337E-2</c:v>
                </c:pt>
                <c:pt idx="5">
                  <c:v>2.2980236996183278E-3</c:v>
                </c:pt>
                <c:pt idx="6">
                  <c:v>0.11510101312870928</c:v>
                </c:pt>
                <c:pt idx="7">
                  <c:v>1.4947145454908778E-2</c:v>
                </c:pt>
                <c:pt idx="8">
                  <c:v>7.533521171792258E-3</c:v>
                </c:pt>
                <c:pt idx="9">
                  <c:v>6.0547928781248131E-3</c:v>
                </c:pt>
                <c:pt idx="11">
                  <c:v>8.5926103550946153E-4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MUKONO-KALAGI-2Dir'!$AE$9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MUKONO-KALAGI-2Dir'!$R$10:$R$33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MUKONO-KALAGI-2Dir'!$AE$10:$AE$33</c:f>
              <c:numCache>
                <c:formatCode>0</c:formatCode>
                <c:ptCount val="24"/>
                <c:pt idx="0">
                  <c:v>162.14285714285717</c:v>
                </c:pt>
                <c:pt idx="1">
                  <c:v>181.28571428571431</c:v>
                </c:pt>
                <c:pt idx="2">
                  <c:v>182</c:v>
                </c:pt>
                <c:pt idx="3">
                  <c:v>194.14285714285714</c:v>
                </c:pt>
                <c:pt idx="4">
                  <c:v>198.14285714285714</c:v>
                </c:pt>
                <c:pt idx="5">
                  <c:v>201.85714285714289</c:v>
                </c:pt>
                <c:pt idx="6">
                  <c:v>212.71428571428572</c:v>
                </c:pt>
                <c:pt idx="7">
                  <c:v>220.57142857142856</c:v>
                </c:pt>
                <c:pt idx="8">
                  <c:v>227.71428571428572</c:v>
                </c:pt>
                <c:pt idx="9">
                  <c:v>247.14285714285714</c:v>
                </c:pt>
                <c:pt idx="10">
                  <c:v>256.14285714285717</c:v>
                </c:pt>
                <c:pt idx="11">
                  <c:v>234.14285714285717</c:v>
                </c:pt>
                <c:pt idx="12">
                  <c:v>203.5</c:v>
                </c:pt>
                <c:pt idx="13">
                  <c:v>190.5</c:v>
                </c:pt>
                <c:pt idx="14">
                  <c:v>154.5</c:v>
                </c:pt>
                <c:pt idx="15">
                  <c:v>107.5</c:v>
                </c:pt>
                <c:pt idx="16">
                  <c:v>55</c:v>
                </c:pt>
                <c:pt idx="17">
                  <c:v>34.5</c:v>
                </c:pt>
                <c:pt idx="18">
                  <c:v>9</c:v>
                </c:pt>
                <c:pt idx="19">
                  <c:v>11.5</c:v>
                </c:pt>
                <c:pt idx="20">
                  <c:v>20.5</c:v>
                </c:pt>
                <c:pt idx="21">
                  <c:v>44.5</c:v>
                </c:pt>
                <c:pt idx="22">
                  <c:v>85</c:v>
                </c:pt>
                <c:pt idx="23">
                  <c:v>140.5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FF-4D03-A4B1-5CF83E495AAF}"/>
            </c:ext>
          </c:extLst>
        </c:ser>
        <c:ser>
          <c:idx val="1"/>
          <c:order val="1"/>
          <c:tx>
            <c:strRef>
              <c:f>'Avg Week MUKONO-KALAGI-2Dir'!$AF$9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MUKONO-KALAGI-2Dir'!$R$10:$R$33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MUKONO-KALAGI-2Dir'!$AF$10:$AF$33</c:f>
              <c:numCache>
                <c:formatCode>0</c:formatCode>
                <c:ptCount val="24"/>
                <c:pt idx="0">
                  <c:v>324.28571428571428</c:v>
                </c:pt>
                <c:pt idx="1">
                  <c:v>363.14285714285722</c:v>
                </c:pt>
                <c:pt idx="2">
                  <c:v>356.71428571428572</c:v>
                </c:pt>
                <c:pt idx="3">
                  <c:v>373.57142857142856</c:v>
                </c:pt>
                <c:pt idx="4">
                  <c:v>381.57142857142856</c:v>
                </c:pt>
                <c:pt idx="5">
                  <c:v>384</c:v>
                </c:pt>
                <c:pt idx="6">
                  <c:v>385.28571428571422</c:v>
                </c:pt>
                <c:pt idx="7">
                  <c:v>388.99999999999989</c:v>
                </c:pt>
                <c:pt idx="8">
                  <c:v>397.14285714285711</c:v>
                </c:pt>
                <c:pt idx="9">
                  <c:v>443.85714285714283</c:v>
                </c:pt>
                <c:pt idx="10">
                  <c:v>460.85714285714283</c:v>
                </c:pt>
                <c:pt idx="11">
                  <c:v>433.57142857142856</c:v>
                </c:pt>
                <c:pt idx="12">
                  <c:v>393.5</c:v>
                </c:pt>
                <c:pt idx="13">
                  <c:v>377.5</c:v>
                </c:pt>
                <c:pt idx="14">
                  <c:v>288</c:v>
                </c:pt>
                <c:pt idx="15">
                  <c:v>192</c:v>
                </c:pt>
                <c:pt idx="16">
                  <c:v>114.5</c:v>
                </c:pt>
                <c:pt idx="17">
                  <c:v>63</c:v>
                </c:pt>
                <c:pt idx="18">
                  <c:v>25.5</c:v>
                </c:pt>
                <c:pt idx="19">
                  <c:v>22</c:v>
                </c:pt>
                <c:pt idx="20">
                  <c:v>29.5</c:v>
                </c:pt>
                <c:pt idx="21">
                  <c:v>53.5</c:v>
                </c:pt>
                <c:pt idx="22">
                  <c:v>116</c:v>
                </c:pt>
                <c:pt idx="23">
                  <c:v>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FF-4D03-A4B1-5CF83E495AAF}"/>
            </c:ext>
          </c:extLst>
        </c:ser>
        <c:ser>
          <c:idx val="5"/>
          <c:order val="2"/>
          <c:tx>
            <c:strRef>
              <c:f>'Avg Week MUKONO-KALAGI-2Dir'!$AC$9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MUKONO-KALAGI-2Dir'!$R$10:$R$33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MUKONO-KALAGI-2Dir'!$AC$10:$AC$33</c:f>
              <c:numCache>
                <c:formatCode>0</c:formatCode>
                <c:ptCount val="24"/>
                <c:pt idx="0">
                  <c:v>162.14285714285714</c:v>
                </c:pt>
                <c:pt idx="1">
                  <c:v>181.85714285714283</c:v>
                </c:pt>
                <c:pt idx="2">
                  <c:v>174.71428571428572</c:v>
                </c:pt>
                <c:pt idx="3">
                  <c:v>179.42857142857142</c:v>
                </c:pt>
                <c:pt idx="4">
                  <c:v>183.42857142857142</c:v>
                </c:pt>
                <c:pt idx="5">
                  <c:v>182.14285714285717</c:v>
                </c:pt>
                <c:pt idx="6">
                  <c:v>172.57142857142856</c:v>
                </c:pt>
                <c:pt idx="7">
                  <c:v>168.42857142857144</c:v>
                </c:pt>
                <c:pt idx="8">
                  <c:v>169.42857142857142</c:v>
                </c:pt>
                <c:pt idx="9">
                  <c:v>196.71428571428572</c:v>
                </c:pt>
                <c:pt idx="10">
                  <c:v>204.71428571428572</c:v>
                </c:pt>
                <c:pt idx="11">
                  <c:v>199.42857142857144</c:v>
                </c:pt>
                <c:pt idx="12">
                  <c:v>190</c:v>
                </c:pt>
                <c:pt idx="13">
                  <c:v>187</c:v>
                </c:pt>
                <c:pt idx="14">
                  <c:v>133.5</c:v>
                </c:pt>
                <c:pt idx="15">
                  <c:v>84.5</c:v>
                </c:pt>
                <c:pt idx="16">
                  <c:v>59.5</c:v>
                </c:pt>
                <c:pt idx="17">
                  <c:v>28.5</c:v>
                </c:pt>
                <c:pt idx="18">
                  <c:v>16.5</c:v>
                </c:pt>
                <c:pt idx="19">
                  <c:v>10.5</c:v>
                </c:pt>
                <c:pt idx="20">
                  <c:v>9</c:v>
                </c:pt>
                <c:pt idx="21">
                  <c:v>9</c:v>
                </c:pt>
                <c:pt idx="22">
                  <c:v>31</c:v>
                </c:pt>
                <c:pt idx="23">
                  <c:v>87.5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FF-4D03-A4B1-5CF83E495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MUKONO-KALAGI-2Dir'!$S$9:$AF$9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MUKONO-KALAGI-2Dir'!$S$41:$AF$41</c:f>
              <c:numCache>
                <c:formatCode>0</c:formatCode>
                <c:ptCount val="14"/>
                <c:pt idx="0">
                  <c:v>1134</c:v>
                </c:pt>
                <c:pt idx="1">
                  <c:v>319.42857142857144</c:v>
                </c:pt>
                <c:pt idx="2">
                  <c:v>245.49999999999997</c:v>
                </c:pt>
                <c:pt idx="3">
                  <c:v>1307.6428571428571</c:v>
                </c:pt>
                <c:pt idx="4">
                  <c:v>43.214285714285715</c:v>
                </c:pt>
                <c:pt idx="5">
                  <c:v>8.2142857142857153</c:v>
                </c:pt>
                <c:pt idx="6">
                  <c:v>411.42857142857144</c:v>
                </c:pt>
                <c:pt idx="7">
                  <c:v>53.428571428571423</c:v>
                </c:pt>
                <c:pt idx="8">
                  <c:v>26.928571428571427</c:v>
                </c:pt>
                <c:pt idx="9">
                  <c:v>21.642857142857139</c:v>
                </c:pt>
                <c:pt idx="10">
                  <c:v>3021.5</c:v>
                </c:pt>
                <c:pt idx="11">
                  <c:v>3.0714285714285712</c:v>
                </c:pt>
                <c:pt idx="12">
                  <c:v>3574.5</c:v>
                </c:pt>
                <c:pt idx="13">
                  <c:v>6595.9999999999991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EE-400F-A0D0-28FF14A6771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MUKONO-KALAGI-2Dir'!$S$9:$AF$9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MUKONO-KALAGI-2Dir'!$S$42:$AF$42</c:f>
              <c:numCache>
                <c:formatCode>0.000</c:formatCode>
                <c:ptCount val="14"/>
                <c:pt idx="0">
                  <c:v>1.3580838323353293</c:v>
                </c:pt>
                <c:pt idx="1">
                  <c:v>1.3397243858597963</c:v>
                </c:pt>
                <c:pt idx="2">
                  <c:v>1.3563535911602211</c:v>
                </c:pt>
                <c:pt idx="3">
                  <c:v>1.4591901801370954</c:v>
                </c:pt>
                <c:pt idx="4">
                  <c:v>1.822289156626506</c:v>
                </c:pt>
                <c:pt idx="5">
                  <c:v>3.0263157894736845</c:v>
                </c:pt>
                <c:pt idx="6">
                  <c:v>1.55005382131324</c:v>
                </c:pt>
                <c:pt idx="7">
                  <c:v>1.5080645161290323</c:v>
                </c:pt>
                <c:pt idx="8">
                  <c:v>1.2566666666666666</c:v>
                </c:pt>
                <c:pt idx="9">
                  <c:v>1.3407079646017701</c:v>
                </c:pt>
                <c:pt idx="10">
                  <c:v>1.3891954022988506</c:v>
                </c:pt>
                <c:pt idx="11">
                  <c:v>1.1944444444444444</c:v>
                </c:pt>
                <c:pt idx="12">
                  <c:v>1.4195790309769658</c:v>
                </c:pt>
                <c:pt idx="13">
                  <c:v>1.4054975495418709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9-41DA-92CF-F14FD7A1F58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4.xml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9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3.xml"/><Relationship Id="rId2" Type="http://schemas.openxmlformats.org/officeDocument/2006/relationships/image" Target="../media/image2.emf"/><Relationship Id="rId16" Type="http://schemas.openxmlformats.org/officeDocument/2006/relationships/chart" Target="../charts/chart62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61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6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153913</xdr:colOff>
      <xdr:row>7</xdr:row>
      <xdr:rowOff>221910</xdr:rowOff>
    </xdr:from>
    <xdr:to>
      <xdr:col>7</xdr:col>
      <xdr:colOff>861100</xdr:colOff>
      <xdr:row>7</xdr:row>
      <xdr:rowOff>603336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37163" y="209516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22225</xdr:rowOff>
    </xdr:from>
    <xdr:to>
      <xdr:col>28</xdr:col>
      <xdr:colOff>0</xdr:colOff>
      <xdr:row>57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57</xdr:row>
      <xdr:rowOff>279400</xdr:rowOff>
    </xdr:from>
    <xdr:to>
      <xdr:col>23</xdr:col>
      <xdr:colOff>47626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0528A59-0010-4D7E-82B3-4199F0C17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1</xdr:colOff>
      <xdr:row>58</xdr:row>
      <xdr:rowOff>15875</xdr:rowOff>
    </xdr:from>
    <xdr:to>
      <xdr:col>31</xdr:col>
      <xdr:colOff>47626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57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57</xdr:row>
      <xdr:rowOff>279400</xdr:rowOff>
    </xdr:from>
    <xdr:to>
      <xdr:col>23</xdr:col>
      <xdr:colOff>15875</xdr:colOff>
      <xdr:row>73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B52FC5F-8151-4468-9056-5691CAE9EC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58</xdr:row>
      <xdr:rowOff>0</xdr:rowOff>
    </xdr:from>
    <xdr:to>
      <xdr:col>31</xdr:col>
      <xdr:colOff>174624</xdr:colOff>
      <xdr:row>73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41275</xdr:rowOff>
    </xdr:from>
    <xdr:to>
      <xdr:col>23</xdr:col>
      <xdr:colOff>634999</xdr:colOff>
      <xdr:row>74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74</xdr:row>
      <xdr:rowOff>47625</xdr:rowOff>
    </xdr:from>
    <xdr:to>
      <xdr:col>23</xdr:col>
      <xdr:colOff>634999</xdr:colOff>
      <xdr:row>90</xdr:row>
      <xdr:rowOff>47625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1</xdr:rowOff>
    </xdr:from>
    <xdr:to>
      <xdr:col>28</xdr:col>
      <xdr:colOff>47626</xdr:colOff>
      <xdr:row>58</xdr:row>
      <xdr:rowOff>31751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650875</xdr:colOff>
      <xdr:row>58</xdr:row>
      <xdr:rowOff>47625</xdr:rowOff>
    </xdr:from>
    <xdr:to>
      <xdr:col>30</xdr:col>
      <xdr:colOff>698500</xdr:colOff>
      <xdr:row>74</xdr:row>
      <xdr:rowOff>46038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650875</xdr:colOff>
      <xdr:row>74</xdr:row>
      <xdr:rowOff>63500</xdr:rowOff>
    </xdr:from>
    <xdr:to>
      <xdr:col>30</xdr:col>
      <xdr:colOff>698500</xdr:colOff>
      <xdr:row>90</xdr:row>
      <xdr:rowOff>77788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1" t="s">
        <v>96</v>
      </c>
      <c r="C3" s="60" t="s">
        <v>168</v>
      </c>
      <c r="D3" s="60"/>
      <c r="E3" s="60"/>
      <c r="F3" s="60"/>
      <c r="G3" s="6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169</v>
      </c>
      <c r="E5" s="3"/>
      <c r="F5" s="41" t="s">
        <v>1</v>
      </c>
      <c r="G5" s="55" t="s">
        <v>165</v>
      </c>
      <c r="H5" s="56"/>
      <c r="I5" s="14"/>
      <c r="J5" s="2" t="s">
        <v>5</v>
      </c>
      <c r="K5" s="55" t="s">
        <v>163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167</v>
      </c>
      <c r="E6" s="56"/>
      <c r="F6" s="2" t="s">
        <v>2</v>
      </c>
      <c r="G6" s="55" t="s">
        <v>166</v>
      </c>
      <c r="H6" s="56"/>
      <c r="J6" s="2" t="s">
        <v>21</v>
      </c>
      <c r="K6" s="55" t="s">
        <v>164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1</v>
      </c>
      <c r="E10" s="50">
        <v>1</v>
      </c>
      <c r="F10" s="50">
        <v>6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28</v>
      </c>
      <c r="R10" s="1" t="s">
        <v>6</v>
      </c>
      <c r="S10" s="17">
        <f t="shared" ref="S10:AF10" si="2">SUM(C10:C13)</f>
        <v>35</v>
      </c>
      <c r="T10" s="17">
        <f t="shared" si="2"/>
        <v>3</v>
      </c>
      <c r="U10" s="17">
        <f t="shared" si="2"/>
        <v>6</v>
      </c>
      <c r="V10" s="17">
        <f t="shared" si="2"/>
        <v>28</v>
      </c>
      <c r="W10" s="17">
        <f t="shared" si="2"/>
        <v>1</v>
      </c>
      <c r="X10" s="17">
        <f t="shared" si="2"/>
        <v>1</v>
      </c>
      <c r="Y10" s="17">
        <f t="shared" si="2"/>
        <v>7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70</v>
      </c>
      <c r="AD10" s="17">
        <f t="shared" si="2"/>
        <v>0</v>
      </c>
      <c r="AE10" s="31">
        <f t="shared" si="2"/>
        <v>83</v>
      </c>
      <c r="AF10" s="31">
        <f t="shared" si="2"/>
        <v>153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2</v>
      </c>
      <c r="E11" s="50">
        <v>3</v>
      </c>
      <c r="F11" s="50">
        <v>8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27</v>
      </c>
      <c r="P11" s="15">
        <f t="shared" si="1"/>
        <v>48</v>
      </c>
      <c r="R11" s="1" t="s">
        <v>7</v>
      </c>
      <c r="S11" s="17">
        <f t="shared" ref="S11:AF11" si="3">SUM(C14:C17)</f>
        <v>31</v>
      </c>
      <c r="T11" s="17">
        <f t="shared" si="3"/>
        <v>6</v>
      </c>
      <c r="U11" s="17">
        <f t="shared" si="3"/>
        <v>2</v>
      </c>
      <c r="V11" s="17">
        <f t="shared" si="3"/>
        <v>48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3</v>
      </c>
      <c r="AA11" s="17">
        <f t="shared" si="3"/>
        <v>3</v>
      </c>
      <c r="AB11" s="17">
        <f t="shared" si="3"/>
        <v>0</v>
      </c>
      <c r="AC11" s="17">
        <f t="shared" si="3"/>
        <v>73</v>
      </c>
      <c r="AD11" s="17">
        <f t="shared" si="3"/>
        <v>0</v>
      </c>
      <c r="AE11" s="31">
        <f t="shared" si="3"/>
        <v>101</v>
      </c>
      <c r="AF11" s="31">
        <f t="shared" si="3"/>
        <v>174</v>
      </c>
    </row>
    <row r="12" spans="2:32" ht="23.1" customHeight="1" x14ac:dyDescent="0.25">
      <c r="B12" s="23" t="s">
        <v>39</v>
      </c>
      <c r="C12" s="50">
        <v>14</v>
      </c>
      <c r="D12" s="50">
        <v>0</v>
      </c>
      <c r="E12" s="50">
        <v>0</v>
      </c>
      <c r="F12" s="50">
        <v>3</v>
      </c>
      <c r="G12" s="50">
        <v>0</v>
      </c>
      <c r="H12" s="50">
        <v>0</v>
      </c>
      <c r="I12" s="50">
        <v>2</v>
      </c>
      <c r="J12" s="50">
        <v>0</v>
      </c>
      <c r="K12" s="50">
        <v>1</v>
      </c>
      <c r="L12" s="50">
        <v>0</v>
      </c>
      <c r="M12" s="50">
        <v>20</v>
      </c>
      <c r="N12" s="50">
        <v>0</v>
      </c>
      <c r="O12" s="15">
        <f t="shared" si="0"/>
        <v>20</v>
      </c>
      <c r="P12" s="15">
        <f t="shared" si="1"/>
        <v>40</v>
      </c>
      <c r="R12" s="1" t="s">
        <v>8</v>
      </c>
      <c r="S12" s="17">
        <f t="shared" ref="S12:AF12" si="4">SUM(C18:C21)</f>
        <v>34</v>
      </c>
      <c r="T12" s="17">
        <f t="shared" si="4"/>
        <v>5</v>
      </c>
      <c r="U12" s="17">
        <f t="shared" si="4"/>
        <v>10</v>
      </c>
      <c r="V12" s="17">
        <f t="shared" si="4"/>
        <v>37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78</v>
      </c>
      <c r="AD12" s="17">
        <f t="shared" si="4"/>
        <v>0</v>
      </c>
      <c r="AE12" s="31">
        <f t="shared" si="4"/>
        <v>102</v>
      </c>
      <c r="AF12" s="31">
        <f t="shared" si="4"/>
        <v>180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2</v>
      </c>
      <c r="F13" s="50">
        <v>11</v>
      </c>
      <c r="G13" s="50">
        <v>0</v>
      </c>
      <c r="H13" s="50">
        <v>1</v>
      </c>
      <c r="I13" s="50">
        <v>1</v>
      </c>
      <c r="J13" s="50">
        <v>1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19</v>
      </c>
      <c r="P13" s="15">
        <f t="shared" si="1"/>
        <v>37</v>
      </c>
      <c r="R13" s="1" t="s">
        <v>9</v>
      </c>
      <c r="S13" s="17">
        <f t="shared" ref="S13:AF13" si="5">SUM(C22:C25)</f>
        <v>30</v>
      </c>
      <c r="T13" s="17">
        <f t="shared" si="5"/>
        <v>6</v>
      </c>
      <c r="U13" s="17">
        <f t="shared" si="5"/>
        <v>11</v>
      </c>
      <c r="V13" s="17">
        <f t="shared" si="5"/>
        <v>47</v>
      </c>
      <c r="W13" s="17">
        <f t="shared" si="5"/>
        <v>0</v>
      </c>
      <c r="X13" s="17">
        <f t="shared" si="5"/>
        <v>0</v>
      </c>
      <c r="Y13" s="17">
        <f t="shared" si="5"/>
        <v>13</v>
      </c>
      <c r="Z13" s="17">
        <f t="shared" si="5"/>
        <v>6</v>
      </c>
      <c r="AA13" s="17">
        <f t="shared" si="5"/>
        <v>1</v>
      </c>
      <c r="AB13" s="17">
        <f t="shared" si="5"/>
        <v>0</v>
      </c>
      <c r="AC13" s="17">
        <f t="shared" si="5"/>
        <v>82</v>
      </c>
      <c r="AD13" s="17">
        <f t="shared" si="5"/>
        <v>1</v>
      </c>
      <c r="AE13" s="31">
        <f t="shared" si="5"/>
        <v>115</v>
      </c>
      <c r="AF13" s="31">
        <f t="shared" si="5"/>
        <v>197</v>
      </c>
    </row>
    <row r="14" spans="2:32" ht="23.1" customHeight="1" x14ac:dyDescent="0.25">
      <c r="B14" s="23" t="s">
        <v>41</v>
      </c>
      <c r="C14" s="50">
        <v>15</v>
      </c>
      <c r="D14" s="50">
        <v>2</v>
      </c>
      <c r="E14" s="50">
        <v>0</v>
      </c>
      <c r="F14" s="50">
        <v>17</v>
      </c>
      <c r="G14" s="50">
        <v>0</v>
      </c>
      <c r="H14" s="50">
        <v>0</v>
      </c>
      <c r="I14" s="50">
        <v>3</v>
      </c>
      <c r="J14" s="50">
        <v>0</v>
      </c>
      <c r="K14" s="50">
        <v>2</v>
      </c>
      <c r="L14" s="50">
        <v>0</v>
      </c>
      <c r="M14" s="50">
        <v>15</v>
      </c>
      <c r="N14" s="50">
        <v>0</v>
      </c>
      <c r="O14" s="15">
        <f t="shared" si="0"/>
        <v>39</v>
      </c>
      <c r="P14" s="15">
        <f t="shared" si="1"/>
        <v>54</v>
      </c>
      <c r="R14" s="1" t="s">
        <v>10</v>
      </c>
      <c r="S14" s="17">
        <f t="shared" ref="S14:AF14" si="6">SUM(C26:C29)</f>
        <v>24</v>
      </c>
      <c r="T14" s="17">
        <f t="shared" si="6"/>
        <v>12</v>
      </c>
      <c r="U14" s="17">
        <f t="shared" si="6"/>
        <v>11</v>
      </c>
      <c r="V14" s="17">
        <f t="shared" si="6"/>
        <v>32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0</v>
      </c>
      <c r="AA14" s="17">
        <f t="shared" si="6"/>
        <v>2</v>
      </c>
      <c r="AB14" s="17">
        <f t="shared" si="6"/>
        <v>1</v>
      </c>
      <c r="AC14" s="17">
        <f t="shared" si="6"/>
        <v>100</v>
      </c>
      <c r="AD14" s="17">
        <f t="shared" si="6"/>
        <v>0</v>
      </c>
      <c r="AE14" s="31">
        <f t="shared" si="6"/>
        <v>91</v>
      </c>
      <c r="AF14" s="31">
        <f t="shared" si="6"/>
        <v>191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0</v>
      </c>
      <c r="F15" s="50">
        <v>11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18</v>
      </c>
      <c r="P15" s="15">
        <f t="shared" si="1"/>
        <v>33</v>
      </c>
      <c r="R15" s="1" t="s">
        <v>11</v>
      </c>
      <c r="S15" s="17">
        <f t="shared" ref="S15:AF15" si="7">SUM(C30:C33)</f>
        <v>19</v>
      </c>
      <c r="T15" s="17">
        <f t="shared" si="7"/>
        <v>11</v>
      </c>
      <c r="U15" s="17">
        <f t="shared" si="7"/>
        <v>7</v>
      </c>
      <c r="V15" s="17">
        <f t="shared" si="7"/>
        <v>34</v>
      </c>
      <c r="W15" s="17">
        <f t="shared" si="7"/>
        <v>1</v>
      </c>
      <c r="X15" s="17">
        <f t="shared" si="7"/>
        <v>0</v>
      </c>
      <c r="Y15" s="17">
        <f t="shared" si="7"/>
        <v>7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86</v>
      </c>
      <c r="AD15" s="17">
        <f t="shared" si="7"/>
        <v>0</v>
      </c>
      <c r="AE15" s="31">
        <f t="shared" si="7"/>
        <v>81</v>
      </c>
      <c r="AF15" s="31">
        <f t="shared" si="7"/>
        <v>167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2</v>
      </c>
      <c r="F16" s="50">
        <v>9</v>
      </c>
      <c r="G16" s="50">
        <v>0</v>
      </c>
      <c r="H16" s="50">
        <v>0</v>
      </c>
      <c r="I16" s="50">
        <v>3</v>
      </c>
      <c r="J16" s="50">
        <v>1</v>
      </c>
      <c r="K16" s="50">
        <v>1</v>
      </c>
      <c r="L16" s="50">
        <v>0</v>
      </c>
      <c r="M16" s="50">
        <v>23</v>
      </c>
      <c r="N16" s="50">
        <v>0</v>
      </c>
      <c r="O16" s="15">
        <f t="shared" si="0"/>
        <v>21</v>
      </c>
      <c r="P16" s="15">
        <f t="shared" si="1"/>
        <v>44</v>
      </c>
      <c r="R16" s="1" t="s">
        <v>12</v>
      </c>
      <c r="S16" s="17">
        <f t="shared" ref="S16:AF16" si="8">SUM(C34:C37)</f>
        <v>30</v>
      </c>
      <c r="T16" s="17">
        <f t="shared" si="8"/>
        <v>8</v>
      </c>
      <c r="U16" s="17">
        <f t="shared" si="8"/>
        <v>19</v>
      </c>
      <c r="V16" s="17">
        <f t="shared" si="8"/>
        <v>34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94</v>
      </c>
      <c r="AD16" s="17">
        <f t="shared" si="8"/>
        <v>0</v>
      </c>
      <c r="AE16" s="31">
        <f t="shared" si="8"/>
        <v>105</v>
      </c>
      <c r="AF16" s="31">
        <f t="shared" si="8"/>
        <v>199</v>
      </c>
    </row>
    <row r="17" spans="2:32" ht="23.1" customHeight="1" x14ac:dyDescent="0.25">
      <c r="B17" s="23" t="s">
        <v>44</v>
      </c>
      <c r="C17" s="50">
        <v>8</v>
      </c>
      <c r="D17" s="50">
        <v>3</v>
      </c>
      <c r="E17" s="50">
        <v>0</v>
      </c>
      <c r="F17" s="50">
        <v>11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20</v>
      </c>
      <c r="N17" s="50">
        <v>0</v>
      </c>
      <c r="O17" s="15">
        <f t="shared" si="0"/>
        <v>23</v>
      </c>
      <c r="P17" s="15">
        <f t="shared" si="1"/>
        <v>43</v>
      </c>
      <c r="R17" s="1" t="s">
        <v>13</v>
      </c>
      <c r="S17" s="17">
        <f t="shared" ref="S17:AF17" si="9">SUM(C38:C41)</f>
        <v>31</v>
      </c>
      <c r="T17" s="17">
        <f t="shared" si="9"/>
        <v>14</v>
      </c>
      <c r="U17" s="17">
        <f t="shared" si="9"/>
        <v>8</v>
      </c>
      <c r="V17" s="17">
        <f t="shared" si="9"/>
        <v>47</v>
      </c>
      <c r="W17" s="17">
        <f t="shared" si="9"/>
        <v>2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88</v>
      </c>
      <c r="AD17" s="17">
        <f t="shared" si="9"/>
        <v>0</v>
      </c>
      <c r="AE17" s="31">
        <f t="shared" si="9"/>
        <v>112</v>
      </c>
      <c r="AF17" s="31">
        <f t="shared" si="9"/>
        <v>200</v>
      </c>
    </row>
    <row r="18" spans="2:32" ht="23.1" customHeight="1" x14ac:dyDescent="0.25">
      <c r="B18" s="23" t="s">
        <v>45</v>
      </c>
      <c r="C18" s="50">
        <v>8</v>
      </c>
      <c r="D18" s="50">
        <v>0</v>
      </c>
      <c r="E18" s="50">
        <v>2</v>
      </c>
      <c r="F18" s="50">
        <v>9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22</v>
      </c>
      <c r="N18" s="50">
        <v>0</v>
      </c>
      <c r="O18" s="15">
        <f t="shared" si="0"/>
        <v>22</v>
      </c>
      <c r="P18" s="15">
        <f t="shared" si="1"/>
        <v>44</v>
      </c>
      <c r="R18" s="1" t="s">
        <v>14</v>
      </c>
      <c r="S18" s="17">
        <f t="shared" ref="S18:AF18" si="10">SUM(C42:C45)</f>
        <v>26</v>
      </c>
      <c r="T18" s="17">
        <f t="shared" si="10"/>
        <v>22</v>
      </c>
      <c r="U18" s="17">
        <f t="shared" si="10"/>
        <v>10</v>
      </c>
      <c r="V18" s="17">
        <f t="shared" si="10"/>
        <v>38</v>
      </c>
      <c r="W18" s="17">
        <f t="shared" si="10"/>
        <v>0</v>
      </c>
      <c r="X18" s="17">
        <f t="shared" si="10"/>
        <v>0</v>
      </c>
      <c r="Y18" s="17">
        <f t="shared" si="10"/>
        <v>21</v>
      </c>
      <c r="Z18" s="17">
        <f t="shared" si="10"/>
        <v>0</v>
      </c>
      <c r="AA18" s="17">
        <f t="shared" si="10"/>
        <v>4</v>
      </c>
      <c r="AB18" s="17">
        <f t="shared" si="10"/>
        <v>1</v>
      </c>
      <c r="AC18" s="17">
        <f t="shared" si="10"/>
        <v>69</v>
      </c>
      <c r="AD18" s="17">
        <f t="shared" si="10"/>
        <v>0</v>
      </c>
      <c r="AE18" s="31">
        <f t="shared" si="10"/>
        <v>122</v>
      </c>
      <c r="AF18" s="31">
        <f t="shared" si="10"/>
        <v>191</v>
      </c>
    </row>
    <row r="19" spans="2:32" ht="23.1" customHeight="1" x14ac:dyDescent="0.25">
      <c r="B19" s="23" t="s">
        <v>46</v>
      </c>
      <c r="C19" s="50">
        <v>10</v>
      </c>
      <c r="D19" s="50">
        <v>3</v>
      </c>
      <c r="E19" s="50">
        <v>3</v>
      </c>
      <c r="F19" s="50">
        <v>11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20</v>
      </c>
      <c r="N19" s="50">
        <v>0</v>
      </c>
      <c r="O19" s="15">
        <f t="shared" si="0"/>
        <v>30</v>
      </c>
      <c r="P19" s="15">
        <f t="shared" si="1"/>
        <v>50</v>
      </c>
      <c r="R19" s="1" t="s">
        <v>15</v>
      </c>
      <c r="S19" s="17">
        <f t="shared" ref="S19:AF19" si="11">SUM(C46:C49)</f>
        <v>32</v>
      </c>
      <c r="T19" s="17">
        <f t="shared" si="11"/>
        <v>12</v>
      </c>
      <c r="U19" s="17">
        <f t="shared" si="11"/>
        <v>7</v>
      </c>
      <c r="V19" s="17">
        <f t="shared" si="11"/>
        <v>42</v>
      </c>
      <c r="W19" s="17">
        <f t="shared" si="11"/>
        <v>3</v>
      </c>
      <c r="X19" s="17">
        <f t="shared" si="11"/>
        <v>0</v>
      </c>
      <c r="Y19" s="17">
        <f t="shared" si="11"/>
        <v>12</v>
      </c>
      <c r="Z19" s="17">
        <f t="shared" si="11"/>
        <v>0</v>
      </c>
      <c r="AA19" s="17">
        <f t="shared" si="11"/>
        <v>2</v>
      </c>
      <c r="AB19" s="17">
        <f t="shared" si="11"/>
        <v>0</v>
      </c>
      <c r="AC19" s="17">
        <f t="shared" si="11"/>
        <v>80</v>
      </c>
      <c r="AD19" s="17">
        <f t="shared" si="11"/>
        <v>0</v>
      </c>
      <c r="AE19" s="31">
        <f t="shared" si="11"/>
        <v>110</v>
      </c>
      <c r="AF19" s="31">
        <f t="shared" si="11"/>
        <v>190</v>
      </c>
    </row>
    <row r="20" spans="2:32" ht="23.1" customHeight="1" x14ac:dyDescent="0.25">
      <c r="B20" s="23" t="s">
        <v>47</v>
      </c>
      <c r="C20" s="50">
        <v>8</v>
      </c>
      <c r="D20" s="50">
        <v>1</v>
      </c>
      <c r="E20" s="50">
        <v>2</v>
      </c>
      <c r="F20" s="50">
        <v>11</v>
      </c>
      <c r="G20" s="50">
        <v>0</v>
      </c>
      <c r="H20" s="50">
        <v>0</v>
      </c>
      <c r="I20" s="50">
        <v>4</v>
      </c>
      <c r="J20" s="50">
        <v>3</v>
      </c>
      <c r="K20" s="50">
        <v>0</v>
      </c>
      <c r="L20" s="50">
        <v>0</v>
      </c>
      <c r="M20" s="50">
        <v>22</v>
      </c>
      <c r="N20" s="50">
        <v>0</v>
      </c>
      <c r="O20" s="15">
        <f t="shared" si="0"/>
        <v>29</v>
      </c>
      <c r="P20" s="15">
        <f t="shared" si="1"/>
        <v>51</v>
      </c>
      <c r="R20" s="1" t="s">
        <v>16</v>
      </c>
      <c r="S20" s="17">
        <f t="shared" ref="S20:AF20" si="12">SUM(C50:C53)</f>
        <v>27</v>
      </c>
      <c r="T20" s="17">
        <f t="shared" si="12"/>
        <v>13</v>
      </c>
      <c r="U20" s="17">
        <f t="shared" si="12"/>
        <v>6</v>
      </c>
      <c r="V20" s="17">
        <f t="shared" si="12"/>
        <v>45</v>
      </c>
      <c r="W20" s="17">
        <f t="shared" si="12"/>
        <v>1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1</v>
      </c>
      <c r="AB20" s="17">
        <f t="shared" si="12"/>
        <v>1</v>
      </c>
      <c r="AC20" s="17">
        <f t="shared" si="12"/>
        <v>92</v>
      </c>
      <c r="AD20" s="17">
        <f t="shared" si="12"/>
        <v>0</v>
      </c>
      <c r="AE20" s="31">
        <f t="shared" si="12"/>
        <v>99</v>
      </c>
      <c r="AF20" s="31">
        <f t="shared" si="12"/>
        <v>191</v>
      </c>
    </row>
    <row r="21" spans="2:32" ht="23.1" customHeight="1" x14ac:dyDescent="0.25">
      <c r="B21" s="23" t="s">
        <v>48</v>
      </c>
      <c r="C21" s="50">
        <v>8</v>
      </c>
      <c r="D21" s="50">
        <v>1</v>
      </c>
      <c r="E21" s="50">
        <v>3</v>
      </c>
      <c r="F21" s="50">
        <v>6</v>
      </c>
      <c r="G21" s="50">
        <v>0</v>
      </c>
      <c r="H21" s="50">
        <v>0</v>
      </c>
      <c r="I21" s="50">
        <v>1</v>
      </c>
      <c r="J21" s="50">
        <v>2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21</v>
      </c>
      <c r="P21" s="15">
        <f t="shared" si="1"/>
        <v>35</v>
      </c>
      <c r="R21" s="36" t="s">
        <v>20</v>
      </c>
      <c r="S21" s="34">
        <f t="shared" ref="S21:AF21" si="13">SUM(C54:C57)</f>
        <v>21</v>
      </c>
      <c r="T21" s="17">
        <f t="shared" si="13"/>
        <v>8</v>
      </c>
      <c r="U21" s="17">
        <f t="shared" si="13"/>
        <v>13</v>
      </c>
      <c r="V21" s="17">
        <f t="shared" si="13"/>
        <v>48</v>
      </c>
      <c r="W21" s="17">
        <f t="shared" si="13"/>
        <v>1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85</v>
      </c>
      <c r="AD21" s="17">
        <f t="shared" si="13"/>
        <v>0</v>
      </c>
      <c r="AE21" s="31">
        <f t="shared" si="13"/>
        <v>94</v>
      </c>
      <c r="AF21" s="31">
        <f t="shared" si="13"/>
        <v>179</v>
      </c>
    </row>
    <row r="22" spans="2:32" ht="23.1" customHeight="1" x14ac:dyDescent="0.25">
      <c r="B22" s="23" t="s">
        <v>49</v>
      </c>
      <c r="C22" s="50">
        <v>10</v>
      </c>
      <c r="D22" s="50">
        <v>1</v>
      </c>
      <c r="E22" s="50">
        <v>2</v>
      </c>
      <c r="F22" s="50">
        <v>13</v>
      </c>
      <c r="G22" s="50">
        <v>0</v>
      </c>
      <c r="H22" s="50">
        <v>0</v>
      </c>
      <c r="I22" s="50">
        <v>5</v>
      </c>
      <c r="J22" s="50">
        <v>1</v>
      </c>
      <c r="K22" s="50">
        <v>0</v>
      </c>
      <c r="L22" s="50">
        <v>0</v>
      </c>
      <c r="M22" s="50">
        <v>22</v>
      </c>
      <c r="N22" s="50">
        <v>1</v>
      </c>
      <c r="O22" s="15">
        <f t="shared" si="0"/>
        <v>33</v>
      </c>
      <c r="P22" s="15">
        <f t="shared" si="1"/>
        <v>55</v>
      </c>
      <c r="R22" s="38" t="s">
        <v>90</v>
      </c>
      <c r="S22" s="39">
        <f>MAX(S10:S12)</f>
        <v>35</v>
      </c>
      <c r="T22" s="39">
        <f t="shared" ref="T22:AF22" si="14">MAX(T10:T12)</f>
        <v>6</v>
      </c>
      <c r="U22" s="39">
        <f t="shared" si="14"/>
        <v>10</v>
      </c>
      <c r="V22" s="39">
        <f t="shared" si="14"/>
        <v>48</v>
      </c>
      <c r="W22" s="39">
        <f t="shared" si="14"/>
        <v>1</v>
      </c>
      <c r="X22" s="39">
        <f t="shared" si="14"/>
        <v>1</v>
      </c>
      <c r="Y22" s="39">
        <f t="shared" si="14"/>
        <v>10</v>
      </c>
      <c r="Z22" s="39">
        <f t="shared" si="14"/>
        <v>6</v>
      </c>
      <c r="AA22" s="39">
        <f t="shared" si="14"/>
        <v>3</v>
      </c>
      <c r="AB22" s="39">
        <f t="shared" si="14"/>
        <v>0</v>
      </c>
      <c r="AC22" s="39">
        <f t="shared" si="14"/>
        <v>78</v>
      </c>
      <c r="AD22" s="39">
        <f t="shared" si="14"/>
        <v>0</v>
      </c>
      <c r="AE22" s="40">
        <f t="shared" si="14"/>
        <v>102</v>
      </c>
      <c r="AF22" s="40">
        <f t="shared" si="14"/>
        <v>180</v>
      </c>
    </row>
    <row r="23" spans="2:32" ht="23.1" customHeight="1" x14ac:dyDescent="0.25">
      <c r="B23" s="23" t="s">
        <v>50</v>
      </c>
      <c r="C23" s="50">
        <v>5</v>
      </c>
      <c r="D23" s="50">
        <v>1</v>
      </c>
      <c r="E23" s="50">
        <v>5</v>
      </c>
      <c r="F23" s="50">
        <v>15</v>
      </c>
      <c r="G23" s="50">
        <v>0</v>
      </c>
      <c r="H23" s="50">
        <v>0</v>
      </c>
      <c r="I23" s="50">
        <v>3</v>
      </c>
      <c r="J23" s="50">
        <v>3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32</v>
      </c>
      <c r="P23" s="15">
        <f t="shared" si="1"/>
        <v>50</v>
      </c>
      <c r="R23" s="38" t="s">
        <v>91</v>
      </c>
      <c r="S23" s="39">
        <f>MAX(S13:S18)</f>
        <v>31</v>
      </c>
      <c r="T23" s="39">
        <f t="shared" ref="T23:AF23" si="15">MAX(T13:T18)</f>
        <v>22</v>
      </c>
      <c r="U23" s="39">
        <f t="shared" si="15"/>
        <v>19</v>
      </c>
      <c r="V23" s="39">
        <f t="shared" si="15"/>
        <v>47</v>
      </c>
      <c r="W23" s="39">
        <f t="shared" si="15"/>
        <v>2</v>
      </c>
      <c r="X23" s="39">
        <f t="shared" si="15"/>
        <v>0</v>
      </c>
      <c r="Y23" s="39">
        <f t="shared" si="15"/>
        <v>21</v>
      </c>
      <c r="Z23" s="39">
        <f t="shared" si="15"/>
        <v>6</v>
      </c>
      <c r="AA23" s="39">
        <f t="shared" si="15"/>
        <v>4</v>
      </c>
      <c r="AB23" s="39">
        <f t="shared" si="15"/>
        <v>2</v>
      </c>
      <c r="AC23" s="39">
        <f t="shared" si="15"/>
        <v>100</v>
      </c>
      <c r="AD23" s="39">
        <f t="shared" si="15"/>
        <v>1</v>
      </c>
      <c r="AE23" s="40">
        <f t="shared" si="15"/>
        <v>122</v>
      </c>
      <c r="AF23" s="40">
        <f t="shared" si="15"/>
        <v>200</v>
      </c>
    </row>
    <row r="24" spans="2:32" ht="23.1" customHeight="1" x14ac:dyDescent="0.25">
      <c r="B24" s="23" t="s">
        <v>51</v>
      </c>
      <c r="C24" s="50">
        <v>7</v>
      </c>
      <c r="D24" s="50">
        <v>2</v>
      </c>
      <c r="E24" s="50">
        <v>0</v>
      </c>
      <c r="F24" s="50">
        <v>9</v>
      </c>
      <c r="G24" s="50">
        <v>0</v>
      </c>
      <c r="H24" s="50">
        <v>0</v>
      </c>
      <c r="I24" s="50">
        <v>2</v>
      </c>
      <c r="J24" s="50">
        <v>2</v>
      </c>
      <c r="K24" s="50">
        <v>1</v>
      </c>
      <c r="L24" s="50">
        <v>0</v>
      </c>
      <c r="M24" s="50">
        <v>23</v>
      </c>
      <c r="N24" s="50">
        <v>0</v>
      </c>
      <c r="O24" s="15">
        <f t="shared" si="0"/>
        <v>23</v>
      </c>
      <c r="P24" s="15">
        <f t="shared" si="1"/>
        <v>46</v>
      </c>
      <c r="R24" s="38" t="s">
        <v>92</v>
      </c>
      <c r="S24" s="39">
        <f>MAX(S19:S21)</f>
        <v>32</v>
      </c>
      <c r="T24" s="39">
        <f t="shared" ref="T24:AF24" si="16">MAX(T19:T21)</f>
        <v>13</v>
      </c>
      <c r="U24" s="39">
        <f t="shared" si="16"/>
        <v>13</v>
      </c>
      <c r="V24" s="39">
        <f t="shared" si="16"/>
        <v>48</v>
      </c>
      <c r="W24" s="39">
        <f t="shared" si="16"/>
        <v>3</v>
      </c>
      <c r="X24" s="39">
        <f t="shared" si="16"/>
        <v>0</v>
      </c>
      <c r="Y24" s="39">
        <f t="shared" si="16"/>
        <v>12</v>
      </c>
      <c r="Z24" s="39">
        <f t="shared" si="16"/>
        <v>1</v>
      </c>
      <c r="AA24" s="39">
        <f t="shared" si="16"/>
        <v>2</v>
      </c>
      <c r="AB24" s="39">
        <f t="shared" si="16"/>
        <v>1</v>
      </c>
      <c r="AC24" s="39">
        <f t="shared" si="16"/>
        <v>92</v>
      </c>
      <c r="AD24" s="39">
        <f t="shared" si="16"/>
        <v>0</v>
      </c>
      <c r="AE24" s="40">
        <f t="shared" si="16"/>
        <v>110</v>
      </c>
      <c r="AF24" s="40">
        <f t="shared" si="16"/>
        <v>191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4</v>
      </c>
      <c r="F25" s="50">
        <v>10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19</v>
      </c>
      <c r="N25" s="50">
        <v>0</v>
      </c>
      <c r="O25" s="15">
        <f t="shared" si="0"/>
        <v>27</v>
      </c>
      <c r="P25" s="15">
        <f t="shared" si="1"/>
        <v>46</v>
      </c>
      <c r="R25" s="37" t="s">
        <v>85</v>
      </c>
      <c r="S25" s="35">
        <f t="shared" ref="S25:AF25" si="17">SUM(S10:S12)</f>
        <v>100</v>
      </c>
      <c r="T25" s="16">
        <f t="shared" si="17"/>
        <v>14</v>
      </c>
      <c r="U25" s="16">
        <f t="shared" si="17"/>
        <v>18</v>
      </c>
      <c r="V25" s="16">
        <f t="shared" si="17"/>
        <v>113</v>
      </c>
      <c r="W25" s="16">
        <f t="shared" si="17"/>
        <v>1</v>
      </c>
      <c r="X25" s="16">
        <f t="shared" si="17"/>
        <v>1</v>
      </c>
      <c r="Y25" s="16">
        <f t="shared" si="17"/>
        <v>25</v>
      </c>
      <c r="Z25" s="16">
        <f t="shared" si="17"/>
        <v>10</v>
      </c>
      <c r="AA25" s="16">
        <f t="shared" si="17"/>
        <v>4</v>
      </c>
      <c r="AB25" s="16">
        <f t="shared" si="17"/>
        <v>0</v>
      </c>
      <c r="AC25" s="16">
        <f t="shared" si="17"/>
        <v>221</v>
      </c>
      <c r="AD25" s="16">
        <f t="shared" si="17"/>
        <v>0</v>
      </c>
      <c r="AE25" s="32">
        <f t="shared" si="17"/>
        <v>286</v>
      </c>
      <c r="AF25" s="32">
        <f t="shared" si="17"/>
        <v>507</v>
      </c>
    </row>
    <row r="26" spans="2:32" ht="23.1" customHeight="1" x14ac:dyDescent="0.25">
      <c r="B26" s="23" t="s">
        <v>53</v>
      </c>
      <c r="C26" s="50">
        <v>8</v>
      </c>
      <c r="D26" s="50">
        <v>1</v>
      </c>
      <c r="E26" s="50">
        <v>2</v>
      </c>
      <c r="F26" s="50">
        <v>7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26</v>
      </c>
      <c r="N26" s="50">
        <v>0</v>
      </c>
      <c r="O26" s="15">
        <f t="shared" si="0"/>
        <v>20</v>
      </c>
      <c r="P26" s="15">
        <f t="shared" si="1"/>
        <v>46</v>
      </c>
      <c r="R26" s="28" t="s">
        <v>86</v>
      </c>
      <c r="S26" s="16">
        <f t="shared" ref="S26:AF26" si="18">SUM(S13:S18)</f>
        <v>160</v>
      </c>
      <c r="T26" s="16">
        <f t="shared" si="18"/>
        <v>73</v>
      </c>
      <c r="U26" s="16">
        <f t="shared" si="18"/>
        <v>66</v>
      </c>
      <c r="V26" s="16">
        <f t="shared" si="18"/>
        <v>232</v>
      </c>
      <c r="W26" s="16">
        <f t="shared" si="18"/>
        <v>3</v>
      </c>
      <c r="X26" s="16">
        <f t="shared" si="18"/>
        <v>0</v>
      </c>
      <c r="Y26" s="16">
        <f t="shared" si="18"/>
        <v>71</v>
      </c>
      <c r="Z26" s="16">
        <f t="shared" si="18"/>
        <v>8</v>
      </c>
      <c r="AA26" s="16">
        <f t="shared" si="18"/>
        <v>8</v>
      </c>
      <c r="AB26" s="16">
        <f t="shared" si="18"/>
        <v>4</v>
      </c>
      <c r="AC26" s="16">
        <f t="shared" si="18"/>
        <v>519</v>
      </c>
      <c r="AD26" s="16">
        <f t="shared" si="18"/>
        <v>1</v>
      </c>
      <c r="AE26" s="32">
        <f t="shared" si="18"/>
        <v>626</v>
      </c>
      <c r="AF26" s="32">
        <f t="shared" si="18"/>
        <v>1145</v>
      </c>
    </row>
    <row r="27" spans="2:32" ht="23.1" customHeight="1" x14ac:dyDescent="0.25">
      <c r="B27" s="23" t="s">
        <v>54</v>
      </c>
      <c r="C27" s="50">
        <v>5</v>
      </c>
      <c r="D27" s="50">
        <v>3</v>
      </c>
      <c r="E27" s="50">
        <v>2</v>
      </c>
      <c r="F27" s="50">
        <v>6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0</v>
      </c>
      <c r="M27" s="50">
        <v>15</v>
      </c>
      <c r="N27" s="50">
        <v>0</v>
      </c>
      <c r="O27" s="15">
        <f t="shared" si="0"/>
        <v>18</v>
      </c>
      <c r="P27" s="15">
        <f t="shared" si="1"/>
        <v>33</v>
      </c>
      <c r="R27" s="29" t="s">
        <v>87</v>
      </c>
      <c r="S27" s="16">
        <f t="shared" ref="S27:AF27" si="19">SUM(S19:S21)</f>
        <v>80</v>
      </c>
      <c r="T27" s="16">
        <f t="shared" si="19"/>
        <v>33</v>
      </c>
      <c r="U27" s="16">
        <f t="shared" si="19"/>
        <v>26</v>
      </c>
      <c r="V27" s="16">
        <f t="shared" si="19"/>
        <v>135</v>
      </c>
      <c r="W27" s="16">
        <f t="shared" si="19"/>
        <v>5</v>
      </c>
      <c r="X27" s="16">
        <f t="shared" si="19"/>
        <v>0</v>
      </c>
      <c r="Y27" s="16">
        <f t="shared" si="19"/>
        <v>19</v>
      </c>
      <c r="Z27" s="16">
        <f t="shared" si="19"/>
        <v>1</v>
      </c>
      <c r="AA27" s="16">
        <f t="shared" si="19"/>
        <v>3</v>
      </c>
      <c r="AB27" s="16">
        <f t="shared" si="19"/>
        <v>1</v>
      </c>
      <c r="AC27" s="16">
        <f t="shared" si="19"/>
        <v>257</v>
      </c>
      <c r="AD27" s="16">
        <f t="shared" si="19"/>
        <v>0</v>
      </c>
      <c r="AE27" s="32">
        <f t="shared" si="19"/>
        <v>303</v>
      </c>
      <c r="AF27" s="32">
        <f t="shared" si="19"/>
        <v>560</v>
      </c>
    </row>
    <row r="28" spans="2:32" ht="23.1" customHeight="1" x14ac:dyDescent="0.25">
      <c r="B28" s="23" t="s">
        <v>55</v>
      </c>
      <c r="C28" s="50">
        <v>6</v>
      </c>
      <c r="D28" s="50">
        <v>4</v>
      </c>
      <c r="E28" s="50">
        <v>5</v>
      </c>
      <c r="F28" s="50">
        <v>8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33</v>
      </c>
      <c r="N28" s="50">
        <v>0</v>
      </c>
      <c r="O28" s="15">
        <f t="shared" si="0"/>
        <v>25</v>
      </c>
      <c r="P28" s="15">
        <f t="shared" si="1"/>
        <v>58</v>
      </c>
      <c r="R28" s="5" t="s">
        <v>17</v>
      </c>
      <c r="S28" s="16">
        <f t="shared" ref="S28:AF28" si="20">SUM(S10:S21)</f>
        <v>340</v>
      </c>
      <c r="T28" s="16">
        <f t="shared" si="20"/>
        <v>120</v>
      </c>
      <c r="U28" s="16">
        <f t="shared" si="20"/>
        <v>110</v>
      </c>
      <c r="V28" s="16">
        <f t="shared" si="20"/>
        <v>480</v>
      </c>
      <c r="W28" s="16">
        <f t="shared" si="20"/>
        <v>9</v>
      </c>
      <c r="X28" s="16">
        <f t="shared" si="20"/>
        <v>1</v>
      </c>
      <c r="Y28" s="16">
        <f t="shared" si="20"/>
        <v>115</v>
      </c>
      <c r="Z28" s="16">
        <f t="shared" si="20"/>
        <v>19</v>
      </c>
      <c r="AA28" s="16">
        <f t="shared" si="20"/>
        <v>15</v>
      </c>
      <c r="AB28" s="16">
        <f t="shared" si="20"/>
        <v>5</v>
      </c>
      <c r="AC28" s="16">
        <f t="shared" si="20"/>
        <v>997</v>
      </c>
      <c r="AD28" s="16">
        <f t="shared" si="20"/>
        <v>1</v>
      </c>
      <c r="AE28" s="32">
        <f t="shared" si="20"/>
        <v>1215</v>
      </c>
      <c r="AF28" s="32">
        <f t="shared" si="20"/>
        <v>2212</v>
      </c>
    </row>
    <row r="29" spans="2:32" ht="23.1" customHeight="1" x14ac:dyDescent="0.25">
      <c r="B29" s="23" t="s">
        <v>56</v>
      </c>
      <c r="C29" s="50">
        <v>5</v>
      </c>
      <c r="D29" s="50">
        <v>4</v>
      </c>
      <c r="E29" s="50">
        <v>2</v>
      </c>
      <c r="F29" s="50">
        <v>11</v>
      </c>
      <c r="G29" s="50">
        <v>0</v>
      </c>
      <c r="H29" s="50">
        <v>0</v>
      </c>
      <c r="I29" s="50">
        <v>5</v>
      </c>
      <c r="J29" s="50">
        <v>0</v>
      </c>
      <c r="K29" s="50">
        <v>1</v>
      </c>
      <c r="L29" s="50">
        <v>0</v>
      </c>
      <c r="M29" s="50">
        <v>26</v>
      </c>
      <c r="N29" s="50">
        <v>0</v>
      </c>
      <c r="O29" s="15">
        <f t="shared" si="0"/>
        <v>28</v>
      </c>
      <c r="P29" s="15">
        <f t="shared" si="1"/>
        <v>54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3</v>
      </c>
      <c r="E30" s="50">
        <v>1</v>
      </c>
      <c r="F30" s="50">
        <v>8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23</v>
      </c>
      <c r="N30" s="50">
        <v>0</v>
      </c>
      <c r="O30" s="15">
        <f t="shared" si="0"/>
        <v>19</v>
      </c>
      <c r="P30" s="15">
        <f t="shared" si="1"/>
        <v>42</v>
      </c>
    </row>
    <row r="31" spans="2:32" ht="23.1" customHeight="1" x14ac:dyDescent="0.25">
      <c r="B31" s="24" t="s">
        <v>58</v>
      </c>
      <c r="C31" s="50">
        <v>5</v>
      </c>
      <c r="D31" s="50">
        <v>1</v>
      </c>
      <c r="E31" s="50">
        <v>0</v>
      </c>
      <c r="F31" s="50">
        <v>9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17</v>
      </c>
      <c r="P31" s="15">
        <f t="shared" si="1"/>
        <v>37</v>
      </c>
    </row>
    <row r="32" spans="2:32" ht="23.1" customHeight="1" x14ac:dyDescent="0.25">
      <c r="B32" s="24" t="s">
        <v>59</v>
      </c>
      <c r="C32" s="50">
        <v>5</v>
      </c>
      <c r="D32" s="50">
        <v>4</v>
      </c>
      <c r="E32" s="50">
        <v>2</v>
      </c>
      <c r="F32" s="50">
        <v>8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21</v>
      </c>
      <c r="P32" s="15">
        <f t="shared" si="1"/>
        <v>37</v>
      </c>
    </row>
    <row r="33" spans="2:20" ht="23.1" customHeight="1" x14ac:dyDescent="0.25">
      <c r="B33" s="23" t="s">
        <v>60</v>
      </c>
      <c r="C33" s="50">
        <v>4</v>
      </c>
      <c r="D33" s="50">
        <v>3</v>
      </c>
      <c r="E33" s="50">
        <v>4</v>
      </c>
      <c r="F33" s="50">
        <v>9</v>
      </c>
      <c r="G33" s="50">
        <v>1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24</v>
      </c>
      <c r="P33" s="15">
        <f t="shared" si="1"/>
        <v>51</v>
      </c>
    </row>
    <row r="34" spans="2:20" ht="23.1" customHeight="1" x14ac:dyDescent="0.25">
      <c r="B34" s="24" t="s">
        <v>61</v>
      </c>
      <c r="C34" s="50">
        <v>8</v>
      </c>
      <c r="D34" s="50">
        <v>3</v>
      </c>
      <c r="E34" s="50">
        <v>5</v>
      </c>
      <c r="F34" s="50">
        <v>9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28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11</v>
      </c>
      <c r="D35" s="50">
        <v>1</v>
      </c>
      <c r="E35" s="50">
        <v>4</v>
      </c>
      <c r="F35" s="50">
        <v>7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23</v>
      </c>
      <c r="N35" s="50">
        <v>0</v>
      </c>
      <c r="O35" s="15">
        <f t="shared" si="0"/>
        <v>26</v>
      </c>
      <c r="P35" s="15">
        <f t="shared" si="1"/>
        <v>49</v>
      </c>
    </row>
    <row r="36" spans="2:20" ht="23.1" customHeight="1" x14ac:dyDescent="0.25">
      <c r="B36" s="24" t="s">
        <v>63</v>
      </c>
      <c r="C36" s="50">
        <v>7</v>
      </c>
      <c r="D36" s="50">
        <v>2</v>
      </c>
      <c r="E36" s="50">
        <v>6</v>
      </c>
      <c r="F36" s="50">
        <v>5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1</v>
      </c>
      <c r="M36" s="50">
        <v>21</v>
      </c>
      <c r="N36" s="50">
        <v>0</v>
      </c>
      <c r="O36" s="15">
        <f t="shared" si="0"/>
        <v>25</v>
      </c>
      <c r="P36" s="15">
        <f t="shared" si="1"/>
        <v>46</v>
      </c>
    </row>
    <row r="37" spans="2:20" ht="23.1" customHeight="1" x14ac:dyDescent="0.25">
      <c r="B37" s="23" t="s">
        <v>64</v>
      </c>
      <c r="C37" s="50">
        <v>4</v>
      </c>
      <c r="D37" s="50">
        <v>2</v>
      </c>
      <c r="E37" s="50">
        <v>4</v>
      </c>
      <c r="F37" s="50">
        <v>13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1</v>
      </c>
      <c r="M37" s="50">
        <v>31</v>
      </c>
      <c r="N37" s="50">
        <v>0</v>
      </c>
      <c r="O37" s="15">
        <f t="shared" si="0"/>
        <v>26</v>
      </c>
      <c r="P37" s="15">
        <f t="shared" si="1"/>
        <v>57</v>
      </c>
    </row>
    <row r="38" spans="2:20" ht="23.1" customHeight="1" x14ac:dyDescent="0.25">
      <c r="B38" s="24" t="s">
        <v>65</v>
      </c>
      <c r="C38" s="50">
        <v>9</v>
      </c>
      <c r="D38" s="50">
        <v>4</v>
      </c>
      <c r="E38" s="50">
        <v>2</v>
      </c>
      <c r="F38" s="50">
        <v>16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33</v>
      </c>
      <c r="N38" s="50">
        <v>0</v>
      </c>
      <c r="O38" s="15">
        <f t="shared" si="0"/>
        <v>32</v>
      </c>
      <c r="P38" s="15">
        <f t="shared" si="1"/>
        <v>65</v>
      </c>
    </row>
    <row r="39" spans="2:20" ht="23.1" customHeight="1" x14ac:dyDescent="0.25">
      <c r="B39" s="24" t="s">
        <v>66</v>
      </c>
      <c r="C39" s="50">
        <v>5</v>
      </c>
      <c r="D39" s="50">
        <v>4</v>
      </c>
      <c r="E39" s="50">
        <v>2</v>
      </c>
      <c r="F39" s="50">
        <v>7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19</v>
      </c>
      <c r="N39" s="50">
        <v>0</v>
      </c>
      <c r="O39" s="15">
        <f t="shared" si="0"/>
        <v>20</v>
      </c>
      <c r="P39" s="15">
        <f t="shared" si="1"/>
        <v>39</v>
      </c>
    </row>
    <row r="40" spans="2:20" ht="23.1" customHeight="1" x14ac:dyDescent="0.25">
      <c r="B40" s="24" t="s">
        <v>67</v>
      </c>
      <c r="C40" s="50">
        <v>7</v>
      </c>
      <c r="D40" s="50">
        <v>4</v>
      </c>
      <c r="E40" s="50">
        <v>2</v>
      </c>
      <c r="F40" s="50">
        <v>14</v>
      </c>
      <c r="G40" s="50">
        <v>2</v>
      </c>
      <c r="H40" s="50">
        <v>0</v>
      </c>
      <c r="I40" s="50">
        <v>3</v>
      </c>
      <c r="J40" s="50">
        <v>0</v>
      </c>
      <c r="K40" s="50">
        <v>1</v>
      </c>
      <c r="L40" s="50">
        <v>0</v>
      </c>
      <c r="M40" s="50">
        <v>23</v>
      </c>
      <c r="N40" s="50">
        <v>0</v>
      </c>
      <c r="O40" s="15">
        <f t="shared" si="0"/>
        <v>33</v>
      </c>
      <c r="P40" s="15">
        <f t="shared" si="1"/>
        <v>56</v>
      </c>
    </row>
    <row r="41" spans="2:20" ht="23.1" customHeight="1" x14ac:dyDescent="0.25">
      <c r="B41" s="23" t="s">
        <v>68</v>
      </c>
      <c r="C41" s="50">
        <v>10</v>
      </c>
      <c r="D41" s="50">
        <v>2</v>
      </c>
      <c r="E41" s="50">
        <v>2</v>
      </c>
      <c r="F41" s="50">
        <v>10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27</v>
      </c>
      <c r="P41" s="15">
        <f t="shared" si="1"/>
        <v>40</v>
      </c>
    </row>
    <row r="42" spans="2:20" ht="23.1" customHeight="1" x14ac:dyDescent="0.25">
      <c r="B42" s="24" t="s">
        <v>69</v>
      </c>
      <c r="C42" s="50">
        <v>7</v>
      </c>
      <c r="D42" s="50">
        <v>6</v>
      </c>
      <c r="E42" s="50">
        <v>2</v>
      </c>
      <c r="F42" s="50">
        <v>10</v>
      </c>
      <c r="G42" s="50">
        <v>0</v>
      </c>
      <c r="H42" s="50">
        <v>0</v>
      </c>
      <c r="I42" s="50">
        <v>7</v>
      </c>
      <c r="J42" s="50">
        <v>0</v>
      </c>
      <c r="K42" s="50">
        <v>0</v>
      </c>
      <c r="L42" s="50">
        <v>0</v>
      </c>
      <c r="M42" s="50">
        <v>23</v>
      </c>
      <c r="N42" s="50">
        <v>0</v>
      </c>
      <c r="O42" s="15">
        <f t="shared" si="0"/>
        <v>32</v>
      </c>
      <c r="P42" s="15">
        <f t="shared" si="1"/>
        <v>55</v>
      </c>
    </row>
    <row r="43" spans="2:20" ht="23.1" customHeight="1" x14ac:dyDescent="0.25">
      <c r="B43" s="23" t="s">
        <v>70</v>
      </c>
      <c r="C43" s="50">
        <v>2</v>
      </c>
      <c r="D43" s="50">
        <v>5</v>
      </c>
      <c r="E43" s="50">
        <v>3</v>
      </c>
      <c r="F43" s="50">
        <v>7</v>
      </c>
      <c r="G43" s="50">
        <v>0</v>
      </c>
      <c r="H43" s="50">
        <v>0</v>
      </c>
      <c r="I43" s="50">
        <v>7</v>
      </c>
      <c r="J43" s="50">
        <v>0</v>
      </c>
      <c r="K43" s="50">
        <v>2</v>
      </c>
      <c r="L43" s="50">
        <v>1</v>
      </c>
      <c r="M43" s="50">
        <v>1</v>
      </c>
      <c r="N43" s="50">
        <v>0</v>
      </c>
      <c r="O43" s="15">
        <f t="shared" si="0"/>
        <v>27</v>
      </c>
      <c r="P43" s="15">
        <f t="shared" si="1"/>
        <v>28</v>
      </c>
    </row>
    <row r="44" spans="2:20" ht="23.1" customHeight="1" x14ac:dyDescent="0.25">
      <c r="B44" s="25" t="s">
        <v>71</v>
      </c>
      <c r="C44" s="50">
        <v>7</v>
      </c>
      <c r="D44" s="50">
        <v>7</v>
      </c>
      <c r="E44" s="50">
        <v>1</v>
      </c>
      <c r="F44" s="50">
        <v>14</v>
      </c>
      <c r="G44" s="50">
        <v>0</v>
      </c>
      <c r="H44" s="50">
        <v>0</v>
      </c>
      <c r="I44" s="50">
        <v>5</v>
      </c>
      <c r="J44" s="50">
        <v>0</v>
      </c>
      <c r="K44" s="50">
        <v>1</v>
      </c>
      <c r="L44" s="50">
        <v>0</v>
      </c>
      <c r="M44" s="50">
        <v>24</v>
      </c>
      <c r="N44" s="50">
        <v>0</v>
      </c>
      <c r="O44" s="15">
        <f t="shared" si="0"/>
        <v>35</v>
      </c>
      <c r="P44" s="15">
        <f t="shared" si="1"/>
        <v>59</v>
      </c>
    </row>
    <row r="45" spans="2:20" ht="23.1" customHeight="1" x14ac:dyDescent="0.25">
      <c r="B45" s="23" t="s">
        <v>72</v>
      </c>
      <c r="C45" s="50">
        <v>10</v>
      </c>
      <c r="D45" s="50">
        <v>4</v>
      </c>
      <c r="E45" s="50">
        <v>4</v>
      </c>
      <c r="F45" s="50">
        <v>7</v>
      </c>
      <c r="G45" s="50">
        <v>0</v>
      </c>
      <c r="H45" s="50">
        <v>0</v>
      </c>
      <c r="I45" s="50">
        <v>2</v>
      </c>
      <c r="J45" s="50">
        <v>0</v>
      </c>
      <c r="K45" s="50">
        <v>1</v>
      </c>
      <c r="L45" s="50">
        <v>0</v>
      </c>
      <c r="M45" s="50">
        <v>21</v>
      </c>
      <c r="N45" s="50">
        <v>0</v>
      </c>
      <c r="O45" s="15">
        <f t="shared" si="0"/>
        <v>28</v>
      </c>
      <c r="P45" s="15">
        <f t="shared" si="1"/>
        <v>49</v>
      </c>
    </row>
    <row r="46" spans="2:20" ht="23.1" customHeight="1" x14ac:dyDescent="0.25">
      <c r="B46" s="24" t="s">
        <v>73</v>
      </c>
      <c r="C46" s="50">
        <v>8</v>
      </c>
      <c r="D46" s="50">
        <v>4</v>
      </c>
      <c r="E46" s="50">
        <v>1</v>
      </c>
      <c r="F46" s="50">
        <v>11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20</v>
      </c>
      <c r="N46" s="50">
        <v>0</v>
      </c>
      <c r="O46" s="15">
        <f t="shared" si="0"/>
        <v>25</v>
      </c>
      <c r="P46" s="15">
        <f t="shared" si="1"/>
        <v>45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2</v>
      </c>
      <c r="E47" s="50">
        <v>2</v>
      </c>
      <c r="F47" s="50">
        <v>13</v>
      </c>
      <c r="G47" s="50">
        <v>2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26</v>
      </c>
      <c r="N47" s="50">
        <v>0</v>
      </c>
      <c r="O47" s="15">
        <f t="shared" si="0"/>
        <v>30</v>
      </c>
      <c r="P47" s="15">
        <f t="shared" si="1"/>
        <v>56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4</v>
      </c>
      <c r="E48" s="50">
        <v>3</v>
      </c>
      <c r="F48" s="50">
        <v>7</v>
      </c>
      <c r="G48" s="50">
        <v>1</v>
      </c>
      <c r="H48" s="50">
        <v>0</v>
      </c>
      <c r="I48" s="50">
        <v>5</v>
      </c>
      <c r="J48" s="50">
        <v>0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25</v>
      </c>
      <c r="P48" s="15">
        <f t="shared" si="1"/>
        <v>44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2</v>
      </c>
      <c r="E49" s="50">
        <v>1</v>
      </c>
      <c r="F49" s="50">
        <v>11</v>
      </c>
      <c r="G49" s="50">
        <v>0</v>
      </c>
      <c r="H49" s="50">
        <v>0</v>
      </c>
      <c r="I49" s="50">
        <v>7</v>
      </c>
      <c r="J49" s="50">
        <v>0</v>
      </c>
      <c r="K49" s="50">
        <v>1</v>
      </c>
      <c r="L49" s="50">
        <v>0</v>
      </c>
      <c r="M49" s="50">
        <v>15</v>
      </c>
      <c r="N49" s="50">
        <v>0</v>
      </c>
      <c r="O49" s="15">
        <f t="shared" si="0"/>
        <v>30</v>
      </c>
      <c r="P49" s="15">
        <f t="shared" si="1"/>
        <v>45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2</v>
      </c>
      <c r="E50" s="50">
        <v>2</v>
      </c>
      <c r="F50" s="50">
        <v>7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1</v>
      </c>
      <c r="M50" s="50">
        <v>16</v>
      </c>
      <c r="N50" s="50">
        <v>0</v>
      </c>
      <c r="O50" s="15">
        <f t="shared" si="0"/>
        <v>21</v>
      </c>
      <c r="P50" s="15">
        <f t="shared" si="1"/>
        <v>37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3</v>
      </c>
      <c r="E51" s="50">
        <v>2</v>
      </c>
      <c r="F51" s="50">
        <v>10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21</v>
      </c>
      <c r="P51" s="15">
        <f t="shared" si="1"/>
        <v>43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3</v>
      </c>
      <c r="E52" s="50">
        <v>0</v>
      </c>
      <c r="F52" s="50">
        <v>16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34</v>
      </c>
      <c r="N52" s="50">
        <v>0</v>
      </c>
      <c r="O52" s="15">
        <f t="shared" si="0"/>
        <v>26</v>
      </c>
      <c r="P52" s="15">
        <f t="shared" si="1"/>
        <v>60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5</v>
      </c>
      <c r="E53" s="50">
        <v>2</v>
      </c>
      <c r="F53" s="50">
        <v>12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20</v>
      </c>
      <c r="N53" s="50">
        <v>0</v>
      </c>
      <c r="O53" s="15">
        <f t="shared" si="0"/>
        <v>31</v>
      </c>
      <c r="P53" s="15">
        <f t="shared" si="1"/>
        <v>51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3</v>
      </c>
      <c r="E54" s="50">
        <v>3</v>
      </c>
      <c r="F54" s="50">
        <v>7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22</v>
      </c>
      <c r="N54" s="50">
        <v>0</v>
      </c>
      <c r="O54" s="15">
        <f t="shared" si="0"/>
        <v>21</v>
      </c>
      <c r="P54" s="15">
        <f t="shared" si="1"/>
        <v>43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2</v>
      </c>
      <c r="E55" s="50">
        <v>4</v>
      </c>
      <c r="F55" s="50">
        <v>16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25</v>
      </c>
      <c r="P55" s="15">
        <f t="shared" si="1"/>
        <v>46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2</v>
      </c>
      <c r="E56" s="50">
        <v>4</v>
      </c>
      <c r="F56" s="50">
        <v>7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23</v>
      </c>
      <c r="N56" s="50">
        <v>0</v>
      </c>
      <c r="O56" s="15">
        <f t="shared" si="0"/>
        <v>17</v>
      </c>
      <c r="P56" s="15">
        <f t="shared" si="1"/>
        <v>40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1</v>
      </c>
      <c r="E57" s="50">
        <v>2</v>
      </c>
      <c r="F57" s="50">
        <v>18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19</v>
      </c>
      <c r="N57" s="50">
        <v>0</v>
      </c>
      <c r="O57" s="15">
        <f t="shared" si="0"/>
        <v>31</v>
      </c>
      <c r="P57" s="15">
        <f t="shared" si="1"/>
        <v>50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340</v>
      </c>
      <c r="D58" s="16">
        <f t="shared" si="21"/>
        <v>120</v>
      </c>
      <c r="E58" s="16">
        <f t="shared" si="21"/>
        <v>110</v>
      </c>
      <c r="F58" s="16">
        <f t="shared" si="21"/>
        <v>480</v>
      </c>
      <c r="G58" s="16">
        <f t="shared" si="21"/>
        <v>9</v>
      </c>
      <c r="H58" s="16">
        <f t="shared" si="21"/>
        <v>1</v>
      </c>
      <c r="I58" s="16">
        <f t="shared" si="21"/>
        <v>115</v>
      </c>
      <c r="J58" s="16">
        <f t="shared" si="21"/>
        <v>19</v>
      </c>
      <c r="K58" s="16">
        <f t="shared" si="21"/>
        <v>15</v>
      </c>
      <c r="L58" s="16">
        <f t="shared" si="21"/>
        <v>5</v>
      </c>
      <c r="M58" s="16">
        <f t="shared" si="21"/>
        <v>997</v>
      </c>
      <c r="N58" s="16">
        <f t="shared" si="21"/>
        <v>1</v>
      </c>
      <c r="O58" s="16">
        <f t="shared" si="21"/>
        <v>1215</v>
      </c>
      <c r="P58" s="16">
        <f t="shared" si="21"/>
        <v>2212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0.15370705244122965</v>
      </c>
      <c r="D59" s="43">
        <f t="shared" si="22"/>
        <v>5.4249547920433995E-2</v>
      </c>
      <c r="E59" s="43">
        <f t="shared" si="22"/>
        <v>4.9728752260397829E-2</v>
      </c>
      <c r="F59" s="43">
        <f t="shared" si="22"/>
        <v>0.21699819168173598</v>
      </c>
      <c r="G59" s="43">
        <f t="shared" si="22"/>
        <v>4.06871609403255E-3</v>
      </c>
      <c r="H59" s="43">
        <f t="shared" si="22"/>
        <v>4.5207956600361662E-4</v>
      </c>
      <c r="I59" s="43">
        <f t="shared" si="22"/>
        <v>5.1989150090415916E-2</v>
      </c>
      <c r="J59" s="43">
        <f t="shared" si="22"/>
        <v>8.5895117540687165E-3</v>
      </c>
      <c r="K59" s="43">
        <f t="shared" si="22"/>
        <v>6.7811934900542494E-3</v>
      </c>
      <c r="L59" s="43">
        <f t="shared" si="22"/>
        <v>2.2603978300180833E-3</v>
      </c>
      <c r="M59" s="43">
        <f t="shared" si="22"/>
        <v>0.45072332730560577</v>
      </c>
      <c r="N59" s="43">
        <f t="shared" si="22"/>
        <v>4.5207956600361662E-4</v>
      </c>
      <c r="R59" s="8"/>
      <c r="T59"/>
    </row>
    <row r="60" spans="2:20" ht="23.1" customHeight="1" x14ac:dyDescent="0.25">
      <c r="B60" s="42" t="s">
        <v>94</v>
      </c>
      <c r="C60" s="44">
        <f>C58/$O$58</f>
        <v>0.27983539094650206</v>
      </c>
      <c r="D60" s="44">
        <f t="shared" ref="D60:N60" si="23">D58/$O$58</f>
        <v>9.8765432098765427E-2</v>
      </c>
      <c r="E60" s="44">
        <f t="shared" si="23"/>
        <v>9.0534979423868317E-2</v>
      </c>
      <c r="F60" s="44">
        <f t="shared" si="23"/>
        <v>0.39506172839506171</v>
      </c>
      <c r="G60" s="44">
        <f t="shared" si="23"/>
        <v>7.4074074074074077E-3</v>
      </c>
      <c r="H60" s="44">
        <f t="shared" si="23"/>
        <v>8.2304526748971192E-4</v>
      </c>
      <c r="I60" s="44">
        <f t="shared" si="23"/>
        <v>9.4650205761316872E-2</v>
      </c>
      <c r="J60" s="44">
        <f t="shared" si="23"/>
        <v>1.5637860082304528E-2</v>
      </c>
      <c r="K60" s="44">
        <f t="shared" si="23"/>
        <v>1.2345679012345678E-2</v>
      </c>
      <c r="L60" s="44">
        <f t="shared" si="23"/>
        <v>4.11522633744856E-3</v>
      </c>
      <c r="M60" s="44"/>
      <c r="N60" s="44">
        <f t="shared" si="23"/>
        <v>8.2304526748971192E-4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'29.10 MUKONO-KALAGI'!D5</f>
        <v>29.10.2019</v>
      </c>
      <c r="E5" s="3"/>
      <c r="F5" s="41" t="s">
        <v>1</v>
      </c>
      <c r="G5" s="55" t="str">
        <f>'29.10 MUKONO-KALAGI'!G5:H5</f>
        <v>KABEMBE</v>
      </c>
      <c r="H5" s="56"/>
      <c r="I5" s="14"/>
      <c r="J5" s="2" t="s">
        <v>5</v>
      </c>
      <c r="K5" s="55" t="s">
        <v>164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167</v>
      </c>
      <c r="H6" s="56"/>
      <c r="J6" s="2" t="s">
        <v>21</v>
      </c>
      <c r="K6" s="55" t="str">
        <f>'29.10 MUKONO-KALAGI'!K6:L6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1</v>
      </c>
      <c r="E10" s="50">
        <v>0</v>
      </c>
      <c r="F10" s="50">
        <v>8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32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52</v>
      </c>
      <c r="R10" s="1" t="s">
        <v>6</v>
      </c>
      <c r="S10" s="17">
        <f t="shared" ref="S10:AF10" si="2">SUM(C10:C13)</f>
        <v>29</v>
      </c>
      <c r="T10" s="17">
        <f t="shared" si="2"/>
        <v>3</v>
      </c>
      <c r="U10" s="17">
        <f t="shared" si="2"/>
        <v>5</v>
      </c>
      <c r="V10" s="17">
        <f t="shared" si="2"/>
        <v>37</v>
      </c>
      <c r="W10" s="17">
        <f t="shared" si="2"/>
        <v>2</v>
      </c>
      <c r="X10" s="17">
        <f t="shared" si="2"/>
        <v>0</v>
      </c>
      <c r="Y10" s="17">
        <f t="shared" si="2"/>
        <v>8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136</v>
      </c>
      <c r="AD10" s="17">
        <f t="shared" si="2"/>
        <v>0</v>
      </c>
      <c r="AE10" s="31">
        <f t="shared" si="2"/>
        <v>88</v>
      </c>
      <c r="AF10" s="31">
        <f t="shared" si="2"/>
        <v>224</v>
      </c>
    </row>
    <row r="11" spans="2:32" s="6" customFormat="1" ht="23.1" customHeight="1" x14ac:dyDescent="0.25">
      <c r="B11" s="23" t="s">
        <v>38</v>
      </c>
      <c r="C11" s="50">
        <v>9</v>
      </c>
      <c r="D11" s="50">
        <v>0</v>
      </c>
      <c r="E11" s="50">
        <v>3</v>
      </c>
      <c r="F11" s="50">
        <v>11</v>
      </c>
      <c r="G11" s="50">
        <v>1</v>
      </c>
      <c r="H11" s="50">
        <v>0</v>
      </c>
      <c r="I11" s="50">
        <v>1</v>
      </c>
      <c r="J11" s="50">
        <v>3</v>
      </c>
      <c r="K11" s="50">
        <v>0</v>
      </c>
      <c r="L11" s="50">
        <v>0</v>
      </c>
      <c r="M11" s="50">
        <v>28</v>
      </c>
      <c r="N11" s="50">
        <v>0</v>
      </c>
      <c r="O11" s="15">
        <f t="shared" si="0"/>
        <v>28</v>
      </c>
      <c r="P11" s="15">
        <f t="shared" si="1"/>
        <v>56</v>
      </c>
      <c r="R11" s="1" t="s">
        <v>7</v>
      </c>
      <c r="S11" s="17">
        <f t="shared" ref="S11:AF11" si="3">SUM(C14:C17)</f>
        <v>31</v>
      </c>
      <c r="T11" s="17">
        <f t="shared" si="3"/>
        <v>3</v>
      </c>
      <c r="U11" s="17">
        <f t="shared" si="3"/>
        <v>8</v>
      </c>
      <c r="V11" s="17">
        <f t="shared" si="3"/>
        <v>37</v>
      </c>
      <c r="W11" s="17">
        <f t="shared" si="3"/>
        <v>1</v>
      </c>
      <c r="X11" s="17">
        <f t="shared" si="3"/>
        <v>0</v>
      </c>
      <c r="Y11" s="17">
        <f t="shared" si="3"/>
        <v>11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124</v>
      </c>
      <c r="AD11" s="17">
        <f t="shared" si="3"/>
        <v>0</v>
      </c>
      <c r="AE11" s="31">
        <f t="shared" si="3"/>
        <v>93</v>
      </c>
      <c r="AF11" s="31">
        <f t="shared" si="3"/>
        <v>217</v>
      </c>
    </row>
    <row r="12" spans="2:32" ht="23.1" customHeight="1" x14ac:dyDescent="0.25">
      <c r="B12" s="23" t="s">
        <v>39</v>
      </c>
      <c r="C12" s="50">
        <v>4</v>
      </c>
      <c r="D12" s="50">
        <v>1</v>
      </c>
      <c r="E12" s="50">
        <v>1</v>
      </c>
      <c r="F12" s="50">
        <v>12</v>
      </c>
      <c r="G12" s="50">
        <v>0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43</v>
      </c>
      <c r="N12" s="50">
        <v>0</v>
      </c>
      <c r="O12" s="15">
        <f t="shared" si="0"/>
        <v>23</v>
      </c>
      <c r="P12" s="15">
        <f t="shared" si="1"/>
        <v>66</v>
      </c>
      <c r="R12" s="1" t="s">
        <v>8</v>
      </c>
      <c r="S12" s="17">
        <f t="shared" ref="S12:AF12" si="4">SUM(C18:C21)</f>
        <v>21</v>
      </c>
      <c r="T12" s="17">
        <f t="shared" si="4"/>
        <v>3</v>
      </c>
      <c r="U12" s="17">
        <f t="shared" si="4"/>
        <v>6</v>
      </c>
      <c r="V12" s="17">
        <f t="shared" si="4"/>
        <v>37</v>
      </c>
      <c r="W12" s="17">
        <f t="shared" si="4"/>
        <v>1</v>
      </c>
      <c r="X12" s="17">
        <f t="shared" si="4"/>
        <v>0</v>
      </c>
      <c r="Y12" s="17">
        <f t="shared" si="4"/>
        <v>9</v>
      </c>
      <c r="Z12" s="17">
        <f t="shared" si="4"/>
        <v>1</v>
      </c>
      <c r="AA12" s="17">
        <f t="shared" si="4"/>
        <v>1</v>
      </c>
      <c r="AB12" s="17">
        <f t="shared" si="4"/>
        <v>1</v>
      </c>
      <c r="AC12" s="17">
        <f t="shared" si="4"/>
        <v>102</v>
      </c>
      <c r="AD12" s="17">
        <f t="shared" si="4"/>
        <v>0</v>
      </c>
      <c r="AE12" s="31">
        <f t="shared" si="4"/>
        <v>80</v>
      </c>
      <c r="AF12" s="31">
        <f t="shared" si="4"/>
        <v>182</v>
      </c>
    </row>
    <row r="13" spans="2:32" ht="23.1" customHeight="1" x14ac:dyDescent="0.25">
      <c r="B13" s="23" t="s">
        <v>40</v>
      </c>
      <c r="C13" s="50">
        <v>8</v>
      </c>
      <c r="D13" s="50">
        <v>1</v>
      </c>
      <c r="E13" s="50">
        <v>1</v>
      </c>
      <c r="F13" s="50">
        <v>6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33</v>
      </c>
      <c r="N13" s="50">
        <v>0</v>
      </c>
      <c r="O13" s="15">
        <f t="shared" si="0"/>
        <v>17</v>
      </c>
      <c r="P13" s="15">
        <f t="shared" si="1"/>
        <v>50</v>
      </c>
      <c r="R13" s="1" t="s">
        <v>9</v>
      </c>
      <c r="S13" s="17">
        <f t="shared" ref="S13:AF13" si="5">SUM(C22:C25)</f>
        <v>21</v>
      </c>
      <c r="T13" s="17">
        <f t="shared" si="5"/>
        <v>7</v>
      </c>
      <c r="U13" s="17">
        <f t="shared" si="5"/>
        <v>8</v>
      </c>
      <c r="V13" s="17">
        <f t="shared" si="5"/>
        <v>32</v>
      </c>
      <c r="W13" s="17">
        <f t="shared" si="5"/>
        <v>1</v>
      </c>
      <c r="X13" s="17">
        <f t="shared" si="5"/>
        <v>0</v>
      </c>
      <c r="Y13" s="17">
        <f t="shared" si="5"/>
        <v>7</v>
      </c>
      <c r="Z13" s="17">
        <f t="shared" si="5"/>
        <v>6</v>
      </c>
      <c r="AA13" s="17">
        <f t="shared" si="5"/>
        <v>2</v>
      </c>
      <c r="AB13" s="17">
        <f t="shared" si="5"/>
        <v>0</v>
      </c>
      <c r="AC13" s="17">
        <f t="shared" si="5"/>
        <v>87</v>
      </c>
      <c r="AD13" s="17">
        <f t="shared" si="5"/>
        <v>0</v>
      </c>
      <c r="AE13" s="31">
        <f t="shared" si="5"/>
        <v>84</v>
      </c>
      <c r="AF13" s="31">
        <f t="shared" si="5"/>
        <v>171</v>
      </c>
    </row>
    <row r="14" spans="2:32" ht="23.1" customHeight="1" x14ac:dyDescent="0.25">
      <c r="B14" s="23" t="s">
        <v>41</v>
      </c>
      <c r="C14" s="50">
        <v>7</v>
      </c>
      <c r="D14" s="50">
        <v>0</v>
      </c>
      <c r="E14" s="50">
        <v>2</v>
      </c>
      <c r="F14" s="50">
        <v>13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38</v>
      </c>
      <c r="N14" s="50">
        <v>0</v>
      </c>
      <c r="O14" s="15">
        <f t="shared" si="0"/>
        <v>25</v>
      </c>
      <c r="P14" s="15">
        <f t="shared" si="1"/>
        <v>63</v>
      </c>
      <c r="R14" s="1" t="s">
        <v>10</v>
      </c>
      <c r="S14" s="17">
        <f t="shared" ref="S14:AF14" si="6">SUM(C26:C29)</f>
        <v>32</v>
      </c>
      <c r="T14" s="17">
        <f t="shared" si="6"/>
        <v>2</v>
      </c>
      <c r="U14" s="17">
        <f t="shared" si="6"/>
        <v>6</v>
      </c>
      <c r="V14" s="17">
        <f t="shared" si="6"/>
        <v>29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6</v>
      </c>
      <c r="AA14" s="17">
        <f t="shared" si="6"/>
        <v>3</v>
      </c>
      <c r="AB14" s="17">
        <f t="shared" si="6"/>
        <v>0</v>
      </c>
      <c r="AC14" s="17">
        <f t="shared" si="6"/>
        <v>88</v>
      </c>
      <c r="AD14" s="17">
        <f t="shared" si="6"/>
        <v>0</v>
      </c>
      <c r="AE14" s="31">
        <f t="shared" si="6"/>
        <v>85</v>
      </c>
      <c r="AF14" s="31">
        <f t="shared" si="6"/>
        <v>173</v>
      </c>
    </row>
    <row r="15" spans="2:32" ht="23.1" customHeight="1" x14ac:dyDescent="0.25">
      <c r="B15" s="23" t="s">
        <v>42</v>
      </c>
      <c r="C15" s="50">
        <v>6</v>
      </c>
      <c r="D15" s="50">
        <v>1</v>
      </c>
      <c r="E15" s="50">
        <v>2</v>
      </c>
      <c r="F15" s="50">
        <v>4</v>
      </c>
      <c r="G15" s="50">
        <v>0</v>
      </c>
      <c r="H15" s="50">
        <v>0</v>
      </c>
      <c r="I15" s="50">
        <v>5</v>
      </c>
      <c r="J15" s="50">
        <v>0</v>
      </c>
      <c r="K15" s="50">
        <v>0</v>
      </c>
      <c r="L15" s="50">
        <v>1</v>
      </c>
      <c r="M15" s="50">
        <v>28</v>
      </c>
      <c r="N15" s="50">
        <v>0</v>
      </c>
      <c r="O15" s="15">
        <f t="shared" si="0"/>
        <v>19</v>
      </c>
      <c r="P15" s="15">
        <f t="shared" si="1"/>
        <v>47</v>
      </c>
      <c r="R15" s="1" t="s">
        <v>11</v>
      </c>
      <c r="S15" s="17">
        <f t="shared" ref="S15:AF15" si="7">SUM(C30:C33)</f>
        <v>24</v>
      </c>
      <c r="T15" s="17">
        <f t="shared" si="7"/>
        <v>3</v>
      </c>
      <c r="U15" s="17">
        <f t="shared" si="7"/>
        <v>7</v>
      </c>
      <c r="V15" s="17">
        <f t="shared" si="7"/>
        <v>32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97</v>
      </c>
      <c r="AD15" s="17">
        <f t="shared" si="7"/>
        <v>0</v>
      </c>
      <c r="AE15" s="31">
        <f t="shared" si="7"/>
        <v>78</v>
      </c>
      <c r="AF15" s="31">
        <f t="shared" si="7"/>
        <v>175</v>
      </c>
    </row>
    <row r="16" spans="2:32" ht="23.1" customHeight="1" x14ac:dyDescent="0.25">
      <c r="B16" s="23" t="s">
        <v>43</v>
      </c>
      <c r="C16" s="50">
        <v>9</v>
      </c>
      <c r="D16" s="50">
        <v>0</v>
      </c>
      <c r="E16" s="50">
        <v>3</v>
      </c>
      <c r="F16" s="50">
        <v>11</v>
      </c>
      <c r="G16" s="50">
        <v>1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32</v>
      </c>
      <c r="N16" s="50">
        <v>0</v>
      </c>
      <c r="O16" s="15">
        <f t="shared" si="0"/>
        <v>26</v>
      </c>
      <c r="P16" s="15">
        <f t="shared" si="1"/>
        <v>58</v>
      </c>
      <c r="R16" s="1" t="s">
        <v>12</v>
      </c>
      <c r="S16" s="17">
        <f t="shared" ref="S16:AF16" si="8">SUM(C34:C37)</f>
        <v>29</v>
      </c>
      <c r="T16" s="17">
        <f t="shared" si="8"/>
        <v>6</v>
      </c>
      <c r="U16" s="17">
        <f t="shared" si="8"/>
        <v>4</v>
      </c>
      <c r="V16" s="17">
        <f t="shared" si="8"/>
        <v>31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95</v>
      </c>
      <c r="AD16" s="17">
        <f t="shared" si="8"/>
        <v>0</v>
      </c>
      <c r="AE16" s="31">
        <f t="shared" si="8"/>
        <v>83</v>
      </c>
      <c r="AF16" s="31">
        <f t="shared" si="8"/>
        <v>178</v>
      </c>
    </row>
    <row r="17" spans="2:32" ht="23.1" customHeight="1" x14ac:dyDescent="0.25">
      <c r="B17" s="23" t="s">
        <v>44</v>
      </c>
      <c r="C17" s="50">
        <v>9</v>
      </c>
      <c r="D17" s="50">
        <v>2</v>
      </c>
      <c r="E17" s="50">
        <v>1</v>
      </c>
      <c r="F17" s="50">
        <v>9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26</v>
      </c>
      <c r="N17" s="50">
        <v>0</v>
      </c>
      <c r="O17" s="15">
        <f t="shared" si="0"/>
        <v>23</v>
      </c>
      <c r="P17" s="15">
        <f t="shared" si="1"/>
        <v>49</v>
      </c>
      <c r="R17" s="1" t="s">
        <v>13</v>
      </c>
      <c r="S17" s="17">
        <f t="shared" ref="S17:AF17" si="9">SUM(C38:C41)</f>
        <v>27</v>
      </c>
      <c r="T17" s="17">
        <f t="shared" si="9"/>
        <v>2</v>
      </c>
      <c r="U17" s="17">
        <f t="shared" si="9"/>
        <v>8</v>
      </c>
      <c r="V17" s="17">
        <f t="shared" si="9"/>
        <v>30</v>
      </c>
      <c r="W17" s="17">
        <f t="shared" si="9"/>
        <v>3</v>
      </c>
      <c r="X17" s="17">
        <f t="shared" si="9"/>
        <v>0</v>
      </c>
      <c r="Y17" s="17">
        <f t="shared" si="9"/>
        <v>7</v>
      </c>
      <c r="Z17" s="17">
        <f t="shared" si="9"/>
        <v>3</v>
      </c>
      <c r="AA17" s="17">
        <f t="shared" si="9"/>
        <v>1</v>
      </c>
      <c r="AB17" s="17">
        <f t="shared" si="9"/>
        <v>0</v>
      </c>
      <c r="AC17" s="17">
        <f t="shared" si="9"/>
        <v>82</v>
      </c>
      <c r="AD17" s="17">
        <f t="shared" si="9"/>
        <v>1</v>
      </c>
      <c r="AE17" s="31">
        <f t="shared" si="9"/>
        <v>82</v>
      </c>
      <c r="AF17" s="31">
        <f t="shared" si="9"/>
        <v>164</v>
      </c>
    </row>
    <row r="18" spans="2:32" ht="23.1" customHeight="1" x14ac:dyDescent="0.25">
      <c r="B18" s="23" t="s">
        <v>45</v>
      </c>
      <c r="C18" s="50">
        <v>4</v>
      </c>
      <c r="D18" s="50">
        <v>1</v>
      </c>
      <c r="E18" s="50">
        <v>0</v>
      </c>
      <c r="F18" s="50">
        <v>10</v>
      </c>
      <c r="G18" s="50">
        <v>1</v>
      </c>
      <c r="H18" s="50">
        <v>0</v>
      </c>
      <c r="I18" s="50">
        <v>4</v>
      </c>
      <c r="J18" s="50">
        <v>1</v>
      </c>
      <c r="K18" s="50">
        <v>0</v>
      </c>
      <c r="L18" s="50">
        <v>1</v>
      </c>
      <c r="M18" s="50">
        <v>28</v>
      </c>
      <c r="N18" s="50">
        <v>0</v>
      </c>
      <c r="O18" s="15">
        <f t="shared" si="0"/>
        <v>22</v>
      </c>
      <c r="P18" s="15">
        <f t="shared" si="1"/>
        <v>50</v>
      </c>
      <c r="R18" s="1" t="s">
        <v>14</v>
      </c>
      <c r="S18" s="17">
        <f t="shared" ref="S18:AF18" si="10">SUM(C42:C45)</f>
        <v>38</v>
      </c>
      <c r="T18" s="17">
        <f t="shared" si="10"/>
        <v>6</v>
      </c>
      <c r="U18" s="17">
        <f t="shared" si="10"/>
        <v>7</v>
      </c>
      <c r="V18" s="17">
        <f t="shared" si="10"/>
        <v>30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100</v>
      </c>
      <c r="AD18" s="17">
        <f t="shared" si="10"/>
        <v>0</v>
      </c>
      <c r="AE18" s="31">
        <f t="shared" si="10"/>
        <v>92</v>
      </c>
      <c r="AF18" s="31">
        <f t="shared" si="10"/>
        <v>192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2</v>
      </c>
      <c r="F19" s="50">
        <v>10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32</v>
      </c>
      <c r="N19" s="50">
        <v>0</v>
      </c>
      <c r="O19" s="15">
        <f t="shared" si="0"/>
        <v>20</v>
      </c>
      <c r="P19" s="15">
        <f t="shared" si="1"/>
        <v>52</v>
      </c>
      <c r="R19" s="1" t="s">
        <v>15</v>
      </c>
      <c r="S19" s="17">
        <f t="shared" ref="S19:AF19" si="11">SUM(C46:C49)</f>
        <v>33</v>
      </c>
      <c r="T19" s="17">
        <f t="shared" si="11"/>
        <v>4</v>
      </c>
      <c r="U19" s="17">
        <f t="shared" si="11"/>
        <v>5</v>
      </c>
      <c r="V19" s="17">
        <f t="shared" si="11"/>
        <v>30</v>
      </c>
      <c r="W19" s="17">
        <f t="shared" si="11"/>
        <v>2</v>
      </c>
      <c r="X19" s="17">
        <f t="shared" si="11"/>
        <v>0</v>
      </c>
      <c r="Y19" s="17">
        <f t="shared" si="11"/>
        <v>14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85</v>
      </c>
      <c r="AD19" s="17">
        <f t="shared" si="11"/>
        <v>0</v>
      </c>
      <c r="AE19" s="31">
        <f t="shared" si="11"/>
        <v>92</v>
      </c>
      <c r="AF19" s="31">
        <f t="shared" si="11"/>
        <v>177</v>
      </c>
    </row>
    <row r="20" spans="2:32" ht="23.1" customHeight="1" x14ac:dyDescent="0.25">
      <c r="B20" s="23" t="s">
        <v>47</v>
      </c>
      <c r="C20" s="50">
        <v>8</v>
      </c>
      <c r="D20" s="50">
        <v>0</v>
      </c>
      <c r="E20" s="50">
        <v>2</v>
      </c>
      <c r="F20" s="50">
        <v>11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24</v>
      </c>
      <c r="N20" s="50">
        <v>0</v>
      </c>
      <c r="O20" s="15">
        <f t="shared" si="0"/>
        <v>22</v>
      </c>
      <c r="P20" s="15">
        <f t="shared" si="1"/>
        <v>46</v>
      </c>
      <c r="R20" s="1" t="s">
        <v>16</v>
      </c>
      <c r="S20" s="17">
        <f t="shared" ref="S20:AF20" si="12">SUM(C50:C53)</f>
        <v>39</v>
      </c>
      <c r="T20" s="17">
        <f t="shared" si="12"/>
        <v>13</v>
      </c>
      <c r="U20" s="17">
        <f t="shared" si="12"/>
        <v>10</v>
      </c>
      <c r="V20" s="17">
        <f t="shared" si="12"/>
        <v>38</v>
      </c>
      <c r="W20" s="17">
        <f t="shared" si="12"/>
        <v>1</v>
      </c>
      <c r="X20" s="17">
        <f t="shared" si="12"/>
        <v>0</v>
      </c>
      <c r="Y20" s="17">
        <f t="shared" si="12"/>
        <v>12</v>
      </c>
      <c r="Z20" s="17">
        <f t="shared" si="12"/>
        <v>3</v>
      </c>
      <c r="AA20" s="17">
        <f t="shared" si="12"/>
        <v>2</v>
      </c>
      <c r="AB20" s="17">
        <f t="shared" si="12"/>
        <v>0</v>
      </c>
      <c r="AC20" s="17">
        <f t="shared" si="12"/>
        <v>84</v>
      </c>
      <c r="AD20" s="17">
        <f t="shared" si="12"/>
        <v>0</v>
      </c>
      <c r="AE20" s="31">
        <f t="shared" si="12"/>
        <v>118</v>
      </c>
      <c r="AF20" s="31">
        <f t="shared" si="12"/>
        <v>202</v>
      </c>
    </row>
    <row r="21" spans="2:32" ht="23.1" customHeight="1" x14ac:dyDescent="0.25">
      <c r="B21" s="23" t="s">
        <v>48</v>
      </c>
      <c r="C21" s="50">
        <v>5</v>
      </c>
      <c r="D21" s="50">
        <v>2</v>
      </c>
      <c r="E21" s="50">
        <v>2</v>
      </c>
      <c r="F21" s="50">
        <v>6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18</v>
      </c>
      <c r="N21" s="50">
        <v>0</v>
      </c>
      <c r="O21" s="15">
        <f t="shared" si="0"/>
        <v>16</v>
      </c>
      <c r="P21" s="15">
        <f t="shared" si="1"/>
        <v>34</v>
      </c>
      <c r="R21" s="36" t="s">
        <v>20</v>
      </c>
      <c r="S21" s="34">
        <f t="shared" ref="S21:AF21" si="13">SUM(C54:C57)</f>
        <v>30</v>
      </c>
      <c r="T21" s="17">
        <f t="shared" si="13"/>
        <v>6</v>
      </c>
      <c r="U21" s="17">
        <f t="shared" si="13"/>
        <v>13</v>
      </c>
      <c r="V21" s="17">
        <f t="shared" si="13"/>
        <v>42</v>
      </c>
      <c r="W21" s="17">
        <f t="shared" si="13"/>
        <v>2</v>
      </c>
      <c r="X21" s="17">
        <f t="shared" si="13"/>
        <v>0</v>
      </c>
      <c r="Y21" s="17">
        <f t="shared" si="13"/>
        <v>12</v>
      </c>
      <c r="Z21" s="17">
        <f t="shared" si="13"/>
        <v>5</v>
      </c>
      <c r="AA21" s="17">
        <f t="shared" si="13"/>
        <v>1</v>
      </c>
      <c r="AB21" s="17">
        <f t="shared" si="13"/>
        <v>1</v>
      </c>
      <c r="AC21" s="17">
        <f t="shared" si="13"/>
        <v>115</v>
      </c>
      <c r="AD21" s="17">
        <f t="shared" si="13"/>
        <v>0</v>
      </c>
      <c r="AE21" s="31">
        <f t="shared" si="13"/>
        <v>112</v>
      </c>
      <c r="AF21" s="31">
        <f t="shared" si="13"/>
        <v>227</v>
      </c>
    </row>
    <row r="22" spans="2:32" ht="23.1" customHeight="1" x14ac:dyDescent="0.25">
      <c r="B22" s="23" t="s">
        <v>49</v>
      </c>
      <c r="C22" s="50">
        <v>5</v>
      </c>
      <c r="D22" s="50">
        <v>1</v>
      </c>
      <c r="E22" s="50">
        <v>3</v>
      </c>
      <c r="F22" s="50">
        <v>5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20</v>
      </c>
      <c r="N22" s="50">
        <v>0</v>
      </c>
      <c r="O22" s="15">
        <f t="shared" si="0"/>
        <v>15</v>
      </c>
      <c r="P22" s="15">
        <f t="shared" si="1"/>
        <v>35</v>
      </c>
      <c r="R22" s="38" t="s">
        <v>90</v>
      </c>
      <c r="S22" s="39">
        <f>MAX(S10:S12)</f>
        <v>31</v>
      </c>
      <c r="T22" s="39">
        <f t="shared" ref="T22:AF22" si="14">MAX(T10:T12)</f>
        <v>3</v>
      </c>
      <c r="U22" s="39">
        <f t="shared" si="14"/>
        <v>8</v>
      </c>
      <c r="V22" s="39">
        <f t="shared" si="14"/>
        <v>37</v>
      </c>
      <c r="W22" s="39">
        <f t="shared" si="14"/>
        <v>2</v>
      </c>
      <c r="X22" s="39">
        <f t="shared" si="14"/>
        <v>0</v>
      </c>
      <c r="Y22" s="39">
        <f t="shared" si="14"/>
        <v>11</v>
      </c>
      <c r="Z22" s="39">
        <f t="shared" si="14"/>
        <v>4</v>
      </c>
      <c r="AA22" s="39">
        <f t="shared" si="14"/>
        <v>1</v>
      </c>
      <c r="AB22" s="39">
        <f t="shared" si="14"/>
        <v>1</v>
      </c>
      <c r="AC22" s="39">
        <f t="shared" si="14"/>
        <v>136</v>
      </c>
      <c r="AD22" s="39">
        <f t="shared" si="14"/>
        <v>0</v>
      </c>
      <c r="AE22" s="40">
        <f t="shared" si="14"/>
        <v>93</v>
      </c>
      <c r="AF22" s="40">
        <f t="shared" si="14"/>
        <v>224</v>
      </c>
    </row>
    <row r="23" spans="2:32" ht="23.1" customHeight="1" x14ac:dyDescent="0.25">
      <c r="B23" s="23" t="s">
        <v>50</v>
      </c>
      <c r="C23" s="50">
        <v>1</v>
      </c>
      <c r="D23" s="50">
        <v>2</v>
      </c>
      <c r="E23" s="50">
        <v>0</v>
      </c>
      <c r="F23" s="50">
        <v>11</v>
      </c>
      <c r="G23" s="50">
        <v>1</v>
      </c>
      <c r="H23" s="50">
        <v>0</v>
      </c>
      <c r="I23" s="50">
        <v>2</v>
      </c>
      <c r="J23" s="50">
        <v>3</v>
      </c>
      <c r="K23" s="50">
        <v>0</v>
      </c>
      <c r="L23" s="50">
        <v>0</v>
      </c>
      <c r="M23" s="50">
        <v>23</v>
      </c>
      <c r="N23" s="50">
        <v>0</v>
      </c>
      <c r="O23" s="15">
        <f t="shared" si="0"/>
        <v>20</v>
      </c>
      <c r="P23" s="15">
        <f t="shared" si="1"/>
        <v>43</v>
      </c>
      <c r="R23" s="38" t="s">
        <v>91</v>
      </c>
      <c r="S23" s="39">
        <f>MAX(S13:S18)</f>
        <v>38</v>
      </c>
      <c r="T23" s="39">
        <f t="shared" ref="T23:AF23" si="15">MAX(T13:T18)</f>
        <v>7</v>
      </c>
      <c r="U23" s="39">
        <f t="shared" si="15"/>
        <v>8</v>
      </c>
      <c r="V23" s="39">
        <f t="shared" si="15"/>
        <v>32</v>
      </c>
      <c r="W23" s="39">
        <f t="shared" si="15"/>
        <v>3</v>
      </c>
      <c r="X23" s="39">
        <f t="shared" si="15"/>
        <v>0</v>
      </c>
      <c r="Y23" s="39">
        <f t="shared" si="15"/>
        <v>11</v>
      </c>
      <c r="Z23" s="39">
        <f t="shared" si="15"/>
        <v>6</v>
      </c>
      <c r="AA23" s="39">
        <f t="shared" si="15"/>
        <v>3</v>
      </c>
      <c r="AB23" s="39">
        <f t="shared" si="15"/>
        <v>0</v>
      </c>
      <c r="AC23" s="39">
        <f t="shared" si="15"/>
        <v>100</v>
      </c>
      <c r="AD23" s="39">
        <f t="shared" si="15"/>
        <v>1</v>
      </c>
      <c r="AE23" s="40">
        <f t="shared" si="15"/>
        <v>92</v>
      </c>
      <c r="AF23" s="40">
        <f t="shared" si="15"/>
        <v>192</v>
      </c>
    </row>
    <row r="24" spans="2:32" ht="23.1" customHeight="1" x14ac:dyDescent="0.25">
      <c r="B24" s="23" t="s">
        <v>51</v>
      </c>
      <c r="C24" s="50">
        <v>4</v>
      </c>
      <c r="D24" s="50">
        <v>3</v>
      </c>
      <c r="E24" s="50">
        <v>0</v>
      </c>
      <c r="F24" s="50">
        <v>6</v>
      </c>
      <c r="G24" s="50">
        <v>0</v>
      </c>
      <c r="H24" s="50">
        <v>0</v>
      </c>
      <c r="I24" s="50">
        <v>3</v>
      </c>
      <c r="J24" s="50">
        <v>2</v>
      </c>
      <c r="K24" s="50">
        <v>1</v>
      </c>
      <c r="L24" s="50">
        <v>0</v>
      </c>
      <c r="M24" s="50">
        <v>21</v>
      </c>
      <c r="N24" s="50">
        <v>0</v>
      </c>
      <c r="O24" s="15">
        <f t="shared" si="0"/>
        <v>19</v>
      </c>
      <c r="P24" s="15">
        <f t="shared" si="1"/>
        <v>40</v>
      </c>
      <c r="R24" s="38" t="s">
        <v>92</v>
      </c>
      <c r="S24" s="39">
        <f>MAX(S19:S21)</f>
        <v>39</v>
      </c>
      <c r="T24" s="39">
        <f t="shared" ref="T24:AF24" si="16">MAX(T19:T21)</f>
        <v>13</v>
      </c>
      <c r="U24" s="39">
        <f t="shared" si="16"/>
        <v>13</v>
      </c>
      <c r="V24" s="39">
        <f t="shared" si="16"/>
        <v>42</v>
      </c>
      <c r="W24" s="39">
        <f t="shared" si="16"/>
        <v>2</v>
      </c>
      <c r="X24" s="39">
        <f t="shared" si="16"/>
        <v>0</v>
      </c>
      <c r="Y24" s="39">
        <f t="shared" si="16"/>
        <v>14</v>
      </c>
      <c r="Z24" s="39">
        <f t="shared" si="16"/>
        <v>5</v>
      </c>
      <c r="AA24" s="39">
        <f t="shared" si="16"/>
        <v>2</v>
      </c>
      <c r="AB24" s="39">
        <f t="shared" si="16"/>
        <v>1</v>
      </c>
      <c r="AC24" s="39">
        <f t="shared" si="16"/>
        <v>115</v>
      </c>
      <c r="AD24" s="39">
        <f t="shared" si="16"/>
        <v>0</v>
      </c>
      <c r="AE24" s="40">
        <f t="shared" si="16"/>
        <v>118</v>
      </c>
      <c r="AF24" s="40">
        <f t="shared" si="16"/>
        <v>227</v>
      </c>
    </row>
    <row r="25" spans="2:32" ht="23.1" customHeight="1" x14ac:dyDescent="0.25">
      <c r="B25" s="23" t="s">
        <v>52</v>
      </c>
      <c r="C25" s="50">
        <v>11</v>
      </c>
      <c r="D25" s="50">
        <v>1</v>
      </c>
      <c r="E25" s="50">
        <v>5</v>
      </c>
      <c r="F25" s="50">
        <v>10</v>
      </c>
      <c r="G25" s="50">
        <v>0</v>
      </c>
      <c r="H25" s="50">
        <v>0</v>
      </c>
      <c r="I25" s="50">
        <v>2</v>
      </c>
      <c r="J25" s="50">
        <v>0</v>
      </c>
      <c r="K25" s="50">
        <v>1</v>
      </c>
      <c r="L25" s="50">
        <v>0</v>
      </c>
      <c r="M25" s="50">
        <v>23</v>
      </c>
      <c r="N25" s="50">
        <v>0</v>
      </c>
      <c r="O25" s="15">
        <f t="shared" si="0"/>
        <v>30</v>
      </c>
      <c r="P25" s="15">
        <f t="shared" si="1"/>
        <v>53</v>
      </c>
      <c r="R25" s="37" t="s">
        <v>85</v>
      </c>
      <c r="S25" s="35">
        <f t="shared" ref="S25:AF25" si="17">SUM(S10:S12)</f>
        <v>81</v>
      </c>
      <c r="T25" s="16">
        <f t="shared" si="17"/>
        <v>9</v>
      </c>
      <c r="U25" s="16">
        <f t="shared" si="17"/>
        <v>19</v>
      </c>
      <c r="V25" s="16">
        <f t="shared" si="17"/>
        <v>111</v>
      </c>
      <c r="W25" s="16">
        <f t="shared" si="17"/>
        <v>4</v>
      </c>
      <c r="X25" s="16">
        <f t="shared" si="17"/>
        <v>0</v>
      </c>
      <c r="Y25" s="16">
        <f t="shared" si="17"/>
        <v>28</v>
      </c>
      <c r="Z25" s="16">
        <f t="shared" si="17"/>
        <v>6</v>
      </c>
      <c r="AA25" s="16">
        <f t="shared" si="17"/>
        <v>1</v>
      </c>
      <c r="AB25" s="16">
        <f t="shared" si="17"/>
        <v>2</v>
      </c>
      <c r="AC25" s="16">
        <f t="shared" si="17"/>
        <v>362</v>
      </c>
      <c r="AD25" s="16">
        <f t="shared" si="17"/>
        <v>0</v>
      </c>
      <c r="AE25" s="32">
        <f t="shared" si="17"/>
        <v>261</v>
      </c>
      <c r="AF25" s="32">
        <f t="shared" si="17"/>
        <v>623</v>
      </c>
    </row>
    <row r="26" spans="2:32" ht="23.1" customHeight="1" x14ac:dyDescent="0.25">
      <c r="B26" s="23" t="s">
        <v>53</v>
      </c>
      <c r="C26" s="50">
        <v>8</v>
      </c>
      <c r="D26" s="50">
        <v>1</v>
      </c>
      <c r="E26" s="50">
        <v>1</v>
      </c>
      <c r="F26" s="50">
        <v>5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18</v>
      </c>
      <c r="P26" s="15">
        <f t="shared" si="1"/>
        <v>38</v>
      </c>
      <c r="R26" s="28" t="s">
        <v>86</v>
      </c>
      <c r="S26" s="16">
        <f t="shared" ref="S26:AF26" si="18">SUM(S13:S18)</f>
        <v>171</v>
      </c>
      <c r="T26" s="16">
        <f t="shared" si="18"/>
        <v>26</v>
      </c>
      <c r="U26" s="16">
        <f t="shared" si="18"/>
        <v>40</v>
      </c>
      <c r="V26" s="16">
        <f t="shared" si="18"/>
        <v>184</v>
      </c>
      <c r="W26" s="16">
        <f t="shared" si="18"/>
        <v>4</v>
      </c>
      <c r="X26" s="16">
        <f t="shared" si="18"/>
        <v>0</v>
      </c>
      <c r="Y26" s="16">
        <f t="shared" si="18"/>
        <v>49</v>
      </c>
      <c r="Z26" s="16">
        <f t="shared" si="18"/>
        <v>18</v>
      </c>
      <c r="AA26" s="16">
        <f t="shared" si="18"/>
        <v>11</v>
      </c>
      <c r="AB26" s="16">
        <f t="shared" si="18"/>
        <v>0</v>
      </c>
      <c r="AC26" s="16">
        <f t="shared" si="18"/>
        <v>549</v>
      </c>
      <c r="AD26" s="16">
        <f t="shared" si="18"/>
        <v>1</v>
      </c>
      <c r="AE26" s="32">
        <f t="shared" si="18"/>
        <v>504</v>
      </c>
      <c r="AF26" s="32">
        <f t="shared" si="18"/>
        <v>1053</v>
      </c>
    </row>
    <row r="27" spans="2:32" ht="23.1" customHeight="1" x14ac:dyDescent="0.25">
      <c r="B27" s="23" t="s">
        <v>54</v>
      </c>
      <c r="C27" s="50">
        <v>7</v>
      </c>
      <c r="D27" s="50">
        <v>0</v>
      </c>
      <c r="E27" s="50">
        <v>2</v>
      </c>
      <c r="F27" s="50">
        <v>7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27</v>
      </c>
      <c r="N27" s="50">
        <v>0</v>
      </c>
      <c r="O27" s="15">
        <f t="shared" si="0"/>
        <v>20</v>
      </c>
      <c r="P27" s="15">
        <f t="shared" si="1"/>
        <v>47</v>
      </c>
      <c r="R27" s="29" t="s">
        <v>87</v>
      </c>
      <c r="S27" s="16">
        <f t="shared" ref="S27:AF27" si="19">SUM(S19:S21)</f>
        <v>102</v>
      </c>
      <c r="T27" s="16">
        <f t="shared" si="19"/>
        <v>23</v>
      </c>
      <c r="U27" s="16">
        <f t="shared" si="19"/>
        <v>28</v>
      </c>
      <c r="V27" s="16">
        <f t="shared" si="19"/>
        <v>110</v>
      </c>
      <c r="W27" s="16">
        <f t="shared" si="19"/>
        <v>5</v>
      </c>
      <c r="X27" s="16">
        <f t="shared" si="19"/>
        <v>0</v>
      </c>
      <c r="Y27" s="16">
        <f t="shared" si="19"/>
        <v>38</v>
      </c>
      <c r="Z27" s="16">
        <f t="shared" si="19"/>
        <v>11</v>
      </c>
      <c r="AA27" s="16">
        <f t="shared" si="19"/>
        <v>4</v>
      </c>
      <c r="AB27" s="16">
        <f t="shared" si="19"/>
        <v>1</v>
      </c>
      <c r="AC27" s="16">
        <f t="shared" si="19"/>
        <v>284</v>
      </c>
      <c r="AD27" s="16">
        <f t="shared" si="19"/>
        <v>0</v>
      </c>
      <c r="AE27" s="32">
        <f t="shared" si="19"/>
        <v>322</v>
      </c>
      <c r="AF27" s="32">
        <f t="shared" si="19"/>
        <v>606</v>
      </c>
    </row>
    <row r="28" spans="2:32" ht="23.1" customHeight="1" x14ac:dyDescent="0.25">
      <c r="B28" s="23" t="s">
        <v>55</v>
      </c>
      <c r="C28" s="50">
        <v>10</v>
      </c>
      <c r="D28" s="50">
        <v>1</v>
      </c>
      <c r="E28" s="50">
        <v>2</v>
      </c>
      <c r="F28" s="50">
        <v>11</v>
      </c>
      <c r="G28" s="50">
        <v>0</v>
      </c>
      <c r="H28" s="50">
        <v>0</v>
      </c>
      <c r="I28" s="50">
        <v>1</v>
      </c>
      <c r="J28" s="50">
        <v>4</v>
      </c>
      <c r="K28" s="50">
        <v>2</v>
      </c>
      <c r="L28" s="50">
        <v>0</v>
      </c>
      <c r="M28" s="50">
        <v>21</v>
      </c>
      <c r="N28" s="50">
        <v>0</v>
      </c>
      <c r="O28" s="15">
        <f t="shared" si="0"/>
        <v>31</v>
      </c>
      <c r="P28" s="15">
        <f t="shared" si="1"/>
        <v>52</v>
      </c>
      <c r="R28" s="5" t="s">
        <v>17</v>
      </c>
      <c r="S28" s="16">
        <f t="shared" ref="S28:AF28" si="20">SUM(S10:S21)</f>
        <v>354</v>
      </c>
      <c r="T28" s="16">
        <f t="shared" si="20"/>
        <v>58</v>
      </c>
      <c r="U28" s="16">
        <f t="shared" si="20"/>
        <v>87</v>
      </c>
      <c r="V28" s="16">
        <f t="shared" si="20"/>
        <v>405</v>
      </c>
      <c r="W28" s="16">
        <f t="shared" si="20"/>
        <v>13</v>
      </c>
      <c r="X28" s="16">
        <f t="shared" si="20"/>
        <v>0</v>
      </c>
      <c r="Y28" s="16">
        <f t="shared" si="20"/>
        <v>115</v>
      </c>
      <c r="Z28" s="16">
        <f t="shared" si="20"/>
        <v>35</v>
      </c>
      <c r="AA28" s="16">
        <f t="shared" si="20"/>
        <v>16</v>
      </c>
      <c r="AB28" s="16">
        <f t="shared" si="20"/>
        <v>3</v>
      </c>
      <c r="AC28" s="16">
        <f t="shared" si="20"/>
        <v>1195</v>
      </c>
      <c r="AD28" s="16">
        <f t="shared" si="20"/>
        <v>1</v>
      </c>
      <c r="AE28" s="32">
        <f t="shared" si="20"/>
        <v>1087</v>
      </c>
      <c r="AF28" s="32">
        <f t="shared" si="20"/>
        <v>2282</v>
      </c>
    </row>
    <row r="29" spans="2:32" ht="23.1" customHeight="1" x14ac:dyDescent="0.25">
      <c r="B29" s="23" t="s">
        <v>56</v>
      </c>
      <c r="C29" s="50">
        <v>7</v>
      </c>
      <c r="D29" s="50">
        <v>0</v>
      </c>
      <c r="E29" s="50">
        <v>1</v>
      </c>
      <c r="F29" s="50">
        <v>6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20</v>
      </c>
      <c r="N29" s="50">
        <v>0</v>
      </c>
      <c r="O29" s="15">
        <f t="shared" si="0"/>
        <v>16</v>
      </c>
      <c r="P29" s="15">
        <f t="shared" si="1"/>
        <v>36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2</v>
      </c>
      <c r="E30" s="50">
        <v>3</v>
      </c>
      <c r="F30" s="50">
        <v>9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0</v>
      </c>
      <c r="M30" s="50">
        <v>22</v>
      </c>
      <c r="N30" s="50">
        <v>0</v>
      </c>
      <c r="O30" s="15">
        <f t="shared" si="0"/>
        <v>22</v>
      </c>
      <c r="P30" s="15">
        <f t="shared" si="1"/>
        <v>44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1</v>
      </c>
      <c r="F31" s="50">
        <v>9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33</v>
      </c>
      <c r="N31" s="50">
        <v>0</v>
      </c>
      <c r="O31" s="15">
        <f t="shared" si="0"/>
        <v>17</v>
      </c>
      <c r="P31" s="15">
        <f t="shared" si="1"/>
        <v>50</v>
      </c>
    </row>
    <row r="32" spans="2:32" ht="23.1" customHeight="1" x14ac:dyDescent="0.25">
      <c r="B32" s="24" t="s">
        <v>59</v>
      </c>
      <c r="C32" s="50">
        <v>8</v>
      </c>
      <c r="D32" s="50">
        <v>0</v>
      </c>
      <c r="E32" s="50">
        <v>2</v>
      </c>
      <c r="F32" s="50">
        <v>10</v>
      </c>
      <c r="G32" s="50">
        <v>0</v>
      </c>
      <c r="H32" s="50">
        <v>0</v>
      </c>
      <c r="I32" s="50">
        <v>1</v>
      </c>
      <c r="J32" s="50">
        <v>1</v>
      </c>
      <c r="K32" s="50">
        <v>1</v>
      </c>
      <c r="L32" s="50">
        <v>0</v>
      </c>
      <c r="M32" s="50">
        <v>18</v>
      </c>
      <c r="N32" s="50">
        <v>0</v>
      </c>
      <c r="O32" s="15">
        <f t="shared" si="0"/>
        <v>23</v>
      </c>
      <c r="P32" s="15">
        <f t="shared" si="1"/>
        <v>41</v>
      </c>
    </row>
    <row r="33" spans="2:20" ht="23.1" customHeight="1" x14ac:dyDescent="0.25">
      <c r="B33" s="23" t="s">
        <v>60</v>
      </c>
      <c r="C33" s="50">
        <v>6</v>
      </c>
      <c r="D33" s="50">
        <v>1</v>
      </c>
      <c r="E33" s="50">
        <v>1</v>
      </c>
      <c r="F33" s="50">
        <v>4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16</v>
      </c>
      <c r="P33" s="15">
        <f t="shared" si="1"/>
        <v>40</v>
      </c>
    </row>
    <row r="34" spans="2:20" ht="23.1" customHeight="1" x14ac:dyDescent="0.25">
      <c r="B34" s="24" t="s">
        <v>61</v>
      </c>
      <c r="C34" s="50">
        <v>7</v>
      </c>
      <c r="D34" s="50">
        <v>4</v>
      </c>
      <c r="E34" s="50">
        <v>0</v>
      </c>
      <c r="F34" s="50">
        <v>9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17</v>
      </c>
      <c r="N34" s="50">
        <v>0</v>
      </c>
      <c r="O34" s="15">
        <f t="shared" si="0"/>
        <v>22</v>
      </c>
      <c r="P34" s="15">
        <f t="shared" si="1"/>
        <v>39</v>
      </c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2</v>
      </c>
      <c r="F35" s="50">
        <v>6</v>
      </c>
      <c r="G35" s="50">
        <v>0</v>
      </c>
      <c r="H35" s="50">
        <v>0</v>
      </c>
      <c r="I35" s="50">
        <v>4</v>
      </c>
      <c r="J35" s="50">
        <v>0</v>
      </c>
      <c r="K35" s="50">
        <v>1</v>
      </c>
      <c r="L35" s="50">
        <v>0</v>
      </c>
      <c r="M35" s="50">
        <v>25</v>
      </c>
      <c r="N35" s="50">
        <v>0</v>
      </c>
      <c r="O35" s="15">
        <f t="shared" si="0"/>
        <v>19</v>
      </c>
      <c r="P35" s="15">
        <f t="shared" si="1"/>
        <v>44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2</v>
      </c>
      <c r="F36" s="50">
        <v>9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28</v>
      </c>
      <c r="N36" s="50">
        <v>0</v>
      </c>
      <c r="O36" s="15">
        <f t="shared" si="0"/>
        <v>18</v>
      </c>
      <c r="P36" s="15">
        <f t="shared" si="1"/>
        <v>46</v>
      </c>
    </row>
    <row r="37" spans="2:20" ht="23.1" customHeight="1" x14ac:dyDescent="0.25">
      <c r="B37" s="23" t="s">
        <v>64</v>
      </c>
      <c r="C37" s="50">
        <v>11</v>
      </c>
      <c r="D37" s="50">
        <v>1</v>
      </c>
      <c r="E37" s="50">
        <v>0</v>
      </c>
      <c r="F37" s="50">
        <v>7</v>
      </c>
      <c r="G37" s="50">
        <v>0</v>
      </c>
      <c r="H37" s="50">
        <v>0</v>
      </c>
      <c r="I37" s="50">
        <v>4</v>
      </c>
      <c r="J37" s="50">
        <v>0</v>
      </c>
      <c r="K37" s="50">
        <v>1</v>
      </c>
      <c r="L37" s="50">
        <v>0</v>
      </c>
      <c r="M37" s="50">
        <v>25</v>
      </c>
      <c r="N37" s="50">
        <v>0</v>
      </c>
      <c r="O37" s="15">
        <f t="shared" si="0"/>
        <v>24</v>
      </c>
      <c r="P37" s="15">
        <f t="shared" si="1"/>
        <v>49</v>
      </c>
    </row>
    <row r="38" spans="2:20" ht="23.1" customHeight="1" x14ac:dyDescent="0.25">
      <c r="B38" s="24" t="s">
        <v>65</v>
      </c>
      <c r="C38" s="50">
        <v>5</v>
      </c>
      <c r="D38" s="50">
        <v>1</v>
      </c>
      <c r="E38" s="50">
        <v>2</v>
      </c>
      <c r="F38" s="50">
        <v>8</v>
      </c>
      <c r="G38" s="50">
        <v>0</v>
      </c>
      <c r="H38" s="50">
        <v>0</v>
      </c>
      <c r="I38" s="50">
        <v>2</v>
      </c>
      <c r="J38" s="50">
        <v>1</v>
      </c>
      <c r="K38" s="50">
        <v>1</v>
      </c>
      <c r="L38" s="50">
        <v>0</v>
      </c>
      <c r="M38" s="50">
        <v>28</v>
      </c>
      <c r="N38" s="50">
        <v>1</v>
      </c>
      <c r="O38" s="15">
        <f t="shared" si="0"/>
        <v>21</v>
      </c>
      <c r="P38" s="15">
        <f t="shared" si="1"/>
        <v>49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0</v>
      </c>
      <c r="F39" s="50">
        <v>8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20</v>
      </c>
      <c r="N39" s="50">
        <v>0</v>
      </c>
      <c r="O39" s="15">
        <f t="shared" si="0"/>
        <v>15</v>
      </c>
      <c r="P39" s="15">
        <f t="shared" si="1"/>
        <v>35</v>
      </c>
    </row>
    <row r="40" spans="2:20" ht="23.1" customHeight="1" x14ac:dyDescent="0.25">
      <c r="B40" s="24" t="s">
        <v>67</v>
      </c>
      <c r="C40" s="50">
        <v>8</v>
      </c>
      <c r="D40" s="50">
        <v>1</v>
      </c>
      <c r="E40" s="50">
        <v>2</v>
      </c>
      <c r="F40" s="50">
        <v>7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23</v>
      </c>
      <c r="N40" s="50">
        <v>0</v>
      </c>
      <c r="O40" s="15">
        <f t="shared" si="0"/>
        <v>18</v>
      </c>
      <c r="P40" s="15">
        <f t="shared" si="1"/>
        <v>41</v>
      </c>
    </row>
    <row r="41" spans="2:20" ht="23.1" customHeight="1" x14ac:dyDescent="0.25">
      <c r="B41" s="23" t="s">
        <v>68</v>
      </c>
      <c r="C41" s="50">
        <v>8</v>
      </c>
      <c r="D41" s="50">
        <v>0</v>
      </c>
      <c r="E41" s="50">
        <v>4</v>
      </c>
      <c r="F41" s="50">
        <v>7</v>
      </c>
      <c r="G41" s="50">
        <v>3</v>
      </c>
      <c r="H41" s="50">
        <v>0</v>
      </c>
      <c r="I41" s="50">
        <v>4</v>
      </c>
      <c r="J41" s="50">
        <v>2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28</v>
      </c>
      <c r="P41" s="15">
        <f t="shared" si="1"/>
        <v>39</v>
      </c>
    </row>
    <row r="42" spans="2:20" ht="23.1" customHeight="1" x14ac:dyDescent="0.25">
      <c r="B42" s="24" t="s">
        <v>69</v>
      </c>
      <c r="C42" s="50">
        <v>8</v>
      </c>
      <c r="D42" s="50">
        <v>1</v>
      </c>
      <c r="E42" s="50">
        <v>3</v>
      </c>
      <c r="F42" s="50">
        <v>10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26</v>
      </c>
      <c r="P42" s="15">
        <f t="shared" si="1"/>
        <v>47</v>
      </c>
    </row>
    <row r="43" spans="2:20" ht="23.1" customHeight="1" x14ac:dyDescent="0.25">
      <c r="B43" s="23" t="s">
        <v>70</v>
      </c>
      <c r="C43" s="50">
        <v>12</v>
      </c>
      <c r="D43" s="50">
        <v>0</v>
      </c>
      <c r="E43" s="50">
        <v>2</v>
      </c>
      <c r="F43" s="50">
        <v>9</v>
      </c>
      <c r="G43" s="50">
        <v>0</v>
      </c>
      <c r="H43" s="50">
        <v>0</v>
      </c>
      <c r="I43" s="50">
        <v>1</v>
      </c>
      <c r="J43" s="50">
        <v>1</v>
      </c>
      <c r="K43" s="50">
        <v>1</v>
      </c>
      <c r="L43" s="50">
        <v>0</v>
      </c>
      <c r="M43" s="50">
        <v>27</v>
      </c>
      <c r="N43" s="50">
        <v>0</v>
      </c>
      <c r="O43" s="15">
        <f t="shared" si="0"/>
        <v>26</v>
      </c>
      <c r="P43" s="15">
        <f t="shared" si="1"/>
        <v>53</v>
      </c>
    </row>
    <row r="44" spans="2:20" ht="23.1" customHeight="1" x14ac:dyDescent="0.25">
      <c r="B44" s="25" t="s">
        <v>71</v>
      </c>
      <c r="C44" s="50">
        <v>7</v>
      </c>
      <c r="D44" s="50">
        <v>1</v>
      </c>
      <c r="E44" s="50">
        <v>1</v>
      </c>
      <c r="F44" s="50">
        <v>6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21</v>
      </c>
      <c r="N44" s="50">
        <v>0</v>
      </c>
      <c r="O44" s="15">
        <f t="shared" si="0"/>
        <v>17</v>
      </c>
      <c r="P44" s="15">
        <f t="shared" si="1"/>
        <v>38</v>
      </c>
    </row>
    <row r="45" spans="2:20" ht="23.1" customHeight="1" x14ac:dyDescent="0.25">
      <c r="B45" s="23" t="s">
        <v>72</v>
      </c>
      <c r="C45" s="50">
        <v>11</v>
      </c>
      <c r="D45" s="50">
        <v>4</v>
      </c>
      <c r="E45" s="50">
        <v>1</v>
      </c>
      <c r="F45" s="50">
        <v>5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31</v>
      </c>
      <c r="N45" s="50">
        <v>0</v>
      </c>
      <c r="O45" s="15">
        <f t="shared" si="0"/>
        <v>23</v>
      </c>
      <c r="P45" s="15">
        <f t="shared" si="1"/>
        <v>54</v>
      </c>
    </row>
    <row r="46" spans="2:20" ht="23.1" customHeight="1" x14ac:dyDescent="0.25">
      <c r="B46" s="24" t="s">
        <v>73</v>
      </c>
      <c r="C46" s="50">
        <v>13</v>
      </c>
      <c r="D46" s="50">
        <v>1</v>
      </c>
      <c r="E46" s="50">
        <v>0</v>
      </c>
      <c r="F46" s="50">
        <v>6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23</v>
      </c>
      <c r="N46" s="50">
        <v>0</v>
      </c>
      <c r="O46" s="15">
        <f t="shared" si="0"/>
        <v>24</v>
      </c>
      <c r="P46" s="15">
        <f t="shared" si="1"/>
        <v>47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2</v>
      </c>
      <c r="E47" s="50">
        <v>2</v>
      </c>
      <c r="F47" s="50">
        <v>10</v>
      </c>
      <c r="G47" s="50">
        <v>1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22</v>
      </c>
      <c r="N47" s="50">
        <v>0</v>
      </c>
      <c r="O47" s="15">
        <f t="shared" si="0"/>
        <v>26</v>
      </c>
      <c r="P47" s="15">
        <f t="shared" si="1"/>
        <v>48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0</v>
      </c>
      <c r="E48" s="50">
        <v>2</v>
      </c>
      <c r="F48" s="50">
        <v>7</v>
      </c>
      <c r="G48" s="50">
        <v>1</v>
      </c>
      <c r="H48" s="50">
        <v>0</v>
      </c>
      <c r="I48" s="50">
        <v>5</v>
      </c>
      <c r="J48" s="50">
        <v>1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22</v>
      </c>
      <c r="P48" s="15">
        <f t="shared" si="1"/>
        <v>36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1</v>
      </c>
      <c r="E49" s="50">
        <v>1</v>
      </c>
      <c r="F49" s="50">
        <v>7</v>
      </c>
      <c r="G49" s="50">
        <v>0</v>
      </c>
      <c r="H49" s="50">
        <v>0</v>
      </c>
      <c r="I49" s="50">
        <v>3</v>
      </c>
      <c r="J49" s="50">
        <v>1</v>
      </c>
      <c r="K49" s="50">
        <v>1</v>
      </c>
      <c r="L49" s="50">
        <v>0</v>
      </c>
      <c r="M49" s="50">
        <v>26</v>
      </c>
      <c r="N49" s="50">
        <v>0</v>
      </c>
      <c r="O49" s="15">
        <f t="shared" si="0"/>
        <v>20</v>
      </c>
      <c r="P49" s="15">
        <f t="shared" si="1"/>
        <v>46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2</v>
      </c>
      <c r="E50" s="50">
        <v>2</v>
      </c>
      <c r="F50" s="50">
        <v>10</v>
      </c>
      <c r="G50" s="50">
        <v>0</v>
      </c>
      <c r="H50" s="50">
        <v>0</v>
      </c>
      <c r="I50" s="50">
        <v>3</v>
      </c>
      <c r="J50" s="50">
        <v>2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29</v>
      </c>
      <c r="P50" s="15">
        <f t="shared" si="1"/>
        <v>41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3</v>
      </c>
      <c r="E51" s="50">
        <v>2</v>
      </c>
      <c r="F51" s="50">
        <v>8</v>
      </c>
      <c r="G51" s="50">
        <v>1</v>
      </c>
      <c r="H51" s="50">
        <v>0</v>
      </c>
      <c r="I51" s="50">
        <v>1</v>
      </c>
      <c r="J51" s="50">
        <v>1</v>
      </c>
      <c r="K51" s="50">
        <v>2</v>
      </c>
      <c r="L51" s="50">
        <v>0</v>
      </c>
      <c r="M51" s="50">
        <v>18</v>
      </c>
      <c r="N51" s="50">
        <v>0</v>
      </c>
      <c r="O51" s="15">
        <f t="shared" si="0"/>
        <v>28</v>
      </c>
      <c r="P51" s="15">
        <f t="shared" si="1"/>
        <v>46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5</v>
      </c>
      <c r="E52" s="50">
        <v>4</v>
      </c>
      <c r="F52" s="50">
        <v>10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27</v>
      </c>
      <c r="N52" s="50">
        <v>0</v>
      </c>
      <c r="O52" s="15">
        <f t="shared" si="0"/>
        <v>29</v>
      </c>
      <c r="P52" s="15">
        <f t="shared" si="1"/>
        <v>56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3</v>
      </c>
      <c r="E53" s="50">
        <v>2</v>
      </c>
      <c r="F53" s="50">
        <v>10</v>
      </c>
      <c r="G53" s="50">
        <v>0</v>
      </c>
      <c r="H53" s="50">
        <v>0</v>
      </c>
      <c r="I53" s="50">
        <v>6</v>
      </c>
      <c r="J53" s="50">
        <v>0</v>
      </c>
      <c r="K53" s="50">
        <v>0</v>
      </c>
      <c r="L53" s="50">
        <v>0</v>
      </c>
      <c r="M53" s="50">
        <v>27</v>
      </c>
      <c r="N53" s="50">
        <v>0</v>
      </c>
      <c r="O53" s="15">
        <f t="shared" si="0"/>
        <v>32</v>
      </c>
      <c r="P53" s="15">
        <f t="shared" si="1"/>
        <v>59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1</v>
      </c>
      <c r="E54" s="50">
        <v>4</v>
      </c>
      <c r="F54" s="50">
        <v>7</v>
      </c>
      <c r="G54" s="50">
        <v>0</v>
      </c>
      <c r="H54" s="50">
        <v>0</v>
      </c>
      <c r="I54" s="50">
        <v>4</v>
      </c>
      <c r="J54" s="50">
        <v>3</v>
      </c>
      <c r="K54" s="50">
        <v>1</v>
      </c>
      <c r="L54" s="50">
        <v>0</v>
      </c>
      <c r="M54" s="50">
        <v>27</v>
      </c>
      <c r="N54" s="50">
        <v>0</v>
      </c>
      <c r="O54" s="15">
        <f t="shared" si="0"/>
        <v>29</v>
      </c>
      <c r="P54" s="15">
        <f t="shared" si="1"/>
        <v>56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2</v>
      </c>
      <c r="E55" s="50">
        <v>2</v>
      </c>
      <c r="F55" s="50">
        <v>14</v>
      </c>
      <c r="G55" s="50">
        <v>2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27</v>
      </c>
      <c r="N55" s="50">
        <v>0</v>
      </c>
      <c r="O55" s="15">
        <f t="shared" si="0"/>
        <v>32</v>
      </c>
      <c r="P55" s="15">
        <f t="shared" si="1"/>
        <v>59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2</v>
      </c>
      <c r="E56" s="50">
        <v>2</v>
      </c>
      <c r="F56" s="50">
        <v>12</v>
      </c>
      <c r="G56" s="50">
        <v>0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40</v>
      </c>
      <c r="N56" s="50">
        <v>0</v>
      </c>
      <c r="O56" s="15">
        <f t="shared" si="0"/>
        <v>28</v>
      </c>
      <c r="P56" s="15">
        <f t="shared" si="1"/>
        <v>68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1</v>
      </c>
      <c r="E57" s="50">
        <v>5</v>
      </c>
      <c r="F57" s="50">
        <v>9</v>
      </c>
      <c r="G57" s="50">
        <v>0</v>
      </c>
      <c r="H57" s="50">
        <v>0</v>
      </c>
      <c r="I57" s="50">
        <v>4</v>
      </c>
      <c r="J57" s="50">
        <v>0</v>
      </c>
      <c r="K57" s="50">
        <v>0</v>
      </c>
      <c r="L57" s="50">
        <v>1</v>
      </c>
      <c r="M57" s="50">
        <v>21</v>
      </c>
      <c r="N57" s="50">
        <v>0</v>
      </c>
      <c r="O57" s="15">
        <f t="shared" si="0"/>
        <v>23</v>
      </c>
      <c r="P57" s="15">
        <f t="shared" si="1"/>
        <v>44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354</v>
      </c>
      <c r="D58" s="16">
        <f t="shared" si="21"/>
        <v>58</v>
      </c>
      <c r="E58" s="16">
        <f t="shared" si="21"/>
        <v>87</v>
      </c>
      <c r="F58" s="16">
        <f t="shared" si="21"/>
        <v>405</v>
      </c>
      <c r="G58" s="16">
        <f t="shared" si="21"/>
        <v>13</v>
      </c>
      <c r="H58" s="16">
        <f t="shared" si="21"/>
        <v>0</v>
      </c>
      <c r="I58" s="16">
        <f t="shared" si="21"/>
        <v>115</v>
      </c>
      <c r="J58" s="16">
        <f t="shared" si="21"/>
        <v>35</v>
      </c>
      <c r="K58" s="16">
        <f t="shared" si="21"/>
        <v>16</v>
      </c>
      <c r="L58" s="16">
        <f t="shared" si="21"/>
        <v>3</v>
      </c>
      <c r="M58" s="16">
        <f t="shared" si="21"/>
        <v>1195</v>
      </c>
      <c r="N58" s="16">
        <f t="shared" si="21"/>
        <v>1</v>
      </c>
      <c r="O58" s="16">
        <f t="shared" si="21"/>
        <v>1087</v>
      </c>
      <c r="P58" s="16">
        <f t="shared" si="21"/>
        <v>2282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0.15512708150744961</v>
      </c>
      <c r="D59" s="43">
        <f t="shared" si="22"/>
        <v>2.5416301489921123E-2</v>
      </c>
      <c r="E59" s="43">
        <f t="shared" si="22"/>
        <v>3.812445223488168E-2</v>
      </c>
      <c r="F59" s="43">
        <f t="shared" si="22"/>
        <v>0.17747589833479405</v>
      </c>
      <c r="G59" s="43">
        <f t="shared" si="22"/>
        <v>5.6967572304995615E-3</v>
      </c>
      <c r="H59" s="43">
        <f t="shared" si="22"/>
        <v>0</v>
      </c>
      <c r="I59" s="43">
        <f t="shared" si="22"/>
        <v>5.0394390885188434E-2</v>
      </c>
      <c r="J59" s="43">
        <f t="shared" si="22"/>
        <v>1.5337423312883436E-2</v>
      </c>
      <c r="K59" s="43">
        <f t="shared" si="22"/>
        <v>7.0113935144609993E-3</v>
      </c>
      <c r="L59" s="43">
        <f t="shared" si="22"/>
        <v>1.3146362839614374E-3</v>
      </c>
      <c r="M59" s="43">
        <f t="shared" si="22"/>
        <v>0.52366345311130591</v>
      </c>
      <c r="N59" s="43">
        <f t="shared" si="22"/>
        <v>4.3821209465381246E-4</v>
      </c>
      <c r="R59" s="8"/>
      <c r="T59"/>
    </row>
    <row r="60" spans="2:20" ht="23.1" customHeight="1" x14ac:dyDescent="0.25">
      <c r="B60" s="42" t="s">
        <v>94</v>
      </c>
      <c r="C60" s="44">
        <f>C58/$O$58</f>
        <v>0.32566697332106714</v>
      </c>
      <c r="D60" s="44">
        <f t="shared" ref="D60:N60" si="23">D58/$O$58</f>
        <v>5.3357865685372582E-2</v>
      </c>
      <c r="E60" s="44">
        <f t="shared" si="23"/>
        <v>8.0036798528058881E-2</v>
      </c>
      <c r="F60" s="44">
        <f t="shared" si="23"/>
        <v>0.37258509659613614</v>
      </c>
      <c r="G60" s="44">
        <f t="shared" si="23"/>
        <v>1.1959521619135235E-2</v>
      </c>
      <c r="H60" s="44">
        <f t="shared" si="23"/>
        <v>0</v>
      </c>
      <c r="I60" s="44">
        <f t="shared" si="23"/>
        <v>0.10579576816927323</v>
      </c>
      <c r="J60" s="44">
        <f t="shared" si="23"/>
        <v>3.219871205151794E-2</v>
      </c>
      <c r="K60" s="44">
        <f t="shared" si="23"/>
        <v>1.4719411223551058E-2</v>
      </c>
      <c r="L60" s="44">
        <f t="shared" si="23"/>
        <v>2.7598896044158236E-3</v>
      </c>
      <c r="M60" s="44"/>
      <c r="N60" s="44">
        <f t="shared" si="23"/>
        <v>9.1996320147194111E-4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C31" sqref="C3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170</v>
      </c>
      <c r="E5" s="3"/>
      <c r="F5" s="41" t="s">
        <v>1</v>
      </c>
      <c r="G5" s="55" t="str">
        <f>'29.10 MUKONO-KALAGI'!G5:H5</f>
        <v>KABEMBE</v>
      </c>
      <c r="H5" s="56"/>
      <c r="I5" s="14"/>
      <c r="J5" s="2" t="s">
        <v>5</v>
      </c>
      <c r="K5" s="55" t="str">
        <f>'29.10 MUKONO-KALAGI'!K5:L5</f>
        <v>RACHEAL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MUKONO-KALAGI'!D6:E6</f>
        <v>MUKONO</v>
      </c>
      <c r="E6" s="56"/>
      <c r="F6" s="2" t="s">
        <v>2</v>
      </c>
      <c r="G6" s="55" t="str">
        <f>'29.10 MUKONO-KALAGI'!G6:H6</f>
        <v>KALAGI</v>
      </c>
      <c r="H6" s="56"/>
      <c r="J6" s="2" t="s">
        <v>21</v>
      </c>
      <c r="K6" s="55" t="str">
        <f>'29.10 MUKONO-KALAGI'!K6:L6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1</v>
      </c>
      <c r="F10" s="50">
        <v>11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19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38</v>
      </c>
      <c r="R10" s="1" t="s">
        <v>6</v>
      </c>
      <c r="S10" s="17">
        <f t="shared" ref="S10:AF10" si="2">SUM(C10:C13)</f>
        <v>22</v>
      </c>
      <c r="T10" s="17">
        <f t="shared" si="2"/>
        <v>7</v>
      </c>
      <c r="U10" s="17">
        <f t="shared" si="2"/>
        <v>8</v>
      </c>
      <c r="V10" s="17">
        <f t="shared" si="2"/>
        <v>40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0</v>
      </c>
      <c r="AA10" s="17">
        <f t="shared" si="2"/>
        <v>1</v>
      </c>
      <c r="AB10" s="17">
        <f t="shared" si="2"/>
        <v>1</v>
      </c>
      <c r="AC10" s="17">
        <f t="shared" si="2"/>
        <v>66</v>
      </c>
      <c r="AD10" s="17">
        <f t="shared" si="2"/>
        <v>0</v>
      </c>
      <c r="AE10" s="31">
        <f t="shared" si="2"/>
        <v>87</v>
      </c>
      <c r="AF10" s="31">
        <f t="shared" si="2"/>
        <v>153</v>
      </c>
    </row>
    <row r="11" spans="2:32" s="6" customFormat="1" ht="23.1" customHeight="1" x14ac:dyDescent="0.25">
      <c r="B11" s="23" t="s">
        <v>38</v>
      </c>
      <c r="C11" s="50">
        <v>16</v>
      </c>
      <c r="D11" s="50">
        <v>2</v>
      </c>
      <c r="E11" s="50">
        <v>2</v>
      </c>
      <c r="F11" s="50">
        <v>14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1</v>
      </c>
      <c r="M11" s="50">
        <v>19</v>
      </c>
      <c r="N11" s="50">
        <v>0</v>
      </c>
      <c r="O11" s="15">
        <f t="shared" si="0"/>
        <v>37</v>
      </c>
      <c r="P11" s="15">
        <f t="shared" si="1"/>
        <v>56</v>
      </c>
      <c r="R11" s="1" t="s">
        <v>7</v>
      </c>
      <c r="S11" s="17">
        <f t="shared" ref="S11:AF11" si="3">SUM(C14:C17)</f>
        <v>23</v>
      </c>
      <c r="T11" s="17">
        <f t="shared" si="3"/>
        <v>10</v>
      </c>
      <c r="U11" s="17">
        <f t="shared" si="3"/>
        <v>7</v>
      </c>
      <c r="V11" s="17">
        <f t="shared" si="3"/>
        <v>44</v>
      </c>
      <c r="W11" s="17">
        <f t="shared" si="3"/>
        <v>0</v>
      </c>
      <c r="X11" s="17">
        <f t="shared" si="3"/>
        <v>0</v>
      </c>
      <c r="Y11" s="17">
        <f t="shared" si="3"/>
        <v>13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75</v>
      </c>
      <c r="AD11" s="17">
        <f t="shared" si="3"/>
        <v>0</v>
      </c>
      <c r="AE11" s="31">
        <f t="shared" si="3"/>
        <v>99</v>
      </c>
      <c r="AF11" s="31">
        <f t="shared" si="3"/>
        <v>174</v>
      </c>
    </row>
    <row r="12" spans="2:32" ht="23.1" customHeight="1" x14ac:dyDescent="0.25">
      <c r="B12" s="23" t="s">
        <v>39</v>
      </c>
      <c r="C12" s="50">
        <v>1</v>
      </c>
      <c r="D12" s="50">
        <v>2</v>
      </c>
      <c r="E12" s="50">
        <v>2</v>
      </c>
      <c r="F12" s="50">
        <v>6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11</v>
      </c>
      <c r="P12" s="15">
        <f t="shared" si="1"/>
        <v>19</v>
      </c>
      <c r="R12" s="1" t="s">
        <v>8</v>
      </c>
      <c r="S12" s="17">
        <f t="shared" ref="S12:AF12" si="4">SUM(C18:C21)</f>
        <v>26</v>
      </c>
      <c r="T12" s="17">
        <f t="shared" si="4"/>
        <v>12</v>
      </c>
      <c r="U12" s="17">
        <f t="shared" si="4"/>
        <v>8</v>
      </c>
      <c r="V12" s="17">
        <f t="shared" si="4"/>
        <v>31</v>
      </c>
      <c r="W12" s="17">
        <f t="shared" si="4"/>
        <v>0</v>
      </c>
      <c r="X12" s="17">
        <f t="shared" si="4"/>
        <v>0</v>
      </c>
      <c r="Y12" s="17">
        <f t="shared" si="4"/>
        <v>14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70</v>
      </c>
      <c r="AD12" s="17">
        <f t="shared" si="4"/>
        <v>0</v>
      </c>
      <c r="AE12" s="31">
        <f t="shared" si="4"/>
        <v>92</v>
      </c>
      <c r="AF12" s="31">
        <f t="shared" si="4"/>
        <v>162</v>
      </c>
    </row>
    <row r="13" spans="2:32" ht="23.1" customHeight="1" x14ac:dyDescent="0.25">
      <c r="B13" s="23" t="s">
        <v>40</v>
      </c>
      <c r="C13" s="50">
        <v>2</v>
      </c>
      <c r="D13" s="50">
        <v>2</v>
      </c>
      <c r="E13" s="50">
        <v>3</v>
      </c>
      <c r="F13" s="50">
        <v>9</v>
      </c>
      <c r="G13" s="50">
        <v>0</v>
      </c>
      <c r="H13" s="50">
        <v>0</v>
      </c>
      <c r="I13" s="50">
        <v>3</v>
      </c>
      <c r="J13" s="50">
        <v>0</v>
      </c>
      <c r="K13" s="50">
        <v>1</v>
      </c>
      <c r="L13" s="50">
        <v>0</v>
      </c>
      <c r="M13" s="50">
        <v>20</v>
      </c>
      <c r="N13" s="50">
        <v>0</v>
      </c>
      <c r="O13" s="15">
        <f t="shared" si="0"/>
        <v>20</v>
      </c>
      <c r="P13" s="15">
        <f t="shared" si="1"/>
        <v>40</v>
      </c>
      <c r="R13" s="1" t="s">
        <v>9</v>
      </c>
      <c r="S13" s="17">
        <f t="shared" ref="S13:AF13" si="5">SUM(C22:C25)</f>
        <v>37</v>
      </c>
      <c r="T13" s="17">
        <f t="shared" si="5"/>
        <v>6</v>
      </c>
      <c r="U13" s="17">
        <f t="shared" si="5"/>
        <v>10</v>
      </c>
      <c r="V13" s="17">
        <f t="shared" si="5"/>
        <v>33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3</v>
      </c>
      <c r="AA13" s="17">
        <f t="shared" si="5"/>
        <v>1</v>
      </c>
      <c r="AB13" s="17">
        <f t="shared" si="5"/>
        <v>1</v>
      </c>
      <c r="AC13" s="17">
        <f t="shared" si="5"/>
        <v>70</v>
      </c>
      <c r="AD13" s="17">
        <f t="shared" si="5"/>
        <v>0</v>
      </c>
      <c r="AE13" s="31">
        <f t="shared" si="5"/>
        <v>101</v>
      </c>
      <c r="AF13" s="31">
        <f t="shared" si="5"/>
        <v>171</v>
      </c>
    </row>
    <row r="14" spans="2:32" ht="23.1" customHeight="1" x14ac:dyDescent="0.25">
      <c r="B14" s="23" t="s">
        <v>41</v>
      </c>
      <c r="C14" s="50">
        <v>8</v>
      </c>
      <c r="D14" s="50">
        <v>0</v>
      </c>
      <c r="E14" s="50">
        <v>1</v>
      </c>
      <c r="F14" s="50">
        <v>10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20</v>
      </c>
      <c r="N14" s="50">
        <v>0</v>
      </c>
      <c r="O14" s="15">
        <f t="shared" si="0"/>
        <v>23</v>
      </c>
      <c r="P14" s="15">
        <f t="shared" si="1"/>
        <v>43</v>
      </c>
      <c r="R14" s="1" t="s">
        <v>10</v>
      </c>
      <c r="S14" s="17">
        <f t="shared" ref="S14:AF14" si="6">SUM(C26:C29)</f>
        <v>22</v>
      </c>
      <c r="T14" s="17">
        <f t="shared" si="6"/>
        <v>11</v>
      </c>
      <c r="U14" s="17">
        <f t="shared" si="6"/>
        <v>10</v>
      </c>
      <c r="V14" s="17">
        <f t="shared" si="6"/>
        <v>37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6</v>
      </c>
      <c r="AA14" s="17">
        <f t="shared" si="6"/>
        <v>1</v>
      </c>
      <c r="AB14" s="17">
        <f t="shared" si="6"/>
        <v>1</v>
      </c>
      <c r="AC14" s="17">
        <f t="shared" si="6"/>
        <v>71</v>
      </c>
      <c r="AD14" s="17">
        <f t="shared" si="6"/>
        <v>0</v>
      </c>
      <c r="AE14" s="31">
        <f t="shared" si="6"/>
        <v>99</v>
      </c>
      <c r="AF14" s="31">
        <f t="shared" si="6"/>
        <v>170</v>
      </c>
    </row>
    <row r="15" spans="2:32" ht="23.1" customHeight="1" x14ac:dyDescent="0.25">
      <c r="B15" s="23" t="s">
        <v>42</v>
      </c>
      <c r="C15" s="50">
        <v>4</v>
      </c>
      <c r="D15" s="50">
        <v>6</v>
      </c>
      <c r="E15" s="50">
        <v>0</v>
      </c>
      <c r="F15" s="50">
        <v>13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19</v>
      </c>
      <c r="N15" s="50">
        <v>0</v>
      </c>
      <c r="O15" s="15">
        <f t="shared" si="0"/>
        <v>26</v>
      </c>
      <c r="P15" s="15">
        <f t="shared" si="1"/>
        <v>45</v>
      </c>
      <c r="R15" s="1" t="s">
        <v>11</v>
      </c>
      <c r="S15" s="17">
        <f t="shared" ref="S15:AF15" si="7">SUM(C30:C33)</f>
        <v>24</v>
      </c>
      <c r="T15" s="17">
        <f t="shared" si="7"/>
        <v>10</v>
      </c>
      <c r="U15" s="17">
        <f t="shared" si="7"/>
        <v>9</v>
      </c>
      <c r="V15" s="17">
        <f t="shared" si="7"/>
        <v>34</v>
      </c>
      <c r="W15" s="17">
        <f t="shared" si="7"/>
        <v>1</v>
      </c>
      <c r="X15" s="17">
        <f t="shared" si="7"/>
        <v>0</v>
      </c>
      <c r="Y15" s="17">
        <f t="shared" si="7"/>
        <v>12</v>
      </c>
      <c r="Z15" s="17">
        <f t="shared" si="7"/>
        <v>3</v>
      </c>
      <c r="AA15" s="17">
        <f t="shared" si="7"/>
        <v>1</v>
      </c>
      <c r="AB15" s="17">
        <f t="shared" si="7"/>
        <v>1</v>
      </c>
      <c r="AC15" s="17">
        <f t="shared" si="7"/>
        <v>53</v>
      </c>
      <c r="AD15" s="17">
        <f t="shared" si="7"/>
        <v>0</v>
      </c>
      <c r="AE15" s="31">
        <f t="shared" si="7"/>
        <v>95</v>
      </c>
      <c r="AF15" s="31">
        <f t="shared" si="7"/>
        <v>148</v>
      </c>
    </row>
    <row r="16" spans="2:32" ht="23.1" customHeight="1" x14ac:dyDescent="0.25">
      <c r="B16" s="23" t="s">
        <v>43</v>
      </c>
      <c r="C16" s="50">
        <v>5</v>
      </c>
      <c r="D16" s="50">
        <v>1</v>
      </c>
      <c r="E16" s="50">
        <v>2</v>
      </c>
      <c r="F16" s="50">
        <v>9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1</v>
      </c>
      <c r="M16" s="50">
        <v>20</v>
      </c>
      <c r="N16" s="50">
        <v>0</v>
      </c>
      <c r="O16" s="15">
        <f t="shared" si="0"/>
        <v>22</v>
      </c>
      <c r="P16" s="15">
        <f t="shared" si="1"/>
        <v>42</v>
      </c>
      <c r="R16" s="1" t="s">
        <v>12</v>
      </c>
      <c r="S16" s="17">
        <f t="shared" ref="S16:AF16" si="8">SUM(C34:C37)</f>
        <v>33</v>
      </c>
      <c r="T16" s="17">
        <f t="shared" si="8"/>
        <v>11</v>
      </c>
      <c r="U16" s="17">
        <f t="shared" si="8"/>
        <v>10</v>
      </c>
      <c r="V16" s="17">
        <f t="shared" si="8"/>
        <v>38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1</v>
      </c>
      <c r="AA16" s="17">
        <f t="shared" si="8"/>
        <v>3</v>
      </c>
      <c r="AB16" s="17">
        <f t="shared" si="8"/>
        <v>2</v>
      </c>
      <c r="AC16" s="17">
        <f t="shared" si="8"/>
        <v>84</v>
      </c>
      <c r="AD16" s="17">
        <f t="shared" si="8"/>
        <v>0</v>
      </c>
      <c r="AE16" s="31">
        <f t="shared" si="8"/>
        <v>111</v>
      </c>
      <c r="AF16" s="31">
        <f t="shared" si="8"/>
        <v>195</v>
      </c>
    </row>
    <row r="17" spans="2:32" ht="23.1" customHeight="1" x14ac:dyDescent="0.25">
      <c r="B17" s="23" t="s">
        <v>44</v>
      </c>
      <c r="C17" s="50">
        <v>6</v>
      </c>
      <c r="D17" s="50">
        <v>3</v>
      </c>
      <c r="E17" s="50">
        <v>4</v>
      </c>
      <c r="F17" s="50">
        <v>12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16</v>
      </c>
      <c r="N17" s="50">
        <v>0</v>
      </c>
      <c r="O17" s="15">
        <f t="shared" si="0"/>
        <v>28</v>
      </c>
      <c r="P17" s="15">
        <f t="shared" si="1"/>
        <v>44</v>
      </c>
      <c r="R17" s="1" t="s">
        <v>13</v>
      </c>
      <c r="S17" s="17">
        <f t="shared" ref="S17:AF17" si="9">SUM(C38:C41)</f>
        <v>18</v>
      </c>
      <c r="T17" s="17">
        <f t="shared" si="9"/>
        <v>12</v>
      </c>
      <c r="U17" s="17">
        <f t="shared" si="9"/>
        <v>7</v>
      </c>
      <c r="V17" s="17">
        <f t="shared" si="9"/>
        <v>39</v>
      </c>
      <c r="W17" s="17">
        <f t="shared" si="9"/>
        <v>1</v>
      </c>
      <c r="X17" s="17">
        <f t="shared" si="9"/>
        <v>0</v>
      </c>
      <c r="Y17" s="17">
        <f t="shared" si="9"/>
        <v>14</v>
      </c>
      <c r="Z17" s="17">
        <f t="shared" si="9"/>
        <v>0</v>
      </c>
      <c r="AA17" s="17">
        <f t="shared" si="9"/>
        <v>5</v>
      </c>
      <c r="AB17" s="17">
        <f t="shared" si="9"/>
        <v>2</v>
      </c>
      <c r="AC17" s="17">
        <f t="shared" si="9"/>
        <v>65</v>
      </c>
      <c r="AD17" s="17">
        <f t="shared" si="9"/>
        <v>0</v>
      </c>
      <c r="AE17" s="31">
        <f t="shared" si="9"/>
        <v>98</v>
      </c>
      <c r="AF17" s="31">
        <f t="shared" si="9"/>
        <v>163</v>
      </c>
    </row>
    <row r="18" spans="2:32" ht="23.1" customHeight="1" x14ac:dyDescent="0.25">
      <c r="B18" s="23" t="s">
        <v>45</v>
      </c>
      <c r="C18" s="50">
        <v>6</v>
      </c>
      <c r="D18" s="50">
        <v>7</v>
      </c>
      <c r="E18" s="50">
        <v>0</v>
      </c>
      <c r="F18" s="50">
        <v>10</v>
      </c>
      <c r="G18" s="50">
        <v>0</v>
      </c>
      <c r="H18" s="50">
        <v>0</v>
      </c>
      <c r="I18" s="50">
        <v>5</v>
      </c>
      <c r="J18" s="50">
        <v>0</v>
      </c>
      <c r="K18" s="50">
        <v>1</v>
      </c>
      <c r="L18" s="50">
        <v>0</v>
      </c>
      <c r="M18" s="50">
        <v>17</v>
      </c>
      <c r="N18" s="50">
        <v>0</v>
      </c>
      <c r="O18" s="15">
        <f t="shared" si="0"/>
        <v>29</v>
      </c>
      <c r="P18" s="15">
        <f t="shared" si="1"/>
        <v>46</v>
      </c>
      <c r="R18" s="1" t="s">
        <v>14</v>
      </c>
      <c r="S18" s="17">
        <f t="shared" ref="S18:AF18" si="10">SUM(C42:C45)</f>
        <v>25</v>
      </c>
      <c r="T18" s="17">
        <f t="shared" si="10"/>
        <v>7</v>
      </c>
      <c r="U18" s="17">
        <f t="shared" si="10"/>
        <v>8</v>
      </c>
      <c r="V18" s="17">
        <f t="shared" si="10"/>
        <v>39</v>
      </c>
      <c r="W18" s="17">
        <f t="shared" si="10"/>
        <v>1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97</v>
      </c>
      <c r="AD18" s="17">
        <f t="shared" si="10"/>
        <v>0</v>
      </c>
      <c r="AE18" s="31">
        <f t="shared" si="10"/>
        <v>88</v>
      </c>
      <c r="AF18" s="31">
        <f t="shared" si="10"/>
        <v>185</v>
      </c>
    </row>
    <row r="19" spans="2:32" ht="23.1" customHeight="1" x14ac:dyDescent="0.25">
      <c r="B19" s="23" t="s">
        <v>46</v>
      </c>
      <c r="C19" s="50">
        <v>10</v>
      </c>
      <c r="D19" s="50">
        <v>2</v>
      </c>
      <c r="E19" s="50">
        <v>3</v>
      </c>
      <c r="F19" s="50">
        <v>7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25</v>
      </c>
      <c r="N19" s="50">
        <v>0</v>
      </c>
      <c r="O19" s="15">
        <f t="shared" si="0"/>
        <v>24</v>
      </c>
      <c r="P19" s="15">
        <f t="shared" si="1"/>
        <v>49</v>
      </c>
      <c r="R19" s="1" t="s">
        <v>15</v>
      </c>
      <c r="S19" s="17">
        <f t="shared" ref="S19:AF19" si="11">SUM(C46:C49)</f>
        <v>34</v>
      </c>
      <c r="T19" s="17">
        <f t="shared" si="11"/>
        <v>13</v>
      </c>
      <c r="U19" s="17">
        <f t="shared" si="11"/>
        <v>7</v>
      </c>
      <c r="V19" s="17">
        <f t="shared" si="11"/>
        <v>39</v>
      </c>
      <c r="W19" s="17">
        <f t="shared" si="11"/>
        <v>1</v>
      </c>
      <c r="X19" s="17">
        <f t="shared" si="11"/>
        <v>0</v>
      </c>
      <c r="Y19" s="17">
        <f t="shared" si="11"/>
        <v>11</v>
      </c>
      <c r="Z19" s="17">
        <f t="shared" si="11"/>
        <v>1</v>
      </c>
      <c r="AA19" s="17">
        <f t="shared" si="11"/>
        <v>2</v>
      </c>
      <c r="AB19" s="17">
        <f t="shared" si="11"/>
        <v>1</v>
      </c>
      <c r="AC19" s="17">
        <f t="shared" si="11"/>
        <v>112</v>
      </c>
      <c r="AD19" s="17">
        <f t="shared" si="11"/>
        <v>0</v>
      </c>
      <c r="AE19" s="31">
        <f t="shared" si="11"/>
        <v>109</v>
      </c>
      <c r="AF19" s="31">
        <f t="shared" si="11"/>
        <v>221</v>
      </c>
    </row>
    <row r="20" spans="2:32" ht="23.1" customHeight="1" x14ac:dyDescent="0.25">
      <c r="B20" s="23" t="s">
        <v>47</v>
      </c>
      <c r="C20" s="50">
        <v>6</v>
      </c>
      <c r="D20" s="50">
        <v>1</v>
      </c>
      <c r="E20" s="50">
        <v>3</v>
      </c>
      <c r="F20" s="50">
        <v>6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20</v>
      </c>
      <c r="P20" s="15">
        <f t="shared" si="1"/>
        <v>27</v>
      </c>
      <c r="R20" s="1" t="s">
        <v>16</v>
      </c>
      <c r="S20" s="17">
        <f t="shared" ref="S20:AF20" si="12">SUM(C50:C53)</f>
        <v>30</v>
      </c>
      <c r="T20" s="17">
        <f t="shared" si="12"/>
        <v>11</v>
      </c>
      <c r="U20" s="17">
        <f t="shared" si="12"/>
        <v>10</v>
      </c>
      <c r="V20" s="17">
        <f t="shared" si="12"/>
        <v>44</v>
      </c>
      <c r="W20" s="17">
        <f t="shared" si="12"/>
        <v>4</v>
      </c>
      <c r="X20" s="17">
        <f t="shared" si="12"/>
        <v>0</v>
      </c>
      <c r="Y20" s="17">
        <f t="shared" si="12"/>
        <v>12</v>
      </c>
      <c r="Z20" s="17">
        <f t="shared" si="12"/>
        <v>0</v>
      </c>
      <c r="AA20" s="17">
        <f t="shared" si="12"/>
        <v>2</v>
      </c>
      <c r="AB20" s="17">
        <f t="shared" si="12"/>
        <v>0</v>
      </c>
      <c r="AC20" s="17">
        <f t="shared" si="12"/>
        <v>88</v>
      </c>
      <c r="AD20" s="17">
        <f t="shared" si="12"/>
        <v>0</v>
      </c>
      <c r="AE20" s="31">
        <f t="shared" si="12"/>
        <v>113</v>
      </c>
      <c r="AF20" s="31">
        <f t="shared" si="12"/>
        <v>201</v>
      </c>
    </row>
    <row r="21" spans="2:32" ht="23.1" customHeight="1" x14ac:dyDescent="0.25">
      <c r="B21" s="23" t="s">
        <v>48</v>
      </c>
      <c r="C21" s="50">
        <v>4</v>
      </c>
      <c r="D21" s="50">
        <v>2</v>
      </c>
      <c r="E21" s="50">
        <v>2</v>
      </c>
      <c r="F21" s="50">
        <v>8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21</v>
      </c>
      <c r="N21" s="50">
        <v>0</v>
      </c>
      <c r="O21" s="15">
        <f t="shared" si="0"/>
        <v>19</v>
      </c>
      <c r="P21" s="15">
        <f t="shared" si="1"/>
        <v>40</v>
      </c>
      <c r="R21" s="36" t="s">
        <v>20</v>
      </c>
      <c r="S21" s="34">
        <f t="shared" ref="S21:AF21" si="13">SUM(C54:C57)</f>
        <v>26</v>
      </c>
      <c r="T21" s="17">
        <f t="shared" si="13"/>
        <v>7</v>
      </c>
      <c r="U21" s="17">
        <f t="shared" si="13"/>
        <v>7</v>
      </c>
      <c r="V21" s="17">
        <f t="shared" si="13"/>
        <v>37</v>
      </c>
      <c r="W21" s="17">
        <f t="shared" si="13"/>
        <v>2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96</v>
      </c>
      <c r="AD21" s="17">
        <f t="shared" si="13"/>
        <v>0</v>
      </c>
      <c r="AE21" s="31">
        <f t="shared" si="13"/>
        <v>83</v>
      </c>
      <c r="AF21" s="31">
        <f t="shared" si="13"/>
        <v>179</v>
      </c>
    </row>
    <row r="22" spans="2:32" ht="23.1" customHeight="1" x14ac:dyDescent="0.25">
      <c r="B22" s="23" t="s">
        <v>49</v>
      </c>
      <c r="C22" s="50">
        <v>8</v>
      </c>
      <c r="D22" s="50">
        <v>1</v>
      </c>
      <c r="E22" s="50">
        <v>2</v>
      </c>
      <c r="F22" s="50">
        <v>6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22</v>
      </c>
      <c r="N22" s="50">
        <v>0</v>
      </c>
      <c r="O22" s="15">
        <f t="shared" si="0"/>
        <v>18</v>
      </c>
      <c r="P22" s="15">
        <f t="shared" si="1"/>
        <v>40</v>
      </c>
      <c r="R22" s="38" t="s">
        <v>90</v>
      </c>
      <c r="S22" s="39">
        <f>MAX(S10:S12)</f>
        <v>26</v>
      </c>
      <c r="T22" s="39">
        <f t="shared" ref="T22:AF22" si="14">MAX(T10:T12)</f>
        <v>12</v>
      </c>
      <c r="U22" s="39">
        <f t="shared" si="14"/>
        <v>8</v>
      </c>
      <c r="V22" s="39">
        <f t="shared" si="14"/>
        <v>44</v>
      </c>
      <c r="W22" s="39">
        <f t="shared" si="14"/>
        <v>0</v>
      </c>
      <c r="X22" s="39">
        <f t="shared" si="14"/>
        <v>0</v>
      </c>
      <c r="Y22" s="39">
        <f t="shared" si="14"/>
        <v>14</v>
      </c>
      <c r="Z22" s="39">
        <f t="shared" si="14"/>
        <v>1</v>
      </c>
      <c r="AA22" s="39">
        <f t="shared" si="14"/>
        <v>1</v>
      </c>
      <c r="AB22" s="39">
        <f t="shared" si="14"/>
        <v>1</v>
      </c>
      <c r="AC22" s="39">
        <f t="shared" si="14"/>
        <v>75</v>
      </c>
      <c r="AD22" s="39">
        <f t="shared" si="14"/>
        <v>0</v>
      </c>
      <c r="AE22" s="40">
        <f t="shared" si="14"/>
        <v>99</v>
      </c>
      <c r="AF22" s="40">
        <f t="shared" si="14"/>
        <v>174</v>
      </c>
    </row>
    <row r="23" spans="2:32" ht="23.1" customHeight="1" x14ac:dyDescent="0.25">
      <c r="B23" s="23" t="s">
        <v>50</v>
      </c>
      <c r="C23" s="50">
        <v>12</v>
      </c>
      <c r="D23" s="50">
        <v>1</v>
      </c>
      <c r="E23" s="50">
        <v>1</v>
      </c>
      <c r="F23" s="50">
        <v>11</v>
      </c>
      <c r="G23" s="50">
        <v>0</v>
      </c>
      <c r="H23" s="50">
        <v>0</v>
      </c>
      <c r="I23" s="50">
        <v>5</v>
      </c>
      <c r="J23" s="50">
        <v>2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32</v>
      </c>
      <c r="P23" s="15">
        <f t="shared" si="1"/>
        <v>46</v>
      </c>
      <c r="R23" s="38" t="s">
        <v>91</v>
      </c>
      <c r="S23" s="39">
        <f>MAX(S13:S18)</f>
        <v>37</v>
      </c>
      <c r="T23" s="39">
        <f t="shared" ref="T23:AF23" si="15">MAX(T13:T18)</f>
        <v>12</v>
      </c>
      <c r="U23" s="39">
        <f t="shared" si="15"/>
        <v>10</v>
      </c>
      <c r="V23" s="39">
        <f t="shared" si="15"/>
        <v>39</v>
      </c>
      <c r="W23" s="39">
        <f t="shared" si="15"/>
        <v>1</v>
      </c>
      <c r="X23" s="39">
        <f t="shared" si="15"/>
        <v>0</v>
      </c>
      <c r="Y23" s="39">
        <f t="shared" si="15"/>
        <v>14</v>
      </c>
      <c r="Z23" s="39">
        <f t="shared" si="15"/>
        <v>6</v>
      </c>
      <c r="AA23" s="39">
        <f t="shared" si="15"/>
        <v>5</v>
      </c>
      <c r="AB23" s="39">
        <f t="shared" si="15"/>
        <v>2</v>
      </c>
      <c r="AC23" s="39">
        <f t="shared" si="15"/>
        <v>97</v>
      </c>
      <c r="AD23" s="39">
        <f t="shared" si="15"/>
        <v>0</v>
      </c>
      <c r="AE23" s="40">
        <f t="shared" si="15"/>
        <v>111</v>
      </c>
      <c r="AF23" s="40">
        <f t="shared" si="15"/>
        <v>195</v>
      </c>
    </row>
    <row r="24" spans="2:32" ht="23.1" customHeight="1" x14ac:dyDescent="0.25">
      <c r="B24" s="23" t="s">
        <v>51</v>
      </c>
      <c r="C24" s="50">
        <v>9</v>
      </c>
      <c r="D24" s="50">
        <v>4</v>
      </c>
      <c r="E24" s="50">
        <v>2</v>
      </c>
      <c r="F24" s="50">
        <v>11</v>
      </c>
      <c r="G24" s="50">
        <v>1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22</v>
      </c>
      <c r="N24" s="50">
        <v>0</v>
      </c>
      <c r="O24" s="15">
        <f t="shared" si="0"/>
        <v>28</v>
      </c>
      <c r="P24" s="15">
        <f t="shared" si="1"/>
        <v>50</v>
      </c>
      <c r="R24" s="38" t="s">
        <v>92</v>
      </c>
      <c r="S24" s="39">
        <f>MAX(S19:S21)</f>
        <v>34</v>
      </c>
      <c r="T24" s="39">
        <f t="shared" ref="T24:AF24" si="16">MAX(T19:T21)</f>
        <v>13</v>
      </c>
      <c r="U24" s="39">
        <f t="shared" si="16"/>
        <v>10</v>
      </c>
      <c r="V24" s="39">
        <f t="shared" si="16"/>
        <v>44</v>
      </c>
      <c r="W24" s="39">
        <f t="shared" si="16"/>
        <v>4</v>
      </c>
      <c r="X24" s="39">
        <f t="shared" si="16"/>
        <v>0</v>
      </c>
      <c r="Y24" s="39">
        <f t="shared" si="16"/>
        <v>12</v>
      </c>
      <c r="Z24" s="39">
        <f t="shared" si="16"/>
        <v>1</v>
      </c>
      <c r="AA24" s="39">
        <f t="shared" si="16"/>
        <v>2</v>
      </c>
      <c r="AB24" s="39">
        <f t="shared" si="16"/>
        <v>1</v>
      </c>
      <c r="AC24" s="39">
        <f t="shared" si="16"/>
        <v>112</v>
      </c>
      <c r="AD24" s="39">
        <f t="shared" si="16"/>
        <v>0</v>
      </c>
      <c r="AE24" s="40">
        <f t="shared" si="16"/>
        <v>113</v>
      </c>
      <c r="AF24" s="40">
        <f t="shared" si="16"/>
        <v>221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5</v>
      </c>
      <c r="F25" s="50">
        <v>5</v>
      </c>
      <c r="G25" s="50">
        <v>0</v>
      </c>
      <c r="H25" s="50">
        <v>0</v>
      </c>
      <c r="I25" s="50">
        <v>2</v>
      </c>
      <c r="J25" s="50">
        <v>1</v>
      </c>
      <c r="K25" s="50">
        <v>1</v>
      </c>
      <c r="L25" s="50">
        <v>1</v>
      </c>
      <c r="M25" s="50">
        <v>12</v>
      </c>
      <c r="N25" s="50">
        <v>0</v>
      </c>
      <c r="O25" s="15">
        <f t="shared" si="0"/>
        <v>23</v>
      </c>
      <c r="P25" s="15">
        <f t="shared" si="1"/>
        <v>35</v>
      </c>
      <c r="R25" s="37" t="s">
        <v>85</v>
      </c>
      <c r="S25" s="35">
        <f t="shared" ref="S25:AF25" si="17">SUM(S10:S12)</f>
        <v>71</v>
      </c>
      <c r="T25" s="16">
        <f t="shared" si="17"/>
        <v>29</v>
      </c>
      <c r="U25" s="16">
        <f t="shared" si="17"/>
        <v>23</v>
      </c>
      <c r="V25" s="16">
        <f t="shared" si="17"/>
        <v>115</v>
      </c>
      <c r="W25" s="16">
        <f t="shared" si="17"/>
        <v>0</v>
      </c>
      <c r="X25" s="16">
        <f t="shared" si="17"/>
        <v>0</v>
      </c>
      <c r="Y25" s="16">
        <f t="shared" si="17"/>
        <v>35</v>
      </c>
      <c r="Z25" s="16">
        <f t="shared" si="17"/>
        <v>1</v>
      </c>
      <c r="AA25" s="16">
        <f t="shared" si="17"/>
        <v>2</v>
      </c>
      <c r="AB25" s="16">
        <f t="shared" si="17"/>
        <v>2</v>
      </c>
      <c r="AC25" s="16">
        <f t="shared" si="17"/>
        <v>211</v>
      </c>
      <c r="AD25" s="16">
        <f t="shared" si="17"/>
        <v>0</v>
      </c>
      <c r="AE25" s="32">
        <f t="shared" si="17"/>
        <v>278</v>
      </c>
      <c r="AF25" s="32">
        <f t="shared" si="17"/>
        <v>489</v>
      </c>
    </row>
    <row r="26" spans="2:32" ht="23.1" customHeight="1" x14ac:dyDescent="0.25">
      <c r="B26" s="23" t="s">
        <v>53</v>
      </c>
      <c r="C26" s="50">
        <v>11</v>
      </c>
      <c r="D26" s="50">
        <v>5</v>
      </c>
      <c r="E26" s="50">
        <v>1</v>
      </c>
      <c r="F26" s="50">
        <v>8</v>
      </c>
      <c r="G26" s="50">
        <v>0</v>
      </c>
      <c r="H26" s="50">
        <v>0</v>
      </c>
      <c r="I26" s="50">
        <v>4</v>
      </c>
      <c r="J26" s="50">
        <v>3</v>
      </c>
      <c r="K26" s="50">
        <v>0</v>
      </c>
      <c r="L26" s="50">
        <v>0</v>
      </c>
      <c r="M26" s="50">
        <v>14</v>
      </c>
      <c r="N26" s="50">
        <v>0</v>
      </c>
      <c r="O26" s="15">
        <f t="shared" si="0"/>
        <v>32</v>
      </c>
      <c r="P26" s="15">
        <f t="shared" si="1"/>
        <v>46</v>
      </c>
      <c r="R26" s="28" t="s">
        <v>86</v>
      </c>
      <c r="S26" s="16">
        <f t="shared" ref="S26:AF26" si="18">SUM(S13:S18)</f>
        <v>159</v>
      </c>
      <c r="T26" s="16">
        <f t="shared" si="18"/>
        <v>57</v>
      </c>
      <c r="U26" s="16">
        <f t="shared" si="18"/>
        <v>54</v>
      </c>
      <c r="V26" s="16">
        <f t="shared" si="18"/>
        <v>220</v>
      </c>
      <c r="W26" s="16">
        <f t="shared" si="18"/>
        <v>4</v>
      </c>
      <c r="X26" s="16">
        <f t="shared" si="18"/>
        <v>0</v>
      </c>
      <c r="Y26" s="16">
        <f t="shared" si="18"/>
        <v>66</v>
      </c>
      <c r="Z26" s="16">
        <f t="shared" si="18"/>
        <v>13</v>
      </c>
      <c r="AA26" s="16">
        <f t="shared" si="18"/>
        <v>12</v>
      </c>
      <c r="AB26" s="16">
        <f t="shared" si="18"/>
        <v>7</v>
      </c>
      <c r="AC26" s="16">
        <f t="shared" si="18"/>
        <v>440</v>
      </c>
      <c r="AD26" s="16">
        <f t="shared" si="18"/>
        <v>0</v>
      </c>
      <c r="AE26" s="32">
        <f t="shared" si="18"/>
        <v>592</v>
      </c>
      <c r="AF26" s="32">
        <f t="shared" si="18"/>
        <v>1032</v>
      </c>
    </row>
    <row r="27" spans="2:32" ht="23.1" customHeight="1" x14ac:dyDescent="0.25">
      <c r="B27" s="23" t="s">
        <v>54</v>
      </c>
      <c r="C27" s="50">
        <v>4</v>
      </c>
      <c r="D27" s="50">
        <v>2</v>
      </c>
      <c r="E27" s="50">
        <v>1</v>
      </c>
      <c r="F27" s="50">
        <v>7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26</v>
      </c>
      <c r="N27" s="50">
        <v>0</v>
      </c>
      <c r="O27" s="15">
        <f t="shared" si="0"/>
        <v>18</v>
      </c>
      <c r="P27" s="15">
        <f t="shared" si="1"/>
        <v>44</v>
      </c>
      <c r="R27" s="29" t="s">
        <v>87</v>
      </c>
      <c r="S27" s="16">
        <f t="shared" ref="S27:AF27" si="19">SUM(S19:S21)</f>
        <v>90</v>
      </c>
      <c r="T27" s="16">
        <f t="shared" si="19"/>
        <v>31</v>
      </c>
      <c r="U27" s="16">
        <f t="shared" si="19"/>
        <v>24</v>
      </c>
      <c r="V27" s="16">
        <f t="shared" si="19"/>
        <v>120</v>
      </c>
      <c r="W27" s="16">
        <f t="shared" si="19"/>
        <v>7</v>
      </c>
      <c r="X27" s="16">
        <f t="shared" si="19"/>
        <v>0</v>
      </c>
      <c r="Y27" s="16">
        <f t="shared" si="19"/>
        <v>27</v>
      </c>
      <c r="Z27" s="16">
        <f t="shared" si="19"/>
        <v>1</v>
      </c>
      <c r="AA27" s="16">
        <f t="shared" si="19"/>
        <v>4</v>
      </c>
      <c r="AB27" s="16">
        <f t="shared" si="19"/>
        <v>1</v>
      </c>
      <c r="AC27" s="16">
        <f t="shared" si="19"/>
        <v>296</v>
      </c>
      <c r="AD27" s="16">
        <f t="shared" si="19"/>
        <v>0</v>
      </c>
      <c r="AE27" s="32">
        <f t="shared" si="19"/>
        <v>305</v>
      </c>
      <c r="AF27" s="32">
        <f t="shared" si="19"/>
        <v>601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4</v>
      </c>
      <c r="F28" s="50">
        <v>12</v>
      </c>
      <c r="G28" s="50">
        <v>0</v>
      </c>
      <c r="H28" s="50">
        <v>0</v>
      </c>
      <c r="I28" s="50">
        <v>3</v>
      </c>
      <c r="J28" s="50">
        <v>2</v>
      </c>
      <c r="K28" s="50">
        <v>1</v>
      </c>
      <c r="L28" s="50">
        <v>0</v>
      </c>
      <c r="M28" s="50">
        <v>11</v>
      </c>
      <c r="N28" s="50">
        <v>0</v>
      </c>
      <c r="O28" s="15">
        <f t="shared" si="0"/>
        <v>27</v>
      </c>
      <c r="P28" s="15">
        <f t="shared" si="1"/>
        <v>38</v>
      </c>
      <c r="R28" s="5" t="s">
        <v>17</v>
      </c>
      <c r="S28" s="16">
        <f t="shared" ref="S28:AF28" si="20">SUM(S10:S21)</f>
        <v>320</v>
      </c>
      <c r="T28" s="16">
        <f t="shared" si="20"/>
        <v>117</v>
      </c>
      <c r="U28" s="16">
        <f t="shared" si="20"/>
        <v>101</v>
      </c>
      <c r="V28" s="16">
        <f t="shared" si="20"/>
        <v>455</v>
      </c>
      <c r="W28" s="16">
        <f t="shared" si="20"/>
        <v>11</v>
      </c>
      <c r="X28" s="16">
        <f t="shared" si="20"/>
        <v>0</v>
      </c>
      <c r="Y28" s="16">
        <f t="shared" si="20"/>
        <v>128</v>
      </c>
      <c r="Z28" s="16">
        <f t="shared" si="20"/>
        <v>15</v>
      </c>
      <c r="AA28" s="16">
        <f t="shared" si="20"/>
        <v>18</v>
      </c>
      <c r="AB28" s="16">
        <f t="shared" si="20"/>
        <v>10</v>
      </c>
      <c r="AC28" s="16">
        <f t="shared" si="20"/>
        <v>947</v>
      </c>
      <c r="AD28" s="16">
        <f t="shared" si="20"/>
        <v>0</v>
      </c>
      <c r="AE28" s="32">
        <f t="shared" si="20"/>
        <v>1175</v>
      </c>
      <c r="AF28" s="32">
        <f t="shared" si="20"/>
        <v>2122</v>
      </c>
    </row>
    <row r="29" spans="2:32" ht="23.1" customHeight="1" x14ac:dyDescent="0.25">
      <c r="B29" s="23" t="s">
        <v>56</v>
      </c>
      <c r="C29" s="50">
        <v>3</v>
      </c>
      <c r="D29" s="50">
        <v>3</v>
      </c>
      <c r="E29" s="50">
        <v>4</v>
      </c>
      <c r="F29" s="50">
        <v>10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1</v>
      </c>
      <c r="M29" s="50">
        <v>20</v>
      </c>
      <c r="N29" s="50">
        <v>0</v>
      </c>
      <c r="O29" s="15">
        <f t="shared" si="0"/>
        <v>22</v>
      </c>
      <c r="P29" s="15">
        <f t="shared" si="1"/>
        <v>42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2</v>
      </c>
      <c r="E30" s="50">
        <v>1</v>
      </c>
      <c r="F30" s="50">
        <v>7</v>
      </c>
      <c r="G30" s="50">
        <v>0</v>
      </c>
      <c r="H30" s="50">
        <v>0</v>
      </c>
      <c r="I30" s="50">
        <v>1</v>
      </c>
      <c r="J30" s="50">
        <v>2</v>
      </c>
      <c r="K30" s="50">
        <v>1</v>
      </c>
      <c r="L30" s="50">
        <v>0</v>
      </c>
      <c r="M30" s="50">
        <v>2</v>
      </c>
      <c r="N30" s="50">
        <v>0</v>
      </c>
      <c r="O30" s="15">
        <f t="shared" si="0"/>
        <v>17</v>
      </c>
      <c r="P30" s="15">
        <f t="shared" si="1"/>
        <v>19</v>
      </c>
    </row>
    <row r="31" spans="2:32" ht="23.1" customHeight="1" x14ac:dyDescent="0.25">
      <c r="B31" s="24" t="s">
        <v>58</v>
      </c>
      <c r="C31" s="50">
        <v>7</v>
      </c>
      <c r="D31" s="50">
        <v>3</v>
      </c>
      <c r="E31" s="50">
        <v>1</v>
      </c>
      <c r="F31" s="50">
        <v>10</v>
      </c>
      <c r="G31" s="50">
        <v>1</v>
      </c>
      <c r="H31" s="50">
        <v>0</v>
      </c>
      <c r="I31" s="50">
        <v>1</v>
      </c>
      <c r="J31" s="50">
        <v>1</v>
      </c>
      <c r="K31" s="50">
        <v>0</v>
      </c>
      <c r="L31" s="50">
        <v>1</v>
      </c>
      <c r="M31" s="50">
        <v>21</v>
      </c>
      <c r="N31" s="50">
        <v>0</v>
      </c>
      <c r="O31" s="15">
        <f t="shared" si="0"/>
        <v>25</v>
      </c>
      <c r="P31" s="15">
        <f t="shared" si="1"/>
        <v>46</v>
      </c>
    </row>
    <row r="32" spans="2:32" ht="23.1" customHeight="1" x14ac:dyDescent="0.25">
      <c r="B32" s="24" t="s">
        <v>59</v>
      </c>
      <c r="C32" s="50">
        <v>6</v>
      </c>
      <c r="D32" s="50">
        <v>1</v>
      </c>
      <c r="E32" s="50">
        <v>3</v>
      </c>
      <c r="F32" s="50">
        <v>11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24</v>
      </c>
      <c r="P32" s="15">
        <f t="shared" si="1"/>
        <v>37</v>
      </c>
    </row>
    <row r="33" spans="2:20" ht="23.1" customHeight="1" x14ac:dyDescent="0.25">
      <c r="B33" s="23" t="s">
        <v>60</v>
      </c>
      <c r="C33" s="50">
        <v>8</v>
      </c>
      <c r="D33" s="50">
        <v>4</v>
      </c>
      <c r="E33" s="50">
        <v>4</v>
      </c>
      <c r="F33" s="50">
        <v>6</v>
      </c>
      <c r="G33" s="50">
        <v>0</v>
      </c>
      <c r="H33" s="50">
        <v>0</v>
      </c>
      <c r="I33" s="50">
        <v>7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29</v>
      </c>
      <c r="P33" s="15">
        <f t="shared" si="1"/>
        <v>46</v>
      </c>
    </row>
    <row r="34" spans="2:20" ht="23.1" customHeight="1" x14ac:dyDescent="0.25">
      <c r="B34" s="24" t="s">
        <v>61</v>
      </c>
      <c r="C34" s="50">
        <v>8</v>
      </c>
      <c r="D34" s="50">
        <v>2</v>
      </c>
      <c r="E34" s="50">
        <v>5</v>
      </c>
      <c r="F34" s="50">
        <v>7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22</v>
      </c>
      <c r="N34" s="50">
        <v>0</v>
      </c>
      <c r="O34" s="15">
        <f t="shared" si="0"/>
        <v>26</v>
      </c>
      <c r="P34" s="15">
        <f t="shared" si="1"/>
        <v>48</v>
      </c>
    </row>
    <row r="35" spans="2:20" ht="23.1" customHeight="1" x14ac:dyDescent="0.25">
      <c r="B35" s="24" t="s">
        <v>62</v>
      </c>
      <c r="C35" s="50">
        <v>12</v>
      </c>
      <c r="D35" s="50">
        <v>3</v>
      </c>
      <c r="E35" s="50">
        <v>2</v>
      </c>
      <c r="F35" s="50">
        <v>9</v>
      </c>
      <c r="G35" s="50">
        <v>0</v>
      </c>
      <c r="H35" s="50">
        <v>0</v>
      </c>
      <c r="I35" s="50">
        <v>5</v>
      </c>
      <c r="J35" s="50">
        <v>0</v>
      </c>
      <c r="K35" s="50">
        <v>2</v>
      </c>
      <c r="L35" s="50">
        <v>0</v>
      </c>
      <c r="M35" s="50">
        <v>25</v>
      </c>
      <c r="N35" s="50">
        <v>0</v>
      </c>
      <c r="O35" s="15">
        <f t="shared" si="0"/>
        <v>33</v>
      </c>
      <c r="P35" s="15">
        <f t="shared" si="1"/>
        <v>58</v>
      </c>
    </row>
    <row r="36" spans="2:20" ht="23.1" customHeight="1" x14ac:dyDescent="0.25">
      <c r="B36" s="24" t="s">
        <v>63</v>
      </c>
      <c r="C36" s="50">
        <v>6</v>
      </c>
      <c r="D36" s="50">
        <v>5</v>
      </c>
      <c r="E36" s="50">
        <v>2</v>
      </c>
      <c r="F36" s="50">
        <v>17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2</v>
      </c>
      <c r="M36" s="50">
        <v>22</v>
      </c>
      <c r="N36" s="50">
        <v>0</v>
      </c>
      <c r="O36" s="15">
        <f t="shared" si="0"/>
        <v>33</v>
      </c>
      <c r="P36" s="15">
        <f t="shared" si="1"/>
        <v>55</v>
      </c>
    </row>
    <row r="37" spans="2:20" ht="23.1" customHeight="1" x14ac:dyDescent="0.25">
      <c r="B37" s="23" t="s">
        <v>64</v>
      </c>
      <c r="C37" s="50">
        <v>7</v>
      </c>
      <c r="D37" s="50">
        <v>1</v>
      </c>
      <c r="E37" s="50">
        <v>1</v>
      </c>
      <c r="F37" s="50">
        <v>5</v>
      </c>
      <c r="G37" s="50">
        <v>0</v>
      </c>
      <c r="H37" s="50">
        <v>0</v>
      </c>
      <c r="I37" s="50">
        <v>4</v>
      </c>
      <c r="J37" s="50">
        <v>0</v>
      </c>
      <c r="K37" s="50">
        <v>1</v>
      </c>
      <c r="L37" s="50">
        <v>0</v>
      </c>
      <c r="M37" s="50">
        <v>15</v>
      </c>
      <c r="N37" s="50">
        <v>0</v>
      </c>
      <c r="O37" s="15">
        <f t="shared" si="0"/>
        <v>19</v>
      </c>
      <c r="P37" s="15">
        <f t="shared" si="1"/>
        <v>34</v>
      </c>
    </row>
    <row r="38" spans="2:20" ht="23.1" customHeight="1" x14ac:dyDescent="0.25">
      <c r="B38" s="24" t="s">
        <v>65</v>
      </c>
      <c r="C38" s="50">
        <v>3</v>
      </c>
      <c r="D38" s="50">
        <v>3</v>
      </c>
      <c r="E38" s="50">
        <v>1</v>
      </c>
      <c r="F38" s="50">
        <v>9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1</v>
      </c>
      <c r="M38" s="50">
        <v>10</v>
      </c>
      <c r="N38" s="50">
        <v>0</v>
      </c>
      <c r="O38" s="15">
        <f t="shared" si="0"/>
        <v>19</v>
      </c>
      <c r="P38" s="15">
        <f t="shared" si="1"/>
        <v>29</v>
      </c>
    </row>
    <row r="39" spans="2:20" ht="23.1" customHeight="1" x14ac:dyDescent="0.25">
      <c r="B39" s="24" t="s">
        <v>66</v>
      </c>
      <c r="C39" s="50">
        <v>3</v>
      </c>
      <c r="D39" s="50">
        <v>3</v>
      </c>
      <c r="E39" s="50">
        <v>3</v>
      </c>
      <c r="F39" s="50">
        <v>10</v>
      </c>
      <c r="G39" s="50">
        <v>0</v>
      </c>
      <c r="H39" s="50">
        <v>0</v>
      </c>
      <c r="I39" s="50">
        <v>4</v>
      </c>
      <c r="J39" s="50">
        <v>0</v>
      </c>
      <c r="K39" s="50">
        <v>1</v>
      </c>
      <c r="L39" s="50">
        <v>0</v>
      </c>
      <c r="M39" s="50">
        <v>9</v>
      </c>
      <c r="N39" s="50">
        <v>0</v>
      </c>
      <c r="O39" s="15">
        <f t="shared" si="0"/>
        <v>24</v>
      </c>
      <c r="P39" s="15">
        <f t="shared" si="1"/>
        <v>33</v>
      </c>
    </row>
    <row r="40" spans="2:20" ht="23.1" customHeight="1" x14ac:dyDescent="0.25">
      <c r="B40" s="24" t="s">
        <v>67</v>
      </c>
      <c r="C40" s="50">
        <v>2</v>
      </c>
      <c r="D40" s="50">
        <v>1</v>
      </c>
      <c r="E40" s="50">
        <v>1</v>
      </c>
      <c r="F40" s="50">
        <v>8</v>
      </c>
      <c r="G40" s="50">
        <v>1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15</v>
      </c>
      <c r="P40" s="15">
        <f t="shared" si="1"/>
        <v>34</v>
      </c>
    </row>
    <row r="41" spans="2:20" ht="23.1" customHeight="1" x14ac:dyDescent="0.25">
      <c r="B41" s="23" t="s">
        <v>68</v>
      </c>
      <c r="C41" s="50">
        <v>10</v>
      </c>
      <c r="D41" s="50">
        <v>5</v>
      </c>
      <c r="E41" s="50">
        <v>2</v>
      </c>
      <c r="F41" s="50">
        <v>12</v>
      </c>
      <c r="G41" s="50">
        <v>0</v>
      </c>
      <c r="H41" s="50">
        <v>0</v>
      </c>
      <c r="I41" s="50">
        <v>6</v>
      </c>
      <c r="J41" s="50">
        <v>0</v>
      </c>
      <c r="K41" s="50">
        <v>4</v>
      </c>
      <c r="L41" s="50">
        <v>1</v>
      </c>
      <c r="M41" s="50">
        <v>27</v>
      </c>
      <c r="N41" s="50">
        <v>0</v>
      </c>
      <c r="O41" s="15">
        <f t="shared" si="0"/>
        <v>40</v>
      </c>
      <c r="P41" s="15">
        <f t="shared" si="1"/>
        <v>67</v>
      </c>
    </row>
    <row r="42" spans="2:20" ht="23.1" customHeight="1" x14ac:dyDescent="0.25">
      <c r="B42" s="24" t="s">
        <v>69</v>
      </c>
      <c r="C42" s="50">
        <v>4</v>
      </c>
      <c r="D42" s="50">
        <v>1</v>
      </c>
      <c r="E42" s="50">
        <v>2</v>
      </c>
      <c r="F42" s="50">
        <v>12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32</v>
      </c>
      <c r="N42" s="50">
        <v>0</v>
      </c>
      <c r="O42" s="15">
        <f t="shared" si="0"/>
        <v>19</v>
      </c>
      <c r="P42" s="15">
        <f t="shared" si="1"/>
        <v>51</v>
      </c>
    </row>
    <row r="43" spans="2:20" ht="23.1" customHeight="1" x14ac:dyDescent="0.25">
      <c r="B43" s="23" t="s">
        <v>70</v>
      </c>
      <c r="C43" s="50">
        <v>5</v>
      </c>
      <c r="D43" s="50">
        <v>1</v>
      </c>
      <c r="E43" s="50">
        <v>2</v>
      </c>
      <c r="F43" s="50">
        <v>7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19</v>
      </c>
      <c r="N43" s="50">
        <v>0</v>
      </c>
      <c r="O43" s="15">
        <f t="shared" si="0"/>
        <v>17</v>
      </c>
      <c r="P43" s="15">
        <f t="shared" si="1"/>
        <v>36</v>
      </c>
    </row>
    <row r="44" spans="2:20" ht="23.1" customHeight="1" x14ac:dyDescent="0.25">
      <c r="B44" s="25" t="s">
        <v>71</v>
      </c>
      <c r="C44" s="50">
        <v>11</v>
      </c>
      <c r="D44" s="50">
        <v>4</v>
      </c>
      <c r="E44" s="50">
        <v>3</v>
      </c>
      <c r="F44" s="50">
        <v>12</v>
      </c>
      <c r="G44" s="50">
        <v>0</v>
      </c>
      <c r="H44" s="50">
        <v>0</v>
      </c>
      <c r="I44" s="50">
        <v>3</v>
      </c>
      <c r="J44" s="50">
        <v>0</v>
      </c>
      <c r="K44" s="50">
        <v>1</v>
      </c>
      <c r="L44" s="50">
        <v>0</v>
      </c>
      <c r="M44" s="50">
        <v>24</v>
      </c>
      <c r="N44" s="50">
        <v>0</v>
      </c>
      <c r="O44" s="15">
        <f t="shared" si="0"/>
        <v>34</v>
      </c>
      <c r="P44" s="15">
        <f t="shared" si="1"/>
        <v>58</v>
      </c>
    </row>
    <row r="45" spans="2:20" ht="23.1" customHeight="1" x14ac:dyDescent="0.25">
      <c r="B45" s="23" t="s">
        <v>72</v>
      </c>
      <c r="C45" s="50">
        <v>5</v>
      </c>
      <c r="D45" s="50">
        <v>1</v>
      </c>
      <c r="E45" s="50">
        <v>1</v>
      </c>
      <c r="F45" s="50">
        <v>8</v>
      </c>
      <c r="G45" s="50">
        <v>1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22</v>
      </c>
      <c r="N45" s="50">
        <v>0</v>
      </c>
      <c r="O45" s="15">
        <f t="shared" si="0"/>
        <v>18</v>
      </c>
      <c r="P45" s="15">
        <f t="shared" si="1"/>
        <v>40</v>
      </c>
    </row>
    <row r="46" spans="2:20" ht="23.1" customHeight="1" x14ac:dyDescent="0.25">
      <c r="B46" s="24" t="s">
        <v>73</v>
      </c>
      <c r="C46" s="50">
        <v>10</v>
      </c>
      <c r="D46" s="50">
        <v>1</v>
      </c>
      <c r="E46" s="50">
        <v>3</v>
      </c>
      <c r="F46" s="50">
        <v>10</v>
      </c>
      <c r="G46" s="50">
        <v>0</v>
      </c>
      <c r="H46" s="50">
        <v>0</v>
      </c>
      <c r="I46" s="50">
        <v>4</v>
      </c>
      <c r="J46" s="50">
        <v>0</v>
      </c>
      <c r="K46" s="50">
        <v>1</v>
      </c>
      <c r="L46" s="50">
        <v>0</v>
      </c>
      <c r="M46" s="50">
        <v>29</v>
      </c>
      <c r="N46" s="50">
        <v>0</v>
      </c>
      <c r="O46" s="15">
        <f t="shared" si="0"/>
        <v>29</v>
      </c>
      <c r="P46" s="15">
        <f t="shared" si="1"/>
        <v>58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5</v>
      </c>
      <c r="E47" s="50">
        <v>0</v>
      </c>
      <c r="F47" s="50">
        <v>9</v>
      </c>
      <c r="G47" s="50">
        <v>1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28</v>
      </c>
      <c r="N47" s="50">
        <v>0</v>
      </c>
      <c r="O47" s="15">
        <f t="shared" si="0"/>
        <v>24</v>
      </c>
      <c r="P47" s="15">
        <f t="shared" si="1"/>
        <v>52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2</v>
      </c>
      <c r="E48" s="50">
        <v>3</v>
      </c>
      <c r="F48" s="50">
        <v>13</v>
      </c>
      <c r="G48" s="50">
        <v>0</v>
      </c>
      <c r="H48" s="50">
        <v>0</v>
      </c>
      <c r="I48" s="50">
        <v>2</v>
      </c>
      <c r="J48" s="50">
        <v>0</v>
      </c>
      <c r="K48" s="50">
        <v>1</v>
      </c>
      <c r="L48" s="50">
        <v>1</v>
      </c>
      <c r="M48" s="50">
        <v>31</v>
      </c>
      <c r="N48" s="50">
        <v>0</v>
      </c>
      <c r="O48" s="15">
        <f t="shared" si="0"/>
        <v>33</v>
      </c>
      <c r="P48" s="15">
        <f t="shared" si="1"/>
        <v>64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5</v>
      </c>
      <c r="E49" s="50">
        <v>1</v>
      </c>
      <c r="F49" s="50">
        <v>7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24</v>
      </c>
      <c r="N49" s="50">
        <v>0</v>
      </c>
      <c r="O49" s="15">
        <f t="shared" si="0"/>
        <v>23</v>
      </c>
      <c r="P49" s="15">
        <f t="shared" si="1"/>
        <v>47</v>
      </c>
      <c r="R49" s="8"/>
      <c r="T49"/>
    </row>
    <row r="50" spans="2:20" ht="23.1" customHeight="1" x14ac:dyDescent="0.25">
      <c r="B50" s="24" t="s">
        <v>77</v>
      </c>
      <c r="C50" s="50">
        <v>11</v>
      </c>
      <c r="D50" s="50">
        <v>0</v>
      </c>
      <c r="E50" s="50">
        <v>4</v>
      </c>
      <c r="F50" s="50">
        <v>8</v>
      </c>
      <c r="G50" s="50">
        <v>2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24</v>
      </c>
      <c r="N50" s="50">
        <v>0</v>
      </c>
      <c r="O50" s="15">
        <f t="shared" si="0"/>
        <v>29</v>
      </c>
      <c r="P50" s="15">
        <f t="shared" si="1"/>
        <v>53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4</v>
      </c>
      <c r="E51" s="50">
        <v>2</v>
      </c>
      <c r="F51" s="50">
        <v>11</v>
      </c>
      <c r="G51" s="50">
        <v>0</v>
      </c>
      <c r="H51" s="50">
        <v>0</v>
      </c>
      <c r="I51" s="50">
        <v>2</v>
      </c>
      <c r="J51" s="50">
        <v>0</v>
      </c>
      <c r="K51" s="50">
        <v>1</v>
      </c>
      <c r="L51" s="50">
        <v>0</v>
      </c>
      <c r="M51" s="50">
        <v>19</v>
      </c>
      <c r="N51" s="50">
        <v>0</v>
      </c>
      <c r="O51" s="15">
        <f t="shared" si="0"/>
        <v>27</v>
      </c>
      <c r="P51" s="15">
        <f t="shared" si="1"/>
        <v>46</v>
      </c>
      <c r="R51" s="8"/>
      <c r="T51"/>
    </row>
    <row r="52" spans="2:20" ht="23.1" customHeight="1" x14ac:dyDescent="0.25">
      <c r="B52" s="24" t="s">
        <v>79</v>
      </c>
      <c r="C52" s="50">
        <v>9</v>
      </c>
      <c r="D52" s="50">
        <v>5</v>
      </c>
      <c r="E52" s="50">
        <v>1</v>
      </c>
      <c r="F52" s="50">
        <v>11</v>
      </c>
      <c r="G52" s="50">
        <v>1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30</v>
      </c>
      <c r="P52" s="15">
        <f t="shared" si="1"/>
        <v>49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2</v>
      </c>
      <c r="E53" s="50">
        <v>3</v>
      </c>
      <c r="F53" s="50">
        <v>14</v>
      </c>
      <c r="G53" s="50">
        <v>1</v>
      </c>
      <c r="H53" s="50">
        <v>0</v>
      </c>
      <c r="I53" s="50">
        <v>3</v>
      </c>
      <c r="J53" s="50">
        <v>0</v>
      </c>
      <c r="K53" s="50">
        <v>1</v>
      </c>
      <c r="L53" s="50">
        <v>0</v>
      </c>
      <c r="M53" s="50">
        <v>26</v>
      </c>
      <c r="N53" s="50">
        <v>0</v>
      </c>
      <c r="O53" s="15">
        <f t="shared" si="0"/>
        <v>27</v>
      </c>
      <c r="P53" s="15">
        <f t="shared" si="1"/>
        <v>53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2</v>
      </c>
      <c r="E54" s="50">
        <v>1</v>
      </c>
      <c r="F54" s="50">
        <v>10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22</v>
      </c>
      <c r="N54" s="50">
        <v>0</v>
      </c>
      <c r="O54" s="15">
        <f t="shared" si="0"/>
        <v>20</v>
      </c>
      <c r="P54" s="15">
        <f t="shared" si="1"/>
        <v>42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1</v>
      </c>
      <c r="E55" s="50">
        <v>5</v>
      </c>
      <c r="F55" s="50">
        <v>10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26</v>
      </c>
      <c r="N55" s="50">
        <v>0</v>
      </c>
      <c r="O55" s="15">
        <f t="shared" si="0"/>
        <v>28</v>
      </c>
      <c r="P55" s="15">
        <f t="shared" si="1"/>
        <v>54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2</v>
      </c>
      <c r="E56" s="50">
        <v>0</v>
      </c>
      <c r="F56" s="50">
        <v>11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33</v>
      </c>
      <c r="N56" s="50">
        <v>0</v>
      </c>
      <c r="O56" s="15">
        <f t="shared" si="0"/>
        <v>19</v>
      </c>
      <c r="P56" s="15">
        <f t="shared" si="1"/>
        <v>52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2</v>
      </c>
      <c r="E57" s="50">
        <v>1</v>
      </c>
      <c r="F57" s="50">
        <v>6</v>
      </c>
      <c r="G57" s="50">
        <v>1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16</v>
      </c>
      <c r="P57" s="15">
        <f t="shared" si="1"/>
        <v>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320</v>
      </c>
      <c r="D58" s="16">
        <f t="shared" si="21"/>
        <v>117</v>
      </c>
      <c r="E58" s="16">
        <f t="shared" si="21"/>
        <v>101</v>
      </c>
      <c r="F58" s="16">
        <f t="shared" si="21"/>
        <v>455</v>
      </c>
      <c r="G58" s="16">
        <f t="shared" si="21"/>
        <v>11</v>
      </c>
      <c r="H58" s="16">
        <f t="shared" si="21"/>
        <v>0</v>
      </c>
      <c r="I58" s="16">
        <f t="shared" si="21"/>
        <v>128</v>
      </c>
      <c r="J58" s="16">
        <f t="shared" si="21"/>
        <v>15</v>
      </c>
      <c r="K58" s="16">
        <f t="shared" si="21"/>
        <v>18</v>
      </c>
      <c r="L58" s="16">
        <f t="shared" si="21"/>
        <v>10</v>
      </c>
      <c r="M58" s="16">
        <f t="shared" si="21"/>
        <v>947</v>
      </c>
      <c r="N58" s="16">
        <f t="shared" si="21"/>
        <v>0</v>
      </c>
      <c r="O58" s="16">
        <f t="shared" si="21"/>
        <v>1175</v>
      </c>
      <c r="P58" s="16">
        <f t="shared" si="21"/>
        <v>2122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0.15080113100848255</v>
      </c>
      <c r="D59" s="43">
        <f t="shared" si="22"/>
        <v>5.513666352497644E-2</v>
      </c>
      <c r="E59" s="43">
        <f t="shared" si="22"/>
        <v>4.7596606974552307E-2</v>
      </c>
      <c r="F59" s="43">
        <f t="shared" si="22"/>
        <v>0.21442035815268615</v>
      </c>
      <c r="G59" s="43">
        <f t="shared" si="22"/>
        <v>5.1837888784165885E-3</v>
      </c>
      <c r="H59" s="43">
        <f t="shared" si="22"/>
        <v>0</v>
      </c>
      <c r="I59" s="43">
        <f t="shared" si="22"/>
        <v>6.0320452403393024E-2</v>
      </c>
      <c r="J59" s="43">
        <f t="shared" si="22"/>
        <v>7.0688030160226201E-3</v>
      </c>
      <c r="K59" s="43">
        <f t="shared" si="22"/>
        <v>8.4825636192271438E-3</v>
      </c>
      <c r="L59" s="43">
        <f t="shared" si="22"/>
        <v>4.7125353440150798E-3</v>
      </c>
      <c r="M59" s="43">
        <f t="shared" si="22"/>
        <v>0.4462770970782281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0.2723404255319149</v>
      </c>
      <c r="D60" s="44">
        <f t="shared" ref="D60:N60" si="23">D58/$O$58</f>
        <v>9.957446808510638E-2</v>
      </c>
      <c r="E60" s="44">
        <f t="shared" si="23"/>
        <v>8.595744680851064E-2</v>
      </c>
      <c r="F60" s="44">
        <f t="shared" si="23"/>
        <v>0.38723404255319149</v>
      </c>
      <c r="G60" s="44">
        <f t="shared" si="23"/>
        <v>9.3617021276595751E-3</v>
      </c>
      <c r="H60" s="44">
        <f t="shared" si="23"/>
        <v>0</v>
      </c>
      <c r="I60" s="44">
        <f t="shared" si="23"/>
        <v>0.10893617021276596</v>
      </c>
      <c r="J60" s="44">
        <f t="shared" si="23"/>
        <v>1.276595744680851E-2</v>
      </c>
      <c r="K60" s="44">
        <f t="shared" si="23"/>
        <v>1.5319148936170212E-2</v>
      </c>
      <c r="L60" s="44">
        <f t="shared" si="23"/>
        <v>8.5106382978723406E-3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KALAGI-MUKONO'!C3:G3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'30.10 MUKONO-KALAGI'!D5</f>
        <v>30.10.2019</v>
      </c>
      <c r="E5" s="3"/>
      <c r="F5" s="41" t="s">
        <v>1</v>
      </c>
      <c r="G5" s="55" t="str">
        <f>'29.10 MUKONO-KALAGI'!G5:H5</f>
        <v>KABEMBE</v>
      </c>
      <c r="H5" s="56"/>
      <c r="I5" s="14"/>
      <c r="J5" s="2" t="s">
        <v>5</v>
      </c>
      <c r="K5" s="55" t="s">
        <v>164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KALAGI-MUKONO'!D6:E6</f>
        <v>KALAGI</v>
      </c>
      <c r="E6" s="56"/>
      <c r="F6" s="2" t="s">
        <v>2</v>
      </c>
      <c r="G6" s="55" t="str">
        <f>'29.10 KALAGI-MUKONO'!G6:H6</f>
        <v>MUKONO</v>
      </c>
      <c r="H6" s="56"/>
      <c r="J6" s="2" t="s">
        <v>21</v>
      </c>
      <c r="K6" s="55" t="str">
        <f>'29.10 MUKONO-KALAGI'!K6:L6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3</v>
      </c>
      <c r="E10" s="50">
        <v>2</v>
      </c>
      <c r="F10" s="50">
        <v>7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21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40</v>
      </c>
      <c r="R10" s="1" t="s">
        <v>6</v>
      </c>
      <c r="S10" s="17">
        <f t="shared" ref="S10:AF10" si="2">SUM(C10:C13)</f>
        <v>19</v>
      </c>
      <c r="T10" s="17">
        <f t="shared" si="2"/>
        <v>5</v>
      </c>
      <c r="U10" s="17">
        <f t="shared" si="2"/>
        <v>5</v>
      </c>
      <c r="V10" s="17">
        <f t="shared" si="2"/>
        <v>33</v>
      </c>
      <c r="W10" s="17">
        <f t="shared" si="2"/>
        <v>2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2</v>
      </c>
      <c r="AB10" s="17">
        <f t="shared" si="2"/>
        <v>1</v>
      </c>
      <c r="AC10" s="17">
        <f t="shared" si="2"/>
        <v>87</v>
      </c>
      <c r="AD10" s="17">
        <f t="shared" si="2"/>
        <v>0</v>
      </c>
      <c r="AE10" s="31">
        <f t="shared" si="2"/>
        <v>73</v>
      </c>
      <c r="AF10" s="31">
        <f t="shared" si="2"/>
        <v>160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1</v>
      </c>
      <c r="E11" s="50">
        <v>1</v>
      </c>
      <c r="F11" s="50">
        <v>5</v>
      </c>
      <c r="G11" s="50">
        <v>1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26</v>
      </c>
      <c r="N11" s="50">
        <v>0</v>
      </c>
      <c r="O11" s="15">
        <f t="shared" si="0"/>
        <v>21</v>
      </c>
      <c r="P11" s="15">
        <f t="shared" si="1"/>
        <v>47</v>
      </c>
      <c r="R11" s="1" t="s">
        <v>7</v>
      </c>
      <c r="S11" s="17">
        <f t="shared" ref="S11:AF11" si="3">SUM(C14:C17)</f>
        <v>33</v>
      </c>
      <c r="T11" s="17">
        <f t="shared" si="3"/>
        <v>7</v>
      </c>
      <c r="U11" s="17">
        <f t="shared" si="3"/>
        <v>6</v>
      </c>
      <c r="V11" s="17">
        <f t="shared" si="3"/>
        <v>39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115</v>
      </c>
      <c r="AD11" s="17">
        <f t="shared" si="3"/>
        <v>0</v>
      </c>
      <c r="AE11" s="31">
        <f t="shared" si="3"/>
        <v>90</v>
      </c>
      <c r="AF11" s="31">
        <f t="shared" si="3"/>
        <v>205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5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19</v>
      </c>
      <c r="N12" s="50">
        <v>0</v>
      </c>
      <c r="O12" s="15">
        <f t="shared" si="0"/>
        <v>9</v>
      </c>
      <c r="P12" s="15">
        <f t="shared" si="1"/>
        <v>28</v>
      </c>
      <c r="R12" s="1" t="s">
        <v>8</v>
      </c>
      <c r="S12" s="17">
        <f t="shared" ref="S12:AF12" si="4">SUM(C18:C21)</f>
        <v>18</v>
      </c>
      <c r="T12" s="17">
        <f t="shared" si="4"/>
        <v>7</v>
      </c>
      <c r="U12" s="17">
        <f t="shared" si="4"/>
        <v>2</v>
      </c>
      <c r="V12" s="17">
        <f t="shared" si="4"/>
        <v>32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105</v>
      </c>
      <c r="AD12" s="17">
        <f t="shared" si="4"/>
        <v>0</v>
      </c>
      <c r="AE12" s="31">
        <f t="shared" si="4"/>
        <v>72</v>
      </c>
      <c r="AF12" s="31">
        <f t="shared" si="4"/>
        <v>177</v>
      </c>
    </row>
    <row r="13" spans="2:32" ht="23.1" customHeight="1" x14ac:dyDescent="0.25">
      <c r="B13" s="23" t="s">
        <v>40</v>
      </c>
      <c r="C13" s="50">
        <v>2</v>
      </c>
      <c r="D13" s="50">
        <v>1</v>
      </c>
      <c r="E13" s="50">
        <v>2</v>
      </c>
      <c r="F13" s="50">
        <v>16</v>
      </c>
      <c r="G13" s="50">
        <v>0</v>
      </c>
      <c r="H13" s="50">
        <v>0</v>
      </c>
      <c r="I13" s="50">
        <v>0</v>
      </c>
      <c r="J13" s="50">
        <v>1</v>
      </c>
      <c r="K13" s="50">
        <v>1</v>
      </c>
      <c r="L13" s="50">
        <v>1</v>
      </c>
      <c r="M13" s="50">
        <v>21</v>
      </c>
      <c r="N13" s="50">
        <v>0</v>
      </c>
      <c r="O13" s="15">
        <f t="shared" si="0"/>
        <v>24</v>
      </c>
      <c r="P13" s="15">
        <f t="shared" si="1"/>
        <v>45</v>
      </c>
      <c r="R13" s="1" t="s">
        <v>9</v>
      </c>
      <c r="S13" s="17">
        <f t="shared" ref="S13:AF13" si="5">SUM(C22:C25)</f>
        <v>16</v>
      </c>
      <c r="T13" s="17">
        <f t="shared" si="5"/>
        <v>6</v>
      </c>
      <c r="U13" s="17">
        <f t="shared" si="5"/>
        <v>5</v>
      </c>
      <c r="V13" s="17">
        <f t="shared" si="5"/>
        <v>25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1</v>
      </c>
      <c r="AB13" s="17">
        <f t="shared" si="5"/>
        <v>1</v>
      </c>
      <c r="AC13" s="17">
        <f t="shared" si="5"/>
        <v>98</v>
      </c>
      <c r="AD13" s="17">
        <f t="shared" si="5"/>
        <v>0</v>
      </c>
      <c r="AE13" s="31">
        <f t="shared" si="5"/>
        <v>60</v>
      </c>
      <c r="AF13" s="31">
        <f t="shared" si="5"/>
        <v>158</v>
      </c>
    </row>
    <row r="14" spans="2:32" ht="23.1" customHeight="1" x14ac:dyDescent="0.25">
      <c r="B14" s="23" t="s">
        <v>41</v>
      </c>
      <c r="C14" s="50">
        <v>12</v>
      </c>
      <c r="D14" s="50">
        <v>2</v>
      </c>
      <c r="E14" s="50">
        <v>1</v>
      </c>
      <c r="F14" s="50">
        <v>12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29</v>
      </c>
      <c r="N14" s="50">
        <v>0</v>
      </c>
      <c r="O14" s="15">
        <f t="shared" si="0"/>
        <v>27</v>
      </c>
      <c r="P14" s="15">
        <f t="shared" si="1"/>
        <v>56</v>
      </c>
      <c r="R14" s="1" t="s">
        <v>10</v>
      </c>
      <c r="S14" s="17">
        <f t="shared" ref="S14:AF14" si="6">SUM(C26:C29)</f>
        <v>13</v>
      </c>
      <c r="T14" s="17">
        <f t="shared" si="6"/>
        <v>7</v>
      </c>
      <c r="U14" s="17">
        <f t="shared" si="6"/>
        <v>5</v>
      </c>
      <c r="V14" s="17">
        <f t="shared" si="6"/>
        <v>37</v>
      </c>
      <c r="W14" s="17">
        <f t="shared" si="6"/>
        <v>2</v>
      </c>
      <c r="X14" s="17">
        <f t="shared" si="6"/>
        <v>0</v>
      </c>
      <c r="Y14" s="17">
        <f t="shared" si="6"/>
        <v>4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90</v>
      </c>
      <c r="AD14" s="17">
        <f t="shared" si="6"/>
        <v>0</v>
      </c>
      <c r="AE14" s="31">
        <f t="shared" si="6"/>
        <v>70</v>
      </c>
      <c r="AF14" s="31">
        <f t="shared" si="6"/>
        <v>160</v>
      </c>
    </row>
    <row r="15" spans="2:32" ht="23.1" customHeight="1" x14ac:dyDescent="0.25">
      <c r="B15" s="23" t="s">
        <v>42</v>
      </c>
      <c r="C15" s="50">
        <v>8</v>
      </c>
      <c r="D15" s="50">
        <v>0</v>
      </c>
      <c r="E15" s="50">
        <v>1</v>
      </c>
      <c r="F15" s="50">
        <v>7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29</v>
      </c>
      <c r="N15" s="50">
        <v>0</v>
      </c>
      <c r="O15" s="15">
        <f t="shared" si="0"/>
        <v>18</v>
      </c>
      <c r="P15" s="15">
        <f t="shared" si="1"/>
        <v>47</v>
      </c>
      <c r="R15" s="1" t="s">
        <v>11</v>
      </c>
      <c r="S15" s="17">
        <f t="shared" ref="S15:AF15" si="7">SUM(C30:C33)</f>
        <v>20</v>
      </c>
      <c r="T15" s="17">
        <f t="shared" si="7"/>
        <v>12</v>
      </c>
      <c r="U15" s="17">
        <f t="shared" si="7"/>
        <v>5</v>
      </c>
      <c r="V15" s="17">
        <f t="shared" si="7"/>
        <v>23</v>
      </c>
      <c r="W15" s="17">
        <f t="shared" si="7"/>
        <v>1</v>
      </c>
      <c r="X15" s="17">
        <f t="shared" si="7"/>
        <v>0</v>
      </c>
      <c r="Y15" s="17">
        <f t="shared" si="7"/>
        <v>13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92</v>
      </c>
      <c r="AD15" s="17">
        <f t="shared" si="7"/>
        <v>0</v>
      </c>
      <c r="AE15" s="31">
        <f t="shared" si="7"/>
        <v>77</v>
      </c>
      <c r="AF15" s="31">
        <f t="shared" si="7"/>
        <v>169</v>
      </c>
    </row>
    <row r="16" spans="2:32" ht="23.1" customHeight="1" x14ac:dyDescent="0.25">
      <c r="B16" s="23" t="s">
        <v>43</v>
      </c>
      <c r="C16" s="50">
        <v>5</v>
      </c>
      <c r="D16" s="50">
        <v>2</v>
      </c>
      <c r="E16" s="50">
        <v>2</v>
      </c>
      <c r="F16" s="50">
        <v>11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32</v>
      </c>
      <c r="N16" s="50">
        <v>0</v>
      </c>
      <c r="O16" s="15">
        <f t="shared" si="0"/>
        <v>22</v>
      </c>
      <c r="P16" s="15">
        <f t="shared" si="1"/>
        <v>54</v>
      </c>
      <c r="R16" s="1" t="s">
        <v>12</v>
      </c>
      <c r="S16" s="17">
        <f t="shared" ref="S16:AF16" si="8">SUM(C34:C37)</f>
        <v>17</v>
      </c>
      <c r="T16" s="17">
        <f t="shared" si="8"/>
        <v>5</v>
      </c>
      <c r="U16" s="17">
        <f t="shared" si="8"/>
        <v>7</v>
      </c>
      <c r="V16" s="17">
        <f t="shared" si="8"/>
        <v>33</v>
      </c>
      <c r="W16" s="17">
        <f t="shared" si="8"/>
        <v>0</v>
      </c>
      <c r="X16" s="17">
        <f t="shared" si="8"/>
        <v>1</v>
      </c>
      <c r="Y16" s="17">
        <f t="shared" si="8"/>
        <v>9</v>
      </c>
      <c r="Z16" s="17">
        <f t="shared" si="8"/>
        <v>7</v>
      </c>
      <c r="AA16" s="17">
        <f t="shared" si="8"/>
        <v>2</v>
      </c>
      <c r="AB16" s="17">
        <f t="shared" si="8"/>
        <v>0</v>
      </c>
      <c r="AC16" s="17">
        <f t="shared" si="8"/>
        <v>84</v>
      </c>
      <c r="AD16" s="17">
        <f t="shared" si="8"/>
        <v>0</v>
      </c>
      <c r="AE16" s="31">
        <f t="shared" si="8"/>
        <v>81</v>
      </c>
      <c r="AF16" s="31">
        <f t="shared" si="8"/>
        <v>165</v>
      </c>
    </row>
    <row r="17" spans="2:32" ht="23.1" customHeight="1" x14ac:dyDescent="0.25">
      <c r="B17" s="23" t="s">
        <v>44</v>
      </c>
      <c r="C17" s="50">
        <v>8</v>
      </c>
      <c r="D17" s="50">
        <v>3</v>
      </c>
      <c r="E17" s="50">
        <v>2</v>
      </c>
      <c r="F17" s="50">
        <v>9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25</v>
      </c>
      <c r="N17" s="50">
        <v>0</v>
      </c>
      <c r="O17" s="15">
        <f t="shared" si="0"/>
        <v>23</v>
      </c>
      <c r="P17" s="15">
        <f t="shared" si="1"/>
        <v>48</v>
      </c>
      <c r="R17" s="1" t="s">
        <v>13</v>
      </c>
      <c r="S17" s="17">
        <f t="shared" ref="S17:AF17" si="9">SUM(C38:C41)</f>
        <v>29</v>
      </c>
      <c r="T17" s="17">
        <f t="shared" si="9"/>
        <v>10</v>
      </c>
      <c r="U17" s="17">
        <f t="shared" si="9"/>
        <v>5</v>
      </c>
      <c r="V17" s="17">
        <f t="shared" si="9"/>
        <v>34</v>
      </c>
      <c r="W17" s="17">
        <f t="shared" si="9"/>
        <v>0</v>
      </c>
      <c r="X17" s="17">
        <f t="shared" si="9"/>
        <v>0</v>
      </c>
      <c r="Y17" s="17">
        <f t="shared" si="9"/>
        <v>11</v>
      </c>
      <c r="Z17" s="17">
        <f t="shared" si="9"/>
        <v>2</v>
      </c>
      <c r="AA17" s="17">
        <f t="shared" si="9"/>
        <v>0</v>
      </c>
      <c r="AB17" s="17">
        <f t="shared" si="9"/>
        <v>3</v>
      </c>
      <c r="AC17" s="17">
        <f t="shared" si="9"/>
        <v>76</v>
      </c>
      <c r="AD17" s="17">
        <f t="shared" si="9"/>
        <v>0</v>
      </c>
      <c r="AE17" s="31">
        <f t="shared" si="9"/>
        <v>94</v>
      </c>
      <c r="AF17" s="31">
        <f t="shared" si="9"/>
        <v>170</v>
      </c>
    </row>
    <row r="18" spans="2:32" ht="23.1" customHeight="1" x14ac:dyDescent="0.25">
      <c r="B18" s="23" t="s">
        <v>45</v>
      </c>
      <c r="C18" s="50">
        <v>8</v>
      </c>
      <c r="D18" s="50">
        <v>2</v>
      </c>
      <c r="E18" s="50">
        <v>0</v>
      </c>
      <c r="F18" s="50">
        <v>10</v>
      </c>
      <c r="G18" s="50">
        <v>0</v>
      </c>
      <c r="H18" s="50">
        <v>0</v>
      </c>
      <c r="I18" s="50">
        <v>3</v>
      </c>
      <c r="J18" s="50">
        <v>1</v>
      </c>
      <c r="K18" s="50">
        <v>1</v>
      </c>
      <c r="L18" s="50">
        <v>0</v>
      </c>
      <c r="M18" s="50">
        <v>33</v>
      </c>
      <c r="N18" s="50">
        <v>0</v>
      </c>
      <c r="O18" s="15">
        <f t="shared" si="0"/>
        <v>25</v>
      </c>
      <c r="P18" s="15">
        <f t="shared" si="1"/>
        <v>58</v>
      </c>
      <c r="R18" s="1" t="s">
        <v>14</v>
      </c>
      <c r="S18" s="17">
        <f t="shared" ref="S18:AF18" si="10">SUM(C42:C45)</f>
        <v>19</v>
      </c>
      <c r="T18" s="17">
        <f t="shared" si="10"/>
        <v>8</v>
      </c>
      <c r="U18" s="17">
        <f t="shared" si="10"/>
        <v>5</v>
      </c>
      <c r="V18" s="17">
        <f t="shared" si="10"/>
        <v>28</v>
      </c>
      <c r="W18" s="17">
        <f t="shared" si="10"/>
        <v>3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1</v>
      </c>
      <c r="AB18" s="17">
        <f t="shared" si="10"/>
        <v>2</v>
      </c>
      <c r="AC18" s="17">
        <f t="shared" si="10"/>
        <v>66</v>
      </c>
      <c r="AD18" s="17">
        <f t="shared" si="10"/>
        <v>0</v>
      </c>
      <c r="AE18" s="31">
        <f t="shared" si="10"/>
        <v>75</v>
      </c>
      <c r="AF18" s="31">
        <f t="shared" si="10"/>
        <v>141</v>
      </c>
    </row>
    <row r="19" spans="2:32" ht="23.1" customHeight="1" x14ac:dyDescent="0.25">
      <c r="B19" s="23" t="s">
        <v>46</v>
      </c>
      <c r="C19" s="50">
        <v>4</v>
      </c>
      <c r="D19" s="50">
        <v>3</v>
      </c>
      <c r="E19" s="50">
        <v>1</v>
      </c>
      <c r="F19" s="50">
        <v>11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34</v>
      </c>
      <c r="N19" s="50">
        <v>0</v>
      </c>
      <c r="O19" s="15">
        <f t="shared" si="0"/>
        <v>21</v>
      </c>
      <c r="P19" s="15">
        <f t="shared" si="1"/>
        <v>55</v>
      </c>
      <c r="R19" s="1" t="s">
        <v>15</v>
      </c>
      <c r="S19" s="17">
        <f t="shared" ref="S19:AF19" si="11">SUM(C46:C49)</f>
        <v>26</v>
      </c>
      <c r="T19" s="17">
        <f t="shared" si="11"/>
        <v>7</v>
      </c>
      <c r="U19" s="17">
        <f t="shared" si="11"/>
        <v>8</v>
      </c>
      <c r="V19" s="17">
        <f t="shared" si="11"/>
        <v>41</v>
      </c>
      <c r="W19" s="17">
        <f t="shared" si="11"/>
        <v>2</v>
      </c>
      <c r="X19" s="17">
        <f t="shared" si="11"/>
        <v>1</v>
      </c>
      <c r="Y19" s="17">
        <f t="shared" si="11"/>
        <v>18</v>
      </c>
      <c r="Z19" s="17">
        <f t="shared" si="11"/>
        <v>5</v>
      </c>
      <c r="AA19" s="17">
        <f t="shared" si="11"/>
        <v>3</v>
      </c>
      <c r="AB19" s="17">
        <f t="shared" si="11"/>
        <v>2</v>
      </c>
      <c r="AC19" s="17">
        <f t="shared" si="11"/>
        <v>94</v>
      </c>
      <c r="AD19" s="17">
        <f t="shared" si="11"/>
        <v>0</v>
      </c>
      <c r="AE19" s="31">
        <f t="shared" si="11"/>
        <v>113</v>
      </c>
      <c r="AF19" s="31">
        <f t="shared" si="11"/>
        <v>207</v>
      </c>
    </row>
    <row r="20" spans="2:32" ht="23.1" customHeight="1" x14ac:dyDescent="0.25">
      <c r="B20" s="23" t="s">
        <v>47</v>
      </c>
      <c r="C20" s="50">
        <v>0</v>
      </c>
      <c r="D20" s="50">
        <v>2</v>
      </c>
      <c r="E20" s="50">
        <v>0</v>
      </c>
      <c r="F20" s="50">
        <v>5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9</v>
      </c>
      <c r="P20" s="15">
        <f t="shared" si="1"/>
        <v>24</v>
      </c>
      <c r="R20" s="1" t="s">
        <v>16</v>
      </c>
      <c r="S20" s="17">
        <f t="shared" ref="S20:AF20" si="12">SUM(C50:C53)</f>
        <v>41</v>
      </c>
      <c r="T20" s="17">
        <f t="shared" si="12"/>
        <v>15</v>
      </c>
      <c r="U20" s="17">
        <f t="shared" si="12"/>
        <v>10</v>
      </c>
      <c r="V20" s="17">
        <f t="shared" si="12"/>
        <v>33</v>
      </c>
      <c r="W20" s="17">
        <f t="shared" si="12"/>
        <v>1</v>
      </c>
      <c r="X20" s="17">
        <f t="shared" si="12"/>
        <v>0</v>
      </c>
      <c r="Y20" s="17">
        <f t="shared" si="12"/>
        <v>8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93</v>
      </c>
      <c r="AD20" s="17">
        <f t="shared" si="12"/>
        <v>0</v>
      </c>
      <c r="AE20" s="31">
        <f t="shared" si="12"/>
        <v>112</v>
      </c>
      <c r="AF20" s="31">
        <f t="shared" si="12"/>
        <v>205</v>
      </c>
    </row>
    <row r="21" spans="2:32" ht="23.1" customHeight="1" x14ac:dyDescent="0.25">
      <c r="B21" s="23" t="s">
        <v>48</v>
      </c>
      <c r="C21" s="50">
        <v>6</v>
      </c>
      <c r="D21" s="50">
        <v>0</v>
      </c>
      <c r="E21" s="50">
        <v>1</v>
      </c>
      <c r="F21" s="50">
        <v>6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23</v>
      </c>
      <c r="N21" s="50">
        <v>0</v>
      </c>
      <c r="O21" s="15">
        <f t="shared" si="0"/>
        <v>17</v>
      </c>
      <c r="P21" s="15">
        <f t="shared" si="1"/>
        <v>40</v>
      </c>
      <c r="R21" s="36" t="s">
        <v>20</v>
      </c>
      <c r="S21" s="34">
        <f t="shared" ref="S21:AF21" si="13">SUM(C54:C57)</f>
        <v>33</v>
      </c>
      <c r="T21" s="17">
        <f t="shared" si="13"/>
        <v>10</v>
      </c>
      <c r="U21" s="17">
        <f t="shared" si="13"/>
        <v>12</v>
      </c>
      <c r="V21" s="17">
        <f t="shared" si="13"/>
        <v>35</v>
      </c>
      <c r="W21" s="17">
        <f t="shared" si="13"/>
        <v>3</v>
      </c>
      <c r="X21" s="17">
        <f t="shared" si="13"/>
        <v>0</v>
      </c>
      <c r="Y21" s="17">
        <f t="shared" si="13"/>
        <v>14</v>
      </c>
      <c r="Z21" s="17">
        <f t="shared" si="13"/>
        <v>3</v>
      </c>
      <c r="AA21" s="17">
        <f t="shared" si="13"/>
        <v>1</v>
      </c>
      <c r="AB21" s="17">
        <f t="shared" si="13"/>
        <v>1</v>
      </c>
      <c r="AC21" s="17">
        <f t="shared" si="13"/>
        <v>96</v>
      </c>
      <c r="AD21" s="17">
        <f t="shared" si="13"/>
        <v>0</v>
      </c>
      <c r="AE21" s="31">
        <f t="shared" si="13"/>
        <v>112</v>
      </c>
      <c r="AF21" s="31">
        <f t="shared" si="13"/>
        <v>208</v>
      </c>
    </row>
    <row r="22" spans="2:32" ht="23.1" customHeight="1" x14ac:dyDescent="0.25">
      <c r="B22" s="23" t="s">
        <v>49</v>
      </c>
      <c r="C22" s="50">
        <v>6</v>
      </c>
      <c r="D22" s="50">
        <v>1</v>
      </c>
      <c r="E22" s="50">
        <v>2</v>
      </c>
      <c r="F22" s="50">
        <v>9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1</v>
      </c>
      <c r="M22" s="50">
        <v>31</v>
      </c>
      <c r="N22" s="50">
        <v>0</v>
      </c>
      <c r="O22" s="15">
        <f t="shared" si="0"/>
        <v>21</v>
      </c>
      <c r="P22" s="15">
        <f t="shared" si="1"/>
        <v>52</v>
      </c>
      <c r="R22" s="38" t="s">
        <v>90</v>
      </c>
      <c r="S22" s="39">
        <f>MAX(S10:S12)</f>
        <v>33</v>
      </c>
      <c r="T22" s="39">
        <f t="shared" ref="T22:AF22" si="14">MAX(T10:T12)</f>
        <v>7</v>
      </c>
      <c r="U22" s="39">
        <f t="shared" si="14"/>
        <v>6</v>
      </c>
      <c r="V22" s="39">
        <f t="shared" si="14"/>
        <v>39</v>
      </c>
      <c r="W22" s="39">
        <f t="shared" si="14"/>
        <v>2</v>
      </c>
      <c r="X22" s="39">
        <f t="shared" si="14"/>
        <v>0</v>
      </c>
      <c r="Y22" s="39">
        <f t="shared" si="14"/>
        <v>10</v>
      </c>
      <c r="Z22" s="39">
        <f t="shared" si="14"/>
        <v>3</v>
      </c>
      <c r="AA22" s="39">
        <f t="shared" si="14"/>
        <v>2</v>
      </c>
      <c r="AB22" s="39">
        <f t="shared" si="14"/>
        <v>1</v>
      </c>
      <c r="AC22" s="39">
        <f t="shared" si="14"/>
        <v>115</v>
      </c>
      <c r="AD22" s="39">
        <f t="shared" si="14"/>
        <v>0</v>
      </c>
      <c r="AE22" s="40">
        <f t="shared" si="14"/>
        <v>90</v>
      </c>
      <c r="AF22" s="40">
        <f t="shared" si="14"/>
        <v>205</v>
      </c>
    </row>
    <row r="23" spans="2:32" ht="23.1" customHeight="1" x14ac:dyDescent="0.25">
      <c r="B23" s="23" t="s">
        <v>50</v>
      </c>
      <c r="C23" s="50">
        <v>2</v>
      </c>
      <c r="D23" s="50">
        <v>2</v>
      </c>
      <c r="E23" s="50">
        <v>0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19</v>
      </c>
      <c r="N23" s="50">
        <v>0</v>
      </c>
      <c r="O23" s="15">
        <f t="shared" si="0"/>
        <v>8</v>
      </c>
      <c r="P23" s="15">
        <f t="shared" si="1"/>
        <v>27</v>
      </c>
      <c r="R23" s="38" t="s">
        <v>91</v>
      </c>
      <c r="S23" s="39">
        <f>MAX(S13:S18)</f>
        <v>29</v>
      </c>
      <c r="T23" s="39">
        <f t="shared" ref="T23:AF23" si="15">MAX(T13:T18)</f>
        <v>12</v>
      </c>
      <c r="U23" s="39">
        <f t="shared" si="15"/>
        <v>7</v>
      </c>
      <c r="V23" s="39">
        <f t="shared" si="15"/>
        <v>37</v>
      </c>
      <c r="W23" s="39">
        <f t="shared" si="15"/>
        <v>3</v>
      </c>
      <c r="X23" s="39">
        <f t="shared" si="15"/>
        <v>1</v>
      </c>
      <c r="Y23" s="39">
        <f t="shared" si="15"/>
        <v>13</v>
      </c>
      <c r="Z23" s="39">
        <f t="shared" si="15"/>
        <v>7</v>
      </c>
      <c r="AA23" s="39">
        <f t="shared" si="15"/>
        <v>2</v>
      </c>
      <c r="AB23" s="39">
        <f t="shared" si="15"/>
        <v>3</v>
      </c>
      <c r="AC23" s="39">
        <f t="shared" si="15"/>
        <v>98</v>
      </c>
      <c r="AD23" s="39">
        <f t="shared" si="15"/>
        <v>0</v>
      </c>
      <c r="AE23" s="40">
        <f t="shared" si="15"/>
        <v>94</v>
      </c>
      <c r="AF23" s="40">
        <f t="shared" si="15"/>
        <v>170</v>
      </c>
    </row>
    <row r="24" spans="2:32" ht="23.1" customHeight="1" x14ac:dyDescent="0.25">
      <c r="B24" s="23" t="s">
        <v>51</v>
      </c>
      <c r="C24" s="50">
        <v>4</v>
      </c>
      <c r="D24" s="50">
        <v>2</v>
      </c>
      <c r="E24" s="50">
        <v>2</v>
      </c>
      <c r="F24" s="50">
        <v>7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16</v>
      </c>
      <c r="P24" s="15">
        <f t="shared" si="1"/>
        <v>34</v>
      </c>
      <c r="R24" s="38" t="s">
        <v>92</v>
      </c>
      <c r="S24" s="39">
        <f>MAX(S19:S21)</f>
        <v>41</v>
      </c>
      <c r="T24" s="39">
        <f t="shared" ref="T24:AF24" si="16">MAX(T19:T21)</f>
        <v>15</v>
      </c>
      <c r="U24" s="39">
        <f t="shared" si="16"/>
        <v>12</v>
      </c>
      <c r="V24" s="39">
        <f t="shared" si="16"/>
        <v>41</v>
      </c>
      <c r="W24" s="39">
        <f t="shared" si="16"/>
        <v>3</v>
      </c>
      <c r="X24" s="39">
        <f t="shared" si="16"/>
        <v>1</v>
      </c>
      <c r="Y24" s="39">
        <f t="shared" si="16"/>
        <v>18</v>
      </c>
      <c r="Z24" s="39">
        <f t="shared" si="16"/>
        <v>5</v>
      </c>
      <c r="AA24" s="39">
        <f t="shared" si="16"/>
        <v>3</v>
      </c>
      <c r="AB24" s="39">
        <f t="shared" si="16"/>
        <v>2</v>
      </c>
      <c r="AC24" s="39">
        <f t="shared" si="16"/>
        <v>96</v>
      </c>
      <c r="AD24" s="39">
        <f t="shared" si="16"/>
        <v>0</v>
      </c>
      <c r="AE24" s="40">
        <f t="shared" si="16"/>
        <v>113</v>
      </c>
      <c r="AF24" s="40">
        <f t="shared" si="16"/>
        <v>208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1</v>
      </c>
      <c r="F25" s="50">
        <v>6</v>
      </c>
      <c r="G25" s="50">
        <v>0</v>
      </c>
      <c r="H25" s="50">
        <v>0</v>
      </c>
      <c r="I25" s="50">
        <v>2</v>
      </c>
      <c r="J25" s="50">
        <v>0</v>
      </c>
      <c r="K25" s="50">
        <v>1</v>
      </c>
      <c r="L25" s="50">
        <v>0</v>
      </c>
      <c r="M25" s="50">
        <v>30</v>
      </c>
      <c r="N25" s="50">
        <v>0</v>
      </c>
      <c r="O25" s="15">
        <f t="shared" si="0"/>
        <v>15</v>
      </c>
      <c r="P25" s="15">
        <f t="shared" si="1"/>
        <v>45</v>
      </c>
      <c r="R25" s="37" t="s">
        <v>85</v>
      </c>
      <c r="S25" s="35">
        <f t="shared" ref="S25:AF25" si="17">SUM(S10:S12)</f>
        <v>70</v>
      </c>
      <c r="T25" s="16">
        <f t="shared" si="17"/>
        <v>19</v>
      </c>
      <c r="U25" s="16">
        <f t="shared" si="17"/>
        <v>13</v>
      </c>
      <c r="V25" s="16">
        <f t="shared" si="17"/>
        <v>104</v>
      </c>
      <c r="W25" s="16">
        <f t="shared" si="17"/>
        <v>2</v>
      </c>
      <c r="X25" s="16">
        <f t="shared" si="17"/>
        <v>0</v>
      </c>
      <c r="Y25" s="16">
        <f t="shared" si="17"/>
        <v>18</v>
      </c>
      <c r="Z25" s="16">
        <f t="shared" si="17"/>
        <v>5</v>
      </c>
      <c r="AA25" s="16">
        <f t="shared" si="17"/>
        <v>3</v>
      </c>
      <c r="AB25" s="16">
        <f t="shared" si="17"/>
        <v>1</v>
      </c>
      <c r="AC25" s="16">
        <f t="shared" si="17"/>
        <v>307</v>
      </c>
      <c r="AD25" s="16">
        <f t="shared" si="17"/>
        <v>0</v>
      </c>
      <c r="AE25" s="32">
        <f t="shared" si="17"/>
        <v>235</v>
      </c>
      <c r="AF25" s="32">
        <f t="shared" si="17"/>
        <v>542</v>
      </c>
    </row>
    <row r="26" spans="2:32" ht="23.1" customHeight="1" x14ac:dyDescent="0.25">
      <c r="B26" s="23" t="s">
        <v>53</v>
      </c>
      <c r="C26" s="50">
        <v>2</v>
      </c>
      <c r="D26" s="50">
        <v>2</v>
      </c>
      <c r="E26" s="50">
        <v>2</v>
      </c>
      <c r="F26" s="50">
        <v>11</v>
      </c>
      <c r="G26" s="50">
        <v>1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23</v>
      </c>
      <c r="N26" s="50">
        <v>0</v>
      </c>
      <c r="O26" s="15">
        <f t="shared" si="0"/>
        <v>20</v>
      </c>
      <c r="P26" s="15">
        <f t="shared" si="1"/>
        <v>43</v>
      </c>
      <c r="R26" s="28" t="s">
        <v>86</v>
      </c>
      <c r="S26" s="16">
        <f t="shared" ref="S26:AF26" si="18">SUM(S13:S18)</f>
        <v>114</v>
      </c>
      <c r="T26" s="16">
        <f t="shared" si="18"/>
        <v>48</v>
      </c>
      <c r="U26" s="16">
        <f t="shared" si="18"/>
        <v>32</v>
      </c>
      <c r="V26" s="16">
        <f t="shared" si="18"/>
        <v>180</v>
      </c>
      <c r="W26" s="16">
        <f t="shared" si="18"/>
        <v>6</v>
      </c>
      <c r="X26" s="16">
        <f t="shared" si="18"/>
        <v>1</v>
      </c>
      <c r="Y26" s="16">
        <f t="shared" si="18"/>
        <v>50</v>
      </c>
      <c r="Z26" s="16">
        <f t="shared" si="18"/>
        <v>16</v>
      </c>
      <c r="AA26" s="16">
        <f t="shared" si="18"/>
        <v>4</v>
      </c>
      <c r="AB26" s="16">
        <f t="shared" si="18"/>
        <v>6</v>
      </c>
      <c r="AC26" s="16">
        <f t="shared" si="18"/>
        <v>506</v>
      </c>
      <c r="AD26" s="16">
        <f t="shared" si="18"/>
        <v>0</v>
      </c>
      <c r="AE26" s="32">
        <f t="shared" si="18"/>
        <v>457</v>
      </c>
      <c r="AF26" s="32">
        <f t="shared" si="18"/>
        <v>963</v>
      </c>
    </row>
    <row r="27" spans="2:32" ht="23.1" customHeight="1" x14ac:dyDescent="0.25">
      <c r="B27" s="23" t="s">
        <v>54</v>
      </c>
      <c r="C27" s="50">
        <v>4</v>
      </c>
      <c r="D27" s="50">
        <v>2</v>
      </c>
      <c r="E27" s="50">
        <v>1</v>
      </c>
      <c r="F27" s="50">
        <v>10</v>
      </c>
      <c r="G27" s="50">
        <v>1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22</v>
      </c>
      <c r="N27" s="50">
        <v>0</v>
      </c>
      <c r="O27" s="15">
        <f t="shared" si="0"/>
        <v>19</v>
      </c>
      <c r="P27" s="15">
        <f t="shared" si="1"/>
        <v>41</v>
      </c>
      <c r="R27" s="29" t="s">
        <v>87</v>
      </c>
      <c r="S27" s="16">
        <f t="shared" ref="S27:AF27" si="19">SUM(S19:S21)</f>
        <v>100</v>
      </c>
      <c r="T27" s="16">
        <f t="shared" si="19"/>
        <v>32</v>
      </c>
      <c r="U27" s="16">
        <f t="shared" si="19"/>
        <v>30</v>
      </c>
      <c r="V27" s="16">
        <f t="shared" si="19"/>
        <v>109</v>
      </c>
      <c r="W27" s="16">
        <f t="shared" si="19"/>
        <v>6</v>
      </c>
      <c r="X27" s="16">
        <f t="shared" si="19"/>
        <v>1</v>
      </c>
      <c r="Y27" s="16">
        <f t="shared" si="19"/>
        <v>40</v>
      </c>
      <c r="Z27" s="16">
        <f t="shared" si="19"/>
        <v>12</v>
      </c>
      <c r="AA27" s="16">
        <f t="shared" si="19"/>
        <v>4</v>
      </c>
      <c r="AB27" s="16">
        <f t="shared" si="19"/>
        <v>3</v>
      </c>
      <c r="AC27" s="16">
        <f t="shared" si="19"/>
        <v>283</v>
      </c>
      <c r="AD27" s="16">
        <f t="shared" si="19"/>
        <v>0</v>
      </c>
      <c r="AE27" s="32">
        <f t="shared" si="19"/>
        <v>337</v>
      </c>
      <c r="AF27" s="32">
        <f t="shared" si="19"/>
        <v>620</v>
      </c>
    </row>
    <row r="28" spans="2:32" ht="23.1" customHeight="1" x14ac:dyDescent="0.25">
      <c r="B28" s="23" t="s">
        <v>55</v>
      </c>
      <c r="C28" s="50">
        <v>2</v>
      </c>
      <c r="D28" s="50">
        <v>2</v>
      </c>
      <c r="E28" s="50">
        <v>2</v>
      </c>
      <c r="F28" s="50">
        <v>7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24</v>
      </c>
      <c r="N28" s="50">
        <v>0</v>
      </c>
      <c r="O28" s="15">
        <f t="shared" si="0"/>
        <v>14</v>
      </c>
      <c r="P28" s="15">
        <f t="shared" si="1"/>
        <v>38</v>
      </c>
      <c r="R28" s="5" t="s">
        <v>17</v>
      </c>
      <c r="S28" s="16">
        <f t="shared" ref="S28:AF28" si="20">SUM(S10:S21)</f>
        <v>284</v>
      </c>
      <c r="T28" s="16">
        <f t="shared" si="20"/>
        <v>99</v>
      </c>
      <c r="U28" s="16">
        <f t="shared" si="20"/>
        <v>75</v>
      </c>
      <c r="V28" s="16">
        <f t="shared" si="20"/>
        <v>393</v>
      </c>
      <c r="W28" s="16">
        <f t="shared" si="20"/>
        <v>14</v>
      </c>
      <c r="X28" s="16">
        <f t="shared" si="20"/>
        <v>2</v>
      </c>
      <c r="Y28" s="16">
        <f t="shared" si="20"/>
        <v>108</v>
      </c>
      <c r="Z28" s="16">
        <f t="shared" si="20"/>
        <v>33</v>
      </c>
      <c r="AA28" s="16">
        <f t="shared" si="20"/>
        <v>11</v>
      </c>
      <c r="AB28" s="16">
        <f t="shared" si="20"/>
        <v>10</v>
      </c>
      <c r="AC28" s="16">
        <f t="shared" si="20"/>
        <v>1096</v>
      </c>
      <c r="AD28" s="16">
        <f t="shared" si="20"/>
        <v>0</v>
      </c>
      <c r="AE28" s="32">
        <f t="shared" si="20"/>
        <v>1029</v>
      </c>
      <c r="AF28" s="32">
        <f t="shared" si="20"/>
        <v>2125</v>
      </c>
    </row>
    <row r="29" spans="2:32" ht="23.1" customHeight="1" x14ac:dyDescent="0.25">
      <c r="B29" s="23" t="s">
        <v>56</v>
      </c>
      <c r="C29" s="50">
        <v>5</v>
      </c>
      <c r="D29" s="50">
        <v>1</v>
      </c>
      <c r="E29" s="50">
        <v>0</v>
      </c>
      <c r="F29" s="50">
        <v>9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17</v>
      </c>
      <c r="P29" s="15">
        <f t="shared" si="1"/>
        <v>38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2</v>
      </c>
      <c r="E30" s="50">
        <v>3</v>
      </c>
      <c r="F30" s="50">
        <v>5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22</v>
      </c>
      <c r="N30" s="50">
        <v>0</v>
      </c>
      <c r="O30" s="15">
        <f t="shared" si="0"/>
        <v>17</v>
      </c>
      <c r="P30" s="15">
        <f t="shared" si="1"/>
        <v>39</v>
      </c>
    </row>
    <row r="31" spans="2:32" ht="23.1" customHeight="1" x14ac:dyDescent="0.25">
      <c r="B31" s="24" t="s">
        <v>58</v>
      </c>
      <c r="C31" s="50">
        <v>6</v>
      </c>
      <c r="D31" s="50">
        <v>1</v>
      </c>
      <c r="E31" s="50">
        <v>0</v>
      </c>
      <c r="F31" s="50">
        <v>7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19</v>
      </c>
      <c r="P31" s="15">
        <f t="shared" si="1"/>
        <v>41</v>
      </c>
    </row>
    <row r="32" spans="2:32" ht="23.1" customHeight="1" x14ac:dyDescent="0.25">
      <c r="B32" s="24" t="s">
        <v>59</v>
      </c>
      <c r="C32" s="50">
        <v>2</v>
      </c>
      <c r="D32" s="50">
        <v>5</v>
      </c>
      <c r="E32" s="50">
        <v>1</v>
      </c>
      <c r="F32" s="50">
        <v>3</v>
      </c>
      <c r="G32" s="50">
        <v>0</v>
      </c>
      <c r="H32" s="50">
        <v>0</v>
      </c>
      <c r="I32" s="50">
        <v>3</v>
      </c>
      <c r="J32" s="50">
        <v>2</v>
      </c>
      <c r="K32" s="50">
        <v>0</v>
      </c>
      <c r="L32" s="50">
        <v>0</v>
      </c>
      <c r="M32" s="50">
        <v>21</v>
      </c>
      <c r="N32" s="50">
        <v>0</v>
      </c>
      <c r="O32" s="15">
        <f t="shared" si="0"/>
        <v>16</v>
      </c>
      <c r="P32" s="15">
        <f t="shared" si="1"/>
        <v>37</v>
      </c>
    </row>
    <row r="33" spans="2:20" ht="23.1" customHeight="1" x14ac:dyDescent="0.25">
      <c r="B33" s="23" t="s">
        <v>60</v>
      </c>
      <c r="C33" s="50">
        <v>8</v>
      </c>
      <c r="D33" s="50">
        <v>4</v>
      </c>
      <c r="E33" s="50">
        <v>1</v>
      </c>
      <c r="F33" s="50">
        <v>8</v>
      </c>
      <c r="G33" s="50">
        <v>1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25</v>
      </c>
      <c r="P33" s="15">
        <f t="shared" si="1"/>
        <v>52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3</v>
      </c>
      <c r="F34" s="50">
        <v>7</v>
      </c>
      <c r="G34" s="50">
        <v>0</v>
      </c>
      <c r="H34" s="50">
        <v>0</v>
      </c>
      <c r="I34" s="50">
        <v>1</v>
      </c>
      <c r="J34" s="50">
        <v>2</v>
      </c>
      <c r="K34" s="50">
        <v>2</v>
      </c>
      <c r="L34" s="50">
        <v>0</v>
      </c>
      <c r="M34" s="50">
        <v>30</v>
      </c>
      <c r="N34" s="50">
        <v>0</v>
      </c>
      <c r="O34" s="15">
        <f t="shared" si="0"/>
        <v>16</v>
      </c>
      <c r="P34" s="15">
        <f t="shared" si="1"/>
        <v>46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1</v>
      </c>
      <c r="F35" s="50">
        <v>11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17</v>
      </c>
      <c r="N35" s="50">
        <v>0</v>
      </c>
      <c r="O35" s="15">
        <f t="shared" si="0"/>
        <v>18</v>
      </c>
      <c r="P35" s="15">
        <f t="shared" si="1"/>
        <v>35</v>
      </c>
    </row>
    <row r="36" spans="2:20" ht="23.1" customHeight="1" x14ac:dyDescent="0.25">
      <c r="B36" s="24" t="s">
        <v>63</v>
      </c>
      <c r="C36" s="50">
        <v>5</v>
      </c>
      <c r="D36" s="50">
        <v>5</v>
      </c>
      <c r="E36" s="50">
        <v>1</v>
      </c>
      <c r="F36" s="50">
        <v>7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22</v>
      </c>
      <c r="N36" s="50">
        <v>0</v>
      </c>
      <c r="O36" s="15">
        <f t="shared" si="0"/>
        <v>21</v>
      </c>
      <c r="P36" s="15">
        <f t="shared" si="1"/>
        <v>43</v>
      </c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2</v>
      </c>
      <c r="F37" s="50">
        <v>8</v>
      </c>
      <c r="G37" s="50">
        <v>0</v>
      </c>
      <c r="H37" s="50">
        <v>1</v>
      </c>
      <c r="I37" s="50">
        <v>4</v>
      </c>
      <c r="J37" s="50">
        <v>5</v>
      </c>
      <c r="K37" s="50">
        <v>0</v>
      </c>
      <c r="L37" s="50">
        <v>0</v>
      </c>
      <c r="M37" s="50">
        <v>15</v>
      </c>
      <c r="N37" s="50">
        <v>0</v>
      </c>
      <c r="O37" s="15">
        <f t="shared" si="0"/>
        <v>26</v>
      </c>
      <c r="P37" s="15">
        <f t="shared" si="1"/>
        <v>41</v>
      </c>
    </row>
    <row r="38" spans="2:20" ht="23.1" customHeight="1" x14ac:dyDescent="0.25">
      <c r="B38" s="24" t="s">
        <v>65</v>
      </c>
      <c r="C38" s="50">
        <v>3</v>
      </c>
      <c r="D38" s="50">
        <v>2</v>
      </c>
      <c r="E38" s="50">
        <v>2</v>
      </c>
      <c r="F38" s="50">
        <v>7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21</v>
      </c>
      <c r="N38" s="50">
        <v>0</v>
      </c>
      <c r="O38" s="15">
        <f t="shared" si="0"/>
        <v>18</v>
      </c>
      <c r="P38" s="15">
        <f t="shared" si="1"/>
        <v>39</v>
      </c>
    </row>
    <row r="39" spans="2:20" ht="23.1" customHeight="1" x14ac:dyDescent="0.25">
      <c r="B39" s="24" t="s">
        <v>66</v>
      </c>
      <c r="C39" s="50">
        <v>4</v>
      </c>
      <c r="D39" s="50">
        <v>1</v>
      </c>
      <c r="E39" s="50">
        <v>1</v>
      </c>
      <c r="F39" s="50">
        <v>11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2</v>
      </c>
      <c r="M39" s="50">
        <v>15</v>
      </c>
      <c r="N39" s="50">
        <v>0</v>
      </c>
      <c r="O39" s="15">
        <f t="shared" si="0"/>
        <v>20</v>
      </c>
      <c r="P39" s="15">
        <f t="shared" si="1"/>
        <v>35</v>
      </c>
    </row>
    <row r="40" spans="2:20" ht="23.1" customHeight="1" x14ac:dyDescent="0.25">
      <c r="B40" s="24" t="s">
        <v>67</v>
      </c>
      <c r="C40" s="50">
        <v>7</v>
      </c>
      <c r="D40" s="50">
        <v>2</v>
      </c>
      <c r="E40" s="50">
        <v>0</v>
      </c>
      <c r="F40" s="50">
        <v>7</v>
      </c>
      <c r="G40" s="50">
        <v>0</v>
      </c>
      <c r="H40" s="50">
        <v>0</v>
      </c>
      <c r="I40" s="50">
        <v>4</v>
      </c>
      <c r="J40" s="50">
        <v>1</v>
      </c>
      <c r="K40" s="50">
        <v>0</v>
      </c>
      <c r="L40" s="50">
        <v>1</v>
      </c>
      <c r="M40" s="50">
        <v>21</v>
      </c>
      <c r="N40" s="50">
        <v>0</v>
      </c>
      <c r="O40" s="15">
        <f t="shared" si="0"/>
        <v>22</v>
      </c>
      <c r="P40" s="15">
        <f t="shared" si="1"/>
        <v>43</v>
      </c>
    </row>
    <row r="41" spans="2:20" ht="23.1" customHeight="1" x14ac:dyDescent="0.25">
      <c r="B41" s="23" t="s">
        <v>68</v>
      </c>
      <c r="C41" s="50">
        <v>15</v>
      </c>
      <c r="D41" s="50">
        <v>5</v>
      </c>
      <c r="E41" s="50">
        <v>2</v>
      </c>
      <c r="F41" s="50">
        <v>9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19</v>
      </c>
      <c r="N41" s="50">
        <v>0</v>
      </c>
      <c r="O41" s="15">
        <f t="shared" si="0"/>
        <v>34</v>
      </c>
      <c r="P41" s="15">
        <f t="shared" si="1"/>
        <v>53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1</v>
      </c>
      <c r="F42" s="50">
        <v>8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1</v>
      </c>
      <c r="M42" s="50">
        <v>10</v>
      </c>
      <c r="N42" s="50">
        <v>0</v>
      </c>
      <c r="O42" s="15">
        <f t="shared" si="0"/>
        <v>18</v>
      </c>
      <c r="P42" s="15">
        <f t="shared" si="1"/>
        <v>28</v>
      </c>
    </row>
    <row r="43" spans="2:20" ht="23.1" customHeight="1" x14ac:dyDescent="0.25">
      <c r="B43" s="23" t="s">
        <v>70</v>
      </c>
      <c r="C43" s="50">
        <v>6</v>
      </c>
      <c r="D43" s="50">
        <v>5</v>
      </c>
      <c r="E43" s="50">
        <v>1</v>
      </c>
      <c r="F43" s="50">
        <v>6</v>
      </c>
      <c r="G43" s="50">
        <v>1</v>
      </c>
      <c r="H43" s="50">
        <v>0</v>
      </c>
      <c r="I43" s="50">
        <v>2</v>
      </c>
      <c r="J43" s="50">
        <v>0</v>
      </c>
      <c r="K43" s="50">
        <v>1</v>
      </c>
      <c r="L43" s="50">
        <v>1</v>
      </c>
      <c r="M43" s="50">
        <v>21</v>
      </c>
      <c r="N43" s="50">
        <v>0</v>
      </c>
      <c r="O43" s="15">
        <f t="shared" si="0"/>
        <v>23</v>
      </c>
      <c r="P43" s="15">
        <f t="shared" si="1"/>
        <v>44</v>
      </c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1</v>
      </c>
      <c r="F44" s="50">
        <v>5</v>
      </c>
      <c r="G44" s="50">
        <v>1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12</v>
      </c>
      <c r="P44" s="15">
        <f t="shared" si="1"/>
        <v>27</v>
      </c>
    </row>
    <row r="45" spans="2:20" ht="23.1" customHeight="1" x14ac:dyDescent="0.25">
      <c r="B45" s="23" t="s">
        <v>72</v>
      </c>
      <c r="C45" s="50">
        <v>5</v>
      </c>
      <c r="D45" s="50">
        <v>1</v>
      </c>
      <c r="E45" s="50">
        <v>2</v>
      </c>
      <c r="F45" s="50">
        <v>9</v>
      </c>
      <c r="G45" s="50">
        <v>1</v>
      </c>
      <c r="H45" s="50">
        <v>0</v>
      </c>
      <c r="I45" s="50">
        <v>3</v>
      </c>
      <c r="J45" s="50">
        <v>1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22</v>
      </c>
      <c r="P45" s="15">
        <f t="shared" si="1"/>
        <v>42</v>
      </c>
    </row>
    <row r="46" spans="2:20" ht="23.1" customHeight="1" x14ac:dyDescent="0.25">
      <c r="B46" s="24" t="s">
        <v>73</v>
      </c>
      <c r="C46" s="50">
        <v>5</v>
      </c>
      <c r="D46" s="50">
        <v>2</v>
      </c>
      <c r="E46" s="50">
        <v>2</v>
      </c>
      <c r="F46" s="50">
        <v>11</v>
      </c>
      <c r="G46" s="50">
        <v>0</v>
      </c>
      <c r="H46" s="50">
        <v>0</v>
      </c>
      <c r="I46" s="50">
        <v>4</v>
      </c>
      <c r="J46" s="50">
        <v>3</v>
      </c>
      <c r="K46" s="50">
        <v>0</v>
      </c>
      <c r="L46" s="50">
        <v>0</v>
      </c>
      <c r="M46" s="50">
        <v>23</v>
      </c>
      <c r="N46" s="50">
        <v>0</v>
      </c>
      <c r="O46" s="15">
        <f t="shared" si="0"/>
        <v>27</v>
      </c>
      <c r="P46" s="15">
        <f t="shared" si="1"/>
        <v>50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0</v>
      </c>
      <c r="E47" s="50">
        <v>2</v>
      </c>
      <c r="F47" s="50">
        <v>10</v>
      </c>
      <c r="G47" s="50">
        <v>1</v>
      </c>
      <c r="H47" s="50">
        <v>0</v>
      </c>
      <c r="I47" s="50">
        <v>4</v>
      </c>
      <c r="J47" s="50">
        <v>1</v>
      </c>
      <c r="K47" s="50">
        <v>2</v>
      </c>
      <c r="L47" s="50">
        <v>0</v>
      </c>
      <c r="M47" s="50">
        <v>22</v>
      </c>
      <c r="N47" s="50">
        <v>0</v>
      </c>
      <c r="O47" s="15">
        <f t="shared" si="0"/>
        <v>27</v>
      </c>
      <c r="P47" s="15">
        <f t="shared" si="1"/>
        <v>49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3</v>
      </c>
      <c r="E48" s="50">
        <v>2</v>
      </c>
      <c r="F48" s="50">
        <v>10</v>
      </c>
      <c r="G48" s="50">
        <v>0</v>
      </c>
      <c r="H48" s="50">
        <v>0</v>
      </c>
      <c r="I48" s="50">
        <v>4</v>
      </c>
      <c r="J48" s="50">
        <v>1</v>
      </c>
      <c r="K48" s="50">
        <v>0</v>
      </c>
      <c r="L48" s="50">
        <v>0</v>
      </c>
      <c r="M48" s="50">
        <v>29</v>
      </c>
      <c r="N48" s="50">
        <v>0</v>
      </c>
      <c r="O48" s="15">
        <f t="shared" si="0"/>
        <v>28</v>
      </c>
      <c r="P48" s="15">
        <f t="shared" si="1"/>
        <v>57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2</v>
      </c>
      <c r="E49" s="50">
        <v>2</v>
      </c>
      <c r="F49" s="50">
        <v>10</v>
      </c>
      <c r="G49" s="50">
        <v>1</v>
      </c>
      <c r="H49" s="50">
        <v>1</v>
      </c>
      <c r="I49" s="50">
        <v>6</v>
      </c>
      <c r="J49" s="50">
        <v>0</v>
      </c>
      <c r="K49" s="50">
        <v>1</v>
      </c>
      <c r="L49" s="50">
        <v>2</v>
      </c>
      <c r="M49" s="50">
        <v>20</v>
      </c>
      <c r="N49" s="50">
        <v>0</v>
      </c>
      <c r="O49" s="15">
        <f t="shared" si="0"/>
        <v>31</v>
      </c>
      <c r="P49" s="15">
        <f t="shared" si="1"/>
        <v>51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2</v>
      </c>
      <c r="E50" s="50">
        <v>0</v>
      </c>
      <c r="F50" s="50">
        <v>10</v>
      </c>
      <c r="G50" s="50">
        <v>0</v>
      </c>
      <c r="H50" s="50">
        <v>0</v>
      </c>
      <c r="I50" s="50">
        <v>1</v>
      </c>
      <c r="J50" s="50">
        <v>2</v>
      </c>
      <c r="K50" s="50">
        <v>0</v>
      </c>
      <c r="L50" s="50">
        <v>0</v>
      </c>
      <c r="M50" s="50">
        <v>27</v>
      </c>
      <c r="N50" s="50">
        <v>0</v>
      </c>
      <c r="O50" s="15">
        <f t="shared" si="0"/>
        <v>25</v>
      </c>
      <c r="P50" s="15">
        <f t="shared" si="1"/>
        <v>52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5</v>
      </c>
      <c r="E51" s="50">
        <v>4</v>
      </c>
      <c r="F51" s="50">
        <v>5</v>
      </c>
      <c r="G51" s="50">
        <v>0</v>
      </c>
      <c r="H51" s="50">
        <v>0</v>
      </c>
      <c r="I51" s="50">
        <v>0</v>
      </c>
      <c r="J51" s="50">
        <v>2</v>
      </c>
      <c r="K51" s="50">
        <v>0</v>
      </c>
      <c r="L51" s="50">
        <v>0</v>
      </c>
      <c r="M51" s="50">
        <v>18</v>
      </c>
      <c r="N51" s="50">
        <v>0</v>
      </c>
      <c r="O51" s="15">
        <f t="shared" si="0"/>
        <v>22</v>
      </c>
      <c r="P51" s="15">
        <f t="shared" si="1"/>
        <v>40</v>
      </c>
      <c r="R51" s="8"/>
      <c r="T51"/>
    </row>
    <row r="52" spans="2:20" ht="23.1" customHeight="1" x14ac:dyDescent="0.25">
      <c r="B52" s="24" t="s">
        <v>79</v>
      </c>
      <c r="C52" s="50">
        <v>13</v>
      </c>
      <c r="D52" s="50">
        <v>5</v>
      </c>
      <c r="E52" s="50">
        <v>5</v>
      </c>
      <c r="F52" s="50">
        <v>9</v>
      </c>
      <c r="G52" s="50">
        <v>1</v>
      </c>
      <c r="H52" s="50">
        <v>0</v>
      </c>
      <c r="I52" s="50">
        <v>5</v>
      </c>
      <c r="J52" s="50">
        <v>0</v>
      </c>
      <c r="K52" s="50">
        <v>0</v>
      </c>
      <c r="L52" s="50">
        <v>0</v>
      </c>
      <c r="M52" s="50">
        <v>27</v>
      </c>
      <c r="N52" s="50">
        <v>0</v>
      </c>
      <c r="O52" s="15">
        <f t="shared" si="0"/>
        <v>38</v>
      </c>
      <c r="P52" s="15">
        <f t="shared" si="1"/>
        <v>65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3</v>
      </c>
      <c r="E53" s="50">
        <v>1</v>
      </c>
      <c r="F53" s="50">
        <v>9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21</v>
      </c>
      <c r="N53" s="50">
        <v>0</v>
      </c>
      <c r="O53" s="15">
        <f t="shared" si="0"/>
        <v>27</v>
      </c>
      <c r="P53" s="15">
        <f t="shared" si="1"/>
        <v>48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6</v>
      </c>
      <c r="E54" s="50">
        <v>0</v>
      </c>
      <c r="F54" s="50">
        <v>11</v>
      </c>
      <c r="G54" s="50">
        <v>1</v>
      </c>
      <c r="H54" s="50">
        <v>0</v>
      </c>
      <c r="I54" s="50">
        <v>7</v>
      </c>
      <c r="J54" s="50">
        <v>1</v>
      </c>
      <c r="K54" s="50">
        <v>0</v>
      </c>
      <c r="L54" s="50">
        <v>1</v>
      </c>
      <c r="M54" s="50">
        <v>21</v>
      </c>
      <c r="N54" s="50">
        <v>0</v>
      </c>
      <c r="O54" s="15">
        <f t="shared" si="0"/>
        <v>31</v>
      </c>
      <c r="P54" s="15">
        <f t="shared" si="1"/>
        <v>52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2</v>
      </c>
      <c r="E55" s="50">
        <v>2</v>
      </c>
      <c r="F55" s="50">
        <v>9</v>
      </c>
      <c r="G55" s="50">
        <v>1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30</v>
      </c>
      <c r="N55" s="50">
        <v>0</v>
      </c>
      <c r="O55" s="15">
        <f t="shared" si="0"/>
        <v>27</v>
      </c>
      <c r="P55" s="15">
        <f t="shared" si="1"/>
        <v>57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1</v>
      </c>
      <c r="E56" s="50">
        <v>7</v>
      </c>
      <c r="F56" s="50">
        <v>6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25</v>
      </c>
      <c r="N56" s="50">
        <v>0</v>
      </c>
      <c r="O56" s="15">
        <f t="shared" si="0"/>
        <v>31</v>
      </c>
      <c r="P56" s="15">
        <f t="shared" si="1"/>
        <v>56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1</v>
      </c>
      <c r="E57" s="50">
        <v>3</v>
      </c>
      <c r="F57" s="50">
        <v>9</v>
      </c>
      <c r="G57" s="50">
        <v>1</v>
      </c>
      <c r="H57" s="50">
        <v>0</v>
      </c>
      <c r="I57" s="50">
        <v>2</v>
      </c>
      <c r="J57" s="50">
        <v>2</v>
      </c>
      <c r="K57" s="50">
        <v>1</v>
      </c>
      <c r="L57" s="50">
        <v>0</v>
      </c>
      <c r="M57" s="50">
        <v>20</v>
      </c>
      <c r="N57" s="50">
        <v>0</v>
      </c>
      <c r="O57" s="15">
        <f t="shared" si="0"/>
        <v>23</v>
      </c>
      <c r="P57" s="15">
        <f t="shared" si="1"/>
        <v>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284</v>
      </c>
      <c r="D58" s="16">
        <f t="shared" si="21"/>
        <v>99</v>
      </c>
      <c r="E58" s="16">
        <f t="shared" si="21"/>
        <v>75</v>
      </c>
      <c r="F58" s="16">
        <f t="shared" si="21"/>
        <v>393</v>
      </c>
      <c r="G58" s="16">
        <f t="shared" si="21"/>
        <v>14</v>
      </c>
      <c r="H58" s="16">
        <f t="shared" si="21"/>
        <v>2</v>
      </c>
      <c r="I58" s="16">
        <f t="shared" si="21"/>
        <v>108</v>
      </c>
      <c r="J58" s="16">
        <f t="shared" si="21"/>
        <v>33</v>
      </c>
      <c r="K58" s="16">
        <f t="shared" si="21"/>
        <v>11</v>
      </c>
      <c r="L58" s="16">
        <f t="shared" si="21"/>
        <v>10</v>
      </c>
      <c r="M58" s="16">
        <f t="shared" si="21"/>
        <v>1096</v>
      </c>
      <c r="N58" s="16">
        <f t="shared" si="21"/>
        <v>0</v>
      </c>
      <c r="O58" s="16">
        <f t="shared" si="21"/>
        <v>1029</v>
      </c>
      <c r="P58" s="16">
        <f t="shared" si="21"/>
        <v>2125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0.13364705882352942</v>
      </c>
      <c r="D59" s="43">
        <f t="shared" si="22"/>
        <v>4.6588235294117646E-2</v>
      </c>
      <c r="E59" s="43">
        <f t="shared" si="22"/>
        <v>3.5294117647058823E-2</v>
      </c>
      <c r="F59" s="43">
        <f t="shared" si="22"/>
        <v>0.18494117647058825</v>
      </c>
      <c r="G59" s="43">
        <f t="shared" si="22"/>
        <v>6.5882352941176473E-3</v>
      </c>
      <c r="H59" s="43">
        <f t="shared" si="22"/>
        <v>9.4117647058823532E-4</v>
      </c>
      <c r="I59" s="43">
        <f t="shared" si="22"/>
        <v>5.0823529411764705E-2</v>
      </c>
      <c r="J59" s="43">
        <f t="shared" si="22"/>
        <v>1.5529411764705882E-2</v>
      </c>
      <c r="K59" s="43">
        <f t="shared" si="22"/>
        <v>5.1764705882352945E-3</v>
      </c>
      <c r="L59" s="43">
        <f t="shared" si="22"/>
        <v>4.7058823529411761E-3</v>
      </c>
      <c r="M59" s="43">
        <f t="shared" si="22"/>
        <v>0.5157647058823529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0.2759961127308066</v>
      </c>
      <c r="D60" s="44">
        <f t="shared" ref="D60:N60" si="23">D58/$O$58</f>
        <v>9.6209912536443148E-2</v>
      </c>
      <c r="E60" s="44">
        <f t="shared" si="23"/>
        <v>7.2886297376093298E-2</v>
      </c>
      <c r="F60" s="44">
        <f t="shared" si="23"/>
        <v>0.38192419825072887</v>
      </c>
      <c r="G60" s="44">
        <f t="shared" si="23"/>
        <v>1.3605442176870748E-2</v>
      </c>
      <c r="H60" s="44">
        <f t="shared" si="23"/>
        <v>1.9436345966958211E-3</v>
      </c>
      <c r="I60" s="44">
        <f t="shared" si="23"/>
        <v>0.10495626822157435</v>
      </c>
      <c r="J60" s="44">
        <f t="shared" si="23"/>
        <v>3.2069970845481049E-2</v>
      </c>
      <c r="K60" s="44">
        <f t="shared" si="23"/>
        <v>1.0689990281827016E-2</v>
      </c>
      <c r="L60" s="44">
        <f t="shared" si="23"/>
        <v>9.7181729834791061E-3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40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1" t="str">
        <f>'29.10 MUKONO-KALAGI'!C3:G3</f>
        <v>MCC - C2 - STN075- KALAGI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171</v>
      </c>
      <c r="E5" s="3"/>
      <c r="F5" s="41" t="s">
        <v>1</v>
      </c>
      <c r="G5" s="55" t="str">
        <f>'3.11 KALAGI-MUKONO'!G5:H5</f>
        <v>KABEMBE</v>
      </c>
      <c r="H5" s="56"/>
      <c r="I5" s="14"/>
      <c r="J5" s="2" t="s">
        <v>5</v>
      </c>
      <c r="K5" s="55" t="str">
        <f>'3.11 KALAGI-MUKONO'!K5:L5</f>
        <v>BEATRICE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MUKONO-KALAGI'!D6:E6</f>
        <v>MUKONO</v>
      </c>
      <c r="E6" s="56"/>
      <c r="F6" s="2" t="s">
        <v>2</v>
      </c>
      <c r="G6" s="55" t="str">
        <f>'29.10 MUKONO-KALAGI'!G6:H6</f>
        <v>KALAGI</v>
      </c>
      <c r="H6" s="56"/>
      <c r="J6" s="2" t="s">
        <v>21</v>
      </c>
      <c r="K6" s="55" t="str">
        <f>'3.11 KALAGI-MUKONO'!K6:L6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3</v>
      </c>
      <c r="E10" s="50">
        <v>2</v>
      </c>
      <c r="F10" s="50">
        <v>12</v>
      </c>
      <c r="G10" s="50">
        <v>1</v>
      </c>
      <c r="H10" s="50">
        <v>1</v>
      </c>
      <c r="I10" s="50">
        <v>3</v>
      </c>
      <c r="J10" s="50">
        <v>1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57" si="0">SUM(C10:L10,N10)</f>
        <v>26</v>
      </c>
      <c r="P10" s="15">
        <f t="shared" ref="P10:P57" si="1">SUM(C10:N10)</f>
        <v>38</v>
      </c>
      <c r="R10" s="1" t="s">
        <v>6</v>
      </c>
      <c r="S10" s="17">
        <f t="shared" ref="S10:AF10" si="2">SUM(C10:C13)</f>
        <v>26</v>
      </c>
      <c r="T10" s="17">
        <f t="shared" si="2"/>
        <v>6</v>
      </c>
      <c r="U10" s="17">
        <f t="shared" si="2"/>
        <v>3</v>
      </c>
      <c r="V10" s="17">
        <f t="shared" si="2"/>
        <v>42</v>
      </c>
      <c r="W10" s="17">
        <f t="shared" si="2"/>
        <v>1</v>
      </c>
      <c r="X10" s="17">
        <f t="shared" si="2"/>
        <v>1</v>
      </c>
      <c r="Y10" s="17">
        <f t="shared" si="2"/>
        <v>7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53</v>
      </c>
      <c r="AD10" s="17">
        <f t="shared" si="2"/>
        <v>0</v>
      </c>
      <c r="AE10" s="31">
        <f t="shared" si="2"/>
        <v>88</v>
      </c>
      <c r="AF10" s="31">
        <f t="shared" si="2"/>
        <v>141</v>
      </c>
    </row>
    <row r="11" spans="2:32" s="6" customFormat="1" ht="23.1" customHeight="1" x14ac:dyDescent="0.25">
      <c r="B11" s="45" t="s">
        <v>38</v>
      </c>
      <c r="C11" s="50">
        <v>9</v>
      </c>
      <c r="D11" s="50">
        <v>0</v>
      </c>
      <c r="E11" s="50">
        <v>0</v>
      </c>
      <c r="F11" s="50">
        <v>4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18</v>
      </c>
      <c r="N11" s="50">
        <v>0</v>
      </c>
      <c r="O11" s="15">
        <f t="shared" si="0"/>
        <v>15</v>
      </c>
      <c r="P11" s="15">
        <f t="shared" si="1"/>
        <v>33</v>
      </c>
      <c r="R11" s="1" t="s">
        <v>7</v>
      </c>
      <c r="S11" s="17">
        <f t="shared" ref="S11:AF11" si="3">SUM(C14:C17)</f>
        <v>24</v>
      </c>
      <c r="T11" s="17">
        <f t="shared" si="3"/>
        <v>3</v>
      </c>
      <c r="U11" s="17">
        <f t="shared" si="3"/>
        <v>7</v>
      </c>
      <c r="V11" s="17">
        <f t="shared" si="3"/>
        <v>39</v>
      </c>
      <c r="W11" s="17">
        <f t="shared" si="3"/>
        <v>0</v>
      </c>
      <c r="X11" s="17">
        <f t="shared" si="3"/>
        <v>0</v>
      </c>
      <c r="Y11" s="17">
        <f t="shared" si="3"/>
        <v>10</v>
      </c>
      <c r="Z11" s="17">
        <f t="shared" si="3"/>
        <v>1</v>
      </c>
      <c r="AA11" s="17">
        <f t="shared" si="3"/>
        <v>4</v>
      </c>
      <c r="AB11" s="17">
        <f t="shared" si="3"/>
        <v>0</v>
      </c>
      <c r="AC11" s="17">
        <f t="shared" si="3"/>
        <v>74</v>
      </c>
      <c r="AD11" s="17">
        <f t="shared" si="3"/>
        <v>0</v>
      </c>
      <c r="AE11" s="31">
        <f t="shared" si="3"/>
        <v>88</v>
      </c>
      <c r="AF11" s="31">
        <f t="shared" si="3"/>
        <v>162</v>
      </c>
    </row>
    <row r="12" spans="2:32" ht="23.1" customHeight="1" x14ac:dyDescent="0.25">
      <c r="B12" s="45" t="s">
        <v>39</v>
      </c>
      <c r="C12" s="50">
        <v>5</v>
      </c>
      <c r="D12" s="50">
        <v>1</v>
      </c>
      <c r="E12" s="50">
        <v>1</v>
      </c>
      <c r="F12" s="50">
        <v>16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23</v>
      </c>
      <c r="P12" s="15">
        <f t="shared" si="1"/>
        <v>33</v>
      </c>
      <c r="R12" s="1" t="s">
        <v>8</v>
      </c>
      <c r="S12" s="17">
        <f t="shared" ref="S12:AF12" si="4">SUM(C18:C21)</f>
        <v>20</v>
      </c>
      <c r="T12" s="17">
        <f t="shared" si="4"/>
        <v>5</v>
      </c>
      <c r="U12" s="17">
        <f t="shared" si="4"/>
        <v>5</v>
      </c>
      <c r="V12" s="17">
        <f t="shared" si="4"/>
        <v>31</v>
      </c>
      <c r="W12" s="17">
        <f t="shared" si="4"/>
        <v>1</v>
      </c>
      <c r="X12" s="17">
        <f t="shared" si="4"/>
        <v>0</v>
      </c>
      <c r="Y12" s="17">
        <f t="shared" si="4"/>
        <v>12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59</v>
      </c>
      <c r="AD12" s="17">
        <f t="shared" si="4"/>
        <v>0</v>
      </c>
      <c r="AE12" s="31">
        <f t="shared" si="4"/>
        <v>75</v>
      </c>
      <c r="AF12" s="31">
        <f t="shared" si="4"/>
        <v>134</v>
      </c>
    </row>
    <row r="13" spans="2:32" ht="23.1" customHeight="1" x14ac:dyDescent="0.25">
      <c r="B13" s="45" t="s">
        <v>40</v>
      </c>
      <c r="C13" s="50">
        <v>9</v>
      </c>
      <c r="D13" s="50">
        <v>2</v>
      </c>
      <c r="E13" s="50">
        <v>0</v>
      </c>
      <c r="F13" s="50">
        <v>10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1</v>
      </c>
      <c r="M13" s="50">
        <v>13</v>
      </c>
      <c r="N13" s="50">
        <v>0</v>
      </c>
      <c r="O13" s="15">
        <f t="shared" si="0"/>
        <v>24</v>
      </c>
      <c r="P13" s="15">
        <f t="shared" si="1"/>
        <v>37</v>
      </c>
      <c r="R13" s="1" t="s">
        <v>9</v>
      </c>
      <c r="S13" s="17">
        <f t="shared" ref="S13:AF13" si="5">SUM(C22:C25)</f>
        <v>39</v>
      </c>
      <c r="T13" s="17">
        <f t="shared" si="5"/>
        <v>7</v>
      </c>
      <c r="U13" s="17">
        <f t="shared" si="5"/>
        <v>6</v>
      </c>
      <c r="V13" s="17">
        <f t="shared" si="5"/>
        <v>36</v>
      </c>
      <c r="W13" s="17">
        <f t="shared" si="5"/>
        <v>1</v>
      </c>
      <c r="X13" s="17">
        <f t="shared" si="5"/>
        <v>0</v>
      </c>
      <c r="Y13" s="17">
        <f t="shared" si="5"/>
        <v>15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54</v>
      </c>
      <c r="AD13" s="17">
        <f t="shared" si="5"/>
        <v>0</v>
      </c>
      <c r="AE13" s="31">
        <f t="shared" si="5"/>
        <v>106</v>
      </c>
      <c r="AF13" s="31">
        <f t="shared" si="5"/>
        <v>160</v>
      </c>
    </row>
    <row r="14" spans="2:32" ht="23.1" customHeight="1" x14ac:dyDescent="0.25">
      <c r="B14" s="45" t="s">
        <v>41</v>
      </c>
      <c r="C14" s="50">
        <v>10</v>
      </c>
      <c r="D14" s="50">
        <v>1</v>
      </c>
      <c r="E14" s="50">
        <v>2</v>
      </c>
      <c r="F14" s="50">
        <v>15</v>
      </c>
      <c r="G14" s="50">
        <v>0</v>
      </c>
      <c r="H14" s="50">
        <v>0</v>
      </c>
      <c r="I14" s="50">
        <v>2</v>
      </c>
      <c r="J14" s="50">
        <v>1</v>
      </c>
      <c r="K14" s="50">
        <v>1</v>
      </c>
      <c r="L14" s="50">
        <v>0</v>
      </c>
      <c r="M14" s="50">
        <v>19</v>
      </c>
      <c r="N14" s="50">
        <v>0</v>
      </c>
      <c r="O14" s="15">
        <f t="shared" si="0"/>
        <v>32</v>
      </c>
      <c r="P14" s="15">
        <f t="shared" si="1"/>
        <v>51</v>
      </c>
      <c r="R14" s="1" t="s">
        <v>10</v>
      </c>
      <c r="S14" s="17">
        <f t="shared" ref="S14:AF14" si="6">SUM(C26:C29)</f>
        <v>26</v>
      </c>
      <c r="T14" s="17">
        <f t="shared" si="6"/>
        <v>6</v>
      </c>
      <c r="U14" s="17">
        <f t="shared" si="6"/>
        <v>10</v>
      </c>
      <c r="V14" s="17">
        <f t="shared" si="6"/>
        <v>33</v>
      </c>
      <c r="W14" s="17">
        <f t="shared" si="6"/>
        <v>1</v>
      </c>
      <c r="X14" s="17">
        <f t="shared" si="6"/>
        <v>0</v>
      </c>
      <c r="Y14" s="17">
        <f t="shared" si="6"/>
        <v>21</v>
      </c>
      <c r="Z14" s="17">
        <f t="shared" si="6"/>
        <v>0</v>
      </c>
      <c r="AA14" s="17">
        <f t="shared" si="6"/>
        <v>0</v>
      </c>
      <c r="AB14" s="17">
        <f t="shared" si="6"/>
        <v>2</v>
      </c>
      <c r="AC14" s="17">
        <f t="shared" si="6"/>
        <v>101</v>
      </c>
      <c r="AD14" s="17">
        <f t="shared" si="6"/>
        <v>0</v>
      </c>
      <c r="AE14" s="31">
        <f t="shared" si="6"/>
        <v>99</v>
      </c>
      <c r="AF14" s="31">
        <f t="shared" si="6"/>
        <v>200</v>
      </c>
    </row>
    <row r="15" spans="2:32" ht="23.1" customHeight="1" x14ac:dyDescent="0.25">
      <c r="B15" s="45" t="s">
        <v>42</v>
      </c>
      <c r="C15" s="50">
        <v>4</v>
      </c>
      <c r="D15" s="50">
        <v>2</v>
      </c>
      <c r="E15" s="50">
        <v>2</v>
      </c>
      <c r="F15" s="50">
        <v>6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17</v>
      </c>
      <c r="N15" s="50">
        <v>0</v>
      </c>
      <c r="O15" s="15">
        <f t="shared" si="0"/>
        <v>15</v>
      </c>
      <c r="P15" s="15">
        <f t="shared" si="1"/>
        <v>32</v>
      </c>
      <c r="R15" s="1" t="s">
        <v>11</v>
      </c>
      <c r="S15" s="17">
        <f t="shared" ref="S15:AF15" si="7">SUM(C30:C33)</f>
        <v>25</v>
      </c>
      <c r="T15" s="17">
        <f t="shared" si="7"/>
        <v>11</v>
      </c>
      <c r="U15" s="17">
        <f t="shared" si="7"/>
        <v>5</v>
      </c>
      <c r="V15" s="17">
        <f t="shared" si="7"/>
        <v>39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90</v>
      </c>
      <c r="AD15" s="17">
        <f t="shared" si="7"/>
        <v>0</v>
      </c>
      <c r="AE15" s="31">
        <f t="shared" si="7"/>
        <v>97</v>
      </c>
      <c r="AF15" s="31">
        <f t="shared" si="7"/>
        <v>187</v>
      </c>
    </row>
    <row r="16" spans="2:32" ht="23.1" customHeight="1" x14ac:dyDescent="0.25">
      <c r="B16" s="45" t="s">
        <v>43</v>
      </c>
      <c r="C16" s="50">
        <v>7</v>
      </c>
      <c r="D16" s="50">
        <v>0</v>
      </c>
      <c r="E16" s="50">
        <v>1</v>
      </c>
      <c r="F16" s="50">
        <v>10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24</v>
      </c>
      <c r="N16" s="50">
        <v>0</v>
      </c>
      <c r="O16" s="15">
        <f t="shared" si="0"/>
        <v>21</v>
      </c>
      <c r="P16" s="15">
        <f t="shared" si="1"/>
        <v>45</v>
      </c>
      <c r="R16" s="1" t="s">
        <v>12</v>
      </c>
      <c r="S16" s="17">
        <f t="shared" ref="S16:AF16" si="8">SUM(C34:C37)</f>
        <v>34</v>
      </c>
      <c r="T16" s="17">
        <f t="shared" si="8"/>
        <v>5</v>
      </c>
      <c r="U16" s="17">
        <f t="shared" si="8"/>
        <v>9</v>
      </c>
      <c r="V16" s="17">
        <f t="shared" si="8"/>
        <v>37</v>
      </c>
      <c r="W16" s="17">
        <f t="shared" si="8"/>
        <v>2</v>
      </c>
      <c r="X16" s="17">
        <f t="shared" si="8"/>
        <v>0</v>
      </c>
      <c r="Y16" s="17">
        <f t="shared" si="8"/>
        <v>8</v>
      </c>
      <c r="Z16" s="17">
        <f t="shared" si="8"/>
        <v>1</v>
      </c>
      <c r="AA16" s="17">
        <f t="shared" si="8"/>
        <v>0</v>
      </c>
      <c r="AB16" s="17">
        <f t="shared" si="8"/>
        <v>2</v>
      </c>
      <c r="AC16" s="17">
        <f t="shared" si="8"/>
        <v>81</v>
      </c>
      <c r="AD16" s="17">
        <f t="shared" si="8"/>
        <v>2</v>
      </c>
      <c r="AE16" s="31">
        <f t="shared" si="8"/>
        <v>100</v>
      </c>
      <c r="AF16" s="31">
        <f t="shared" si="8"/>
        <v>181</v>
      </c>
    </row>
    <row r="17" spans="2:32" ht="23.1" customHeight="1" x14ac:dyDescent="0.25">
      <c r="B17" s="45" t="s">
        <v>44</v>
      </c>
      <c r="C17" s="50">
        <v>3</v>
      </c>
      <c r="D17" s="50">
        <v>0</v>
      </c>
      <c r="E17" s="50">
        <v>2</v>
      </c>
      <c r="F17" s="50">
        <v>8</v>
      </c>
      <c r="G17" s="50">
        <v>0</v>
      </c>
      <c r="H17" s="50">
        <v>0</v>
      </c>
      <c r="I17" s="50">
        <v>5</v>
      </c>
      <c r="J17" s="50">
        <v>0</v>
      </c>
      <c r="K17" s="50">
        <v>2</v>
      </c>
      <c r="L17" s="50">
        <v>0</v>
      </c>
      <c r="M17" s="50">
        <v>14</v>
      </c>
      <c r="N17" s="50">
        <v>0</v>
      </c>
      <c r="O17" s="15">
        <f t="shared" si="0"/>
        <v>20</v>
      </c>
      <c r="P17" s="15">
        <f t="shared" si="1"/>
        <v>34</v>
      </c>
      <c r="R17" s="1" t="s">
        <v>13</v>
      </c>
      <c r="S17" s="17">
        <f t="shared" ref="S17:AF17" si="9">SUM(C38:C41)</f>
        <v>41</v>
      </c>
      <c r="T17" s="17">
        <f t="shared" si="9"/>
        <v>8</v>
      </c>
      <c r="U17" s="17">
        <f t="shared" si="9"/>
        <v>9</v>
      </c>
      <c r="V17" s="17">
        <f t="shared" si="9"/>
        <v>41</v>
      </c>
      <c r="W17" s="17">
        <f t="shared" si="9"/>
        <v>4</v>
      </c>
      <c r="X17" s="17">
        <f t="shared" si="9"/>
        <v>0</v>
      </c>
      <c r="Y17" s="17">
        <f t="shared" si="9"/>
        <v>13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104</v>
      </c>
      <c r="AD17" s="17">
        <f t="shared" si="9"/>
        <v>0</v>
      </c>
      <c r="AE17" s="31">
        <f t="shared" si="9"/>
        <v>118</v>
      </c>
      <c r="AF17" s="31">
        <f t="shared" si="9"/>
        <v>222</v>
      </c>
    </row>
    <row r="18" spans="2:32" ht="23.1" customHeight="1" x14ac:dyDescent="0.25">
      <c r="B18" s="45" t="s">
        <v>45</v>
      </c>
      <c r="C18" s="50">
        <v>4</v>
      </c>
      <c r="D18" s="50">
        <v>2</v>
      </c>
      <c r="E18" s="50">
        <v>1</v>
      </c>
      <c r="F18" s="50">
        <v>7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19</v>
      </c>
      <c r="N18" s="50">
        <v>0</v>
      </c>
      <c r="O18" s="15">
        <f t="shared" si="0"/>
        <v>16</v>
      </c>
      <c r="P18" s="15">
        <f t="shared" si="1"/>
        <v>35</v>
      </c>
      <c r="R18" s="1" t="s">
        <v>14</v>
      </c>
      <c r="S18" s="17">
        <f t="shared" ref="S18:AF18" si="10">SUM(C42:C45)</f>
        <v>34</v>
      </c>
      <c r="T18" s="17">
        <f t="shared" si="10"/>
        <v>11</v>
      </c>
      <c r="U18" s="17">
        <f t="shared" si="10"/>
        <v>8</v>
      </c>
      <c r="V18" s="17">
        <f t="shared" si="10"/>
        <v>27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53</v>
      </c>
      <c r="AD18" s="17">
        <f t="shared" si="10"/>
        <v>0</v>
      </c>
      <c r="AE18" s="31">
        <f t="shared" si="10"/>
        <v>94</v>
      </c>
      <c r="AF18" s="31">
        <f t="shared" si="10"/>
        <v>147</v>
      </c>
    </row>
    <row r="19" spans="2:32" ht="23.1" customHeight="1" x14ac:dyDescent="0.25">
      <c r="B19" s="45" t="s">
        <v>46</v>
      </c>
      <c r="C19" s="50">
        <v>7</v>
      </c>
      <c r="D19" s="50">
        <v>1</v>
      </c>
      <c r="E19" s="50">
        <v>2</v>
      </c>
      <c r="F19" s="50">
        <v>8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23</v>
      </c>
      <c r="P19" s="15">
        <f t="shared" si="1"/>
        <v>33</v>
      </c>
      <c r="R19" s="1" t="s">
        <v>15</v>
      </c>
      <c r="S19" s="17">
        <f t="shared" ref="S19:AF19" si="11">SUM(C46:C49)</f>
        <v>34</v>
      </c>
      <c r="T19" s="17">
        <f t="shared" si="11"/>
        <v>10</v>
      </c>
      <c r="U19" s="17">
        <f t="shared" si="11"/>
        <v>10</v>
      </c>
      <c r="V19" s="17">
        <f t="shared" si="11"/>
        <v>38</v>
      </c>
      <c r="W19" s="17">
        <f t="shared" si="11"/>
        <v>3</v>
      </c>
      <c r="X19" s="17">
        <f t="shared" si="11"/>
        <v>0</v>
      </c>
      <c r="Y19" s="17">
        <f t="shared" si="11"/>
        <v>13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71</v>
      </c>
      <c r="AD19" s="17">
        <f t="shared" si="11"/>
        <v>0</v>
      </c>
      <c r="AE19" s="31">
        <f t="shared" si="11"/>
        <v>108</v>
      </c>
      <c r="AF19" s="31">
        <f t="shared" si="11"/>
        <v>179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3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8</v>
      </c>
      <c r="P20" s="15">
        <f t="shared" si="1"/>
        <v>13</v>
      </c>
      <c r="R20" s="1" t="s">
        <v>16</v>
      </c>
      <c r="S20" s="17">
        <f t="shared" ref="S20:AF20" si="12">SUM(C50:C53)</f>
        <v>34</v>
      </c>
      <c r="T20" s="17">
        <f t="shared" si="12"/>
        <v>7</v>
      </c>
      <c r="U20" s="17">
        <f t="shared" si="12"/>
        <v>6</v>
      </c>
      <c r="V20" s="17">
        <f t="shared" si="12"/>
        <v>44</v>
      </c>
      <c r="W20" s="17">
        <f t="shared" si="12"/>
        <v>2</v>
      </c>
      <c r="X20" s="17">
        <f t="shared" si="12"/>
        <v>0</v>
      </c>
      <c r="Y20" s="17">
        <f t="shared" si="12"/>
        <v>10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85</v>
      </c>
      <c r="AD20" s="17">
        <f t="shared" si="12"/>
        <v>1</v>
      </c>
      <c r="AE20" s="31">
        <f t="shared" si="12"/>
        <v>104</v>
      </c>
      <c r="AF20" s="31">
        <f t="shared" si="12"/>
        <v>189</v>
      </c>
    </row>
    <row r="21" spans="2:32" ht="23.1" customHeight="1" x14ac:dyDescent="0.25">
      <c r="B21" s="45" t="s">
        <v>48</v>
      </c>
      <c r="C21" s="50">
        <v>7</v>
      </c>
      <c r="D21" s="50">
        <v>2</v>
      </c>
      <c r="E21" s="50">
        <v>2</v>
      </c>
      <c r="F21" s="50">
        <v>13</v>
      </c>
      <c r="G21" s="50">
        <v>1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25</v>
      </c>
      <c r="N21" s="50">
        <v>0</v>
      </c>
      <c r="O21" s="15">
        <f t="shared" si="0"/>
        <v>28</v>
      </c>
      <c r="P21" s="15">
        <f t="shared" si="1"/>
        <v>53</v>
      </c>
      <c r="R21" s="36" t="s">
        <v>20</v>
      </c>
      <c r="S21" s="34">
        <f t="shared" ref="S21:AF21" si="13">SUM(C54:C57)</f>
        <v>31</v>
      </c>
      <c r="T21" s="17">
        <f t="shared" si="13"/>
        <v>9</v>
      </c>
      <c r="U21" s="17">
        <f t="shared" si="13"/>
        <v>7</v>
      </c>
      <c r="V21" s="17">
        <f t="shared" si="13"/>
        <v>38</v>
      </c>
      <c r="W21" s="17">
        <f t="shared" si="13"/>
        <v>1</v>
      </c>
      <c r="X21" s="17">
        <f t="shared" si="13"/>
        <v>0</v>
      </c>
      <c r="Y21" s="17">
        <f t="shared" si="13"/>
        <v>13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70</v>
      </c>
      <c r="AD21" s="17">
        <f t="shared" si="13"/>
        <v>0</v>
      </c>
      <c r="AE21" s="31">
        <f t="shared" si="13"/>
        <v>101</v>
      </c>
      <c r="AF21" s="31">
        <f t="shared" si="13"/>
        <v>171</v>
      </c>
    </row>
    <row r="22" spans="2:32" ht="23.1" customHeight="1" x14ac:dyDescent="0.25">
      <c r="B22" s="45" t="s">
        <v>49</v>
      </c>
      <c r="C22" s="50">
        <v>12</v>
      </c>
      <c r="D22" s="50">
        <v>1</v>
      </c>
      <c r="E22" s="50">
        <v>1</v>
      </c>
      <c r="F22" s="50">
        <v>10</v>
      </c>
      <c r="G22" s="50">
        <v>0</v>
      </c>
      <c r="H22" s="50">
        <v>0</v>
      </c>
      <c r="I22" s="50">
        <v>5</v>
      </c>
      <c r="J22" s="50">
        <v>0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29</v>
      </c>
      <c r="P22" s="15">
        <f t="shared" si="1"/>
        <v>47</v>
      </c>
      <c r="R22" s="36" t="s">
        <v>146</v>
      </c>
      <c r="S22" s="34">
        <f>SUM(C58:C61)</f>
        <v>26</v>
      </c>
      <c r="T22" s="34">
        <f t="shared" ref="T22:AF22" si="14">SUM(D58:D61)</f>
        <v>5</v>
      </c>
      <c r="U22" s="34">
        <f t="shared" si="14"/>
        <v>6</v>
      </c>
      <c r="V22" s="34">
        <f t="shared" si="14"/>
        <v>41</v>
      </c>
      <c r="W22" s="34">
        <f t="shared" si="14"/>
        <v>4</v>
      </c>
      <c r="X22" s="34">
        <f t="shared" si="14"/>
        <v>0</v>
      </c>
      <c r="Y22" s="34">
        <f t="shared" si="14"/>
        <v>12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83</v>
      </c>
      <c r="AD22" s="34">
        <f t="shared" si="14"/>
        <v>0</v>
      </c>
      <c r="AE22" s="31">
        <f t="shared" si="14"/>
        <v>94</v>
      </c>
      <c r="AF22" s="31">
        <f t="shared" si="14"/>
        <v>177</v>
      </c>
    </row>
    <row r="23" spans="2:32" ht="23.1" customHeight="1" x14ac:dyDescent="0.25">
      <c r="B23" s="45" t="s">
        <v>50</v>
      </c>
      <c r="C23" s="50">
        <v>10</v>
      </c>
      <c r="D23" s="50">
        <v>2</v>
      </c>
      <c r="E23" s="50">
        <v>2</v>
      </c>
      <c r="F23" s="50">
        <v>10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5">
        <f t="shared" si="0"/>
        <v>29</v>
      </c>
      <c r="P23" s="15">
        <f t="shared" si="1"/>
        <v>40</v>
      </c>
      <c r="R23" s="36" t="s">
        <v>147</v>
      </c>
      <c r="S23" s="34">
        <f>SUM(C62:C65)</f>
        <v>15</v>
      </c>
      <c r="T23" s="34">
        <f t="shared" ref="T23:AF23" si="15">SUM(D62:D65)</f>
        <v>9</v>
      </c>
      <c r="U23" s="34">
        <f t="shared" si="15"/>
        <v>6</v>
      </c>
      <c r="V23" s="34">
        <f t="shared" si="15"/>
        <v>40</v>
      </c>
      <c r="W23" s="34">
        <f t="shared" si="15"/>
        <v>0</v>
      </c>
      <c r="X23" s="34">
        <f t="shared" si="15"/>
        <v>0</v>
      </c>
      <c r="Y23" s="34">
        <f t="shared" si="15"/>
        <v>14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115</v>
      </c>
      <c r="AD23" s="34">
        <f t="shared" si="15"/>
        <v>0</v>
      </c>
      <c r="AE23" s="31">
        <f t="shared" si="15"/>
        <v>84</v>
      </c>
      <c r="AF23" s="31">
        <f t="shared" si="15"/>
        <v>199</v>
      </c>
    </row>
    <row r="24" spans="2:32" ht="23.1" customHeight="1" x14ac:dyDescent="0.25">
      <c r="B24" s="45" t="s">
        <v>51</v>
      </c>
      <c r="C24" s="50">
        <v>8</v>
      </c>
      <c r="D24" s="50">
        <v>2</v>
      </c>
      <c r="E24" s="50">
        <v>3</v>
      </c>
      <c r="F24" s="50">
        <v>9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1</v>
      </c>
      <c r="M24" s="50">
        <v>10</v>
      </c>
      <c r="N24" s="50">
        <v>0</v>
      </c>
      <c r="O24" s="15">
        <f t="shared" si="0"/>
        <v>25</v>
      </c>
      <c r="P24" s="15">
        <f t="shared" si="1"/>
        <v>35</v>
      </c>
      <c r="R24" s="36" t="s">
        <v>148</v>
      </c>
      <c r="S24" s="34">
        <f>SUM(C66:C69)</f>
        <v>17</v>
      </c>
      <c r="T24" s="34">
        <f t="shared" ref="T24:AF24" si="16">SUM(D66:D69)</f>
        <v>2</v>
      </c>
      <c r="U24" s="34">
        <f t="shared" si="16"/>
        <v>4</v>
      </c>
      <c r="V24" s="34">
        <f t="shared" si="16"/>
        <v>38</v>
      </c>
      <c r="W24" s="34">
        <f t="shared" si="16"/>
        <v>1</v>
      </c>
      <c r="X24" s="34">
        <f t="shared" si="16"/>
        <v>3</v>
      </c>
      <c r="Y24" s="34">
        <f t="shared" si="16"/>
        <v>11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68</v>
      </c>
      <c r="AD24" s="34">
        <f t="shared" si="16"/>
        <v>0</v>
      </c>
      <c r="AE24" s="31">
        <f t="shared" si="16"/>
        <v>76</v>
      </c>
      <c r="AF24" s="31">
        <f t="shared" si="16"/>
        <v>144</v>
      </c>
    </row>
    <row r="25" spans="2:32" ht="23.1" customHeight="1" x14ac:dyDescent="0.25">
      <c r="B25" s="45" t="s">
        <v>52</v>
      </c>
      <c r="C25" s="50">
        <v>9</v>
      </c>
      <c r="D25" s="50">
        <v>2</v>
      </c>
      <c r="E25" s="50">
        <v>0</v>
      </c>
      <c r="F25" s="50">
        <v>7</v>
      </c>
      <c r="G25" s="50">
        <v>1</v>
      </c>
      <c r="H25" s="50">
        <v>0</v>
      </c>
      <c r="I25" s="50">
        <v>3</v>
      </c>
      <c r="J25" s="50">
        <v>0</v>
      </c>
      <c r="K25" s="50">
        <v>0</v>
      </c>
      <c r="L25" s="50">
        <v>1</v>
      </c>
      <c r="M25" s="50">
        <v>15</v>
      </c>
      <c r="N25" s="50">
        <v>0</v>
      </c>
      <c r="O25" s="15">
        <f t="shared" si="0"/>
        <v>23</v>
      </c>
      <c r="P25" s="15">
        <f t="shared" si="1"/>
        <v>38</v>
      </c>
      <c r="R25" s="36" t="s">
        <v>149</v>
      </c>
      <c r="S25" s="34">
        <f>SUM(C70:C73)</f>
        <v>13</v>
      </c>
      <c r="T25" s="34">
        <f t="shared" ref="T25:AF25" si="17">SUM(D70:D73)</f>
        <v>3</v>
      </c>
      <c r="U25" s="34">
        <f t="shared" si="17"/>
        <v>2</v>
      </c>
      <c r="V25" s="34">
        <f t="shared" si="17"/>
        <v>27</v>
      </c>
      <c r="W25" s="34">
        <f t="shared" si="17"/>
        <v>1</v>
      </c>
      <c r="X25" s="34">
        <f t="shared" si="17"/>
        <v>0</v>
      </c>
      <c r="Y25" s="34">
        <f t="shared" si="17"/>
        <v>4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55</v>
      </c>
      <c r="AD25" s="34">
        <f t="shared" si="17"/>
        <v>0</v>
      </c>
      <c r="AE25" s="31">
        <f t="shared" si="17"/>
        <v>50</v>
      </c>
      <c r="AF25" s="31">
        <f t="shared" si="17"/>
        <v>105</v>
      </c>
    </row>
    <row r="26" spans="2:32" ht="23.1" customHeight="1" x14ac:dyDescent="0.25">
      <c r="B26" s="45" t="s">
        <v>53</v>
      </c>
      <c r="C26" s="50">
        <v>10</v>
      </c>
      <c r="D26" s="50">
        <v>0</v>
      </c>
      <c r="E26" s="50">
        <v>2</v>
      </c>
      <c r="F26" s="50">
        <v>10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31</v>
      </c>
      <c r="N26" s="50">
        <v>0</v>
      </c>
      <c r="O26" s="15">
        <f t="shared" si="0"/>
        <v>26</v>
      </c>
      <c r="P26" s="15">
        <f t="shared" si="1"/>
        <v>57</v>
      </c>
      <c r="R26" s="36" t="s">
        <v>150</v>
      </c>
      <c r="S26" s="34">
        <f>SUM(C74:C77)</f>
        <v>7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12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35</v>
      </c>
      <c r="AD26" s="34">
        <f t="shared" si="18"/>
        <v>0</v>
      </c>
      <c r="AE26" s="31">
        <f t="shared" si="18"/>
        <v>24</v>
      </c>
      <c r="AF26" s="31">
        <f t="shared" si="18"/>
        <v>59</v>
      </c>
    </row>
    <row r="27" spans="2:32" ht="23.1" customHeight="1" x14ac:dyDescent="0.25">
      <c r="B27" s="45" t="s">
        <v>54</v>
      </c>
      <c r="C27" s="50">
        <v>5</v>
      </c>
      <c r="D27" s="50">
        <v>1</v>
      </c>
      <c r="E27" s="50">
        <v>3</v>
      </c>
      <c r="F27" s="50">
        <v>6</v>
      </c>
      <c r="G27" s="50">
        <v>0</v>
      </c>
      <c r="H27" s="50">
        <v>0</v>
      </c>
      <c r="I27" s="50">
        <v>5</v>
      </c>
      <c r="J27" s="50">
        <v>0</v>
      </c>
      <c r="K27" s="50">
        <v>0</v>
      </c>
      <c r="L27" s="50">
        <v>1</v>
      </c>
      <c r="M27" s="50">
        <v>24</v>
      </c>
      <c r="N27" s="50">
        <v>0</v>
      </c>
      <c r="O27" s="15">
        <f t="shared" si="0"/>
        <v>21</v>
      </c>
      <c r="P27" s="15">
        <f t="shared" si="1"/>
        <v>45</v>
      </c>
      <c r="R27" s="36" t="s">
        <v>151</v>
      </c>
      <c r="S27" s="34">
        <f>SUM(C78:C81)</f>
        <v>7</v>
      </c>
      <c r="T27" s="34">
        <f t="shared" ref="T27:AF27" si="19">SUM(D78:D81)</f>
        <v>3</v>
      </c>
      <c r="U27" s="34">
        <f t="shared" si="19"/>
        <v>1</v>
      </c>
      <c r="V27" s="34">
        <f t="shared" si="19"/>
        <v>4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13</v>
      </c>
      <c r="AD27" s="34">
        <f t="shared" si="19"/>
        <v>0</v>
      </c>
      <c r="AE27" s="31">
        <f t="shared" si="19"/>
        <v>16</v>
      </c>
      <c r="AF27" s="31">
        <f t="shared" si="19"/>
        <v>29</v>
      </c>
    </row>
    <row r="28" spans="2:32" ht="23.1" customHeight="1" x14ac:dyDescent="0.25">
      <c r="B28" s="45" t="s">
        <v>55</v>
      </c>
      <c r="C28" s="50">
        <v>7</v>
      </c>
      <c r="D28" s="50">
        <v>3</v>
      </c>
      <c r="E28" s="50">
        <v>2</v>
      </c>
      <c r="F28" s="50">
        <v>10</v>
      </c>
      <c r="G28" s="50">
        <v>1</v>
      </c>
      <c r="H28" s="50">
        <v>0</v>
      </c>
      <c r="I28" s="50">
        <v>7</v>
      </c>
      <c r="J28" s="50">
        <v>0</v>
      </c>
      <c r="K28" s="50">
        <v>0</v>
      </c>
      <c r="L28" s="50">
        <v>0</v>
      </c>
      <c r="M28" s="50">
        <v>27</v>
      </c>
      <c r="N28" s="50">
        <v>0</v>
      </c>
      <c r="O28" s="15">
        <f t="shared" si="0"/>
        <v>30</v>
      </c>
      <c r="P28" s="15">
        <f t="shared" si="1"/>
        <v>57</v>
      </c>
      <c r="R28" s="36" t="s">
        <v>152</v>
      </c>
      <c r="S28" s="34">
        <f>SUM(C82:C85)</f>
        <v>0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13</v>
      </c>
      <c r="AD28" s="34">
        <f t="shared" si="20"/>
        <v>0</v>
      </c>
      <c r="AE28" s="31">
        <f t="shared" si="20"/>
        <v>5</v>
      </c>
      <c r="AF28" s="31">
        <f t="shared" si="20"/>
        <v>18</v>
      </c>
    </row>
    <row r="29" spans="2:32" ht="23.1" customHeight="1" x14ac:dyDescent="0.25">
      <c r="B29" s="45" t="s">
        <v>56</v>
      </c>
      <c r="C29" s="50">
        <v>4</v>
      </c>
      <c r="D29" s="50">
        <v>2</v>
      </c>
      <c r="E29" s="50">
        <v>3</v>
      </c>
      <c r="F29" s="50">
        <v>7</v>
      </c>
      <c r="G29" s="50">
        <v>0</v>
      </c>
      <c r="H29" s="50">
        <v>0</v>
      </c>
      <c r="I29" s="50">
        <v>5</v>
      </c>
      <c r="J29" s="50">
        <v>0</v>
      </c>
      <c r="K29" s="50">
        <v>0</v>
      </c>
      <c r="L29" s="50">
        <v>1</v>
      </c>
      <c r="M29" s="50">
        <v>19</v>
      </c>
      <c r="N29" s="50">
        <v>0</v>
      </c>
      <c r="O29" s="15">
        <f t="shared" si="0"/>
        <v>22</v>
      </c>
      <c r="P29" s="15">
        <f t="shared" si="1"/>
        <v>41</v>
      </c>
      <c r="R29" s="36" t="s">
        <v>153</v>
      </c>
      <c r="S29" s="34">
        <f>SUM(C86:C89)</f>
        <v>0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1</v>
      </c>
      <c r="W29" s="34">
        <f t="shared" si="21"/>
        <v>1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</v>
      </c>
      <c r="AD29" s="34">
        <f t="shared" si="21"/>
        <v>0</v>
      </c>
      <c r="AE29" s="31">
        <f t="shared" si="21"/>
        <v>5</v>
      </c>
      <c r="AF29" s="31">
        <f t="shared" si="21"/>
        <v>8</v>
      </c>
    </row>
    <row r="30" spans="2:32" ht="23.1" customHeight="1" x14ac:dyDescent="0.25">
      <c r="B30" s="45" t="s">
        <v>57</v>
      </c>
      <c r="C30" s="50">
        <v>6</v>
      </c>
      <c r="D30" s="50">
        <v>5</v>
      </c>
      <c r="E30" s="50">
        <v>3</v>
      </c>
      <c r="F30" s="50">
        <v>12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0</v>
      </c>
      <c r="M30" s="50">
        <v>22</v>
      </c>
      <c r="N30" s="50">
        <v>0</v>
      </c>
      <c r="O30" s="15">
        <f t="shared" si="0"/>
        <v>33</v>
      </c>
      <c r="P30" s="15">
        <f t="shared" si="1"/>
        <v>55</v>
      </c>
      <c r="R30" s="36" t="s">
        <v>154</v>
      </c>
      <c r="S30" s="34">
        <f>SUM(C90:C93)</f>
        <v>0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8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6</v>
      </c>
      <c r="AD30" s="34">
        <f t="shared" si="22"/>
        <v>0</v>
      </c>
      <c r="AE30" s="31">
        <f t="shared" si="22"/>
        <v>12</v>
      </c>
      <c r="AF30" s="31">
        <f t="shared" si="22"/>
        <v>18</v>
      </c>
    </row>
    <row r="31" spans="2:32" ht="23.1" customHeight="1" x14ac:dyDescent="0.25">
      <c r="B31" s="46" t="s">
        <v>58</v>
      </c>
      <c r="C31" s="50">
        <v>10</v>
      </c>
      <c r="D31" s="50">
        <v>4</v>
      </c>
      <c r="E31" s="50">
        <v>1</v>
      </c>
      <c r="F31" s="50">
        <v>9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1</v>
      </c>
      <c r="M31" s="50">
        <v>26</v>
      </c>
      <c r="N31" s="50">
        <v>0</v>
      </c>
      <c r="O31" s="15">
        <f t="shared" si="0"/>
        <v>28</v>
      </c>
      <c r="P31" s="15">
        <f t="shared" si="1"/>
        <v>54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8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11</v>
      </c>
      <c r="AF31" s="31">
        <f t="shared" si="23"/>
        <v>14</v>
      </c>
    </row>
    <row r="32" spans="2:32" ht="23.1" customHeight="1" x14ac:dyDescent="0.25">
      <c r="B32" s="46" t="s">
        <v>59</v>
      </c>
      <c r="C32" s="50">
        <v>6</v>
      </c>
      <c r="D32" s="50">
        <v>1</v>
      </c>
      <c r="E32" s="50">
        <v>0</v>
      </c>
      <c r="F32" s="50">
        <v>9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21</v>
      </c>
      <c r="P32" s="15">
        <f t="shared" si="1"/>
        <v>40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9</v>
      </c>
      <c r="W32" s="34">
        <f t="shared" si="24"/>
        <v>0</v>
      </c>
      <c r="X32" s="34">
        <f t="shared" si="24"/>
        <v>0</v>
      </c>
      <c r="Y32" s="34">
        <f t="shared" si="24"/>
        <v>9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18</v>
      </c>
      <c r="AD32" s="34">
        <f t="shared" si="24"/>
        <v>0</v>
      </c>
      <c r="AE32" s="31">
        <f t="shared" si="24"/>
        <v>18</v>
      </c>
      <c r="AF32" s="31">
        <f t="shared" si="24"/>
        <v>36</v>
      </c>
    </row>
    <row r="33" spans="2:32" ht="23.1" customHeight="1" x14ac:dyDescent="0.25">
      <c r="B33" s="45" t="s">
        <v>60</v>
      </c>
      <c r="C33" s="50">
        <v>3</v>
      </c>
      <c r="D33" s="50">
        <v>1</v>
      </c>
      <c r="E33" s="50">
        <v>1</v>
      </c>
      <c r="F33" s="50">
        <v>9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23</v>
      </c>
      <c r="N33" s="50">
        <v>0</v>
      </c>
      <c r="O33" s="15">
        <f t="shared" si="0"/>
        <v>15</v>
      </c>
      <c r="P33" s="15">
        <f t="shared" si="1"/>
        <v>38</v>
      </c>
      <c r="R33" s="33" t="s">
        <v>157</v>
      </c>
      <c r="S33" s="34">
        <f>SUM(C102:C105)</f>
        <v>12</v>
      </c>
      <c r="T33" s="34">
        <f t="shared" ref="T33:AF33" si="25">SUM(D102:D105)</f>
        <v>3</v>
      </c>
      <c r="U33" s="34">
        <f t="shared" si="25"/>
        <v>5</v>
      </c>
      <c r="V33" s="34">
        <f t="shared" si="25"/>
        <v>23</v>
      </c>
      <c r="W33" s="34">
        <f t="shared" si="25"/>
        <v>1</v>
      </c>
      <c r="X33" s="34">
        <f t="shared" si="25"/>
        <v>0</v>
      </c>
      <c r="Y33" s="34">
        <f t="shared" si="25"/>
        <v>12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34</v>
      </c>
      <c r="AD33" s="34">
        <f t="shared" si="25"/>
        <v>0</v>
      </c>
      <c r="AE33" s="31">
        <f t="shared" si="25"/>
        <v>57</v>
      </c>
      <c r="AF33" s="31">
        <f t="shared" si="25"/>
        <v>91</v>
      </c>
    </row>
    <row r="34" spans="2:32" ht="23.1" customHeight="1" x14ac:dyDescent="0.25">
      <c r="B34" s="46" t="s">
        <v>61</v>
      </c>
      <c r="C34" s="50">
        <v>9</v>
      </c>
      <c r="D34" s="50">
        <v>3</v>
      </c>
      <c r="E34" s="50">
        <v>1</v>
      </c>
      <c r="F34" s="50">
        <v>7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22</v>
      </c>
      <c r="P34" s="15">
        <f t="shared" si="1"/>
        <v>41</v>
      </c>
      <c r="R34" s="38" t="s">
        <v>90</v>
      </c>
      <c r="S34" s="39">
        <f t="shared" ref="S34:AF34" si="26">MAX(S10:S12)</f>
        <v>26</v>
      </c>
      <c r="T34" s="39">
        <f t="shared" si="26"/>
        <v>6</v>
      </c>
      <c r="U34" s="39">
        <f t="shared" si="26"/>
        <v>7</v>
      </c>
      <c r="V34" s="39">
        <f t="shared" si="26"/>
        <v>42</v>
      </c>
      <c r="W34" s="39">
        <f t="shared" si="26"/>
        <v>1</v>
      </c>
      <c r="X34" s="39">
        <f t="shared" si="26"/>
        <v>1</v>
      </c>
      <c r="Y34" s="39">
        <f t="shared" si="26"/>
        <v>12</v>
      </c>
      <c r="Z34" s="39">
        <f t="shared" si="26"/>
        <v>1</v>
      </c>
      <c r="AA34" s="39">
        <f t="shared" si="26"/>
        <v>4</v>
      </c>
      <c r="AB34" s="39">
        <f t="shared" si="26"/>
        <v>1</v>
      </c>
      <c r="AC34" s="39">
        <f t="shared" si="26"/>
        <v>74</v>
      </c>
      <c r="AD34" s="39">
        <f t="shared" si="26"/>
        <v>0</v>
      </c>
      <c r="AE34" s="40">
        <f t="shared" si="26"/>
        <v>88</v>
      </c>
      <c r="AF34" s="40">
        <f t="shared" si="26"/>
        <v>162</v>
      </c>
    </row>
    <row r="35" spans="2:32" ht="23.1" customHeight="1" x14ac:dyDescent="0.25">
      <c r="B35" s="46" t="s">
        <v>62</v>
      </c>
      <c r="C35" s="50">
        <v>5</v>
      </c>
      <c r="D35" s="50">
        <v>0</v>
      </c>
      <c r="E35" s="50">
        <v>5</v>
      </c>
      <c r="F35" s="50">
        <v>10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2</v>
      </c>
      <c r="M35" s="50">
        <v>20</v>
      </c>
      <c r="N35" s="50">
        <v>0</v>
      </c>
      <c r="O35" s="15">
        <f t="shared" si="0"/>
        <v>25</v>
      </c>
      <c r="P35" s="15">
        <f t="shared" si="1"/>
        <v>45</v>
      </c>
      <c r="R35" s="38" t="s">
        <v>91</v>
      </c>
      <c r="S35" s="39">
        <f t="shared" ref="S35:AF35" si="27">MAX(S13:S18)</f>
        <v>41</v>
      </c>
      <c r="T35" s="39">
        <f t="shared" si="27"/>
        <v>11</v>
      </c>
      <c r="U35" s="39">
        <f t="shared" si="27"/>
        <v>10</v>
      </c>
      <c r="V35" s="39">
        <f t="shared" si="27"/>
        <v>41</v>
      </c>
      <c r="W35" s="39">
        <f t="shared" si="27"/>
        <v>4</v>
      </c>
      <c r="X35" s="39">
        <f t="shared" si="27"/>
        <v>0</v>
      </c>
      <c r="Y35" s="39">
        <f t="shared" si="27"/>
        <v>21</v>
      </c>
      <c r="Z35" s="39">
        <f t="shared" si="27"/>
        <v>1</v>
      </c>
      <c r="AA35" s="39">
        <f t="shared" si="27"/>
        <v>0</v>
      </c>
      <c r="AB35" s="39">
        <f t="shared" si="27"/>
        <v>2</v>
      </c>
      <c r="AC35" s="39">
        <f t="shared" si="27"/>
        <v>104</v>
      </c>
      <c r="AD35" s="39">
        <f t="shared" si="27"/>
        <v>2</v>
      </c>
      <c r="AE35" s="40">
        <f t="shared" si="27"/>
        <v>118</v>
      </c>
      <c r="AF35" s="40">
        <f t="shared" si="27"/>
        <v>222</v>
      </c>
    </row>
    <row r="36" spans="2:32" ht="23.1" customHeight="1" x14ac:dyDescent="0.25">
      <c r="B36" s="46" t="s">
        <v>63</v>
      </c>
      <c r="C36" s="50">
        <v>11</v>
      </c>
      <c r="D36" s="50">
        <v>1</v>
      </c>
      <c r="E36" s="50">
        <v>2</v>
      </c>
      <c r="F36" s="50">
        <v>8</v>
      </c>
      <c r="G36" s="50">
        <v>1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20</v>
      </c>
      <c r="N36" s="50">
        <v>1</v>
      </c>
      <c r="O36" s="15">
        <f t="shared" si="0"/>
        <v>25</v>
      </c>
      <c r="P36" s="15">
        <f t="shared" si="1"/>
        <v>45</v>
      </c>
      <c r="R36" s="38" t="s">
        <v>92</v>
      </c>
      <c r="S36" s="39">
        <f t="shared" ref="S36:AF36" si="28">MAX(S19:S21)</f>
        <v>34</v>
      </c>
      <c r="T36" s="39">
        <f t="shared" si="28"/>
        <v>10</v>
      </c>
      <c r="U36" s="39">
        <f t="shared" si="28"/>
        <v>10</v>
      </c>
      <c r="V36" s="39">
        <f t="shared" si="28"/>
        <v>44</v>
      </c>
      <c r="W36" s="39">
        <f t="shared" si="28"/>
        <v>3</v>
      </c>
      <c r="X36" s="39">
        <f t="shared" si="28"/>
        <v>0</v>
      </c>
      <c r="Y36" s="39">
        <f t="shared" si="28"/>
        <v>13</v>
      </c>
      <c r="Z36" s="39">
        <f t="shared" si="28"/>
        <v>0</v>
      </c>
      <c r="AA36" s="39">
        <f t="shared" si="28"/>
        <v>0</v>
      </c>
      <c r="AB36" s="39">
        <f t="shared" si="28"/>
        <v>2</v>
      </c>
      <c r="AC36" s="39">
        <f t="shared" si="28"/>
        <v>85</v>
      </c>
      <c r="AD36" s="39">
        <f t="shared" si="28"/>
        <v>1</v>
      </c>
      <c r="AE36" s="40">
        <f t="shared" si="28"/>
        <v>108</v>
      </c>
      <c r="AF36" s="40">
        <f t="shared" si="28"/>
        <v>189</v>
      </c>
    </row>
    <row r="37" spans="2:32" ht="23.1" customHeight="1" x14ac:dyDescent="0.25">
      <c r="B37" s="45" t="s">
        <v>64</v>
      </c>
      <c r="C37" s="50">
        <v>9</v>
      </c>
      <c r="D37" s="50">
        <v>1</v>
      </c>
      <c r="E37" s="50">
        <v>1</v>
      </c>
      <c r="F37" s="50">
        <v>12</v>
      </c>
      <c r="G37" s="50">
        <v>1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22</v>
      </c>
      <c r="N37" s="50">
        <v>1</v>
      </c>
      <c r="O37" s="15">
        <f t="shared" si="0"/>
        <v>28</v>
      </c>
      <c r="P37" s="15">
        <f t="shared" si="1"/>
        <v>50</v>
      </c>
      <c r="R37" s="37" t="s">
        <v>85</v>
      </c>
      <c r="S37" s="35">
        <f t="shared" ref="S37:AF37" si="29">SUM(S10:S12)</f>
        <v>70</v>
      </c>
      <c r="T37" s="16">
        <f t="shared" si="29"/>
        <v>14</v>
      </c>
      <c r="U37" s="16">
        <f t="shared" si="29"/>
        <v>15</v>
      </c>
      <c r="V37" s="16">
        <f t="shared" si="29"/>
        <v>112</v>
      </c>
      <c r="W37" s="16">
        <f t="shared" si="29"/>
        <v>2</v>
      </c>
      <c r="X37" s="16">
        <f t="shared" si="29"/>
        <v>1</v>
      </c>
      <c r="Y37" s="16">
        <f t="shared" si="29"/>
        <v>29</v>
      </c>
      <c r="Z37" s="16">
        <f t="shared" si="29"/>
        <v>3</v>
      </c>
      <c r="AA37" s="16">
        <f t="shared" si="29"/>
        <v>4</v>
      </c>
      <c r="AB37" s="16">
        <f t="shared" si="29"/>
        <v>1</v>
      </c>
      <c r="AC37" s="16">
        <f t="shared" si="29"/>
        <v>186</v>
      </c>
      <c r="AD37" s="16">
        <f t="shared" si="29"/>
        <v>0</v>
      </c>
      <c r="AE37" s="32">
        <f t="shared" si="29"/>
        <v>251</v>
      </c>
      <c r="AF37" s="32">
        <f t="shared" si="29"/>
        <v>437</v>
      </c>
    </row>
    <row r="38" spans="2:32" ht="23.1" customHeight="1" x14ac:dyDescent="0.25">
      <c r="B38" s="46" t="s">
        <v>65</v>
      </c>
      <c r="C38" s="50">
        <v>12</v>
      </c>
      <c r="D38" s="50">
        <v>2</v>
      </c>
      <c r="E38" s="50">
        <v>3</v>
      </c>
      <c r="F38" s="50">
        <v>12</v>
      </c>
      <c r="G38" s="50">
        <v>2</v>
      </c>
      <c r="H38" s="50">
        <v>0</v>
      </c>
      <c r="I38" s="50">
        <v>3</v>
      </c>
      <c r="J38" s="50">
        <v>0</v>
      </c>
      <c r="K38" s="50">
        <v>0</v>
      </c>
      <c r="L38" s="50">
        <v>1</v>
      </c>
      <c r="M38" s="50">
        <v>16</v>
      </c>
      <c r="N38" s="50">
        <v>0</v>
      </c>
      <c r="O38" s="15">
        <f t="shared" si="0"/>
        <v>35</v>
      </c>
      <c r="P38" s="15">
        <f t="shared" si="1"/>
        <v>51</v>
      </c>
      <c r="R38" s="28" t="s">
        <v>86</v>
      </c>
      <c r="S38" s="16">
        <f t="shared" ref="S38:AF38" si="30">SUM(S13:S18)</f>
        <v>199</v>
      </c>
      <c r="T38" s="16">
        <f t="shared" si="30"/>
        <v>48</v>
      </c>
      <c r="U38" s="16">
        <f t="shared" si="30"/>
        <v>47</v>
      </c>
      <c r="V38" s="16">
        <f t="shared" si="30"/>
        <v>213</v>
      </c>
      <c r="W38" s="16">
        <f t="shared" si="30"/>
        <v>8</v>
      </c>
      <c r="X38" s="16">
        <f t="shared" si="30"/>
        <v>0</v>
      </c>
      <c r="Y38" s="16">
        <f t="shared" si="30"/>
        <v>86</v>
      </c>
      <c r="Z38" s="16">
        <f t="shared" si="30"/>
        <v>1</v>
      </c>
      <c r="AA38" s="16">
        <f t="shared" si="30"/>
        <v>0</v>
      </c>
      <c r="AB38" s="16">
        <f t="shared" si="30"/>
        <v>10</v>
      </c>
      <c r="AC38" s="16">
        <f t="shared" si="30"/>
        <v>483</v>
      </c>
      <c r="AD38" s="16">
        <f t="shared" si="30"/>
        <v>2</v>
      </c>
      <c r="AE38" s="32">
        <f t="shared" si="30"/>
        <v>614</v>
      </c>
      <c r="AF38" s="32">
        <f t="shared" si="30"/>
        <v>1097</v>
      </c>
    </row>
    <row r="39" spans="2:32" ht="23.1" customHeight="1" x14ac:dyDescent="0.25">
      <c r="B39" s="46" t="s">
        <v>66</v>
      </c>
      <c r="C39" s="50">
        <v>10</v>
      </c>
      <c r="D39" s="50">
        <v>1</v>
      </c>
      <c r="E39" s="50">
        <v>0</v>
      </c>
      <c r="F39" s="50">
        <v>11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27</v>
      </c>
      <c r="N39" s="50">
        <v>0</v>
      </c>
      <c r="O39" s="15">
        <f t="shared" si="0"/>
        <v>26</v>
      </c>
      <c r="P39" s="15">
        <f t="shared" si="1"/>
        <v>53</v>
      </c>
      <c r="R39" s="29" t="s">
        <v>87</v>
      </c>
      <c r="S39" s="16">
        <f t="shared" ref="S39:AF39" si="31">SUM(S19:S21)</f>
        <v>99</v>
      </c>
      <c r="T39" s="16">
        <f t="shared" si="31"/>
        <v>26</v>
      </c>
      <c r="U39" s="16">
        <f t="shared" si="31"/>
        <v>23</v>
      </c>
      <c r="V39" s="16">
        <f t="shared" si="31"/>
        <v>120</v>
      </c>
      <c r="W39" s="16">
        <f t="shared" si="31"/>
        <v>6</v>
      </c>
      <c r="X39" s="16">
        <f t="shared" si="31"/>
        <v>0</v>
      </c>
      <c r="Y39" s="16">
        <f t="shared" si="31"/>
        <v>36</v>
      </c>
      <c r="Z39" s="16">
        <f t="shared" si="31"/>
        <v>0</v>
      </c>
      <c r="AA39" s="16">
        <f t="shared" si="31"/>
        <v>0</v>
      </c>
      <c r="AB39" s="16">
        <f t="shared" si="31"/>
        <v>2</v>
      </c>
      <c r="AC39" s="16">
        <f t="shared" si="31"/>
        <v>226</v>
      </c>
      <c r="AD39" s="16">
        <f t="shared" si="31"/>
        <v>1</v>
      </c>
      <c r="AE39" s="32">
        <f t="shared" si="31"/>
        <v>313</v>
      </c>
      <c r="AF39" s="32">
        <f t="shared" si="31"/>
        <v>539</v>
      </c>
    </row>
    <row r="40" spans="2:32" ht="23.1" customHeight="1" x14ac:dyDescent="0.25">
      <c r="B40" s="46" t="s">
        <v>67</v>
      </c>
      <c r="C40" s="50">
        <v>10</v>
      </c>
      <c r="D40" s="50">
        <v>1</v>
      </c>
      <c r="E40" s="50">
        <v>3</v>
      </c>
      <c r="F40" s="50">
        <v>11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v>1</v>
      </c>
      <c r="M40" s="50">
        <v>33</v>
      </c>
      <c r="N40" s="50">
        <v>0</v>
      </c>
      <c r="O40" s="15">
        <f t="shared" si="0"/>
        <v>28</v>
      </c>
      <c r="P40" s="15">
        <f t="shared" si="1"/>
        <v>61</v>
      </c>
      <c r="R40" s="5" t="s">
        <v>17</v>
      </c>
      <c r="S40" s="16">
        <f t="shared" ref="S40:AF40" si="32">SUM(S10:S21)</f>
        <v>368</v>
      </c>
      <c r="T40" s="16">
        <f t="shared" si="32"/>
        <v>88</v>
      </c>
      <c r="U40" s="16">
        <f t="shared" si="32"/>
        <v>85</v>
      </c>
      <c r="V40" s="16">
        <f t="shared" si="32"/>
        <v>445</v>
      </c>
      <c r="W40" s="16">
        <f t="shared" si="32"/>
        <v>16</v>
      </c>
      <c r="X40" s="16">
        <f t="shared" si="32"/>
        <v>1</v>
      </c>
      <c r="Y40" s="16">
        <f t="shared" si="32"/>
        <v>151</v>
      </c>
      <c r="Z40" s="16">
        <f t="shared" si="32"/>
        <v>4</v>
      </c>
      <c r="AA40" s="16">
        <f t="shared" si="32"/>
        <v>4</v>
      </c>
      <c r="AB40" s="16">
        <f t="shared" si="32"/>
        <v>13</v>
      </c>
      <c r="AC40" s="16">
        <f t="shared" si="32"/>
        <v>895</v>
      </c>
      <c r="AD40" s="16">
        <f t="shared" si="32"/>
        <v>3</v>
      </c>
      <c r="AE40" s="32">
        <f t="shared" si="32"/>
        <v>1178</v>
      </c>
      <c r="AF40" s="32">
        <f t="shared" si="32"/>
        <v>2073</v>
      </c>
    </row>
    <row r="41" spans="2:32" ht="23.1" customHeight="1" x14ac:dyDescent="0.25">
      <c r="B41" s="45" t="s">
        <v>68</v>
      </c>
      <c r="C41" s="50">
        <v>9</v>
      </c>
      <c r="D41" s="50">
        <v>4</v>
      </c>
      <c r="E41" s="50">
        <v>3</v>
      </c>
      <c r="F41" s="50">
        <v>7</v>
      </c>
      <c r="G41" s="50">
        <v>1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28</v>
      </c>
      <c r="N41" s="50">
        <v>0</v>
      </c>
      <c r="O41" s="15">
        <f t="shared" si="0"/>
        <v>29</v>
      </c>
      <c r="P41" s="15">
        <f t="shared" si="1"/>
        <v>57</v>
      </c>
      <c r="R41" s="5" t="s">
        <v>159</v>
      </c>
      <c r="S41" s="16">
        <f>SUM(S10:S33)</f>
        <v>465</v>
      </c>
      <c r="T41" s="16">
        <f t="shared" ref="T41:AF41" si="33">SUM(T10:T33)</f>
        <v>117</v>
      </c>
      <c r="U41" s="16">
        <f t="shared" si="33"/>
        <v>112</v>
      </c>
      <c r="V41" s="16">
        <f t="shared" si="33"/>
        <v>647</v>
      </c>
      <c r="W41" s="16">
        <f t="shared" si="33"/>
        <v>24</v>
      </c>
      <c r="X41" s="16">
        <f t="shared" si="33"/>
        <v>4</v>
      </c>
      <c r="Y41" s="16">
        <f t="shared" si="33"/>
        <v>235</v>
      </c>
      <c r="Z41" s="16">
        <f t="shared" si="33"/>
        <v>5</v>
      </c>
      <c r="AA41" s="16">
        <f t="shared" si="33"/>
        <v>5</v>
      </c>
      <c r="AB41" s="16">
        <f t="shared" si="33"/>
        <v>13</v>
      </c>
      <c r="AC41" s="16">
        <f t="shared" si="33"/>
        <v>1341</v>
      </c>
      <c r="AD41" s="16">
        <f t="shared" si="33"/>
        <v>3</v>
      </c>
      <c r="AE41" s="32">
        <f t="shared" si="33"/>
        <v>1630</v>
      </c>
      <c r="AF41" s="32">
        <f t="shared" si="33"/>
        <v>2971</v>
      </c>
    </row>
    <row r="42" spans="2:32" ht="23.1" customHeight="1" x14ac:dyDescent="0.25">
      <c r="B42" s="46" t="s">
        <v>69</v>
      </c>
      <c r="C42" s="50">
        <v>10</v>
      </c>
      <c r="D42" s="50">
        <v>4</v>
      </c>
      <c r="E42" s="50">
        <v>2</v>
      </c>
      <c r="F42" s="50">
        <v>10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29</v>
      </c>
      <c r="P42" s="15">
        <f t="shared" si="1"/>
        <v>32</v>
      </c>
      <c r="R42" s="5" t="s">
        <v>160</v>
      </c>
      <c r="S42" s="48">
        <f>S41/S40</f>
        <v>1.263586956521739</v>
      </c>
      <c r="T42" s="48">
        <f t="shared" ref="T42:AF42" si="34">T41/T40</f>
        <v>1.3295454545454546</v>
      </c>
      <c r="U42" s="48">
        <f t="shared" si="34"/>
        <v>1.3176470588235294</v>
      </c>
      <c r="V42" s="48">
        <f t="shared" si="34"/>
        <v>1.4539325842696629</v>
      </c>
      <c r="W42" s="48">
        <f t="shared" si="34"/>
        <v>1.5</v>
      </c>
      <c r="X42" s="48">
        <f t="shared" si="34"/>
        <v>4</v>
      </c>
      <c r="Y42" s="48">
        <f t="shared" si="34"/>
        <v>1.5562913907284768</v>
      </c>
      <c r="Z42" s="48">
        <f t="shared" si="34"/>
        <v>1.25</v>
      </c>
      <c r="AA42" s="48">
        <f t="shared" si="34"/>
        <v>1.25</v>
      </c>
      <c r="AB42" s="48">
        <f t="shared" si="34"/>
        <v>1</v>
      </c>
      <c r="AC42" s="48">
        <f t="shared" si="34"/>
        <v>1.4983240223463687</v>
      </c>
      <c r="AD42" s="48">
        <f t="shared" si="34"/>
        <v>1</v>
      </c>
      <c r="AE42" s="48">
        <f t="shared" si="34"/>
        <v>1.3837011884550086</v>
      </c>
      <c r="AF42" s="48">
        <f t="shared" si="34"/>
        <v>1.433188615533044</v>
      </c>
    </row>
    <row r="43" spans="2:32" ht="23.1" customHeight="1" x14ac:dyDescent="0.25">
      <c r="B43" s="45" t="s">
        <v>70</v>
      </c>
      <c r="C43" s="50">
        <v>7</v>
      </c>
      <c r="D43" s="50">
        <v>5</v>
      </c>
      <c r="E43" s="50">
        <v>2</v>
      </c>
      <c r="F43" s="50">
        <v>9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27</v>
      </c>
      <c r="P43" s="15">
        <f t="shared" si="1"/>
        <v>42</v>
      </c>
    </row>
    <row r="44" spans="2:32" ht="23.1" customHeight="1" x14ac:dyDescent="0.25">
      <c r="B44" s="47" t="s">
        <v>71</v>
      </c>
      <c r="C44" s="50">
        <v>7</v>
      </c>
      <c r="D44" s="50">
        <v>2</v>
      </c>
      <c r="E44" s="50">
        <v>2</v>
      </c>
      <c r="F44" s="50">
        <v>1</v>
      </c>
      <c r="G44" s="50">
        <v>0</v>
      </c>
      <c r="H44" s="50">
        <v>0</v>
      </c>
      <c r="I44" s="50">
        <v>5</v>
      </c>
      <c r="J44" s="50">
        <v>0</v>
      </c>
      <c r="K44" s="50">
        <v>0</v>
      </c>
      <c r="L44" s="50">
        <v>1</v>
      </c>
      <c r="M44" s="50">
        <v>19</v>
      </c>
      <c r="N44" s="50">
        <v>0</v>
      </c>
      <c r="O44" s="15">
        <f t="shared" si="0"/>
        <v>18</v>
      </c>
      <c r="P44" s="15">
        <f t="shared" si="1"/>
        <v>37</v>
      </c>
    </row>
    <row r="45" spans="2:32" ht="23.1" customHeight="1" x14ac:dyDescent="0.25">
      <c r="B45" s="45" t="s">
        <v>72</v>
      </c>
      <c r="C45" s="50">
        <v>10</v>
      </c>
      <c r="D45" s="50">
        <v>0</v>
      </c>
      <c r="E45" s="50">
        <v>2</v>
      </c>
      <c r="F45" s="50">
        <v>7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20</v>
      </c>
      <c r="P45" s="15">
        <f t="shared" si="1"/>
        <v>36</v>
      </c>
    </row>
    <row r="46" spans="2:32" ht="23.1" customHeight="1" x14ac:dyDescent="0.25">
      <c r="B46" s="46" t="s">
        <v>73</v>
      </c>
      <c r="C46" s="50">
        <v>11</v>
      </c>
      <c r="D46" s="50">
        <v>2</v>
      </c>
      <c r="E46" s="50">
        <v>4</v>
      </c>
      <c r="F46" s="50">
        <v>9</v>
      </c>
      <c r="G46" s="50">
        <v>1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15</v>
      </c>
      <c r="N46" s="50">
        <v>0</v>
      </c>
      <c r="O46" s="15">
        <f t="shared" si="0"/>
        <v>31</v>
      </c>
      <c r="P46" s="15">
        <f t="shared" si="1"/>
        <v>46</v>
      </c>
      <c r="R46" s="8"/>
      <c r="T46"/>
    </row>
    <row r="47" spans="2:32" ht="23.1" customHeight="1" x14ac:dyDescent="0.25">
      <c r="B47" s="46" t="s">
        <v>74</v>
      </c>
      <c r="C47" s="50">
        <v>6</v>
      </c>
      <c r="D47" s="50">
        <v>2</v>
      </c>
      <c r="E47" s="50">
        <v>1</v>
      </c>
      <c r="F47" s="50">
        <v>11</v>
      </c>
      <c r="G47" s="50">
        <v>2</v>
      </c>
      <c r="H47" s="50">
        <v>0</v>
      </c>
      <c r="I47" s="50">
        <v>5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27</v>
      </c>
      <c r="P47" s="15">
        <f t="shared" si="1"/>
        <v>43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3</v>
      </c>
      <c r="E48" s="50">
        <v>1</v>
      </c>
      <c r="F48" s="50">
        <v>10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16</v>
      </c>
      <c r="N48" s="50">
        <v>0</v>
      </c>
      <c r="O48" s="15">
        <f t="shared" si="0"/>
        <v>22</v>
      </c>
      <c r="P48" s="15">
        <f t="shared" si="1"/>
        <v>38</v>
      </c>
      <c r="R48" s="8"/>
      <c r="T48"/>
    </row>
    <row r="49" spans="2:20" ht="23.1" customHeight="1" x14ac:dyDescent="0.25">
      <c r="B49" s="45" t="s">
        <v>76</v>
      </c>
      <c r="C49" s="50">
        <v>10</v>
      </c>
      <c r="D49" s="50">
        <v>3</v>
      </c>
      <c r="E49" s="50">
        <v>4</v>
      </c>
      <c r="F49" s="50">
        <v>8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24</v>
      </c>
      <c r="N49" s="50">
        <v>0</v>
      </c>
      <c r="O49" s="15">
        <f t="shared" si="0"/>
        <v>28</v>
      </c>
      <c r="P49" s="15">
        <f t="shared" si="1"/>
        <v>52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2</v>
      </c>
      <c r="E50" s="50">
        <v>2</v>
      </c>
      <c r="F50" s="50">
        <v>11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20</v>
      </c>
      <c r="N50" s="50">
        <v>0</v>
      </c>
      <c r="O50" s="15">
        <f t="shared" si="0"/>
        <v>21</v>
      </c>
      <c r="P50" s="15">
        <f t="shared" si="1"/>
        <v>41</v>
      </c>
      <c r="R50" s="8"/>
      <c r="T50"/>
    </row>
    <row r="51" spans="2:20" ht="23.1" customHeight="1" x14ac:dyDescent="0.25">
      <c r="B51" s="46" t="s">
        <v>78</v>
      </c>
      <c r="C51" s="50">
        <v>9</v>
      </c>
      <c r="D51" s="50">
        <v>2</v>
      </c>
      <c r="E51" s="50">
        <v>1</v>
      </c>
      <c r="F51" s="50">
        <v>11</v>
      </c>
      <c r="G51" s="50">
        <v>1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5">
        <f t="shared" si="0"/>
        <v>27</v>
      </c>
      <c r="P51" s="15">
        <f t="shared" si="1"/>
        <v>47</v>
      </c>
      <c r="R51" s="8"/>
      <c r="T51"/>
    </row>
    <row r="52" spans="2:20" ht="23.1" customHeight="1" x14ac:dyDescent="0.25">
      <c r="B52" s="46" t="s">
        <v>79</v>
      </c>
      <c r="C52" s="50">
        <v>16</v>
      </c>
      <c r="D52" s="50">
        <v>3</v>
      </c>
      <c r="E52" s="50">
        <v>1</v>
      </c>
      <c r="F52" s="50">
        <v>14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35</v>
      </c>
      <c r="P52" s="15">
        <f t="shared" si="1"/>
        <v>55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0</v>
      </c>
      <c r="E53" s="50">
        <v>2</v>
      </c>
      <c r="F53" s="50">
        <v>8</v>
      </c>
      <c r="G53" s="50">
        <v>1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25</v>
      </c>
      <c r="N53" s="50">
        <v>1</v>
      </c>
      <c r="O53" s="15">
        <f t="shared" si="0"/>
        <v>21</v>
      </c>
      <c r="P53" s="15">
        <f t="shared" si="1"/>
        <v>46</v>
      </c>
      <c r="R53" s="8"/>
      <c r="T53"/>
    </row>
    <row r="54" spans="2:20" ht="23.1" customHeight="1" x14ac:dyDescent="0.25">
      <c r="B54" s="45" t="s">
        <v>81</v>
      </c>
      <c r="C54" s="50">
        <v>5</v>
      </c>
      <c r="D54" s="50">
        <v>1</v>
      </c>
      <c r="E54" s="50">
        <v>2</v>
      </c>
      <c r="F54" s="50">
        <v>13</v>
      </c>
      <c r="G54" s="50">
        <v>1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25</v>
      </c>
      <c r="P54" s="15">
        <f t="shared" si="1"/>
        <v>45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4</v>
      </c>
      <c r="E55" s="50">
        <v>3</v>
      </c>
      <c r="F55" s="50">
        <v>12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2</v>
      </c>
      <c r="M55" s="50">
        <v>19</v>
      </c>
      <c r="N55" s="50">
        <v>0</v>
      </c>
      <c r="O55" s="15">
        <f t="shared" si="0"/>
        <v>31</v>
      </c>
      <c r="P55" s="15">
        <f t="shared" si="1"/>
        <v>50</v>
      </c>
      <c r="R55" s="8"/>
      <c r="T55"/>
    </row>
    <row r="56" spans="2:20" ht="23.1" customHeight="1" x14ac:dyDescent="0.25">
      <c r="B56" s="45" t="s">
        <v>83</v>
      </c>
      <c r="C56" s="50">
        <v>16</v>
      </c>
      <c r="D56" s="50">
        <v>2</v>
      </c>
      <c r="E56" s="50">
        <v>2</v>
      </c>
      <c r="F56" s="50">
        <v>7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23</v>
      </c>
      <c r="N56" s="50">
        <v>0</v>
      </c>
      <c r="O56" s="15">
        <f t="shared" si="0"/>
        <v>31</v>
      </c>
      <c r="P56" s="15">
        <f t="shared" si="1"/>
        <v>54</v>
      </c>
      <c r="R56" s="8"/>
      <c r="T56"/>
    </row>
    <row r="57" spans="2:20" ht="23.1" customHeight="1" x14ac:dyDescent="0.25">
      <c r="B57" s="45" t="s">
        <v>84</v>
      </c>
      <c r="C57" s="50">
        <v>5</v>
      </c>
      <c r="D57" s="50">
        <v>2</v>
      </c>
      <c r="E57" s="50">
        <v>0</v>
      </c>
      <c r="F57" s="50">
        <v>6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14</v>
      </c>
      <c r="P57" s="15">
        <f t="shared" si="1"/>
        <v>22</v>
      </c>
      <c r="R57" s="8"/>
      <c r="T57"/>
    </row>
    <row r="58" spans="2:20" ht="23.1" customHeight="1" x14ac:dyDescent="0.25">
      <c r="B58" s="45" t="s">
        <v>99</v>
      </c>
      <c r="C58" s="50">
        <v>6</v>
      </c>
      <c r="D58" s="50">
        <v>0</v>
      </c>
      <c r="E58" s="50">
        <v>1</v>
      </c>
      <c r="F58" s="50">
        <v>15</v>
      </c>
      <c r="G58" s="50">
        <v>0</v>
      </c>
      <c r="H58" s="50">
        <v>0</v>
      </c>
      <c r="I58" s="50">
        <v>3</v>
      </c>
      <c r="J58" s="50">
        <v>0</v>
      </c>
      <c r="K58" s="50">
        <v>0</v>
      </c>
      <c r="L58" s="50">
        <v>0</v>
      </c>
      <c r="M58" s="50">
        <v>30</v>
      </c>
      <c r="N58" s="50">
        <v>0</v>
      </c>
      <c r="O58" s="15">
        <f t="shared" ref="O58:O105" si="35">SUM(C58:L58,N58)</f>
        <v>25</v>
      </c>
      <c r="P58" s="15">
        <f t="shared" ref="P58:P105" si="36">SUM(C58:N58)</f>
        <v>55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2</v>
      </c>
      <c r="E59" s="50">
        <v>3</v>
      </c>
      <c r="F59" s="50">
        <v>10</v>
      </c>
      <c r="G59" s="50">
        <v>3</v>
      </c>
      <c r="H59" s="50">
        <v>0</v>
      </c>
      <c r="I59" s="50">
        <v>2</v>
      </c>
      <c r="J59" s="50">
        <v>0</v>
      </c>
      <c r="K59" s="50">
        <v>0</v>
      </c>
      <c r="L59" s="50">
        <v>0</v>
      </c>
      <c r="M59" s="50">
        <v>31</v>
      </c>
      <c r="N59" s="50">
        <v>0</v>
      </c>
      <c r="O59" s="15">
        <f t="shared" si="35"/>
        <v>27</v>
      </c>
      <c r="P59" s="15">
        <f t="shared" si="36"/>
        <v>58</v>
      </c>
      <c r="R59" s="8"/>
      <c r="T59"/>
    </row>
    <row r="60" spans="2:20" ht="23.1" customHeight="1" x14ac:dyDescent="0.25">
      <c r="B60" s="45" t="s">
        <v>101</v>
      </c>
      <c r="C60" s="50">
        <v>8</v>
      </c>
      <c r="D60" s="50">
        <v>2</v>
      </c>
      <c r="E60" s="50">
        <v>1</v>
      </c>
      <c r="F60" s="50">
        <v>12</v>
      </c>
      <c r="G60" s="50">
        <v>1</v>
      </c>
      <c r="H60" s="50">
        <v>0</v>
      </c>
      <c r="I60" s="50">
        <v>5</v>
      </c>
      <c r="J60" s="50">
        <v>0</v>
      </c>
      <c r="K60" s="50">
        <v>0</v>
      </c>
      <c r="L60" s="50">
        <v>0</v>
      </c>
      <c r="M60" s="50">
        <v>18</v>
      </c>
      <c r="N60" s="50">
        <v>0</v>
      </c>
      <c r="O60" s="15">
        <f t="shared" si="35"/>
        <v>29</v>
      </c>
      <c r="P60" s="15">
        <f t="shared" si="36"/>
        <v>47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1</v>
      </c>
      <c r="E61" s="50">
        <v>1</v>
      </c>
      <c r="F61" s="50">
        <v>4</v>
      </c>
      <c r="G61" s="50">
        <v>0</v>
      </c>
      <c r="H61" s="50">
        <v>0</v>
      </c>
      <c r="I61" s="50">
        <v>2</v>
      </c>
      <c r="J61" s="50">
        <v>0</v>
      </c>
      <c r="K61" s="50">
        <v>0</v>
      </c>
      <c r="L61" s="50">
        <v>0</v>
      </c>
      <c r="M61" s="50">
        <v>4</v>
      </c>
      <c r="N61" s="50">
        <v>0</v>
      </c>
      <c r="O61" s="15">
        <f t="shared" si="35"/>
        <v>13</v>
      </c>
      <c r="P61" s="15">
        <f t="shared" si="36"/>
        <v>17</v>
      </c>
      <c r="R61" s="8"/>
      <c r="T61"/>
    </row>
    <row r="62" spans="2:20" ht="23.1" customHeight="1" x14ac:dyDescent="0.25">
      <c r="B62" s="45" t="s">
        <v>107</v>
      </c>
      <c r="C62" s="50">
        <v>8</v>
      </c>
      <c r="D62" s="50">
        <v>1</v>
      </c>
      <c r="E62" s="50">
        <v>3</v>
      </c>
      <c r="F62" s="50">
        <v>17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36</v>
      </c>
      <c r="N62" s="50">
        <v>0</v>
      </c>
      <c r="O62" s="15">
        <f t="shared" si="35"/>
        <v>30</v>
      </c>
      <c r="P62" s="15">
        <f t="shared" si="36"/>
        <v>66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4</v>
      </c>
      <c r="E63" s="50">
        <v>0</v>
      </c>
      <c r="F63" s="50">
        <v>7</v>
      </c>
      <c r="G63" s="50">
        <v>0</v>
      </c>
      <c r="H63" s="50">
        <v>0</v>
      </c>
      <c r="I63" s="50">
        <v>5</v>
      </c>
      <c r="J63" s="50">
        <v>0</v>
      </c>
      <c r="K63" s="50">
        <v>0</v>
      </c>
      <c r="L63" s="50">
        <v>0</v>
      </c>
      <c r="M63" s="50">
        <v>19</v>
      </c>
      <c r="N63" s="50">
        <v>0</v>
      </c>
      <c r="O63" s="15">
        <f t="shared" si="35"/>
        <v>17</v>
      </c>
      <c r="P63" s="15">
        <f t="shared" si="36"/>
        <v>36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2</v>
      </c>
      <c r="E64" s="50">
        <v>1</v>
      </c>
      <c r="F64" s="50">
        <v>11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33</v>
      </c>
      <c r="N64" s="50">
        <v>0</v>
      </c>
      <c r="O64" s="15">
        <f t="shared" si="35"/>
        <v>21</v>
      </c>
      <c r="P64" s="15">
        <f t="shared" si="36"/>
        <v>54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2</v>
      </c>
      <c r="E65" s="50">
        <v>2</v>
      </c>
      <c r="F65" s="50">
        <v>5</v>
      </c>
      <c r="G65" s="50">
        <v>0</v>
      </c>
      <c r="H65" s="50">
        <v>0</v>
      </c>
      <c r="I65" s="50">
        <v>5</v>
      </c>
      <c r="J65" s="50">
        <v>0</v>
      </c>
      <c r="K65" s="50">
        <v>0</v>
      </c>
      <c r="L65" s="50">
        <v>0</v>
      </c>
      <c r="M65" s="50">
        <v>27</v>
      </c>
      <c r="N65" s="50">
        <v>0</v>
      </c>
      <c r="O65" s="15">
        <f t="shared" si="35"/>
        <v>16</v>
      </c>
      <c r="P65" s="15">
        <f t="shared" si="36"/>
        <v>43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0</v>
      </c>
      <c r="E66" s="50">
        <v>1</v>
      </c>
      <c r="F66" s="50">
        <v>5</v>
      </c>
      <c r="G66" s="50">
        <v>0</v>
      </c>
      <c r="H66" s="50">
        <v>3</v>
      </c>
      <c r="I66" s="50">
        <v>4</v>
      </c>
      <c r="J66" s="50">
        <v>0</v>
      </c>
      <c r="K66" s="50">
        <v>0</v>
      </c>
      <c r="L66" s="50">
        <v>0</v>
      </c>
      <c r="M66" s="50">
        <v>21</v>
      </c>
      <c r="N66" s="50">
        <v>0</v>
      </c>
      <c r="O66" s="15">
        <f t="shared" si="35"/>
        <v>17</v>
      </c>
      <c r="P66" s="15">
        <f t="shared" si="36"/>
        <v>38</v>
      </c>
      <c r="R66" s="8"/>
      <c r="T66"/>
    </row>
    <row r="67" spans="2:20" ht="23.1" customHeight="1" x14ac:dyDescent="0.25">
      <c r="B67" s="45" t="s">
        <v>104</v>
      </c>
      <c r="C67" s="50">
        <v>7</v>
      </c>
      <c r="D67" s="50">
        <v>2</v>
      </c>
      <c r="E67" s="50">
        <v>1</v>
      </c>
      <c r="F67" s="50">
        <v>10</v>
      </c>
      <c r="G67" s="50">
        <v>0</v>
      </c>
      <c r="H67" s="50">
        <v>0</v>
      </c>
      <c r="I67" s="50">
        <v>3</v>
      </c>
      <c r="J67" s="50">
        <v>0</v>
      </c>
      <c r="K67" s="50">
        <v>0</v>
      </c>
      <c r="L67" s="50">
        <v>0</v>
      </c>
      <c r="M67" s="50">
        <v>14</v>
      </c>
      <c r="N67" s="50">
        <v>0</v>
      </c>
      <c r="O67" s="15">
        <f t="shared" si="35"/>
        <v>23</v>
      </c>
      <c r="P67" s="15">
        <f t="shared" si="36"/>
        <v>37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2</v>
      </c>
      <c r="F68" s="50">
        <v>10</v>
      </c>
      <c r="G68" s="50">
        <v>1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18</v>
      </c>
      <c r="N68" s="50">
        <v>0</v>
      </c>
      <c r="O68" s="15">
        <f t="shared" si="35"/>
        <v>17</v>
      </c>
      <c r="P68" s="15">
        <f t="shared" si="36"/>
        <v>35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0</v>
      </c>
      <c r="E69" s="50">
        <v>0</v>
      </c>
      <c r="F69" s="50">
        <v>13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0</v>
      </c>
      <c r="M69" s="50">
        <v>15</v>
      </c>
      <c r="N69" s="50">
        <v>0</v>
      </c>
      <c r="O69" s="15">
        <f t="shared" si="35"/>
        <v>19</v>
      </c>
      <c r="P69" s="15">
        <f t="shared" si="36"/>
        <v>34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2</v>
      </c>
      <c r="E70" s="50">
        <v>1</v>
      </c>
      <c r="F70" s="50">
        <v>3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12</v>
      </c>
      <c r="N70" s="50">
        <v>0</v>
      </c>
      <c r="O70" s="15">
        <f t="shared" si="35"/>
        <v>10</v>
      </c>
      <c r="P70" s="15">
        <f t="shared" si="36"/>
        <v>22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12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14</v>
      </c>
      <c r="N71" s="50">
        <v>0</v>
      </c>
      <c r="O71" s="15">
        <f t="shared" si="35"/>
        <v>16</v>
      </c>
      <c r="P71" s="15">
        <f t="shared" si="36"/>
        <v>30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1</v>
      </c>
      <c r="E72" s="50">
        <v>0</v>
      </c>
      <c r="F72" s="50">
        <v>6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21</v>
      </c>
      <c r="N72" s="50">
        <v>0</v>
      </c>
      <c r="O72" s="15">
        <f t="shared" si="35"/>
        <v>10</v>
      </c>
      <c r="P72" s="15">
        <f t="shared" si="36"/>
        <v>31</v>
      </c>
      <c r="R72" s="8"/>
      <c r="T72"/>
    </row>
    <row r="73" spans="2:20" ht="23.1" customHeight="1" x14ac:dyDescent="0.25">
      <c r="B73" s="45" t="s">
        <v>113</v>
      </c>
      <c r="C73" s="50">
        <v>5</v>
      </c>
      <c r="D73" s="50">
        <v>0</v>
      </c>
      <c r="E73" s="50">
        <v>1</v>
      </c>
      <c r="F73" s="50">
        <v>6</v>
      </c>
      <c r="G73" s="50">
        <v>1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8</v>
      </c>
      <c r="N73" s="50">
        <v>0</v>
      </c>
      <c r="O73" s="15">
        <f t="shared" si="35"/>
        <v>14</v>
      </c>
      <c r="P73" s="15">
        <f t="shared" si="36"/>
        <v>22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1</v>
      </c>
      <c r="E74" s="50">
        <v>1</v>
      </c>
      <c r="F74" s="50">
        <v>5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6</v>
      </c>
      <c r="N74" s="50">
        <v>0</v>
      </c>
      <c r="O74" s="15">
        <f t="shared" si="35"/>
        <v>9</v>
      </c>
      <c r="P74" s="15">
        <f t="shared" si="36"/>
        <v>15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1</v>
      </c>
      <c r="F75" s="50">
        <v>4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16</v>
      </c>
      <c r="N75" s="50">
        <v>0</v>
      </c>
      <c r="O75" s="15">
        <f t="shared" si="35"/>
        <v>8</v>
      </c>
      <c r="P75" s="15">
        <f t="shared" si="36"/>
        <v>24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10</v>
      </c>
      <c r="N76" s="50">
        <v>0</v>
      </c>
      <c r="O76" s="15">
        <f t="shared" si="35"/>
        <v>1</v>
      </c>
      <c r="P76" s="15">
        <f t="shared" si="36"/>
        <v>11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0</v>
      </c>
      <c r="F77" s="50">
        <v>2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3</v>
      </c>
      <c r="N77" s="50">
        <v>0</v>
      </c>
      <c r="O77" s="15">
        <f t="shared" si="35"/>
        <v>6</v>
      </c>
      <c r="P77" s="15">
        <f t="shared" si="36"/>
        <v>9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2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5</v>
      </c>
      <c r="P78" s="15">
        <f t="shared" si="36"/>
        <v>8</v>
      </c>
      <c r="R78" s="8"/>
      <c r="T78"/>
    </row>
    <row r="79" spans="2:20" ht="23.1" customHeight="1" x14ac:dyDescent="0.25">
      <c r="B79" s="45" t="s">
        <v>119</v>
      </c>
      <c r="C79" s="50">
        <v>3</v>
      </c>
      <c r="D79" s="50">
        <v>1</v>
      </c>
      <c r="E79" s="50">
        <v>1</v>
      </c>
      <c r="F79" s="50">
        <v>2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8</v>
      </c>
      <c r="P79" s="15">
        <f t="shared" si="36"/>
        <v>10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4</v>
      </c>
      <c r="N80" s="50">
        <v>0</v>
      </c>
      <c r="O80" s="15">
        <f t="shared" si="35"/>
        <v>1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4</v>
      </c>
      <c r="N81" s="50">
        <v>0</v>
      </c>
      <c r="O81" s="15">
        <f t="shared" si="35"/>
        <v>2</v>
      </c>
      <c r="P81" s="15">
        <f t="shared" si="36"/>
        <v>6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2</v>
      </c>
      <c r="N82" s="50">
        <v>0</v>
      </c>
      <c r="O82" s="15">
        <f t="shared" si="35"/>
        <v>1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5">
        <f t="shared" si="35"/>
        <v>3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0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1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</v>
      </c>
      <c r="N85" s="50">
        <v>0</v>
      </c>
      <c r="O85" s="15">
        <f t="shared" si="35"/>
        <v>1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1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2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2</v>
      </c>
      <c r="J88" s="50">
        <v>0</v>
      </c>
      <c r="K88" s="50">
        <v>0</v>
      </c>
      <c r="L88" s="50">
        <v>0</v>
      </c>
      <c r="M88" s="50">
        <v>2</v>
      </c>
      <c r="N88" s="50">
        <v>0</v>
      </c>
      <c r="O88" s="15">
        <f t="shared" si="35"/>
        <v>2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2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2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2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5"/>
        <v>2</v>
      </c>
      <c r="P92" s="15">
        <f t="shared" si="36"/>
        <v>6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0</v>
      </c>
      <c r="F93" s="50">
        <v>2</v>
      </c>
      <c r="G93" s="50">
        <v>0</v>
      </c>
      <c r="H93" s="50">
        <v>0</v>
      </c>
      <c r="I93" s="50">
        <v>3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7</v>
      </c>
      <c r="P93" s="15">
        <f t="shared" si="36"/>
        <v>7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2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4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5</v>
      </c>
      <c r="P96" s="15">
        <f t="shared" si="36"/>
        <v>6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3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3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3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3</v>
      </c>
      <c r="G99" s="50">
        <v>0</v>
      </c>
      <c r="H99" s="50">
        <v>0</v>
      </c>
      <c r="I99" s="50">
        <v>3</v>
      </c>
      <c r="J99" s="50">
        <v>0</v>
      </c>
      <c r="K99" s="50">
        <v>0</v>
      </c>
      <c r="L99" s="50">
        <v>0</v>
      </c>
      <c r="M99" s="50">
        <v>3</v>
      </c>
      <c r="N99" s="50">
        <v>0</v>
      </c>
      <c r="O99" s="15">
        <f t="shared" si="35"/>
        <v>6</v>
      </c>
      <c r="P99" s="15">
        <f t="shared" si="36"/>
        <v>9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2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6</v>
      </c>
      <c r="N100" s="50">
        <v>0</v>
      </c>
      <c r="O100" s="15">
        <f t="shared" si="35"/>
        <v>3</v>
      </c>
      <c r="P100" s="15">
        <f t="shared" si="36"/>
        <v>9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5</v>
      </c>
      <c r="J101" s="50">
        <v>0</v>
      </c>
      <c r="K101" s="50">
        <v>0</v>
      </c>
      <c r="L101" s="50">
        <v>0</v>
      </c>
      <c r="M101" s="50">
        <v>8</v>
      </c>
      <c r="N101" s="50">
        <v>0</v>
      </c>
      <c r="O101" s="15">
        <f t="shared" si="35"/>
        <v>6</v>
      </c>
      <c r="P101" s="15">
        <f t="shared" si="36"/>
        <v>14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1</v>
      </c>
      <c r="F102" s="50">
        <v>2</v>
      </c>
      <c r="G102" s="50">
        <v>1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6</v>
      </c>
      <c r="P102" s="15">
        <f t="shared" si="36"/>
        <v>12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2</v>
      </c>
      <c r="F103" s="50">
        <v>8</v>
      </c>
      <c r="G103" s="50">
        <v>0</v>
      </c>
      <c r="H103" s="50">
        <v>0</v>
      </c>
      <c r="I103" s="50">
        <v>2</v>
      </c>
      <c r="J103" s="50">
        <v>0</v>
      </c>
      <c r="K103" s="50">
        <v>1</v>
      </c>
      <c r="L103" s="50">
        <v>0</v>
      </c>
      <c r="M103" s="50">
        <v>9</v>
      </c>
      <c r="N103" s="50">
        <v>0</v>
      </c>
      <c r="O103" s="15">
        <f t="shared" si="35"/>
        <v>17</v>
      </c>
      <c r="P103" s="15">
        <f t="shared" si="36"/>
        <v>26</v>
      </c>
      <c r="R103" s="8"/>
      <c r="T103"/>
    </row>
    <row r="104" spans="2:20" ht="23.1" customHeight="1" x14ac:dyDescent="0.25">
      <c r="B104" s="47" t="s">
        <v>144</v>
      </c>
      <c r="C104" s="50">
        <v>4</v>
      </c>
      <c r="D104" s="50">
        <v>0</v>
      </c>
      <c r="E104" s="50">
        <v>1</v>
      </c>
      <c r="F104" s="50">
        <v>6</v>
      </c>
      <c r="G104" s="50">
        <v>0</v>
      </c>
      <c r="H104" s="50">
        <v>0</v>
      </c>
      <c r="I104" s="50">
        <v>3</v>
      </c>
      <c r="J104" s="50">
        <v>0</v>
      </c>
      <c r="K104" s="50">
        <v>0</v>
      </c>
      <c r="L104" s="50">
        <v>0</v>
      </c>
      <c r="M104" s="50">
        <v>7</v>
      </c>
      <c r="N104" s="50">
        <v>0</v>
      </c>
      <c r="O104" s="15">
        <f t="shared" si="35"/>
        <v>14</v>
      </c>
      <c r="P104" s="15">
        <f t="shared" si="36"/>
        <v>21</v>
      </c>
      <c r="R104" s="8"/>
      <c r="T104"/>
    </row>
    <row r="105" spans="2:20" ht="23.1" customHeight="1" x14ac:dyDescent="0.25">
      <c r="B105" s="45" t="s">
        <v>145</v>
      </c>
      <c r="C105" s="50">
        <v>6</v>
      </c>
      <c r="D105" s="50">
        <v>1</v>
      </c>
      <c r="E105" s="50">
        <v>1</v>
      </c>
      <c r="F105" s="50">
        <v>7</v>
      </c>
      <c r="G105" s="50">
        <v>0</v>
      </c>
      <c r="H105" s="50">
        <v>0</v>
      </c>
      <c r="I105" s="50">
        <v>5</v>
      </c>
      <c r="J105" s="50">
        <v>0</v>
      </c>
      <c r="K105" s="50">
        <v>0</v>
      </c>
      <c r="L105" s="50">
        <v>0</v>
      </c>
      <c r="M105" s="50">
        <v>12</v>
      </c>
      <c r="N105" s="50">
        <v>0</v>
      </c>
      <c r="O105" s="15">
        <f t="shared" si="35"/>
        <v>20</v>
      </c>
      <c r="P105" s="15">
        <f t="shared" si="36"/>
        <v>32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465</v>
      </c>
      <c r="D106" s="16">
        <f t="shared" ref="D106:P106" si="37">SUM(D10:D105)</f>
        <v>117</v>
      </c>
      <c r="E106" s="16">
        <f t="shared" si="37"/>
        <v>112</v>
      </c>
      <c r="F106" s="16">
        <f t="shared" si="37"/>
        <v>647</v>
      </c>
      <c r="G106" s="16">
        <f t="shared" si="37"/>
        <v>24</v>
      </c>
      <c r="H106" s="16">
        <f t="shared" si="37"/>
        <v>4</v>
      </c>
      <c r="I106" s="16">
        <f t="shared" si="37"/>
        <v>235</v>
      </c>
      <c r="J106" s="16">
        <f t="shared" si="37"/>
        <v>5</v>
      </c>
      <c r="K106" s="16">
        <f t="shared" si="37"/>
        <v>5</v>
      </c>
      <c r="L106" s="16">
        <f t="shared" si="37"/>
        <v>13</v>
      </c>
      <c r="M106" s="16">
        <f t="shared" si="37"/>
        <v>1341</v>
      </c>
      <c r="N106" s="16">
        <f t="shared" si="37"/>
        <v>3</v>
      </c>
      <c r="O106" s="16">
        <f t="shared" si="37"/>
        <v>1630</v>
      </c>
      <c r="P106" s="16">
        <f t="shared" si="37"/>
        <v>2971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0.15651295859979805</v>
      </c>
      <c r="D107" s="43">
        <f t="shared" si="38"/>
        <v>3.9380679905755639E-2</v>
      </c>
      <c r="E107" s="43">
        <f t="shared" si="38"/>
        <v>3.7697744867048133E-2</v>
      </c>
      <c r="F107" s="43">
        <f t="shared" si="38"/>
        <v>0.21777179400875127</v>
      </c>
      <c r="G107" s="43">
        <f t="shared" si="38"/>
        <v>8.0780881857960285E-3</v>
      </c>
      <c r="H107" s="43">
        <f t="shared" si="38"/>
        <v>1.3463480309660047E-3</v>
      </c>
      <c r="I107" s="43">
        <f t="shared" si="38"/>
        <v>7.9097946819252779E-2</v>
      </c>
      <c r="J107" s="43">
        <f t="shared" si="38"/>
        <v>1.6829350387075059E-3</v>
      </c>
      <c r="K107" s="43">
        <f t="shared" si="38"/>
        <v>1.6829350387075059E-3</v>
      </c>
      <c r="L107" s="43">
        <f t="shared" si="38"/>
        <v>4.3756311006395154E-3</v>
      </c>
      <c r="M107" s="43">
        <f t="shared" si="38"/>
        <v>0.45136317738135306</v>
      </c>
      <c r="N107" s="43">
        <f t="shared" si="38"/>
        <v>1.0097610232245036E-3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0.28527607361963192</v>
      </c>
      <c r="D108" s="44">
        <f t="shared" ref="D108:N108" si="39">D106/$O$106</f>
        <v>7.177914110429448E-2</v>
      </c>
      <c r="E108" s="44">
        <f t="shared" si="39"/>
        <v>6.8711656441717797E-2</v>
      </c>
      <c r="F108" s="44">
        <f t="shared" si="39"/>
        <v>0.3969325153374233</v>
      </c>
      <c r="G108" s="44">
        <f t="shared" si="39"/>
        <v>1.4723926380368098E-2</v>
      </c>
      <c r="H108" s="44">
        <f t="shared" si="39"/>
        <v>2.4539877300613498E-3</v>
      </c>
      <c r="I108" s="44">
        <f t="shared" si="39"/>
        <v>0.14417177914110429</v>
      </c>
      <c r="J108" s="44">
        <f t="shared" si="39"/>
        <v>3.0674846625766872E-3</v>
      </c>
      <c r="K108" s="44">
        <f t="shared" si="39"/>
        <v>3.0674846625766872E-3</v>
      </c>
      <c r="L108" s="44">
        <f t="shared" si="39"/>
        <v>7.9754601226993873E-3</v>
      </c>
      <c r="M108" s="44"/>
      <c r="N108" s="44">
        <f t="shared" si="39"/>
        <v>1.8404907975460123E-3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B38" zoomScale="60" workbookViewId="0">
      <selection activeCell="B16" sqref="B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'31.10 MUKONO-KALAGI-24h'!D5</f>
        <v>31.10.2019</v>
      </c>
      <c r="E5" s="3"/>
      <c r="F5" s="41" t="s">
        <v>1</v>
      </c>
      <c r="G5" s="55" t="str">
        <f>'31.10 MUKONO-KALAGI-24h'!G5:H5</f>
        <v>KABEMBE</v>
      </c>
      <c r="H5" s="56"/>
      <c r="I5" s="14"/>
      <c r="J5" s="2" t="s">
        <v>5</v>
      </c>
      <c r="K5" s="55" t="s">
        <v>164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KALAGI-MUKONO'!D6:E6</f>
        <v>KALAGI</v>
      </c>
      <c r="E6" s="56"/>
      <c r="F6" s="2" t="s">
        <v>2</v>
      </c>
      <c r="G6" s="55" t="str">
        <f>'30.10-KALAGI-MUKONO'!G6:H6</f>
        <v>MUKONO</v>
      </c>
      <c r="H6" s="56"/>
      <c r="J6" s="2" t="s">
        <v>21</v>
      </c>
      <c r="K6" s="55" t="str">
        <f>'31.10 MUKONO-KALAGI-24h'!K6:L6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9</v>
      </c>
      <c r="D10" s="50">
        <v>0</v>
      </c>
      <c r="E10" s="50">
        <v>1</v>
      </c>
      <c r="F10" s="50">
        <v>8</v>
      </c>
      <c r="G10" s="50">
        <v>4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32</v>
      </c>
      <c r="N10" s="50">
        <v>0</v>
      </c>
      <c r="O10" s="15">
        <f t="shared" ref="O10:O73" si="0">SUM(C10:L10,N10)</f>
        <v>23</v>
      </c>
      <c r="P10" s="15">
        <f t="shared" ref="P10:P73" si="1">SUM(C10:N10)</f>
        <v>55</v>
      </c>
      <c r="R10" s="1" t="s">
        <v>6</v>
      </c>
      <c r="S10" s="17">
        <f t="shared" ref="S10:AF10" si="2">SUM(C10:C13)</f>
        <v>24</v>
      </c>
      <c r="T10" s="17">
        <f t="shared" si="2"/>
        <v>0</v>
      </c>
      <c r="U10" s="17">
        <f t="shared" si="2"/>
        <v>4</v>
      </c>
      <c r="V10" s="17">
        <f t="shared" si="2"/>
        <v>39</v>
      </c>
      <c r="W10" s="17">
        <f t="shared" si="2"/>
        <v>7</v>
      </c>
      <c r="X10" s="17">
        <f t="shared" si="2"/>
        <v>0</v>
      </c>
      <c r="Y10" s="17">
        <f t="shared" si="2"/>
        <v>8</v>
      </c>
      <c r="Z10" s="17">
        <f t="shared" si="2"/>
        <v>4</v>
      </c>
      <c r="AA10" s="17">
        <f t="shared" si="2"/>
        <v>0</v>
      </c>
      <c r="AB10" s="17">
        <f t="shared" si="2"/>
        <v>1</v>
      </c>
      <c r="AC10" s="17">
        <f t="shared" si="2"/>
        <v>119</v>
      </c>
      <c r="AD10" s="17">
        <f t="shared" si="2"/>
        <v>0</v>
      </c>
      <c r="AE10" s="31">
        <f t="shared" si="2"/>
        <v>87</v>
      </c>
      <c r="AF10" s="31">
        <f t="shared" si="2"/>
        <v>206</v>
      </c>
    </row>
    <row r="11" spans="2:32" s="6" customFormat="1" ht="23.1" customHeight="1" x14ac:dyDescent="0.25">
      <c r="B11" s="45" t="s">
        <v>38</v>
      </c>
      <c r="C11" s="50">
        <v>7</v>
      </c>
      <c r="D11" s="50">
        <v>0</v>
      </c>
      <c r="E11" s="50">
        <v>1</v>
      </c>
      <c r="F11" s="50">
        <v>11</v>
      </c>
      <c r="G11" s="50">
        <v>2</v>
      </c>
      <c r="H11" s="50">
        <v>0</v>
      </c>
      <c r="I11" s="50">
        <v>5</v>
      </c>
      <c r="J11" s="50">
        <v>2</v>
      </c>
      <c r="K11" s="50">
        <v>0</v>
      </c>
      <c r="L11" s="50">
        <v>0</v>
      </c>
      <c r="M11" s="50">
        <v>38</v>
      </c>
      <c r="N11" s="50">
        <v>0</v>
      </c>
      <c r="O11" s="15">
        <f t="shared" si="0"/>
        <v>28</v>
      </c>
      <c r="P11" s="15">
        <f t="shared" si="1"/>
        <v>66</v>
      </c>
      <c r="R11" s="1" t="s">
        <v>7</v>
      </c>
      <c r="S11" s="17">
        <f t="shared" ref="S11:AF11" si="3">SUM(C14:C17)</f>
        <v>22</v>
      </c>
      <c r="T11" s="17">
        <f t="shared" si="3"/>
        <v>7</v>
      </c>
      <c r="U11" s="17">
        <f t="shared" si="3"/>
        <v>3</v>
      </c>
      <c r="V11" s="17">
        <f t="shared" si="3"/>
        <v>41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96</v>
      </c>
      <c r="AD11" s="17">
        <f t="shared" si="3"/>
        <v>0</v>
      </c>
      <c r="AE11" s="31">
        <f t="shared" si="3"/>
        <v>83</v>
      </c>
      <c r="AF11" s="31">
        <f t="shared" si="3"/>
        <v>179</v>
      </c>
    </row>
    <row r="12" spans="2:32" ht="23.1" customHeight="1" x14ac:dyDescent="0.25">
      <c r="B12" s="45" t="s">
        <v>39</v>
      </c>
      <c r="C12" s="50">
        <v>4</v>
      </c>
      <c r="D12" s="50">
        <v>0</v>
      </c>
      <c r="E12" s="50">
        <v>1</v>
      </c>
      <c r="F12" s="50">
        <v>9</v>
      </c>
      <c r="G12" s="50">
        <v>1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19</v>
      </c>
      <c r="N12" s="50">
        <v>0</v>
      </c>
      <c r="O12" s="15">
        <f t="shared" si="0"/>
        <v>17</v>
      </c>
      <c r="P12" s="15">
        <f t="shared" si="1"/>
        <v>36</v>
      </c>
      <c r="R12" s="1" t="s">
        <v>8</v>
      </c>
      <c r="S12" s="17">
        <f t="shared" ref="S12:AF12" si="4">SUM(C18:C21)</f>
        <v>19</v>
      </c>
      <c r="T12" s="17">
        <f t="shared" si="4"/>
        <v>5</v>
      </c>
      <c r="U12" s="17">
        <f t="shared" si="4"/>
        <v>7</v>
      </c>
      <c r="V12" s="17">
        <f t="shared" si="4"/>
        <v>28</v>
      </c>
      <c r="W12" s="17">
        <f t="shared" si="4"/>
        <v>1</v>
      </c>
      <c r="X12" s="17">
        <f t="shared" si="4"/>
        <v>0</v>
      </c>
      <c r="Y12" s="17">
        <f t="shared" si="4"/>
        <v>9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72</v>
      </c>
      <c r="AD12" s="17">
        <f t="shared" si="4"/>
        <v>1</v>
      </c>
      <c r="AE12" s="31">
        <f t="shared" si="4"/>
        <v>72</v>
      </c>
      <c r="AF12" s="31">
        <f t="shared" si="4"/>
        <v>144</v>
      </c>
    </row>
    <row r="13" spans="2:32" ht="23.1" customHeight="1" x14ac:dyDescent="0.25">
      <c r="B13" s="45" t="s">
        <v>40</v>
      </c>
      <c r="C13" s="50">
        <v>4</v>
      </c>
      <c r="D13" s="50">
        <v>0</v>
      </c>
      <c r="E13" s="50">
        <v>1</v>
      </c>
      <c r="F13" s="50">
        <v>11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30</v>
      </c>
      <c r="N13" s="50">
        <v>0</v>
      </c>
      <c r="O13" s="15">
        <f t="shared" si="0"/>
        <v>19</v>
      </c>
      <c r="P13" s="15">
        <f t="shared" si="1"/>
        <v>49</v>
      </c>
      <c r="R13" s="1" t="s">
        <v>9</v>
      </c>
      <c r="S13" s="17">
        <f t="shared" ref="S13:AF13" si="5">SUM(C22:C25)</f>
        <v>28</v>
      </c>
      <c r="T13" s="17">
        <f t="shared" si="5"/>
        <v>3</v>
      </c>
      <c r="U13" s="17">
        <f t="shared" si="5"/>
        <v>7</v>
      </c>
      <c r="V13" s="17">
        <f t="shared" si="5"/>
        <v>27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2</v>
      </c>
      <c r="AA13" s="17">
        <f t="shared" si="5"/>
        <v>1</v>
      </c>
      <c r="AB13" s="17">
        <f t="shared" si="5"/>
        <v>1</v>
      </c>
      <c r="AC13" s="17">
        <f t="shared" si="5"/>
        <v>100</v>
      </c>
      <c r="AD13" s="17">
        <f t="shared" si="5"/>
        <v>0</v>
      </c>
      <c r="AE13" s="31">
        <f t="shared" si="5"/>
        <v>76</v>
      </c>
      <c r="AF13" s="31">
        <f t="shared" si="5"/>
        <v>176</v>
      </c>
    </row>
    <row r="14" spans="2:32" ht="23.1" customHeight="1" x14ac:dyDescent="0.25">
      <c r="B14" s="45" t="s">
        <v>41</v>
      </c>
      <c r="C14" s="50">
        <v>5</v>
      </c>
      <c r="D14" s="50">
        <v>0</v>
      </c>
      <c r="E14" s="50">
        <v>1</v>
      </c>
      <c r="F14" s="50">
        <v>11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1</v>
      </c>
      <c r="M14" s="50">
        <v>27</v>
      </c>
      <c r="N14" s="50">
        <v>0</v>
      </c>
      <c r="O14" s="15">
        <f t="shared" si="0"/>
        <v>20</v>
      </c>
      <c r="P14" s="15">
        <f t="shared" si="1"/>
        <v>47</v>
      </c>
      <c r="R14" s="1" t="s">
        <v>10</v>
      </c>
      <c r="S14" s="17">
        <f t="shared" ref="S14:AF14" si="6">SUM(C26:C29)</f>
        <v>27</v>
      </c>
      <c r="T14" s="17">
        <f t="shared" si="6"/>
        <v>2</v>
      </c>
      <c r="U14" s="17">
        <f t="shared" si="6"/>
        <v>6</v>
      </c>
      <c r="V14" s="17">
        <f t="shared" si="6"/>
        <v>35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93</v>
      </c>
      <c r="AD14" s="17">
        <f t="shared" si="6"/>
        <v>2</v>
      </c>
      <c r="AE14" s="31">
        <f t="shared" si="6"/>
        <v>82</v>
      </c>
      <c r="AF14" s="31">
        <f t="shared" si="6"/>
        <v>175</v>
      </c>
    </row>
    <row r="15" spans="2:32" ht="23.1" customHeight="1" x14ac:dyDescent="0.25">
      <c r="B15" s="45" t="s">
        <v>42</v>
      </c>
      <c r="C15" s="50">
        <v>7</v>
      </c>
      <c r="D15" s="50">
        <v>4</v>
      </c>
      <c r="E15" s="50">
        <v>1</v>
      </c>
      <c r="F15" s="50">
        <v>11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0</v>
      </c>
      <c r="M15" s="50">
        <v>30</v>
      </c>
      <c r="N15" s="50">
        <v>0</v>
      </c>
      <c r="O15" s="15">
        <f t="shared" si="0"/>
        <v>28</v>
      </c>
      <c r="P15" s="15">
        <f t="shared" si="1"/>
        <v>58</v>
      </c>
      <c r="R15" s="1" t="s">
        <v>11</v>
      </c>
      <c r="S15" s="17">
        <f t="shared" ref="S15:AF15" si="7">SUM(C30:C33)</f>
        <v>28</v>
      </c>
      <c r="T15" s="17">
        <f t="shared" si="7"/>
        <v>2</v>
      </c>
      <c r="U15" s="17">
        <f t="shared" si="7"/>
        <v>10</v>
      </c>
      <c r="V15" s="17">
        <f t="shared" si="7"/>
        <v>29</v>
      </c>
      <c r="W15" s="17">
        <f t="shared" si="7"/>
        <v>2</v>
      </c>
      <c r="X15" s="17">
        <f t="shared" si="7"/>
        <v>0</v>
      </c>
      <c r="Y15" s="17">
        <f t="shared" si="7"/>
        <v>15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94</v>
      </c>
      <c r="AD15" s="17">
        <f t="shared" si="7"/>
        <v>0</v>
      </c>
      <c r="AE15" s="31">
        <f t="shared" si="7"/>
        <v>91</v>
      </c>
      <c r="AF15" s="31">
        <f t="shared" si="7"/>
        <v>185</v>
      </c>
    </row>
    <row r="16" spans="2:32" ht="23.1" customHeight="1" x14ac:dyDescent="0.25">
      <c r="B16" s="45" t="s">
        <v>43</v>
      </c>
      <c r="C16" s="50">
        <v>10</v>
      </c>
      <c r="D16" s="50">
        <v>3</v>
      </c>
      <c r="E16" s="50">
        <v>0</v>
      </c>
      <c r="F16" s="50">
        <v>10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25</v>
      </c>
      <c r="N16" s="50">
        <v>0</v>
      </c>
      <c r="O16" s="15">
        <f t="shared" si="0"/>
        <v>24</v>
      </c>
      <c r="P16" s="15">
        <f t="shared" si="1"/>
        <v>49</v>
      </c>
      <c r="R16" s="1" t="s">
        <v>12</v>
      </c>
      <c r="S16" s="17">
        <f t="shared" ref="S16:AF16" si="8">SUM(C34:C37)</f>
        <v>23</v>
      </c>
      <c r="T16" s="17">
        <f t="shared" si="8"/>
        <v>3</v>
      </c>
      <c r="U16" s="17">
        <f t="shared" si="8"/>
        <v>6</v>
      </c>
      <c r="V16" s="17">
        <f t="shared" si="8"/>
        <v>32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4</v>
      </c>
      <c r="AA16" s="17">
        <f t="shared" si="8"/>
        <v>1</v>
      </c>
      <c r="AB16" s="17">
        <f t="shared" si="8"/>
        <v>1</v>
      </c>
      <c r="AC16" s="17">
        <f t="shared" si="8"/>
        <v>81</v>
      </c>
      <c r="AD16" s="17">
        <f t="shared" si="8"/>
        <v>0</v>
      </c>
      <c r="AE16" s="31">
        <f t="shared" si="8"/>
        <v>84</v>
      </c>
      <c r="AF16" s="31">
        <f t="shared" si="8"/>
        <v>165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9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11</v>
      </c>
      <c r="P17" s="15">
        <f t="shared" si="1"/>
        <v>25</v>
      </c>
      <c r="R17" s="1" t="s">
        <v>13</v>
      </c>
      <c r="S17" s="17">
        <f t="shared" ref="S17:AF17" si="9">SUM(C38:C41)</f>
        <v>43</v>
      </c>
      <c r="T17" s="17">
        <f t="shared" si="9"/>
        <v>5</v>
      </c>
      <c r="U17" s="17">
        <f t="shared" si="9"/>
        <v>8</v>
      </c>
      <c r="V17" s="17">
        <f t="shared" si="9"/>
        <v>29</v>
      </c>
      <c r="W17" s="17">
        <f t="shared" si="9"/>
        <v>2</v>
      </c>
      <c r="X17" s="17">
        <f t="shared" si="9"/>
        <v>0</v>
      </c>
      <c r="Y17" s="17">
        <f t="shared" si="9"/>
        <v>7</v>
      </c>
      <c r="Z17" s="17">
        <f t="shared" si="9"/>
        <v>3</v>
      </c>
      <c r="AA17" s="17">
        <f t="shared" si="9"/>
        <v>3</v>
      </c>
      <c r="AB17" s="17">
        <f t="shared" si="9"/>
        <v>0</v>
      </c>
      <c r="AC17" s="17">
        <f t="shared" si="9"/>
        <v>95</v>
      </c>
      <c r="AD17" s="17">
        <f t="shared" si="9"/>
        <v>0</v>
      </c>
      <c r="AE17" s="31">
        <f t="shared" si="9"/>
        <v>100</v>
      </c>
      <c r="AF17" s="31">
        <f t="shared" si="9"/>
        <v>195</v>
      </c>
    </row>
    <row r="18" spans="2:32" ht="23.1" customHeight="1" x14ac:dyDescent="0.25">
      <c r="B18" s="45" t="s">
        <v>45</v>
      </c>
      <c r="C18" s="50">
        <v>5</v>
      </c>
      <c r="D18" s="50">
        <v>1</v>
      </c>
      <c r="E18" s="50">
        <v>1</v>
      </c>
      <c r="F18" s="50">
        <v>5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1</v>
      </c>
      <c r="M18" s="50">
        <v>24</v>
      </c>
      <c r="N18" s="50">
        <v>0</v>
      </c>
      <c r="O18" s="15">
        <f t="shared" si="0"/>
        <v>16</v>
      </c>
      <c r="P18" s="15">
        <f t="shared" si="1"/>
        <v>40</v>
      </c>
      <c r="R18" s="1" t="s">
        <v>14</v>
      </c>
      <c r="S18" s="17">
        <f t="shared" ref="S18:AF18" si="10">SUM(C42:C45)</f>
        <v>26</v>
      </c>
      <c r="T18" s="17">
        <f t="shared" si="10"/>
        <v>7</v>
      </c>
      <c r="U18" s="17">
        <f t="shared" si="10"/>
        <v>7</v>
      </c>
      <c r="V18" s="17">
        <f t="shared" si="10"/>
        <v>35</v>
      </c>
      <c r="W18" s="17">
        <f t="shared" si="10"/>
        <v>4</v>
      </c>
      <c r="X18" s="17">
        <f t="shared" si="10"/>
        <v>0</v>
      </c>
      <c r="Y18" s="17">
        <f t="shared" si="10"/>
        <v>11</v>
      </c>
      <c r="Z18" s="17">
        <f t="shared" si="10"/>
        <v>0</v>
      </c>
      <c r="AA18" s="17">
        <f t="shared" si="10"/>
        <v>1</v>
      </c>
      <c r="AB18" s="17">
        <f t="shared" si="10"/>
        <v>2</v>
      </c>
      <c r="AC18" s="17">
        <f t="shared" si="10"/>
        <v>76</v>
      </c>
      <c r="AD18" s="17">
        <f t="shared" si="10"/>
        <v>0</v>
      </c>
      <c r="AE18" s="31">
        <f t="shared" si="10"/>
        <v>93</v>
      </c>
      <c r="AF18" s="31">
        <f t="shared" si="10"/>
        <v>169</v>
      </c>
    </row>
    <row r="19" spans="2:32" ht="23.1" customHeight="1" x14ac:dyDescent="0.25">
      <c r="B19" s="45" t="s">
        <v>46</v>
      </c>
      <c r="C19" s="50">
        <v>5</v>
      </c>
      <c r="D19" s="50">
        <v>1</v>
      </c>
      <c r="E19" s="50">
        <v>2</v>
      </c>
      <c r="F19" s="50">
        <v>10</v>
      </c>
      <c r="G19" s="50">
        <v>1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16</v>
      </c>
      <c r="N19" s="50">
        <v>1</v>
      </c>
      <c r="O19" s="15">
        <f t="shared" si="0"/>
        <v>23</v>
      </c>
      <c r="P19" s="15">
        <f t="shared" si="1"/>
        <v>39</v>
      </c>
      <c r="R19" s="1" t="s">
        <v>15</v>
      </c>
      <c r="S19" s="17">
        <f t="shared" ref="S19:AF19" si="11">SUM(C46:C49)</f>
        <v>45</v>
      </c>
      <c r="T19" s="17">
        <f t="shared" si="11"/>
        <v>5</v>
      </c>
      <c r="U19" s="17">
        <f t="shared" si="11"/>
        <v>11</v>
      </c>
      <c r="V19" s="17">
        <f t="shared" si="11"/>
        <v>45</v>
      </c>
      <c r="W19" s="17">
        <f t="shared" si="11"/>
        <v>3</v>
      </c>
      <c r="X19" s="17">
        <f t="shared" si="11"/>
        <v>0</v>
      </c>
      <c r="Y19" s="17">
        <f t="shared" si="11"/>
        <v>10</v>
      </c>
      <c r="Z19" s="17">
        <f t="shared" si="11"/>
        <v>5</v>
      </c>
      <c r="AA19" s="17">
        <f t="shared" si="11"/>
        <v>3</v>
      </c>
      <c r="AB19" s="17">
        <f t="shared" si="11"/>
        <v>0</v>
      </c>
      <c r="AC19" s="17">
        <f t="shared" si="11"/>
        <v>77</v>
      </c>
      <c r="AD19" s="17">
        <f t="shared" si="11"/>
        <v>0</v>
      </c>
      <c r="AE19" s="31">
        <f t="shared" si="11"/>
        <v>127</v>
      </c>
      <c r="AF19" s="31">
        <f t="shared" si="11"/>
        <v>204</v>
      </c>
    </row>
    <row r="20" spans="2:32" ht="23.1" customHeight="1" x14ac:dyDescent="0.25">
      <c r="B20" s="45" t="s">
        <v>47</v>
      </c>
      <c r="C20" s="50">
        <v>6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8</v>
      </c>
      <c r="P20" s="15">
        <f t="shared" si="1"/>
        <v>24</v>
      </c>
      <c r="R20" s="1" t="s">
        <v>16</v>
      </c>
      <c r="S20" s="17">
        <f t="shared" ref="S20:AF20" si="12">SUM(C50:C53)</f>
        <v>49</v>
      </c>
      <c r="T20" s="17">
        <f t="shared" si="12"/>
        <v>11</v>
      </c>
      <c r="U20" s="17">
        <f t="shared" si="12"/>
        <v>8</v>
      </c>
      <c r="V20" s="17">
        <f t="shared" si="12"/>
        <v>29</v>
      </c>
      <c r="W20" s="17">
        <f t="shared" si="12"/>
        <v>2</v>
      </c>
      <c r="X20" s="17">
        <f t="shared" si="12"/>
        <v>0</v>
      </c>
      <c r="Y20" s="17">
        <f t="shared" si="12"/>
        <v>11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88</v>
      </c>
      <c r="AD20" s="17">
        <f t="shared" si="12"/>
        <v>0</v>
      </c>
      <c r="AE20" s="31">
        <f t="shared" si="12"/>
        <v>111</v>
      </c>
      <c r="AF20" s="31">
        <f t="shared" si="12"/>
        <v>199</v>
      </c>
    </row>
    <row r="21" spans="2:32" ht="23.1" customHeight="1" x14ac:dyDescent="0.25">
      <c r="B21" s="45" t="s">
        <v>48</v>
      </c>
      <c r="C21" s="50">
        <v>3</v>
      </c>
      <c r="D21" s="50">
        <v>3</v>
      </c>
      <c r="E21" s="50">
        <v>4</v>
      </c>
      <c r="F21" s="50">
        <v>11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16</v>
      </c>
      <c r="N21" s="50">
        <v>0</v>
      </c>
      <c r="O21" s="15">
        <f t="shared" si="0"/>
        <v>25</v>
      </c>
      <c r="P21" s="15">
        <f t="shared" si="1"/>
        <v>41</v>
      </c>
      <c r="R21" s="36" t="s">
        <v>20</v>
      </c>
      <c r="S21" s="34">
        <f t="shared" ref="S21:AF21" si="13">SUM(C54:C57)</f>
        <v>18</v>
      </c>
      <c r="T21" s="17">
        <f t="shared" si="13"/>
        <v>8</v>
      </c>
      <c r="U21" s="17">
        <f t="shared" si="13"/>
        <v>9</v>
      </c>
      <c r="V21" s="17">
        <f t="shared" si="13"/>
        <v>31</v>
      </c>
      <c r="W21" s="17">
        <f t="shared" si="13"/>
        <v>2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0</v>
      </c>
      <c r="AB21" s="17">
        <f t="shared" si="13"/>
        <v>1</v>
      </c>
      <c r="AC21" s="17">
        <f t="shared" si="13"/>
        <v>77</v>
      </c>
      <c r="AD21" s="17">
        <f t="shared" si="13"/>
        <v>0</v>
      </c>
      <c r="AE21" s="31">
        <f t="shared" si="13"/>
        <v>75</v>
      </c>
      <c r="AF21" s="31">
        <f t="shared" si="13"/>
        <v>152</v>
      </c>
    </row>
    <row r="22" spans="2:32" ht="23.1" customHeight="1" x14ac:dyDescent="0.25">
      <c r="B22" s="45" t="s">
        <v>49</v>
      </c>
      <c r="C22" s="50">
        <v>10</v>
      </c>
      <c r="D22" s="50">
        <v>0</v>
      </c>
      <c r="E22" s="50">
        <v>2</v>
      </c>
      <c r="F22" s="50">
        <v>5</v>
      </c>
      <c r="G22" s="50">
        <v>1</v>
      </c>
      <c r="H22" s="50">
        <v>0</v>
      </c>
      <c r="I22" s="50">
        <v>1</v>
      </c>
      <c r="J22" s="50">
        <v>2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21</v>
      </c>
      <c r="P22" s="15">
        <f t="shared" si="1"/>
        <v>40</v>
      </c>
      <c r="R22" s="36" t="s">
        <v>146</v>
      </c>
      <c r="S22" s="34">
        <f>SUM(C58:C61)</f>
        <v>22</v>
      </c>
      <c r="T22" s="34">
        <f t="shared" ref="T22:AF22" si="14">SUM(D58:D61)</f>
        <v>6</v>
      </c>
      <c r="U22" s="34">
        <f t="shared" si="14"/>
        <v>5</v>
      </c>
      <c r="V22" s="34">
        <f t="shared" si="14"/>
        <v>32</v>
      </c>
      <c r="W22" s="34">
        <f t="shared" si="14"/>
        <v>2</v>
      </c>
      <c r="X22" s="34">
        <f t="shared" si="14"/>
        <v>0</v>
      </c>
      <c r="Y22" s="34">
        <f t="shared" si="14"/>
        <v>9</v>
      </c>
      <c r="Z22" s="34">
        <f t="shared" si="14"/>
        <v>0</v>
      </c>
      <c r="AA22" s="34">
        <f t="shared" si="14"/>
        <v>2</v>
      </c>
      <c r="AB22" s="34">
        <f t="shared" si="14"/>
        <v>0</v>
      </c>
      <c r="AC22" s="34">
        <f t="shared" si="14"/>
        <v>87</v>
      </c>
      <c r="AD22" s="34">
        <f t="shared" si="14"/>
        <v>0</v>
      </c>
      <c r="AE22" s="31">
        <f t="shared" si="14"/>
        <v>78</v>
      </c>
      <c r="AF22" s="31">
        <f t="shared" si="14"/>
        <v>165</v>
      </c>
    </row>
    <row r="23" spans="2:32" ht="23.1" customHeight="1" x14ac:dyDescent="0.25">
      <c r="B23" s="45" t="s">
        <v>50</v>
      </c>
      <c r="C23" s="50">
        <v>7</v>
      </c>
      <c r="D23" s="50">
        <v>2</v>
      </c>
      <c r="E23" s="50">
        <v>3</v>
      </c>
      <c r="F23" s="50">
        <v>6</v>
      </c>
      <c r="G23" s="50">
        <v>0</v>
      </c>
      <c r="H23" s="50">
        <v>0</v>
      </c>
      <c r="I23" s="50">
        <v>4</v>
      </c>
      <c r="J23" s="50">
        <v>0</v>
      </c>
      <c r="K23" s="50">
        <v>1</v>
      </c>
      <c r="L23" s="50">
        <v>0</v>
      </c>
      <c r="M23" s="50">
        <v>28</v>
      </c>
      <c r="N23" s="50">
        <v>0</v>
      </c>
      <c r="O23" s="15">
        <f t="shared" si="0"/>
        <v>23</v>
      </c>
      <c r="P23" s="15">
        <f t="shared" si="1"/>
        <v>51</v>
      </c>
      <c r="R23" s="36" t="s">
        <v>147</v>
      </c>
      <c r="S23" s="34">
        <f>SUM(C62:C65)</f>
        <v>24</v>
      </c>
      <c r="T23" s="34">
        <f t="shared" ref="T23:AF23" si="15">SUM(D62:D65)</f>
        <v>5</v>
      </c>
      <c r="U23" s="34">
        <f t="shared" si="15"/>
        <v>4</v>
      </c>
      <c r="V23" s="34">
        <f t="shared" si="15"/>
        <v>37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2</v>
      </c>
      <c r="AA23" s="34">
        <f t="shared" si="15"/>
        <v>1</v>
      </c>
      <c r="AB23" s="34">
        <f t="shared" si="15"/>
        <v>0</v>
      </c>
      <c r="AC23" s="34">
        <f t="shared" si="15"/>
        <v>61</v>
      </c>
      <c r="AD23" s="34">
        <f t="shared" si="15"/>
        <v>0</v>
      </c>
      <c r="AE23" s="31">
        <f t="shared" si="15"/>
        <v>80</v>
      </c>
      <c r="AF23" s="31">
        <f t="shared" si="15"/>
        <v>141</v>
      </c>
    </row>
    <row r="24" spans="2:32" ht="23.1" customHeight="1" x14ac:dyDescent="0.25">
      <c r="B24" s="45" t="s">
        <v>51</v>
      </c>
      <c r="C24" s="50">
        <v>5</v>
      </c>
      <c r="D24" s="50">
        <v>1</v>
      </c>
      <c r="E24" s="50">
        <v>0</v>
      </c>
      <c r="F24" s="50">
        <v>10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29</v>
      </c>
      <c r="N24" s="50">
        <v>0</v>
      </c>
      <c r="O24" s="15">
        <f t="shared" si="0"/>
        <v>16</v>
      </c>
      <c r="P24" s="15">
        <f t="shared" si="1"/>
        <v>45</v>
      </c>
      <c r="R24" s="36" t="s">
        <v>148</v>
      </c>
      <c r="S24" s="34">
        <f>SUM(C66:C69)</f>
        <v>14</v>
      </c>
      <c r="T24" s="34">
        <f t="shared" ref="T24:AF24" si="16">SUM(D66:D69)</f>
        <v>0</v>
      </c>
      <c r="U24" s="34">
        <f t="shared" si="16"/>
        <v>8</v>
      </c>
      <c r="V24" s="34">
        <f t="shared" si="16"/>
        <v>20</v>
      </c>
      <c r="W24" s="34">
        <f t="shared" si="16"/>
        <v>0</v>
      </c>
      <c r="X24" s="34">
        <f t="shared" si="16"/>
        <v>0</v>
      </c>
      <c r="Y24" s="34">
        <f t="shared" si="16"/>
        <v>7</v>
      </c>
      <c r="Z24" s="34">
        <f t="shared" si="16"/>
        <v>3</v>
      </c>
      <c r="AA24" s="34">
        <f t="shared" si="16"/>
        <v>0</v>
      </c>
      <c r="AB24" s="34">
        <f t="shared" si="16"/>
        <v>0</v>
      </c>
      <c r="AC24" s="34">
        <f t="shared" si="16"/>
        <v>55</v>
      </c>
      <c r="AD24" s="34">
        <f t="shared" si="16"/>
        <v>0</v>
      </c>
      <c r="AE24" s="31">
        <f t="shared" si="16"/>
        <v>52</v>
      </c>
      <c r="AF24" s="31">
        <f t="shared" si="16"/>
        <v>107</v>
      </c>
    </row>
    <row r="25" spans="2:32" ht="23.1" customHeight="1" x14ac:dyDescent="0.25">
      <c r="B25" s="45" t="s">
        <v>52</v>
      </c>
      <c r="C25" s="50">
        <v>6</v>
      </c>
      <c r="D25" s="50">
        <v>0</v>
      </c>
      <c r="E25" s="50">
        <v>2</v>
      </c>
      <c r="F25" s="50">
        <v>6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24</v>
      </c>
      <c r="N25" s="50">
        <v>0</v>
      </c>
      <c r="O25" s="15">
        <f t="shared" si="0"/>
        <v>16</v>
      </c>
      <c r="P25" s="15">
        <f t="shared" si="1"/>
        <v>40</v>
      </c>
      <c r="R25" s="36" t="s">
        <v>149</v>
      </c>
      <c r="S25" s="34">
        <f>SUM(C70:C73)</f>
        <v>14</v>
      </c>
      <c r="T25" s="34">
        <f t="shared" ref="T25:AF25" si="17">SUM(D70:D73)</f>
        <v>1</v>
      </c>
      <c r="U25" s="34">
        <f t="shared" si="17"/>
        <v>2</v>
      </c>
      <c r="V25" s="34">
        <f t="shared" si="17"/>
        <v>7</v>
      </c>
      <c r="W25" s="34">
        <f t="shared" si="17"/>
        <v>0</v>
      </c>
      <c r="X25" s="34">
        <f t="shared" si="17"/>
        <v>0</v>
      </c>
      <c r="Y25" s="34">
        <f t="shared" si="17"/>
        <v>9</v>
      </c>
      <c r="Z25" s="34">
        <f t="shared" si="17"/>
        <v>3</v>
      </c>
      <c r="AA25" s="34">
        <f t="shared" si="17"/>
        <v>0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36</v>
      </c>
      <c r="AF25" s="31">
        <f t="shared" si="17"/>
        <v>49</v>
      </c>
    </row>
    <row r="26" spans="2:32" ht="23.1" customHeight="1" x14ac:dyDescent="0.25">
      <c r="B26" s="45" t="s">
        <v>53</v>
      </c>
      <c r="C26" s="50">
        <v>8</v>
      </c>
      <c r="D26" s="50">
        <v>0</v>
      </c>
      <c r="E26" s="50">
        <v>3</v>
      </c>
      <c r="F26" s="50">
        <v>7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21</v>
      </c>
      <c r="P26" s="15">
        <f t="shared" si="1"/>
        <v>38</v>
      </c>
      <c r="R26" s="36" t="s">
        <v>150</v>
      </c>
      <c r="S26" s="34">
        <f>SUM(C74:C77)</f>
        <v>6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5</v>
      </c>
      <c r="W26" s="34">
        <f t="shared" si="18"/>
        <v>1</v>
      </c>
      <c r="X26" s="34">
        <f t="shared" si="18"/>
        <v>0</v>
      </c>
      <c r="Y26" s="34">
        <f t="shared" si="18"/>
        <v>9</v>
      </c>
      <c r="Z26" s="34">
        <f t="shared" si="18"/>
        <v>4</v>
      </c>
      <c r="AA26" s="34">
        <f t="shared" si="18"/>
        <v>0</v>
      </c>
      <c r="AB26" s="34">
        <f t="shared" si="18"/>
        <v>0</v>
      </c>
      <c r="AC26" s="34">
        <f t="shared" si="18"/>
        <v>24</v>
      </c>
      <c r="AD26" s="34">
        <f t="shared" si="18"/>
        <v>0</v>
      </c>
      <c r="AE26" s="31">
        <f t="shared" si="18"/>
        <v>26</v>
      </c>
      <c r="AF26" s="31">
        <f t="shared" si="18"/>
        <v>50</v>
      </c>
    </row>
    <row r="27" spans="2:32" ht="23.1" customHeight="1" x14ac:dyDescent="0.25">
      <c r="B27" s="45" t="s">
        <v>54</v>
      </c>
      <c r="C27" s="50">
        <v>4</v>
      </c>
      <c r="D27" s="50">
        <v>0</v>
      </c>
      <c r="E27" s="50">
        <v>3</v>
      </c>
      <c r="F27" s="50">
        <v>10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24</v>
      </c>
      <c r="N27" s="50">
        <v>1</v>
      </c>
      <c r="O27" s="15">
        <f t="shared" si="0"/>
        <v>20</v>
      </c>
      <c r="P27" s="15">
        <f t="shared" si="1"/>
        <v>44</v>
      </c>
      <c r="R27" s="36" t="s">
        <v>151</v>
      </c>
      <c r="S27" s="34">
        <f>SUM(C78:C81)</f>
        <v>2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6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</v>
      </c>
      <c r="AD27" s="34">
        <f t="shared" si="19"/>
        <v>0</v>
      </c>
      <c r="AE27" s="31">
        <f t="shared" si="19"/>
        <v>10</v>
      </c>
      <c r="AF27" s="31">
        <f t="shared" si="19"/>
        <v>18</v>
      </c>
    </row>
    <row r="28" spans="2:32" ht="23.1" customHeight="1" x14ac:dyDescent="0.25">
      <c r="B28" s="45" t="s">
        <v>55</v>
      </c>
      <c r="C28" s="50">
        <v>8</v>
      </c>
      <c r="D28" s="50">
        <v>2</v>
      </c>
      <c r="E28" s="50">
        <v>0</v>
      </c>
      <c r="F28" s="50">
        <v>9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25</v>
      </c>
      <c r="N28" s="50">
        <v>0</v>
      </c>
      <c r="O28" s="15">
        <f t="shared" si="0"/>
        <v>19</v>
      </c>
      <c r="P28" s="15">
        <f t="shared" si="1"/>
        <v>44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1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3</v>
      </c>
      <c r="AF28" s="31">
        <f t="shared" si="20"/>
        <v>4</v>
      </c>
    </row>
    <row r="29" spans="2:32" ht="23.1" customHeight="1" x14ac:dyDescent="0.25">
      <c r="B29" s="45" t="s">
        <v>56</v>
      </c>
      <c r="C29" s="50">
        <v>7</v>
      </c>
      <c r="D29" s="50">
        <v>0</v>
      </c>
      <c r="E29" s="50">
        <v>0</v>
      </c>
      <c r="F29" s="50">
        <v>9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0</v>
      </c>
      <c r="M29" s="50">
        <v>27</v>
      </c>
      <c r="N29" s="50">
        <v>1</v>
      </c>
      <c r="O29" s="15">
        <f t="shared" si="0"/>
        <v>22</v>
      </c>
      <c r="P29" s="15">
        <f t="shared" si="1"/>
        <v>49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4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10</v>
      </c>
      <c r="D30" s="50">
        <v>1</v>
      </c>
      <c r="E30" s="50">
        <v>2</v>
      </c>
      <c r="F30" s="50">
        <v>8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23</v>
      </c>
      <c r="N30" s="50">
        <v>0</v>
      </c>
      <c r="O30" s="15">
        <f t="shared" si="0"/>
        <v>25</v>
      </c>
      <c r="P30" s="15">
        <f t="shared" si="1"/>
        <v>48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3</v>
      </c>
      <c r="W30" s="34">
        <f t="shared" si="22"/>
        <v>1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7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7</v>
      </c>
      <c r="D31" s="50">
        <v>1</v>
      </c>
      <c r="E31" s="50">
        <v>2</v>
      </c>
      <c r="F31" s="50">
        <v>10</v>
      </c>
      <c r="G31" s="50">
        <v>2</v>
      </c>
      <c r="H31" s="50">
        <v>0</v>
      </c>
      <c r="I31" s="50">
        <v>8</v>
      </c>
      <c r="J31" s="50">
        <v>2</v>
      </c>
      <c r="K31" s="50">
        <v>1</v>
      </c>
      <c r="L31" s="50">
        <v>0</v>
      </c>
      <c r="M31" s="50">
        <v>26</v>
      </c>
      <c r="N31" s="50">
        <v>0</v>
      </c>
      <c r="O31" s="15">
        <f t="shared" si="0"/>
        <v>33</v>
      </c>
      <c r="P31" s="15">
        <f t="shared" si="1"/>
        <v>59</v>
      </c>
      <c r="R31" s="36" t="s">
        <v>155</v>
      </c>
      <c r="S31" s="34">
        <f>SUM(C94:C97)</f>
        <v>2</v>
      </c>
      <c r="T31" s="34">
        <f t="shared" ref="T31:AF31" si="23">SUM(D94:D97)</f>
        <v>1</v>
      </c>
      <c r="U31" s="34">
        <f t="shared" si="23"/>
        <v>1</v>
      </c>
      <c r="V31" s="34">
        <f t="shared" si="23"/>
        <v>19</v>
      </c>
      <c r="W31" s="34">
        <f t="shared" si="23"/>
        <v>0</v>
      </c>
      <c r="X31" s="34">
        <f t="shared" si="23"/>
        <v>0</v>
      </c>
      <c r="Y31" s="34">
        <f t="shared" si="23"/>
        <v>6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4</v>
      </c>
      <c r="AD31" s="34">
        <f t="shared" si="23"/>
        <v>0</v>
      </c>
      <c r="AE31" s="31">
        <f t="shared" si="23"/>
        <v>30</v>
      </c>
      <c r="AF31" s="31">
        <f t="shared" si="23"/>
        <v>34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4</v>
      </c>
      <c r="F32" s="50">
        <v>6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26</v>
      </c>
      <c r="N32" s="50">
        <v>0</v>
      </c>
      <c r="O32" s="15">
        <f t="shared" si="0"/>
        <v>16</v>
      </c>
      <c r="P32" s="15">
        <f t="shared" si="1"/>
        <v>42</v>
      </c>
      <c r="R32" s="33" t="s">
        <v>156</v>
      </c>
      <c r="S32" s="34">
        <f>SUM(C98:C101)</f>
        <v>20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32</v>
      </c>
      <c r="W32" s="34">
        <f t="shared" si="24"/>
        <v>0</v>
      </c>
      <c r="X32" s="34">
        <f t="shared" si="24"/>
        <v>0</v>
      </c>
      <c r="Y32" s="34">
        <f t="shared" si="24"/>
        <v>9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20</v>
      </c>
      <c r="AD32" s="34">
        <f t="shared" si="24"/>
        <v>0</v>
      </c>
      <c r="AE32" s="31">
        <f t="shared" si="24"/>
        <v>62</v>
      </c>
      <c r="AF32" s="31">
        <f t="shared" si="24"/>
        <v>82</v>
      </c>
    </row>
    <row r="33" spans="2:32" ht="23.1" customHeight="1" x14ac:dyDescent="0.25">
      <c r="B33" s="45" t="s">
        <v>60</v>
      </c>
      <c r="C33" s="50">
        <v>8</v>
      </c>
      <c r="D33" s="50">
        <v>0</v>
      </c>
      <c r="E33" s="50">
        <v>2</v>
      </c>
      <c r="F33" s="50">
        <v>5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19</v>
      </c>
      <c r="N33" s="50">
        <v>0</v>
      </c>
      <c r="O33" s="15">
        <f t="shared" si="0"/>
        <v>17</v>
      </c>
      <c r="P33" s="15">
        <f t="shared" si="1"/>
        <v>36</v>
      </c>
      <c r="R33" s="33" t="s">
        <v>157</v>
      </c>
      <c r="S33" s="34">
        <f>SUM(C102:C105)</f>
        <v>17</v>
      </c>
      <c r="T33" s="34">
        <f t="shared" ref="T33:AF33" si="25">SUM(D102:D105)</f>
        <v>3</v>
      </c>
      <c r="U33" s="34">
        <f t="shared" si="25"/>
        <v>3</v>
      </c>
      <c r="V33" s="34">
        <f t="shared" si="25"/>
        <v>36</v>
      </c>
      <c r="W33" s="34">
        <f t="shared" si="25"/>
        <v>4</v>
      </c>
      <c r="X33" s="34">
        <f t="shared" si="25"/>
        <v>0</v>
      </c>
      <c r="Y33" s="34">
        <f t="shared" si="25"/>
        <v>10</v>
      </c>
      <c r="Z33" s="34">
        <f t="shared" si="25"/>
        <v>0</v>
      </c>
      <c r="AA33" s="34">
        <f t="shared" si="25"/>
        <v>0</v>
      </c>
      <c r="AB33" s="34">
        <f t="shared" si="25"/>
        <v>1</v>
      </c>
      <c r="AC33" s="34">
        <f t="shared" si="25"/>
        <v>59</v>
      </c>
      <c r="AD33" s="34">
        <f t="shared" si="25"/>
        <v>0</v>
      </c>
      <c r="AE33" s="31">
        <f t="shared" si="25"/>
        <v>74</v>
      </c>
      <c r="AF33" s="31">
        <f t="shared" si="25"/>
        <v>133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1</v>
      </c>
      <c r="F34" s="50">
        <v>8</v>
      </c>
      <c r="G34" s="50">
        <v>0</v>
      </c>
      <c r="H34" s="50">
        <v>0</v>
      </c>
      <c r="I34" s="50">
        <v>6</v>
      </c>
      <c r="J34" s="50">
        <v>1</v>
      </c>
      <c r="K34" s="50">
        <v>0</v>
      </c>
      <c r="L34" s="50">
        <v>0</v>
      </c>
      <c r="M34" s="50">
        <v>17</v>
      </c>
      <c r="N34" s="50">
        <v>0</v>
      </c>
      <c r="O34" s="15">
        <f t="shared" si="0"/>
        <v>18</v>
      </c>
      <c r="P34" s="15">
        <f t="shared" si="1"/>
        <v>35</v>
      </c>
      <c r="R34" s="38" t="s">
        <v>90</v>
      </c>
      <c r="S34" s="39">
        <f t="shared" ref="S34:AF34" si="26">MAX(S10:S12)</f>
        <v>24</v>
      </c>
      <c r="T34" s="39">
        <f t="shared" si="26"/>
        <v>7</v>
      </c>
      <c r="U34" s="39">
        <f t="shared" si="26"/>
        <v>7</v>
      </c>
      <c r="V34" s="39">
        <f t="shared" si="26"/>
        <v>41</v>
      </c>
      <c r="W34" s="39">
        <f t="shared" si="26"/>
        <v>7</v>
      </c>
      <c r="X34" s="39">
        <f t="shared" si="26"/>
        <v>0</v>
      </c>
      <c r="Y34" s="39">
        <f t="shared" si="26"/>
        <v>9</v>
      </c>
      <c r="Z34" s="39">
        <f t="shared" si="26"/>
        <v>4</v>
      </c>
      <c r="AA34" s="39">
        <f t="shared" si="26"/>
        <v>0</v>
      </c>
      <c r="AB34" s="39">
        <f t="shared" si="26"/>
        <v>1</v>
      </c>
      <c r="AC34" s="39">
        <f t="shared" si="26"/>
        <v>119</v>
      </c>
      <c r="AD34" s="39">
        <f t="shared" si="26"/>
        <v>1</v>
      </c>
      <c r="AE34" s="40">
        <f t="shared" si="26"/>
        <v>87</v>
      </c>
      <c r="AF34" s="40">
        <f t="shared" si="26"/>
        <v>206</v>
      </c>
    </row>
    <row r="35" spans="2:32" ht="23.1" customHeight="1" x14ac:dyDescent="0.25">
      <c r="B35" s="46" t="s">
        <v>62</v>
      </c>
      <c r="C35" s="50">
        <v>6</v>
      </c>
      <c r="D35" s="50">
        <v>1</v>
      </c>
      <c r="E35" s="50">
        <v>2</v>
      </c>
      <c r="F35" s="50">
        <v>7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0</v>
      </c>
      <c r="M35" s="50">
        <v>18</v>
      </c>
      <c r="N35" s="50">
        <v>0</v>
      </c>
      <c r="O35" s="15">
        <f t="shared" si="0"/>
        <v>20</v>
      </c>
      <c r="P35" s="15">
        <f t="shared" si="1"/>
        <v>38</v>
      </c>
      <c r="R35" s="38" t="s">
        <v>91</v>
      </c>
      <c r="S35" s="39">
        <f t="shared" ref="S35:AF35" si="27">MAX(S13:S18)</f>
        <v>43</v>
      </c>
      <c r="T35" s="39">
        <f t="shared" si="27"/>
        <v>7</v>
      </c>
      <c r="U35" s="39">
        <f t="shared" si="27"/>
        <v>10</v>
      </c>
      <c r="V35" s="39">
        <f t="shared" si="27"/>
        <v>35</v>
      </c>
      <c r="W35" s="39">
        <f t="shared" si="27"/>
        <v>4</v>
      </c>
      <c r="X35" s="39">
        <f t="shared" si="27"/>
        <v>0</v>
      </c>
      <c r="Y35" s="39">
        <f t="shared" si="27"/>
        <v>15</v>
      </c>
      <c r="Z35" s="39">
        <f t="shared" si="27"/>
        <v>4</v>
      </c>
      <c r="AA35" s="39">
        <f t="shared" si="27"/>
        <v>3</v>
      </c>
      <c r="AB35" s="39">
        <f t="shared" si="27"/>
        <v>2</v>
      </c>
      <c r="AC35" s="39">
        <f t="shared" si="27"/>
        <v>100</v>
      </c>
      <c r="AD35" s="39">
        <f t="shared" si="27"/>
        <v>2</v>
      </c>
      <c r="AE35" s="40">
        <f t="shared" si="27"/>
        <v>100</v>
      </c>
      <c r="AF35" s="40">
        <f t="shared" si="27"/>
        <v>195</v>
      </c>
    </row>
    <row r="36" spans="2:32" ht="23.1" customHeight="1" x14ac:dyDescent="0.25">
      <c r="B36" s="46" t="s">
        <v>63</v>
      </c>
      <c r="C36" s="50">
        <v>9</v>
      </c>
      <c r="D36" s="50">
        <v>2</v>
      </c>
      <c r="E36" s="50">
        <v>1</v>
      </c>
      <c r="F36" s="50">
        <v>7</v>
      </c>
      <c r="G36" s="50">
        <v>0</v>
      </c>
      <c r="H36" s="50">
        <v>0</v>
      </c>
      <c r="I36" s="50">
        <v>1</v>
      </c>
      <c r="J36" s="50">
        <v>1</v>
      </c>
      <c r="K36" s="50">
        <v>1</v>
      </c>
      <c r="L36" s="50">
        <v>0</v>
      </c>
      <c r="M36" s="50">
        <v>25</v>
      </c>
      <c r="N36" s="50">
        <v>0</v>
      </c>
      <c r="O36" s="15">
        <f t="shared" si="0"/>
        <v>22</v>
      </c>
      <c r="P36" s="15">
        <f t="shared" si="1"/>
        <v>47</v>
      </c>
      <c r="R36" s="38" t="s">
        <v>92</v>
      </c>
      <c r="S36" s="39">
        <f t="shared" ref="S36:AF36" si="28">MAX(S19:S21)</f>
        <v>49</v>
      </c>
      <c r="T36" s="39">
        <f t="shared" si="28"/>
        <v>11</v>
      </c>
      <c r="U36" s="39">
        <f t="shared" si="28"/>
        <v>11</v>
      </c>
      <c r="V36" s="39">
        <f t="shared" si="28"/>
        <v>45</v>
      </c>
      <c r="W36" s="39">
        <f t="shared" si="28"/>
        <v>3</v>
      </c>
      <c r="X36" s="39">
        <f t="shared" si="28"/>
        <v>0</v>
      </c>
      <c r="Y36" s="39">
        <f t="shared" si="28"/>
        <v>11</v>
      </c>
      <c r="Z36" s="39">
        <f t="shared" si="28"/>
        <v>5</v>
      </c>
      <c r="AA36" s="39">
        <f t="shared" si="28"/>
        <v>3</v>
      </c>
      <c r="AB36" s="39">
        <f t="shared" si="28"/>
        <v>1</v>
      </c>
      <c r="AC36" s="39">
        <f t="shared" si="28"/>
        <v>88</v>
      </c>
      <c r="AD36" s="39">
        <f t="shared" si="28"/>
        <v>0</v>
      </c>
      <c r="AE36" s="40">
        <f t="shared" si="28"/>
        <v>127</v>
      </c>
      <c r="AF36" s="40">
        <f t="shared" si="28"/>
        <v>204</v>
      </c>
    </row>
    <row r="37" spans="2:32" ht="23.1" customHeight="1" x14ac:dyDescent="0.25">
      <c r="B37" s="45" t="s">
        <v>64</v>
      </c>
      <c r="C37" s="50">
        <v>6</v>
      </c>
      <c r="D37" s="50">
        <v>0</v>
      </c>
      <c r="E37" s="50">
        <v>2</v>
      </c>
      <c r="F37" s="50">
        <v>10</v>
      </c>
      <c r="G37" s="50">
        <v>0</v>
      </c>
      <c r="H37" s="50">
        <v>0</v>
      </c>
      <c r="I37" s="50">
        <v>4</v>
      </c>
      <c r="J37" s="50">
        <v>1</v>
      </c>
      <c r="K37" s="50">
        <v>0</v>
      </c>
      <c r="L37" s="50">
        <v>1</v>
      </c>
      <c r="M37" s="50">
        <v>21</v>
      </c>
      <c r="N37" s="50">
        <v>0</v>
      </c>
      <c r="O37" s="15">
        <f t="shared" si="0"/>
        <v>24</v>
      </c>
      <c r="P37" s="15">
        <f t="shared" si="1"/>
        <v>45</v>
      </c>
      <c r="R37" s="37" t="s">
        <v>85</v>
      </c>
      <c r="S37" s="35">
        <f t="shared" ref="S37:AF37" si="29">SUM(S10:S12)</f>
        <v>65</v>
      </c>
      <c r="T37" s="16">
        <f t="shared" si="29"/>
        <v>12</v>
      </c>
      <c r="U37" s="16">
        <f t="shared" si="29"/>
        <v>14</v>
      </c>
      <c r="V37" s="16">
        <f t="shared" si="29"/>
        <v>108</v>
      </c>
      <c r="W37" s="16">
        <f t="shared" si="29"/>
        <v>8</v>
      </c>
      <c r="X37" s="16">
        <f t="shared" si="29"/>
        <v>0</v>
      </c>
      <c r="Y37" s="16">
        <f t="shared" si="29"/>
        <v>25</v>
      </c>
      <c r="Z37" s="16">
        <f t="shared" si="29"/>
        <v>6</v>
      </c>
      <c r="AA37" s="16">
        <f t="shared" si="29"/>
        <v>0</v>
      </c>
      <c r="AB37" s="16">
        <f t="shared" si="29"/>
        <v>3</v>
      </c>
      <c r="AC37" s="16">
        <f t="shared" si="29"/>
        <v>287</v>
      </c>
      <c r="AD37" s="16">
        <f t="shared" si="29"/>
        <v>1</v>
      </c>
      <c r="AE37" s="32">
        <f t="shared" si="29"/>
        <v>242</v>
      </c>
      <c r="AF37" s="32">
        <f t="shared" si="29"/>
        <v>529</v>
      </c>
    </row>
    <row r="38" spans="2:32" ht="23.1" customHeight="1" x14ac:dyDescent="0.25">
      <c r="B38" s="46" t="s">
        <v>65</v>
      </c>
      <c r="C38" s="50">
        <v>12</v>
      </c>
      <c r="D38" s="50">
        <v>2</v>
      </c>
      <c r="E38" s="50">
        <v>1</v>
      </c>
      <c r="F38" s="50">
        <v>12</v>
      </c>
      <c r="G38" s="50">
        <v>0</v>
      </c>
      <c r="H38" s="50">
        <v>0</v>
      </c>
      <c r="I38" s="50">
        <v>3</v>
      </c>
      <c r="J38" s="50">
        <v>0</v>
      </c>
      <c r="K38" s="50">
        <v>2</v>
      </c>
      <c r="L38" s="50">
        <v>0</v>
      </c>
      <c r="M38" s="50">
        <v>34</v>
      </c>
      <c r="N38" s="50">
        <v>0</v>
      </c>
      <c r="O38" s="15">
        <f t="shared" si="0"/>
        <v>32</v>
      </c>
      <c r="P38" s="15">
        <f t="shared" si="1"/>
        <v>66</v>
      </c>
      <c r="R38" s="28" t="s">
        <v>86</v>
      </c>
      <c r="S38" s="16">
        <f t="shared" ref="S38:AF38" si="30">SUM(S13:S18)</f>
        <v>175</v>
      </c>
      <c r="T38" s="16">
        <f t="shared" si="30"/>
        <v>22</v>
      </c>
      <c r="U38" s="16">
        <f t="shared" si="30"/>
        <v>44</v>
      </c>
      <c r="V38" s="16">
        <f t="shared" si="30"/>
        <v>187</v>
      </c>
      <c r="W38" s="16">
        <f t="shared" si="30"/>
        <v>9</v>
      </c>
      <c r="X38" s="16">
        <f t="shared" si="30"/>
        <v>0</v>
      </c>
      <c r="Y38" s="16">
        <f t="shared" si="30"/>
        <v>60</v>
      </c>
      <c r="Z38" s="16">
        <f t="shared" si="30"/>
        <v>15</v>
      </c>
      <c r="AA38" s="16">
        <f t="shared" si="30"/>
        <v>8</v>
      </c>
      <c r="AB38" s="16">
        <f t="shared" si="30"/>
        <v>4</v>
      </c>
      <c r="AC38" s="16">
        <f t="shared" si="30"/>
        <v>539</v>
      </c>
      <c r="AD38" s="16">
        <f t="shared" si="30"/>
        <v>2</v>
      </c>
      <c r="AE38" s="32">
        <f t="shared" si="30"/>
        <v>526</v>
      </c>
      <c r="AF38" s="32">
        <f t="shared" si="30"/>
        <v>1065</v>
      </c>
    </row>
    <row r="39" spans="2:32" ht="23.1" customHeight="1" x14ac:dyDescent="0.25">
      <c r="B39" s="46" t="s">
        <v>66</v>
      </c>
      <c r="C39" s="50">
        <v>8</v>
      </c>
      <c r="D39" s="50">
        <v>1</v>
      </c>
      <c r="E39" s="50">
        <v>1</v>
      </c>
      <c r="F39" s="50">
        <v>6</v>
      </c>
      <c r="G39" s="50">
        <v>1</v>
      </c>
      <c r="H39" s="50">
        <v>0</v>
      </c>
      <c r="I39" s="50">
        <v>1</v>
      </c>
      <c r="J39" s="50">
        <v>1</v>
      </c>
      <c r="K39" s="50">
        <v>1</v>
      </c>
      <c r="L39" s="50">
        <v>0</v>
      </c>
      <c r="M39" s="50">
        <v>19</v>
      </c>
      <c r="N39" s="50">
        <v>0</v>
      </c>
      <c r="O39" s="15">
        <f t="shared" si="0"/>
        <v>20</v>
      </c>
      <c r="P39" s="15">
        <f t="shared" si="1"/>
        <v>39</v>
      </c>
      <c r="R39" s="29" t="s">
        <v>87</v>
      </c>
      <c r="S39" s="16">
        <f t="shared" ref="S39:AF39" si="31">SUM(S19:S21)</f>
        <v>112</v>
      </c>
      <c r="T39" s="16">
        <f t="shared" si="31"/>
        <v>24</v>
      </c>
      <c r="U39" s="16">
        <f t="shared" si="31"/>
        <v>28</v>
      </c>
      <c r="V39" s="16">
        <f t="shared" si="31"/>
        <v>105</v>
      </c>
      <c r="W39" s="16">
        <f t="shared" si="31"/>
        <v>7</v>
      </c>
      <c r="X39" s="16">
        <f t="shared" si="31"/>
        <v>0</v>
      </c>
      <c r="Y39" s="16">
        <f t="shared" si="31"/>
        <v>26</v>
      </c>
      <c r="Z39" s="16">
        <f t="shared" si="31"/>
        <v>6</v>
      </c>
      <c r="AA39" s="16">
        <f t="shared" si="31"/>
        <v>4</v>
      </c>
      <c r="AB39" s="16">
        <f t="shared" si="31"/>
        <v>1</v>
      </c>
      <c r="AC39" s="16">
        <f t="shared" si="31"/>
        <v>242</v>
      </c>
      <c r="AD39" s="16">
        <f t="shared" si="31"/>
        <v>0</v>
      </c>
      <c r="AE39" s="32">
        <f t="shared" si="31"/>
        <v>313</v>
      </c>
      <c r="AF39" s="32">
        <f t="shared" si="31"/>
        <v>555</v>
      </c>
    </row>
    <row r="40" spans="2:32" ht="23.1" customHeight="1" x14ac:dyDescent="0.25">
      <c r="B40" s="46" t="s">
        <v>67</v>
      </c>
      <c r="C40" s="50">
        <v>6</v>
      </c>
      <c r="D40" s="50">
        <v>1</v>
      </c>
      <c r="E40" s="50">
        <v>2</v>
      </c>
      <c r="F40" s="50">
        <v>4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0</v>
      </c>
      <c r="M40" s="50">
        <v>23</v>
      </c>
      <c r="N40" s="50">
        <v>0</v>
      </c>
      <c r="O40" s="15">
        <f t="shared" si="0"/>
        <v>16</v>
      </c>
      <c r="P40" s="15">
        <f t="shared" si="1"/>
        <v>39</v>
      </c>
      <c r="R40" s="5" t="s">
        <v>17</v>
      </c>
      <c r="S40" s="16">
        <f t="shared" ref="S40:AF40" si="32">SUM(S10:S21)</f>
        <v>352</v>
      </c>
      <c r="T40" s="16">
        <f t="shared" si="32"/>
        <v>58</v>
      </c>
      <c r="U40" s="16">
        <f t="shared" si="32"/>
        <v>86</v>
      </c>
      <c r="V40" s="16">
        <f t="shared" si="32"/>
        <v>400</v>
      </c>
      <c r="W40" s="16">
        <f t="shared" si="32"/>
        <v>24</v>
      </c>
      <c r="X40" s="16">
        <f t="shared" si="32"/>
        <v>0</v>
      </c>
      <c r="Y40" s="16">
        <f t="shared" si="32"/>
        <v>111</v>
      </c>
      <c r="Z40" s="16">
        <f t="shared" si="32"/>
        <v>27</v>
      </c>
      <c r="AA40" s="16">
        <f t="shared" si="32"/>
        <v>12</v>
      </c>
      <c r="AB40" s="16">
        <f t="shared" si="32"/>
        <v>8</v>
      </c>
      <c r="AC40" s="16">
        <f t="shared" si="32"/>
        <v>1068</v>
      </c>
      <c r="AD40" s="16">
        <f t="shared" si="32"/>
        <v>3</v>
      </c>
      <c r="AE40" s="32">
        <f t="shared" si="32"/>
        <v>1081</v>
      </c>
      <c r="AF40" s="32">
        <f t="shared" si="32"/>
        <v>2149</v>
      </c>
    </row>
    <row r="41" spans="2:32" ht="23.1" customHeight="1" x14ac:dyDescent="0.25">
      <c r="B41" s="45" t="s">
        <v>68</v>
      </c>
      <c r="C41" s="50">
        <v>17</v>
      </c>
      <c r="D41" s="50">
        <v>1</v>
      </c>
      <c r="E41" s="50">
        <v>4</v>
      </c>
      <c r="F41" s="50">
        <v>7</v>
      </c>
      <c r="G41" s="50">
        <v>1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19</v>
      </c>
      <c r="N41" s="50">
        <v>0</v>
      </c>
      <c r="O41" s="15">
        <f t="shared" si="0"/>
        <v>32</v>
      </c>
      <c r="P41" s="15">
        <f t="shared" si="1"/>
        <v>51</v>
      </c>
      <c r="R41" s="5" t="s">
        <v>159</v>
      </c>
      <c r="S41" s="16">
        <f>SUM(S10:S33)</f>
        <v>475</v>
      </c>
      <c r="T41" s="16">
        <f t="shared" ref="T41:AF41" si="33">SUM(T10:T33)</f>
        <v>76</v>
      </c>
      <c r="U41" s="16">
        <f t="shared" si="33"/>
        <v>110</v>
      </c>
      <c r="V41" s="16">
        <f t="shared" si="33"/>
        <v>595</v>
      </c>
      <c r="W41" s="16">
        <f t="shared" si="33"/>
        <v>32</v>
      </c>
      <c r="X41" s="16">
        <f t="shared" si="33"/>
        <v>1</v>
      </c>
      <c r="Y41" s="16">
        <f t="shared" si="33"/>
        <v>187</v>
      </c>
      <c r="Z41" s="16">
        <f t="shared" si="33"/>
        <v>40</v>
      </c>
      <c r="AA41" s="16">
        <f t="shared" si="33"/>
        <v>15</v>
      </c>
      <c r="AB41" s="16">
        <f t="shared" si="33"/>
        <v>9</v>
      </c>
      <c r="AC41" s="16">
        <f t="shared" si="33"/>
        <v>1405</v>
      </c>
      <c r="AD41" s="16">
        <f t="shared" si="33"/>
        <v>3</v>
      </c>
      <c r="AE41" s="32">
        <f t="shared" si="33"/>
        <v>1543</v>
      </c>
      <c r="AF41" s="32">
        <f t="shared" si="33"/>
        <v>2948</v>
      </c>
    </row>
    <row r="42" spans="2:32" ht="23.1" customHeight="1" x14ac:dyDescent="0.25">
      <c r="B42" s="46" t="s">
        <v>69</v>
      </c>
      <c r="C42" s="50">
        <v>8</v>
      </c>
      <c r="D42" s="50">
        <v>2</v>
      </c>
      <c r="E42" s="50">
        <v>0</v>
      </c>
      <c r="F42" s="50">
        <v>8</v>
      </c>
      <c r="G42" s="50">
        <v>4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25</v>
      </c>
      <c r="P42" s="15">
        <f t="shared" si="1"/>
        <v>39</v>
      </c>
      <c r="R42" s="5" t="s">
        <v>160</v>
      </c>
      <c r="S42" s="48">
        <f>S41/S40</f>
        <v>1.3494318181818181</v>
      </c>
      <c r="T42" s="48">
        <f t="shared" ref="T42:AF42" si="34">T41/T40</f>
        <v>1.3103448275862069</v>
      </c>
      <c r="U42" s="48">
        <f t="shared" si="34"/>
        <v>1.2790697674418605</v>
      </c>
      <c r="V42" s="48">
        <f t="shared" si="34"/>
        <v>1.4875</v>
      </c>
      <c r="W42" s="48">
        <f t="shared" si="34"/>
        <v>1.3333333333333333</v>
      </c>
      <c r="X42" s="48" t="e">
        <f t="shared" si="34"/>
        <v>#DIV/0!</v>
      </c>
      <c r="Y42" s="48">
        <f t="shared" si="34"/>
        <v>1.6846846846846846</v>
      </c>
      <c r="Z42" s="48">
        <f t="shared" si="34"/>
        <v>1.4814814814814814</v>
      </c>
      <c r="AA42" s="48">
        <f t="shared" si="34"/>
        <v>1.25</v>
      </c>
      <c r="AB42" s="48">
        <f t="shared" si="34"/>
        <v>1.125</v>
      </c>
      <c r="AC42" s="48">
        <f t="shared" si="34"/>
        <v>1.3155430711610487</v>
      </c>
      <c r="AD42" s="48">
        <f t="shared" si="34"/>
        <v>1</v>
      </c>
      <c r="AE42" s="48">
        <f t="shared" si="34"/>
        <v>1.427382053654024</v>
      </c>
      <c r="AF42" s="48">
        <f t="shared" si="34"/>
        <v>1.3718008375988833</v>
      </c>
    </row>
    <row r="43" spans="2:32" ht="23.1" customHeight="1" x14ac:dyDescent="0.25">
      <c r="B43" s="45" t="s">
        <v>70</v>
      </c>
      <c r="C43" s="50">
        <v>5</v>
      </c>
      <c r="D43" s="50">
        <v>0</v>
      </c>
      <c r="E43" s="50">
        <v>2</v>
      </c>
      <c r="F43" s="50">
        <v>5</v>
      </c>
      <c r="G43" s="50">
        <v>0</v>
      </c>
      <c r="H43" s="50">
        <v>0</v>
      </c>
      <c r="I43" s="50">
        <v>4</v>
      </c>
      <c r="J43" s="50">
        <v>0</v>
      </c>
      <c r="K43" s="50">
        <v>1</v>
      </c>
      <c r="L43" s="50">
        <v>1</v>
      </c>
      <c r="M43" s="50">
        <v>13</v>
      </c>
      <c r="N43" s="50">
        <v>0</v>
      </c>
      <c r="O43" s="15">
        <f t="shared" si="0"/>
        <v>18</v>
      </c>
      <c r="P43" s="15">
        <f t="shared" si="1"/>
        <v>31</v>
      </c>
    </row>
    <row r="44" spans="2:32" ht="23.1" customHeight="1" x14ac:dyDescent="0.25">
      <c r="B44" s="47" t="s">
        <v>71</v>
      </c>
      <c r="C44" s="50">
        <v>6</v>
      </c>
      <c r="D44" s="50">
        <v>1</v>
      </c>
      <c r="E44" s="50">
        <v>1</v>
      </c>
      <c r="F44" s="50">
        <v>11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1</v>
      </c>
      <c r="M44" s="50">
        <v>26</v>
      </c>
      <c r="N44" s="50">
        <v>0</v>
      </c>
      <c r="O44" s="15">
        <f t="shared" si="0"/>
        <v>22</v>
      </c>
      <c r="P44" s="15">
        <f t="shared" si="1"/>
        <v>48</v>
      </c>
    </row>
    <row r="45" spans="2:32" ht="23.1" customHeight="1" x14ac:dyDescent="0.25">
      <c r="B45" s="45" t="s">
        <v>72</v>
      </c>
      <c r="C45" s="50">
        <v>7</v>
      </c>
      <c r="D45" s="50">
        <v>4</v>
      </c>
      <c r="E45" s="50">
        <v>4</v>
      </c>
      <c r="F45" s="50">
        <v>11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23</v>
      </c>
      <c r="N45" s="50">
        <v>0</v>
      </c>
      <c r="O45" s="15">
        <f t="shared" si="0"/>
        <v>28</v>
      </c>
      <c r="P45" s="15">
        <f t="shared" si="1"/>
        <v>51</v>
      </c>
    </row>
    <row r="46" spans="2:32" ht="23.1" customHeight="1" x14ac:dyDescent="0.25">
      <c r="B46" s="46" t="s">
        <v>73</v>
      </c>
      <c r="C46" s="50">
        <v>17</v>
      </c>
      <c r="D46" s="50">
        <v>2</v>
      </c>
      <c r="E46" s="50">
        <v>5</v>
      </c>
      <c r="F46" s="50">
        <v>13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42</v>
      </c>
      <c r="P46" s="15">
        <f t="shared" si="1"/>
        <v>58</v>
      </c>
      <c r="R46" s="8"/>
      <c r="T46"/>
    </row>
    <row r="47" spans="2:32" ht="23.1" customHeight="1" x14ac:dyDescent="0.25">
      <c r="B47" s="46" t="s">
        <v>74</v>
      </c>
      <c r="C47" s="50">
        <v>7</v>
      </c>
      <c r="D47" s="50">
        <v>1</v>
      </c>
      <c r="E47" s="50">
        <v>1</v>
      </c>
      <c r="F47" s="50">
        <v>14</v>
      </c>
      <c r="G47" s="50">
        <v>2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30</v>
      </c>
      <c r="P47" s="15">
        <f t="shared" si="1"/>
        <v>45</v>
      </c>
      <c r="R47" s="8"/>
      <c r="T47"/>
    </row>
    <row r="48" spans="2:32" ht="23.1" customHeight="1" x14ac:dyDescent="0.25">
      <c r="B48" s="46" t="s">
        <v>75</v>
      </c>
      <c r="C48" s="50">
        <v>5</v>
      </c>
      <c r="D48" s="50">
        <v>0</v>
      </c>
      <c r="E48" s="50">
        <v>4</v>
      </c>
      <c r="F48" s="50">
        <v>11</v>
      </c>
      <c r="G48" s="50">
        <v>1</v>
      </c>
      <c r="H48" s="50">
        <v>0</v>
      </c>
      <c r="I48" s="50">
        <v>0</v>
      </c>
      <c r="J48" s="50">
        <v>3</v>
      </c>
      <c r="K48" s="50">
        <v>3</v>
      </c>
      <c r="L48" s="50">
        <v>0</v>
      </c>
      <c r="M48" s="50">
        <v>15</v>
      </c>
      <c r="N48" s="50">
        <v>0</v>
      </c>
      <c r="O48" s="15">
        <f t="shared" si="0"/>
        <v>27</v>
      </c>
      <c r="P48" s="15">
        <f t="shared" si="1"/>
        <v>42</v>
      </c>
      <c r="R48" s="8"/>
      <c r="T48"/>
    </row>
    <row r="49" spans="2:20" ht="23.1" customHeight="1" x14ac:dyDescent="0.25">
      <c r="B49" s="45" t="s">
        <v>76</v>
      </c>
      <c r="C49" s="50">
        <v>16</v>
      </c>
      <c r="D49" s="50">
        <v>2</v>
      </c>
      <c r="E49" s="50">
        <v>1</v>
      </c>
      <c r="F49" s="50">
        <v>7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31</v>
      </c>
      <c r="N49" s="50">
        <v>0</v>
      </c>
      <c r="O49" s="15">
        <f t="shared" si="0"/>
        <v>28</v>
      </c>
      <c r="P49" s="15">
        <f t="shared" si="1"/>
        <v>59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4</v>
      </c>
      <c r="E50" s="50">
        <v>0</v>
      </c>
      <c r="F50" s="50">
        <v>8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18</v>
      </c>
      <c r="N50" s="50">
        <v>0</v>
      </c>
      <c r="O50" s="15">
        <f t="shared" si="0"/>
        <v>27</v>
      </c>
      <c r="P50" s="15">
        <f t="shared" si="1"/>
        <v>45</v>
      </c>
      <c r="R50" s="8"/>
      <c r="T50"/>
    </row>
    <row r="51" spans="2:20" ht="23.1" customHeight="1" x14ac:dyDescent="0.25">
      <c r="B51" s="46" t="s">
        <v>78</v>
      </c>
      <c r="C51" s="50">
        <v>14</v>
      </c>
      <c r="D51" s="50">
        <v>2</v>
      </c>
      <c r="E51" s="50">
        <v>1</v>
      </c>
      <c r="F51" s="50">
        <v>11</v>
      </c>
      <c r="G51" s="50">
        <v>2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32</v>
      </c>
      <c r="P51" s="15">
        <f t="shared" si="1"/>
        <v>54</v>
      </c>
      <c r="R51" s="8"/>
      <c r="T51"/>
    </row>
    <row r="52" spans="2:20" ht="23.1" customHeight="1" x14ac:dyDescent="0.25">
      <c r="B52" s="46" t="s">
        <v>79</v>
      </c>
      <c r="C52" s="50">
        <v>10</v>
      </c>
      <c r="D52" s="50">
        <v>3</v>
      </c>
      <c r="E52" s="50">
        <v>4</v>
      </c>
      <c r="F52" s="50">
        <v>7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27</v>
      </c>
      <c r="P52" s="15">
        <f t="shared" si="1"/>
        <v>47</v>
      </c>
      <c r="R52" s="8"/>
      <c r="T52"/>
    </row>
    <row r="53" spans="2:20" ht="23.1" customHeight="1" x14ac:dyDescent="0.25">
      <c r="B53" s="45" t="s">
        <v>80</v>
      </c>
      <c r="C53" s="50">
        <v>14</v>
      </c>
      <c r="D53" s="50">
        <v>2</v>
      </c>
      <c r="E53" s="50">
        <v>3</v>
      </c>
      <c r="F53" s="50">
        <v>3</v>
      </c>
      <c r="G53" s="50">
        <v>0</v>
      </c>
      <c r="H53" s="50">
        <v>0</v>
      </c>
      <c r="I53" s="50">
        <v>2</v>
      </c>
      <c r="J53" s="50">
        <v>0</v>
      </c>
      <c r="K53" s="50">
        <v>1</v>
      </c>
      <c r="L53" s="50">
        <v>0</v>
      </c>
      <c r="M53" s="50">
        <v>28</v>
      </c>
      <c r="N53" s="50">
        <v>0</v>
      </c>
      <c r="O53" s="15">
        <f t="shared" si="0"/>
        <v>25</v>
      </c>
      <c r="P53" s="15">
        <f t="shared" si="1"/>
        <v>53</v>
      </c>
      <c r="R53" s="8"/>
      <c r="T53"/>
    </row>
    <row r="54" spans="2:20" ht="23.1" customHeight="1" x14ac:dyDescent="0.25">
      <c r="B54" s="45" t="s">
        <v>81</v>
      </c>
      <c r="C54" s="50">
        <v>4</v>
      </c>
      <c r="D54" s="50">
        <v>1</v>
      </c>
      <c r="E54" s="50">
        <v>4</v>
      </c>
      <c r="F54" s="50">
        <v>6</v>
      </c>
      <c r="G54" s="50">
        <v>1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15</v>
      </c>
      <c r="N54" s="50">
        <v>0</v>
      </c>
      <c r="O54" s="15">
        <f t="shared" si="0"/>
        <v>18</v>
      </c>
      <c r="P54" s="15">
        <f t="shared" si="1"/>
        <v>33</v>
      </c>
      <c r="R54" s="8"/>
      <c r="T54"/>
    </row>
    <row r="55" spans="2:20" ht="23.1" customHeight="1" x14ac:dyDescent="0.25">
      <c r="B55" s="45" t="s">
        <v>82</v>
      </c>
      <c r="C55" s="50">
        <v>6</v>
      </c>
      <c r="D55" s="50">
        <v>5</v>
      </c>
      <c r="E55" s="50">
        <v>2</v>
      </c>
      <c r="F55" s="50">
        <v>13</v>
      </c>
      <c r="G55" s="50">
        <v>1</v>
      </c>
      <c r="H55" s="50">
        <v>0</v>
      </c>
      <c r="I55" s="50">
        <v>3</v>
      </c>
      <c r="J55" s="50">
        <v>1</v>
      </c>
      <c r="K55" s="50">
        <v>0</v>
      </c>
      <c r="L55" s="50">
        <v>1</v>
      </c>
      <c r="M55" s="50">
        <v>25</v>
      </c>
      <c r="N55" s="50">
        <v>0</v>
      </c>
      <c r="O55" s="15">
        <f t="shared" si="0"/>
        <v>32</v>
      </c>
      <c r="P55" s="15">
        <f t="shared" si="1"/>
        <v>57</v>
      </c>
      <c r="R55" s="8"/>
      <c r="T55"/>
    </row>
    <row r="56" spans="2:20" ht="23.1" customHeight="1" x14ac:dyDescent="0.25">
      <c r="B56" s="45" t="s">
        <v>83</v>
      </c>
      <c r="C56" s="50">
        <v>6</v>
      </c>
      <c r="D56" s="50">
        <v>2</v>
      </c>
      <c r="E56" s="50">
        <v>3</v>
      </c>
      <c r="F56" s="50">
        <v>6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17</v>
      </c>
      <c r="P56" s="15">
        <f t="shared" si="1"/>
        <v>34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6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8</v>
      </c>
      <c r="P57" s="15">
        <f t="shared" si="1"/>
        <v>28</v>
      </c>
      <c r="R57" s="8"/>
      <c r="T57"/>
    </row>
    <row r="58" spans="2:20" ht="23.1" customHeight="1" x14ac:dyDescent="0.25">
      <c r="B58" s="45" t="s">
        <v>99</v>
      </c>
      <c r="C58" s="50">
        <v>8</v>
      </c>
      <c r="D58" s="50">
        <v>2</v>
      </c>
      <c r="E58" s="50">
        <v>0</v>
      </c>
      <c r="F58" s="50">
        <v>6</v>
      </c>
      <c r="G58" s="50">
        <v>0</v>
      </c>
      <c r="H58" s="50">
        <v>0</v>
      </c>
      <c r="I58" s="50">
        <v>4</v>
      </c>
      <c r="J58" s="50">
        <v>0</v>
      </c>
      <c r="K58" s="50">
        <v>0</v>
      </c>
      <c r="L58" s="50">
        <v>0</v>
      </c>
      <c r="M58" s="50">
        <v>25</v>
      </c>
      <c r="N58" s="50">
        <v>0</v>
      </c>
      <c r="O58" s="15">
        <f t="shared" si="0"/>
        <v>20</v>
      </c>
      <c r="P58" s="15">
        <f t="shared" si="1"/>
        <v>45</v>
      </c>
      <c r="R58" s="8"/>
      <c r="T58"/>
    </row>
    <row r="59" spans="2:20" ht="23.1" customHeight="1" x14ac:dyDescent="0.25">
      <c r="B59" s="45" t="s">
        <v>100</v>
      </c>
      <c r="C59" s="50">
        <v>4</v>
      </c>
      <c r="D59" s="50">
        <v>0</v>
      </c>
      <c r="E59" s="50">
        <v>1</v>
      </c>
      <c r="F59" s="50">
        <v>8</v>
      </c>
      <c r="G59" s="50">
        <v>2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27</v>
      </c>
      <c r="N59" s="50">
        <v>0</v>
      </c>
      <c r="O59" s="15">
        <f t="shared" si="0"/>
        <v>16</v>
      </c>
      <c r="P59" s="15">
        <f t="shared" si="1"/>
        <v>43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3</v>
      </c>
      <c r="E60" s="50">
        <v>3</v>
      </c>
      <c r="F60" s="50">
        <v>10</v>
      </c>
      <c r="G60" s="50">
        <v>0</v>
      </c>
      <c r="H60" s="50">
        <v>0</v>
      </c>
      <c r="I60" s="50">
        <v>2</v>
      </c>
      <c r="J60" s="50">
        <v>0</v>
      </c>
      <c r="K60" s="50">
        <v>1</v>
      </c>
      <c r="L60" s="50">
        <v>0</v>
      </c>
      <c r="M60" s="50">
        <v>17</v>
      </c>
      <c r="N60" s="50">
        <v>0</v>
      </c>
      <c r="O60" s="15">
        <f t="shared" si="0"/>
        <v>23</v>
      </c>
      <c r="P60" s="15">
        <f t="shared" si="1"/>
        <v>40</v>
      </c>
      <c r="R60" s="8"/>
      <c r="T60"/>
    </row>
    <row r="61" spans="2:20" ht="23.1" customHeight="1" x14ac:dyDescent="0.25">
      <c r="B61" s="45" t="s">
        <v>102</v>
      </c>
      <c r="C61" s="50">
        <v>6</v>
      </c>
      <c r="D61" s="50">
        <v>1</v>
      </c>
      <c r="E61" s="50">
        <v>1</v>
      </c>
      <c r="F61" s="50">
        <v>8</v>
      </c>
      <c r="G61" s="50">
        <v>0</v>
      </c>
      <c r="H61" s="50">
        <v>0</v>
      </c>
      <c r="I61" s="50">
        <v>2</v>
      </c>
      <c r="J61" s="50">
        <v>0</v>
      </c>
      <c r="K61" s="50">
        <v>1</v>
      </c>
      <c r="L61" s="50">
        <v>0</v>
      </c>
      <c r="M61" s="50">
        <v>18</v>
      </c>
      <c r="N61" s="50">
        <v>0</v>
      </c>
      <c r="O61" s="15">
        <f t="shared" si="0"/>
        <v>19</v>
      </c>
      <c r="P61" s="15">
        <f t="shared" si="1"/>
        <v>37</v>
      </c>
      <c r="R61" s="8"/>
      <c r="T61"/>
    </row>
    <row r="62" spans="2:20" ht="23.1" customHeight="1" x14ac:dyDescent="0.25">
      <c r="B62" s="45" t="s">
        <v>107</v>
      </c>
      <c r="C62" s="50">
        <v>11</v>
      </c>
      <c r="D62" s="50">
        <v>2</v>
      </c>
      <c r="E62" s="50">
        <v>4</v>
      </c>
      <c r="F62" s="50">
        <v>10</v>
      </c>
      <c r="G62" s="50">
        <v>0</v>
      </c>
      <c r="H62" s="50">
        <v>0</v>
      </c>
      <c r="I62" s="50">
        <v>2</v>
      </c>
      <c r="J62" s="50">
        <v>1</v>
      </c>
      <c r="K62" s="50">
        <v>0</v>
      </c>
      <c r="L62" s="50">
        <v>0</v>
      </c>
      <c r="M62" s="50">
        <v>21</v>
      </c>
      <c r="N62" s="50">
        <v>0</v>
      </c>
      <c r="O62" s="15">
        <f t="shared" si="0"/>
        <v>30</v>
      </c>
      <c r="P62" s="15">
        <f t="shared" si="1"/>
        <v>51</v>
      </c>
      <c r="R62" s="8"/>
      <c r="T62"/>
    </row>
    <row r="63" spans="2:20" ht="23.1" customHeight="1" x14ac:dyDescent="0.25">
      <c r="B63" s="45" t="s">
        <v>108</v>
      </c>
      <c r="C63" s="50">
        <v>6</v>
      </c>
      <c r="D63" s="50">
        <v>1</v>
      </c>
      <c r="E63" s="50">
        <v>0</v>
      </c>
      <c r="F63" s="50">
        <v>11</v>
      </c>
      <c r="G63" s="50">
        <v>0</v>
      </c>
      <c r="H63" s="50">
        <v>0</v>
      </c>
      <c r="I63" s="50">
        <v>2</v>
      </c>
      <c r="J63" s="50">
        <v>1</v>
      </c>
      <c r="K63" s="50">
        <v>1</v>
      </c>
      <c r="L63" s="50">
        <v>0</v>
      </c>
      <c r="M63" s="50">
        <v>14</v>
      </c>
      <c r="N63" s="50">
        <v>0</v>
      </c>
      <c r="O63" s="15">
        <f t="shared" si="0"/>
        <v>22</v>
      </c>
      <c r="P63" s="15">
        <f t="shared" si="1"/>
        <v>36</v>
      </c>
      <c r="R63" s="8"/>
      <c r="T63"/>
    </row>
    <row r="64" spans="2:20" ht="23.1" customHeight="1" x14ac:dyDescent="0.25">
      <c r="B64" s="45" t="s">
        <v>109</v>
      </c>
      <c r="C64" s="50">
        <v>7</v>
      </c>
      <c r="D64" s="50">
        <v>0</v>
      </c>
      <c r="E64" s="50">
        <v>0</v>
      </c>
      <c r="F64" s="50">
        <v>8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18</v>
      </c>
      <c r="N64" s="50">
        <v>0</v>
      </c>
      <c r="O64" s="15">
        <f t="shared" si="0"/>
        <v>16</v>
      </c>
      <c r="P64" s="15">
        <f t="shared" si="1"/>
        <v>34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2</v>
      </c>
      <c r="E65" s="50">
        <v>0</v>
      </c>
      <c r="F65" s="50">
        <v>8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8</v>
      </c>
      <c r="N65" s="50">
        <v>0</v>
      </c>
      <c r="O65" s="15">
        <f t="shared" si="0"/>
        <v>12</v>
      </c>
      <c r="P65" s="15">
        <f t="shared" si="1"/>
        <v>20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0</v>
      </c>
      <c r="E66" s="50">
        <v>4</v>
      </c>
      <c r="F66" s="50">
        <v>7</v>
      </c>
      <c r="G66" s="50">
        <v>0</v>
      </c>
      <c r="H66" s="50">
        <v>0</v>
      </c>
      <c r="I66" s="50">
        <v>2</v>
      </c>
      <c r="J66" s="50">
        <v>2</v>
      </c>
      <c r="K66" s="50">
        <v>0</v>
      </c>
      <c r="L66" s="50">
        <v>0</v>
      </c>
      <c r="M66" s="50">
        <v>21</v>
      </c>
      <c r="N66" s="50">
        <v>0</v>
      </c>
      <c r="O66" s="15">
        <f t="shared" si="0"/>
        <v>19</v>
      </c>
      <c r="P66" s="15">
        <f t="shared" si="1"/>
        <v>40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1</v>
      </c>
      <c r="F67" s="50">
        <v>4</v>
      </c>
      <c r="G67" s="50">
        <v>0</v>
      </c>
      <c r="H67" s="50">
        <v>0</v>
      </c>
      <c r="I67" s="50">
        <v>3</v>
      </c>
      <c r="J67" s="50">
        <v>1</v>
      </c>
      <c r="K67" s="50">
        <v>0</v>
      </c>
      <c r="L67" s="50">
        <v>0</v>
      </c>
      <c r="M67" s="50">
        <v>9</v>
      </c>
      <c r="N67" s="50">
        <v>0</v>
      </c>
      <c r="O67" s="15">
        <f t="shared" si="0"/>
        <v>11</v>
      </c>
      <c r="P67" s="15">
        <f t="shared" si="1"/>
        <v>20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3</v>
      </c>
      <c r="F68" s="50">
        <v>4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15</v>
      </c>
      <c r="N68" s="50">
        <v>0</v>
      </c>
      <c r="O68" s="15">
        <f t="shared" si="0"/>
        <v>14</v>
      </c>
      <c r="P68" s="15">
        <f t="shared" si="1"/>
        <v>29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0</v>
      </c>
      <c r="E69" s="50">
        <v>0</v>
      </c>
      <c r="F69" s="50">
        <v>5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10</v>
      </c>
      <c r="N69" s="50">
        <v>0</v>
      </c>
      <c r="O69" s="15">
        <f t="shared" si="0"/>
        <v>8</v>
      </c>
      <c r="P69" s="15">
        <f t="shared" si="1"/>
        <v>18</v>
      </c>
      <c r="R69" s="8"/>
      <c r="T69"/>
    </row>
    <row r="70" spans="2:20" ht="23.1" customHeight="1" x14ac:dyDescent="0.25">
      <c r="B70" s="45" t="s">
        <v>110</v>
      </c>
      <c r="C70" s="50">
        <v>4</v>
      </c>
      <c r="D70" s="50">
        <v>1</v>
      </c>
      <c r="E70" s="50">
        <v>0</v>
      </c>
      <c r="F70" s="50">
        <v>1</v>
      </c>
      <c r="G70" s="50">
        <v>0</v>
      </c>
      <c r="H70" s="50">
        <v>0</v>
      </c>
      <c r="I70" s="50">
        <v>4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0"/>
        <v>10</v>
      </c>
      <c r="P70" s="15">
        <f t="shared" si="1"/>
        <v>12</v>
      </c>
      <c r="R70" s="8"/>
      <c r="T70"/>
    </row>
    <row r="71" spans="2:20" ht="23.1" customHeight="1" x14ac:dyDescent="0.25">
      <c r="B71" s="45" t="s">
        <v>111</v>
      </c>
      <c r="C71" s="50">
        <v>6</v>
      </c>
      <c r="D71" s="50">
        <v>0</v>
      </c>
      <c r="E71" s="50">
        <v>1</v>
      </c>
      <c r="F71" s="50">
        <v>3</v>
      </c>
      <c r="G71" s="50">
        <v>0</v>
      </c>
      <c r="H71" s="50">
        <v>0</v>
      </c>
      <c r="I71" s="50">
        <v>2</v>
      </c>
      <c r="J71" s="50">
        <v>2</v>
      </c>
      <c r="K71" s="50">
        <v>0</v>
      </c>
      <c r="L71" s="50">
        <v>0</v>
      </c>
      <c r="M71" s="50">
        <v>5</v>
      </c>
      <c r="N71" s="50">
        <v>0</v>
      </c>
      <c r="O71" s="15">
        <f t="shared" si="0"/>
        <v>14</v>
      </c>
      <c r="P71" s="15">
        <f t="shared" si="1"/>
        <v>19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0</v>
      </c>
      <c r="E72" s="50">
        <v>1</v>
      </c>
      <c r="F72" s="50">
        <v>3</v>
      </c>
      <c r="G72" s="50">
        <v>0</v>
      </c>
      <c r="H72" s="50">
        <v>0</v>
      </c>
      <c r="I72" s="50">
        <v>3</v>
      </c>
      <c r="J72" s="50">
        <v>1</v>
      </c>
      <c r="K72" s="50">
        <v>0</v>
      </c>
      <c r="L72" s="50">
        <v>0</v>
      </c>
      <c r="M72" s="50">
        <v>5</v>
      </c>
      <c r="N72" s="50">
        <v>0</v>
      </c>
      <c r="O72" s="15">
        <f t="shared" si="0"/>
        <v>12</v>
      </c>
      <c r="P72" s="15">
        <f t="shared" si="1"/>
        <v>17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15">
        <f t="shared" si="0"/>
        <v>0</v>
      </c>
      <c r="P73" s="15">
        <f t="shared" si="1"/>
        <v>1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0</v>
      </c>
      <c r="F74" s="50">
        <v>2</v>
      </c>
      <c r="G74" s="50">
        <v>1</v>
      </c>
      <c r="H74" s="50">
        <v>0</v>
      </c>
      <c r="I74" s="50">
        <v>1</v>
      </c>
      <c r="J74" s="50">
        <v>1</v>
      </c>
      <c r="K74" s="50">
        <v>0</v>
      </c>
      <c r="L74" s="50">
        <v>0</v>
      </c>
      <c r="M74" s="50">
        <v>11</v>
      </c>
      <c r="N74" s="50">
        <v>0</v>
      </c>
      <c r="O74" s="15">
        <f t="shared" ref="O74:O105" si="35">SUM(C74:L74,N74)</f>
        <v>7</v>
      </c>
      <c r="P74" s="15">
        <f t="shared" ref="P74:P105" si="36">SUM(C74:N74)</f>
        <v>18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6</v>
      </c>
      <c r="N75" s="50">
        <v>0</v>
      </c>
      <c r="O75" s="15">
        <f t="shared" si="35"/>
        <v>6</v>
      </c>
      <c r="P75" s="15">
        <f t="shared" si="36"/>
        <v>12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1</v>
      </c>
      <c r="F76" s="50">
        <v>1</v>
      </c>
      <c r="G76" s="50">
        <v>0</v>
      </c>
      <c r="H76" s="50">
        <v>0</v>
      </c>
      <c r="I76" s="50">
        <v>2</v>
      </c>
      <c r="J76" s="50">
        <v>2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7</v>
      </c>
      <c r="P76" s="15">
        <f t="shared" si="36"/>
        <v>10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4</v>
      </c>
      <c r="J77" s="50">
        <v>0</v>
      </c>
      <c r="K77" s="50">
        <v>0</v>
      </c>
      <c r="L77" s="50">
        <v>0</v>
      </c>
      <c r="M77" s="50">
        <v>4</v>
      </c>
      <c r="N77" s="50">
        <v>0</v>
      </c>
      <c r="O77" s="15">
        <f t="shared" si="35"/>
        <v>6</v>
      </c>
      <c r="P77" s="15">
        <f t="shared" si="36"/>
        <v>10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1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1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5</v>
      </c>
      <c r="N79" s="50">
        <v>0</v>
      </c>
      <c r="O79" s="15">
        <f t="shared" si="35"/>
        <v>2</v>
      </c>
      <c r="P79" s="15">
        <f t="shared" si="36"/>
        <v>7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1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3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1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1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2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2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1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2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1</v>
      </c>
      <c r="E94" s="50">
        <v>0</v>
      </c>
      <c r="F94" s="50">
        <v>3</v>
      </c>
      <c r="G94" s="50">
        <v>0</v>
      </c>
      <c r="H94" s="50">
        <v>0</v>
      </c>
      <c r="I94" s="50">
        <v>2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7</v>
      </c>
      <c r="P94" s="15">
        <f t="shared" si="36"/>
        <v>7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5</v>
      </c>
      <c r="G95" s="50">
        <v>0</v>
      </c>
      <c r="H95" s="50">
        <v>0</v>
      </c>
      <c r="I95" s="50">
        <v>1</v>
      </c>
      <c r="J95" s="50">
        <v>1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7</v>
      </c>
      <c r="P95" s="15">
        <f t="shared" si="36"/>
        <v>8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6</v>
      </c>
      <c r="G96" s="50">
        <v>0</v>
      </c>
      <c r="H96" s="50">
        <v>0</v>
      </c>
      <c r="I96" s="50">
        <v>2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9</v>
      </c>
      <c r="P96" s="15">
        <f t="shared" si="36"/>
        <v>12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1</v>
      </c>
      <c r="F97" s="50">
        <v>5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7</v>
      </c>
      <c r="P97" s="15">
        <f t="shared" si="36"/>
        <v>7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0</v>
      </c>
      <c r="F98" s="50">
        <v>7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11</v>
      </c>
      <c r="P98" s="15">
        <f t="shared" si="36"/>
        <v>13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0</v>
      </c>
      <c r="E99" s="50">
        <v>0</v>
      </c>
      <c r="F99" s="50">
        <v>11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8</v>
      </c>
      <c r="N99" s="50">
        <v>0</v>
      </c>
      <c r="O99" s="15">
        <f t="shared" si="35"/>
        <v>18</v>
      </c>
      <c r="P99" s="15">
        <f t="shared" si="36"/>
        <v>26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1</v>
      </c>
      <c r="E100" s="50">
        <v>0</v>
      </c>
      <c r="F100" s="50">
        <v>6</v>
      </c>
      <c r="G100" s="50">
        <v>0</v>
      </c>
      <c r="H100" s="50">
        <v>0</v>
      </c>
      <c r="I100" s="50">
        <v>3</v>
      </c>
      <c r="J100" s="50">
        <v>0</v>
      </c>
      <c r="K100" s="50">
        <v>0</v>
      </c>
      <c r="L100" s="50">
        <v>0</v>
      </c>
      <c r="M100" s="50">
        <v>5</v>
      </c>
      <c r="N100" s="50">
        <v>0</v>
      </c>
      <c r="O100" s="15">
        <f t="shared" si="35"/>
        <v>14</v>
      </c>
      <c r="P100" s="15">
        <f t="shared" si="36"/>
        <v>19</v>
      </c>
      <c r="R100" s="8"/>
      <c r="T100"/>
    </row>
    <row r="101" spans="2:20" ht="23.1" customHeight="1" x14ac:dyDescent="0.25">
      <c r="B101" s="45" t="s">
        <v>141</v>
      </c>
      <c r="C101" s="50">
        <v>6</v>
      </c>
      <c r="D101" s="50">
        <v>0</v>
      </c>
      <c r="E101" s="50">
        <v>0</v>
      </c>
      <c r="F101" s="50">
        <v>8</v>
      </c>
      <c r="G101" s="50">
        <v>0</v>
      </c>
      <c r="H101" s="50">
        <v>0</v>
      </c>
      <c r="I101" s="50">
        <v>5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5">
        <f t="shared" si="35"/>
        <v>19</v>
      </c>
      <c r="P101" s="15">
        <f t="shared" si="36"/>
        <v>24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1</v>
      </c>
      <c r="F102" s="50">
        <v>6</v>
      </c>
      <c r="G102" s="50">
        <v>1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13</v>
      </c>
      <c r="P102" s="15">
        <f t="shared" si="36"/>
        <v>19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0</v>
      </c>
      <c r="E103" s="50">
        <v>1</v>
      </c>
      <c r="F103" s="50">
        <v>8</v>
      </c>
      <c r="G103" s="50">
        <v>2</v>
      </c>
      <c r="H103" s="50">
        <v>0</v>
      </c>
      <c r="I103" s="50">
        <v>3</v>
      </c>
      <c r="J103" s="50">
        <v>0</v>
      </c>
      <c r="K103" s="50">
        <v>0</v>
      </c>
      <c r="L103" s="50">
        <v>0</v>
      </c>
      <c r="M103" s="50">
        <v>16</v>
      </c>
      <c r="N103" s="50">
        <v>0</v>
      </c>
      <c r="O103" s="15">
        <f t="shared" si="35"/>
        <v>18</v>
      </c>
      <c r="P103" s="15">
        <f t="shared" si="36"/>
        <v>34</v>
      </c>
      <c r="R103" s="8"/>
      <c r="T103"/>
    </row>
    <row r="104" spans="2:20" ht="23.1" customHeight="1" x14ac:dyDescent="0.25">
      <c r="B104" s="47" t="s">
        <v>144</v>
      </c>
      <c r="C104" s="50">
        <v>8</v>
      </c>
      <c r="D104" s="50">
        <v>1</v>
      </c>
      <c r="E104" s="50">
        <v>0</v>
      </c>
      <c r="F104" s="50">
        <v>11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1</v>
      </c>
      <c r="M104" s="50">
        <v>19</v>
      </c>
      <c r="N104" s="50">
        <v>0</v>
      </c>
      <c r="O104" s="15">
        <f t="shared" si="35"/>
        <v>22</v>
      </c>
      <c r="P104" s="15">
        <f t="shared" si="36"/>
        <v>41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2</v>
      </c>
      <c r="E105" s="50">
        <v>1</v>
      </c>
      <c r="F105" s="50">
        <v>11</v>
      </c>
      <c r="G105" s="50">
        <v>1</v>
      </c>
      <c r="H105" s="50">
        <v>0</v>
      </c>
      <c r="I105" s="50">
        <v>4</v>
      </c>
      <c r="J105" s="50">
        <v>0</v>
      </c>
      <c r="K105" s="50">
        <v>0</v>
      </c>
      <c r="L105" s="50">
        <v>0</v>
      </c>
      <c r="M105" s="50">
        <v>18</v>
      </c>
      <c r="N105" s="50">
        <v>0</v>
      </c>
      <c r="O105" s="15">
        <f t="shared" si="35"/>
        <v>21</v>
      </c>
      <c r="P105" s="15">
        <f t="shared" si="36"/>
        <v>39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475</v>
      </c>
      <c r="D106" s="16">
        <f t="shared" ref="D106:P106" si="37">SUM(D10:D105)</f>
        <v>76</v>
      </c>
      <c r="E106" s="16">
        <f t="shared" si="37"/>
        <v>110</v>
      </c>
      <c r="F106" s="16">
        <f t="shared" si="37"/>
        <v>595</v>
      </c>
      <c r="G106" s="16">
        <f t="shared" si="37"/>
        <v>32</v>
      </c>
      <c r="H106" s="16">
        <f t="shared" si="37"/>
        <v>1</v>
      </c>
      <c r="I106" s="16">
        <f t="shared" si="37"/>
        <v>187</v>
      </c>
      <c r="J106" s="16">
        <f t="shared" si="37"/>
        <v>40</v>
      </c>
      <c r="K106" s="16">
        <f t="shared" si="37"/>
        <v>15</v>
      </c>
      <c r="L106" s="16">
        <f t="shared" si="37"/>
        <v>9</v>
      </c>
      <c r="M106" s="16">
        <f t="shared" si="37"/>
        <v>1405</v>
      </c>
      <c r="N106" s="16">
        <f t="shared" si="37"/>
        <v>3</v>
      </c>
      <c r="O106" s="16">
        <f t="shared" si="37"/>
        <v>1543</v>
      </c>
      <c r="P106" s="16">
        <f t="shared" si="37"/>
        <v>2948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0.16112618724559022</v>
      </c>
      <c r="D107" s="43">
        <f t="shared" si="38"/>
        <v>2.5780189959294438E-2</v>
      </c>
      <c r="E107" s="43">
        <f t="shared" si="38"/>
        <v>3.7313432835820892E-2</v>
      </c>
      <c r="F107" s="43">
        <f t="shared" si="38"/>
        <v>0.20183175033921302</v>
      </c>
      <c r="G107" s="43">
        <f t="shared" si="38"/>
        <v>1.0854816824966078E-2</v>
      </c>
      <c r="H107" s="43">
        <f t="shared" si="38"/>
        <v>3.3921302578018993E-4</v>
      </c>
      <c r="I107" s="43">
        <f t="shared" si="38"/>
        <v>6.3432835820895525E-2</v>
      </c>
      <c r="J107" s="43">
        <f t="shared" si="38"/>
        <v>1.3568521031207599E-2</v>
      </c>
      <c r="K107" s="43">
        <f t="shared" si="38"/>
        <v>5.0881953867028496E-3</v>
      </c>
      <c r="L107" s="43">
        <f t="shared" si="38"/>
        <v>3.0529172320217096E-3</v>
      </c>
      <c r="M107" s="43">
        <f t="shared" si="38"/>
        <v>0.47659430122116692</v>
      </c>
      <c r="N107" s="43">
        <f t="shared" si="38"/>
        <v>1.0176390773405698E-3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0.30784186649384315</v>
      </c>
      <c r="D108" s="44">
        <f t="shared" ref="D108:N108" si="39">D106/$O$106</f>
        <v>4.9254698639014903E-2</v>
      </c>
      <c r="E108" s="44">
        <f t="shared" si="39"/>
        <v>7.1289695398574202E-2</v>
      </c>
      <c r="F108" s="44">
        <f t="shared" si="39"/>
        <v>0.38561244329228778</v>
      </c>
      <c r="G108" s="44">
        <f t="shared" si="39"/>
        <v>2.0738820479585224E-2</v>
      </c>
      <c r="H108" s="44">
        <f t="shared" si="39"/>
        <v>6.4808813998703824E-4</v>
      </c>
      <c r="I108" s="44">
        <f t="shared" si="39"/>
        <v>0.12119248217757615</v>
      </c>
      <c r="J108" s="44">
        <f t="shared" si="39"/>
        <v>2.592352559948153E-2</v>
      </c>
      <c r="K108" s="44">
        <f t="shared" si="39"/>
        <v>9.7213220998055728E-3</v>
      </c>
      <c r="L108" s="44">
        <f t="shared" si="39"/>
        <v>5.8327932598833442E-3</v>
      </c>
      <c r="M108" s="44"/>
      <c r="N108" s="44">
        <f t="shared" si="39"/>
        <v>1.9442644199611147E-3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F17" sqref="F1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172</v>
      </c>
      <c r="E5" s="3"/>
      <c r="F5" s="41" t="s">
        <v>1</v>
      </c>
      <c r="G5" s="55" t="str">
        <f>'29.10 MUKONO-KALAGI'!G5:H5</f>
        <v>KABEMBE</v>
      </c>
      <c r="H5" s="56"/>
      <c r="I5" s="14"/>
      <c r="J5" s="2" t="s">
        <v>5</v>
      </c>
      <c r="K5" s="55" t="str">
        <f>'29.10 MUKONO-KALAGI'!K5:L5</f>
        <v>RACHEAL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MUKONO-KALAGI'!D6:E6</f>
        <v>MUKONO</v>
      </c>
      <c r="E6" s="56"/>
      <c r="F6" s="2" t="s">
        <v>2</v>
      </c>
      <c r="G6" s="55" t="str">
        <f>'29.10 MUKONO-KALAGI'!G6:H6</f>
        <v>KALAGI</v>
      </c>
      <c r="H6" s="56"/>
      <c r="J6" s="2" t="s">
        <v>21</v>
      </c>
      <c r="K6" s="55" t="str">
        <f>'29.10 MUKONO-KALAGI'!K6:L6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1</v>
      </c>
      <c r="E10" s="50">
        <v>1</v>
      </c>
      <c r="F10" s="50">
        <v>9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30</v>
      </c>
      <c r="R10" s="1" t="s">
        <v>6</v>
      </c>
      <c r="S10" s="17">
        <f t="shared" ref="S10:AF10" si="2">SUM(C10:C13)</f>
        <v>30</v>
      </c>
      <c r="T10" s="17">
        <f t="shared" si="2"/>
        <v>7</v>
      </c>
      <c r="U10" s="17">
        <f t="shared" si="2"/>
        <v>4</v>
      </c>
      <c r="V10" s="17">
        <f t="shared" si="2"/>
        <v>31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1</v>
      </c>
      <c r="AB10" s="17">
        <f t="shared" si="2"/>
        <v>1</v>
      </c>
      <c r="AC10" s="17">
        <f t="shared" si="2"/>
        <v>58</v>
      </c>
      <c r="AD10" s="17">
        <f t="shared" si="2"/>
        <v>0</v>
      </c>
      <c r="AE10" s="31">
        <f t="shared" si="2"/>
        <v>81</v>
      </c>
      <c r="AF10" s="31">
        <f t="shared" si="2"/>
        <v>139</v>
      </c>
    </row>
    <row r="11" spans="2:32" s="6" customFormat="1" ht="23.1" customHeight="1" x14ac:dyDescent="0.25">
      <c r="B11" s="23" t="s">
        <v>38</v>
      </c>
      <c r="C11" s="50">
        <v>9</v>
      </c>
      <c r="D11" s="50">
        <v>1</v>
      </c>
      <c r="E11" s="50">
        <v>1</v>
      </c>
      <c r="F11" s="50">
        <v>7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1</v>
      </c>
      <c r="M11" s="50">
        <v>18</v>
      </c>
      <c r="N11" s="50">
        <v>0</v>
      </c>
      <c r="O11" s="15">
        <f t="shared" si="0"/>
        <v>20</v>
      </c>
      <c r="P11" s="15">
        <f t="shared" si="1"/>
        <v>38</v>
      </c>
      <c r="R11" s="1" t="s">
        <v>7</v>
      </c>
      <c r="S11" s="17">
        <f t="shared" ref="S11:AF11" si="3">SUM(C14:C17)</f>
        <v>38</v>
      </c>
      <c r="T11" s="17">
        <f t="shared" si="3"/>
        <v>10</v>
      </c>
      <c r="U11" s="17">
        <f t="shared" si="3"/>
        <v>9</v>
      </c>
      <c r="V11" s="17">
        <f t="shared" si="3"/>
        <v>44</v>
      </c>
      <c r="W11" s="17">
        <f t="shared" si="3"/>
        <v>0</v>
      </c>
      <c r="X11" s="17">
        <f t="shared" si="3"/>
        <v>0</v>
      </c>
      <c r="Y11" s="17">
        <f t="shared" si="3"/>
        <v>10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81</v>
      </c>
      <c r="AD11" s="17">
        <f t="shared" si="3"/>
        <v>0</v>
      </c>
      <c r="AE11" s="31">
        <f t="shared" si="3"/>
        <v>112</v>
      </c>
      <c r="AF11" s="31">
        <f t="shared" si="3"/>
        <v>193</v>
      </c>
    </row>
    <row r="12" spans="2:32" ht="23.1" customHeight="1" x14ac:dyDescent="0.25">
      <c r="B12" s="23" t="s">
        <v>39</v>
      </c>
      <c r="C12" s="50">
        <v>9</v>
      </c>
      <c r="D12" s="50">
        <v>1</v>
      </c>
      <c r="E12" s="50">
        <v>1</v>
      </c>
      <c r="F12" s="50">
        <v>7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0</v>
      </c>
      <c r="M12" s="50">
        <v>12</v>
      </c>
      <c r="N12" s="50">
        <v>0</v>
      </c>
      <c r="O12" s="15">
        <f t="shared" si="0"/>
        <v>22</v>
      </c>
      <c r="P12" s="15">
        <f t="shared" si="1"/>
        <v>34</v>
      </c>
      <c r="R12" s="1" t="s">
        <v>8</v>
      </c>
      <c r="S12" s="17">
        <f t="shared" ref="S12:AF12" si="4">SUM(C18:C21)</f>
        <v>32</v>
      </c>
      <c r="T12" s="17">
        <f t="shared" si="4"/>
        <v>14</v>
      </c>
      <c r="U12" s="17">
        <f t="shared" si="4"/>
        <v>6</v>
      </c>
      <c r="V12" s="17">
        <f t="shared" si="4"/>
        <v>42</v>
      </c>
      <c r="W12" s="17">
        <f t="shared" si="4"/>
        <v>2</v>
      </c>
      <c r="X12" s="17">
        <f t="shared" si="4"/>
        <v>0</v>
      </c>
      <c r="Y12" s="17">
        <f t="shared" si="4"/>
        <v>16</v>
      </c>
      <c r="Z12" s="17">
        <f t="shared" si="4"/>
        <v>0</v>
      </c>
      <c r="AA12" s="17">
        <f t="shared" si="4"/>
        <v>2</v>
      </c>
      <c r="AB12" s="17">
        <f t="shared" si="4"/>
        <v>1</v>
      </c>
      <c r="AC12" s="17">
        <f t="shared" si="4"/>
        <v>59</v>
      </c>
      <c r="AD12" s="17">
        <f t="shared" si="4"/>
        <v>0</v>
      </c>
      <c r="AE12" s="31">
        <f t="shared" si="4"/>
        <v>115</v>
      </c>
      <c r="AF12" s="31">
        <f t="shared" si="4"/>
        <v>174</v>
      </c>
    </row>
    <row r="13" spans="2:32" ht="23.1" customHeight="1" x14ac:dyDescent="0.25">
      <c r="B13" s="23" t="s">
        <v>40</v>
      </c>
      <c r="C13" s="50">
        <v>7</v>
      </c>
      <c r="D13" s="50">
        <v>4</v>
      </c>
      <c r="E13" s="50">
        <v>1</v>
      </c>
      <c r="F13" s="50">
        <v>8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15</v>
      </c>
      <c r="N13" s="50">
        <v>0</v>
      </c>
      <c r="O13" s="15">
        <f t="shared" si="0"/>
        <v>22</v>
      </c>
      <c r="P13" s="15">
        <f t="shared" si="1"/>
        <v>37</v>
      </c>
      <c r="R13" s="1" t="s">
        <v>9</v>
      </c>
      <c r="S13" s="17">
        <f t="shared" ref="S13:AF13" si="5">SUM(C22:C25)</f>
        <v>27</v>
      </c>
      <c r="T13" s="17">
        <f t="shared" si="5"/>
        <v>10</v>
      </c>
      <c r="U13" s="17">
        <f t="shared" si="5"/>
        <v>5</v>
      </c>
      <c r="V13" s="17">
        <f t="shared" si="5"/>
        <v>43</v>
      </c>
      <c r="W13" s="17">
        <f t="shared" si="5"/>
        <v>0</v>
      </c>
      <c r="X13" s="17">
        <f t="shared" si="5"/>
        <v>0</v>
      </c>
      <c r="Y13" s="17">
        <f t="shared" si="5"/>
        <v>13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65</v>
      </c>
      <c r="AD13" s="17">
        <f t="shared" si="5"/>
        <v>0</v>
      </c>
      <c r="AE13" s="31">
        <f t="shared" si="5"/>
        <v>99</v>
      </c>
      <c r="AF13" s="31">
        <f t="shared" si="5"/>
        <v>164</v>
      </c>
    </row>
    <row r="14" spans="2:32" ht="23.1" customHeight="1" x14ac:dyDescent="0.25">
      <c r="B14" s="23" t="s">
        <v>41</v>
      </c>
      <c r="C14" s="50">
        <v>15</v>
      </c>
      <c r="D14" s="50">
        <v>2</v>
      </c>
      <c r="E14" s="50">
        <v>3</v>
      </c>
      <c r="F14" s="50">
        <v>17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24</v>
      </c>
      <c r="N14" s="50">
        <v>0</v>
      </c>
      <c r="O14" s="15">
        <f t="shared" si="0"/>
        <v>40</v>
      </c>
      <c r="P14" s="15">
        <f t="shared" si="1"/>
        <v>64</v>
      </c>
      <c r="R14" s="1" t="s">
        <v>10</v>
      </c>
      <c r="S14" s="17">
        <f t="shared" ref="S14:AF14" si="6">SUM(C26:C29)</f>
        <v>35</v>
      </c>
      <c r="T14" s="17">
        <f t="shared" si="6"/>
        <v>12</v>
      </c>
      <c r="U14" s="17">
        <f t="shared" si="6"/>
        <v>6</v>
      </c>
      <c r="V14" s="17">
        <f t="shared" si="6"/>
        <v>43</v>
      </c>
      <c r="W14" s="17">
        <f t="shared" si="6"/>
        <v>0</v>
      </c>
      <c r="X14" s="17">
        <f t="shared" si="6"/>
        <v>0</v>
      </c>
      <c r="Y14" s="17">
        <f t="shared" si="6"/>
        <v>17</v>
      </c>
      <c r="Z14" s="17">
        <f t="shared" si="6"/>
        <v>1</v>
      </c>
      <c r="AA14" s="17">
        <f t="shared" si="6"/>
        <v>1</v>
      </c>
      <c r="AB14" s="17">
        <f t="shared" si="6"/>
        <v>1</v>
      </c>
      <c r="AC14" s="17">
        <f t="shared" si="6"/>
        <v>85</v>
      </c>
      <c r="AD14" s="17">
        <f t="shared" si="6"/>
        <v>0</v>
      </c>
      <c r="AE14" s="31">
        <f t="shared" si="6"/>
        <v>116</v>
      </c>
      <c r="AF14" s="31">
        <f t="shared" si="6"/>
        <v>201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3</v>
      </c>
      <c r="F15" s="50">
        <v>6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18</v>
      </c>
      <c r="P15" s="15">
        <f t="shared" si="1"/>
        <v>29</v>
      </c>
      <c r="R15" s="1" t="s">
        <v>11</v>
      </c>
      <c r="S15" s="17">
        <f t="shared" ref="S15:AF15" si="7">SUM(C30:C33)</f>
        <v>30</v>
      </c>
      <c r="T15" s="17">
        <f t="shared" si="7"/>
        <v>10</v>
      </c>
      <c r="U15" s="17">
        <f t="shared" si="7"/>
        <v>10</v>
      </c>
      <c r="V15" s="17">
        <f t="shared" si="7"/>
        <v>38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88</v>
      </c>
      <c r="AD15" s="17">
        <f t="shared" si="7"/>
        <v>0</v>
      </c>
      <c r="AE15" s="31">
        <f t="shared" si="7"/>
        <v>107</v>
      </c>
      <c r="AF15" s="31">
        <f t="shared" si="7"/>
        <v>195</v>
      </c>
    </row>
    <row r="16" spans="2:32" ht="23.1" customHeight="1" x14ac:dyDescent="0.25">
      <c r="B16" s="23" t="s">
        <v>43</v>
      </c>
      <c r="C16" s="50">
        <v>12</v>
      </c>
      <c r="D16" s="50">
        <v>1</v>
      </c>
      <c r="E16" s="50">
        <v>2</v>
      </c>
      <c r="F16" s="50">
        <v>10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22</v>
      </c>
      <c r="N16" s="50">
        <v>0</v>
      </c>
      <c r="O16" s="15">
        <f t="shared" si="0"/>
        <v>29</v>
      </c>
      <c r="P16" s="15">
        <f t="shared" si="1"/>
        <v>51</v>
      </c>
      <c r="R16" s="1" t="s">
        <v>12</v>
      </c>
      <c r="S16" s="17">
        <f t="shared" ref="S16:AF16" si="8">SUM(C34:C37)</f>
        <v>47</v>
      </c>
      <c r="T16" s="17">
        <f t="shared" si="8"/>
        <v>9</v>
      </c>
      <c r="U16" s="17">
        <f t="shared" si="8"/>
        <v>14</v>
      </c>
      <c r="V16" s="17">
        <f t="shared" si="8"/>
        <v>39</v>
      </c>
      <c r="W16" s="17">
        <f t="shared" si="8"/>
        <v>1</v>
      </c>
      <c r="X16" s="17">
        <f t="shared" si="8"/>
        <v>0</v>
      </c>
      <c r="Y16" s="17">
        <f t="shared" si="8"/>
        <v>13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78</v>
      </c>
      <c r="AD16" s="17">
        <f t="shared" si="8"/>
        <v>0</v>
      </c>
      <c r="AE16" s="31">
        <f t="shared" si="8"/>
        <v>124</v>
      </c>
      <c r="AF16" s="31">
        <f t="shared" si="8"/>
        <v>202</v>
      </c>
    </row>
    <row r="17" spans="2:32" ht="23.1" customHeight="1" x14ac:dyDescent="0.25">
      <c r="B17" s="23" t="s">
        <v>44</v>
      </c>
      <c r="C17" s="50">
        <v>5</v>
      </c>
      <c r="D17" s="50">
        <v>7</v>
      </c>
      <c r="E17" s="50">
        <v>1</v>
      </c>
      <c r="F17" s="50">
        <v>11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24</v>
      </c>
      <c r="N17" s="50">
        <v>0</v>
      </c>
      <c r="O17" s="15">
        <f t="shared" si="0"/>
        <v>25</v>
      </c>
      <c r="P17" s="15">
        <f t="shared" si="1"/>
        <v>49</v>
      </c>
      <c r="R17" s="1" t="s">
        <v>13</v>
      </c>
      <c r="S17" s="17">
        <f t="shared" ref="S17:AF17" si="9">SUM(C38:C41)</f>
        <v>32</v>
      </c>
      <c r="T17" s="17">
        <f t="shared" si="9"/>
        <v>12</v>
      </c>
      <c r="U17" s="17">
        <f t="shared" si="9"/>
        <v>10</v>
      </c>
      <c r="V17" s="17">
        <f t="shared" si="9"/>
        <v>38</v>
      </c>
      <c r="W17" s="17">
        <f t="shared" si="9"/>
        <v>1</v>
      </c>
      <c r="X17" s="17">
        <f t="shared" si="9"/>
        <v>0</v>
      </c>
      <c r="Y17" s="17">
        <f t="shared" si="9"/>
        <v>19</v>
      </c>
      <c r="Z17" s="17">
        <f t="shared" si="9"/>
        <v>0</v>
      </c>
      <c r="AA17" s="17">
        <f t="shared" si="9"/>
        <v>1</v>
      </c>
      <c r="AB17" s="17">
        <f t="shared" si="9"/>
        <v>2</v>
      </c>
      <c r="AC17" s="17">
        <f t="shared" si="9"/>
        <v>79</v>
      </c>
      <c r="AD17" s="17">
        <f t="shared" si="9"/>
        <v>0</v>
      </c>
      <c r="AE17" s="31">
        <f t="shared" si="9"/>
        <v>115</v>
      </c>
      <c r="AF17" s="31">
        <f t="shared" si="9"/>
        <v>194</v>
      </c>
    </row>
    <row r="18" spans="2:32" ht="23.1" customHeight="1" x14ac:dyDescent="0.25">
      <c r="B18" s="23" t="s">
        <v>45</v>
      </c>
      <c r="C18" s="50">
        <v>8</v>
      </c>
      <c r="D18" s="50">
        <v>5</v>
      </c>
      <c r="E18" s="50">
        <v>1</v>
      </c>
      <c r="F18" s="50">
        <v>12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14</v>
      </c>
      <c r="N18" s="50">
        <v>0</v>
      </c>
      <c r="O18" s="15">
        <f t="shared" si="0"/>
        <v>28</v>
      </c>
      <c r="P18" s="15">
        <f t="shared" si="1"/>
        <v>42</v>
      </c>
      <c r="R18" s="1" t="s">
        <v>14</v>
      </c>
      <c r="S18" s="17">
        <f t="shared" ref="S18:AF18" si="10">SUM(C42:C45)</f>
        <v>37</v>
      </c>
      <c r="T18" s="17">
        <f t="shared" si="10"/>
        <v>19</v>
      </c>
      <c r="U18" s="17">
        <f t="shared" si="10"/>
        <v>8</v>
      </c>
      <c r="V18" s="17">
        <f t="shared" si="10"/>
        <v>33</v>
      </c>
      <c r="W18" s="17">
        <f t="shared" si="10"/>
        <v>1</v>
      </c>
      <c r="X18" s="17">
        <f t="shared" si="10"/>
        <v>0</v>
      </c>
      <c r="Y18" s="17">
        <f t="shared" si="10"/>
        <v>15</v>
      </c>
      <c r="Z18" s="17">
        <f t="shared" si="10"/>
        <v>2</v>
      </c>
      <c r="AA18" s="17">
        <f t="shared" si="10"/>
        <v>0</v>
      </c>
      <c r="AB18" s="17">
        <f t="shared" si="10"/>
        <v>1</v>
      </c>
      <c r="AC18" s="17">
        <f t="shared" si="10"/>
        <v>85</v>
      </c>
      <c r="AD18" s="17">
        <f t="shared" si="10"/>
        <v>1</v>
      </c>
      <c r="AE18" s="31">
        <f t="shared" si="10"/>
        <v>117</v>
      </c>
      <c r="AF18" s="31">
        <f t="shared" si="10"/>
        <v>202</v>
      </c>
    </row>
    <row r="19" spans="2:32" ht="23.1" customHeight="1" x14ac:dyDescent="0.25">
      <c r="B19" s="23" t="s">
        <v>46</v>
      </c>
      <c r="C19" s="50">
        <v>6</v>
      </c>
      <c r="D19" s="50">
        <v>3</v>
      </c>
      <c r="E19" s="50">
        <v>2</v>
      </c>
      <c r="F19" s="50">
        <v>8</v>
      </c>
      <c r="G19" s="50">
        <v>2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26</v>
      </c>
      <c r="P19" s="15">
        <f t="shared" si="1"/>
        <v>43</v>
      </c>
      <c r="R19" s="1" t="s">
        <v>15</v>
      </c>
      <c r="S19" s="17">
        <f t="shared" ref="S19:AF19" si="11">SUM(C46:C49)</f>
        <v>50</v>
      </c>
      <c r="T19" s="17">
        <f t="shared" si="11"/>
        <v>13</v>
      </c>
      <c r="U19" s="17">
        <f t="shared" si="11"/>
        <v>5</v>
      </c>
      <c r="V19" s="17">
        <f t="shared" si="11"/>
        <v>37</v>
      </c>
      <c r="W19" s="17">
        <f t="shared" si="11"/>
        <v>2</v>
      </c>
      <c r="X19" s="17">
        <f t="shared" si="11"/>
        <v>0</v>
      </c>
      <c r="Y19" s="17">
        <f t="shared" si="11"/>
        <v>26</v>
      </c>
      <c r="Z19" s="17">
        <f t="shared" si="11"/>
        <v>1</v>
      </c>
      <c r="AA19" s="17">
        <f t="shared" si="11"/>
        <v>0</v>
      </c>
      <c r="AB19" s="17">
        <f t="shared" si="11"/>
        <v>1</v>
      </c>
      <c r="AC19" s="17">
        <f t="shared" si="11"/>
        <v>83</v>
      </c>
      <c r="AD19" s="17">
        <f t="shared" si="11"/>
        <v>0</v>
      </c>
      <c r="AE19" s="31">
        <f t="shared" si="11"/>
        <v>135</v>
      </c>
      <c r="AF19" s="31">
        <f t="shared" si="11"/>
        <v>218</v>
      </c>
    </row>
    <row r="20" spans="2:32" ht="23.1" customHeight="1" x14ac:dyDescent="0.25">
      <c r="B20" s="23" t="s">
        <v>47</v>
      </c>
      <c r="C20" s="50">
        <v>11</v>
      </c>
      <c r="D20" s="50">
        <v>2</v>
      </c>
      <c r="E20" s="50">
        <v>2</v>
      </c>
      <c r="F20" s="50">
        <v>13</v>
      </c>
      <c r="G20" s="50">
        <v>0</v>
      </c>
      <c r="H20" s="50">
        <v>0</v>
      </c>
      <c r="I20" s="50">
        <v>6</v>
      </c>
      <c r="J20" s="50">
        <v>0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34</v>
      </c>
      <c r="P20" s="15">
        <f t="shared" si="1"/>
        <v>49</v>
      </c>
      <c r="R20" s="1" t="s">
        <v>16</v>
      </c>
      <c r="S20" s="17">
        <f t="shared" ref="S20:AF20" si="12">SUM(C50:C53)</f>
        <v>28</v>
      </c>
      <c r="T20" s="17">
        <f t="shared" si="12"/>
        <v>16</v>
      </c>
      <c r="U20" s="17">
        <f t="shared" si="12"/>
        <v>5</v>
      </c>
      <c r="V20" s="17">
        <f t="shared" si="12"/>
        <v>43</v>
      </c>
      <c r="W20" s="17">
        <f t="shared" si="12"/>
        <v>0</v>
      </c>
      <c r="X20" s="17">
        <f t="shared" si="12"/>
        <v>0</v>
      </c>
      <c r="Y20" s="17">
        <f t="shared" si="12"/>
        <v>16</v>
      </c>
      <c r="Z20" s="17">
        <f t="shared" si="12"/>
        <v>2</v>
      </c>
      <c r="AA20" s="17">
        <f t="shared" si="12"/>
        <v>1</v>
      </c>
      <c r="AB20" s="17">
        <f t="shared" si="12"/>
        <v>2</v>
      </c>
      <c r="AC20" s="17">
        <f t="shared" si="12"/>
        <v>75</v>
      </c>
      <c r="AD20" s="17">
        <f t="shared" si="12"/>
        <v>0</v>
      </c>
      <c r="AE20" s="31">
        <f t="shared" si="12"/>
        <v>113</v>
      </c>
      <c r="AF20" s="31">
        <f t="shared" si="12"/>
        <v>188</v>
      </c>
    </row>
    <row r="21" spans="2:32" ht="23.1" customHeight="1" x14ac:dyDescent="0.25">
      <c r="B21" s="23" t="s">
        <v>48</v>
      </c>
      <c r="C21" s="50">
        <v>7</v>
      </c>
      <c r="D21" s="50">
        <v>4</v>
      </c>
      <c r="E21" s="50">
        <v>1</v>
      </c>
      <c r="F21" s="50">
        <v>9</v>
      </c>
      <c r="G21" s="50">
        <v>0</v>
      </c>
      <c r="H21" s="50">
        <v>0</v>
      </c>
      <c r="I21" s="50">
        <v>4</v>
      </c>
      <c r="J21" s="50">
        <v>0</v>
      </c>
      <c r="K21" s="50">
        <v>2</v>
      </c>
      <c r="L21" s="50">
        <v>0</v>
      </c>
      <c r="M21" s="50">
        <v>13</v>
      </c>
      <c r="N21" s="50">
        <v>0</v>
      </c>
      <c r="O21" s="15">
        <f t="shared" si="0"/>
        <v>27</v>
      </c>
      <c r="P21" s="15">
        <f t="shared" si="1"/>
        <v>40</v>
      </c>
      <c r="R21" s="36" t="s">
        <v>20</v>
      </c>
      <c r="S21" s="34">
        <f t="shared" ref="S21:AF21" si="13">SUM(C54:C57)</f>
        <v>30</v>
      </c>
      <c r="T21" s="17">
        <f t="shared" si="13"/>
        <v>9</v>
      </c>
      <c r="U21" s="17">
        <f t="shared" si="13"/>
        <v>6</v>
      </c>
      <c r="V21" s="17">
        <f t="shared" si="13"/>
        <v>26</v>
      </c>
      <c r="W21" s="17">
        <f t="shared" si="13"/>
        <v>1</v>
      </c>
      <c r="X21" s="17">
        <f t="shared" si="13"/>
        <v>3</v>
      </c>
      <c r="Y21" s="17">
        <f t="shared" si="13"/>
        <v>12</v>
      </c>
      <c r="Z21" s="17">
        <f t="shared" si="13"/>
        <v>0</v>
      </c>
      <c r="AA21" s="17">
        <f t="shared" si="13"/>
        <v>3</v>
      </c>
      <c r="AB21" s="17">
        <f t="shared" si="13"/>
        <v>0</v>
      </c>
      <c r="AC21" s="17">
        <f t="shared" si="13"/>
        <v>86</v>
      </c>
      <c r="AD21" s="17">
        <f t="shared" si="13"/>
        <v>1</v>
      </c>
      <c r="AE21" s="31">
        <f t="shared" si="13"/>
        <v>91</v>
      </c>
      <c r="AF21" s="31">
        <f t="shared" si="13"/>
        <v>177</v>
      </c>
    </row>
    <row r="22" spans="2:32" ht="23.1" customHeight="1" x14ac:dyDescent="0.25">
      <c r="B22" s="23" t="s">
        <v>49</v>
      </c>
      <c r="C22" s="50">
        <v>9</v>
      </c>
      <c r="D22" s="50">
        <v>1</v>
      </c>
      <c r="E22" s="50">
        <v>0</v>
      </c>
      <c r="F22" s="50">
        <v>12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25</v>
      </c>
      <c r="P22" s="15">
        <f t="shared" si="1"/>
        <v>44</v>
      </c>
      <c r="R22" s="38" t="s">
        <v>90</v>
      </c>
      <c r="S22" s="39">
        <f>MAX(S10:S12)</f>
        <v>38</v>
      </c>
      <c r="T22" s="39">
        <f t="shared" ref="T22:AF22" si="14">MAX(T10:T12)</f>
        <v>14</v>
      </c>
      <c r="U22" s="39">
        <f t="shared" si="14"/>
        <v>9</v>
      </c>
      <c r="V22" s="39">
        <f t="shared" si="14"/>
        <v>44</v>
      </c>
      <c r="W22" s="39">
        <f t="shared" si="14"/>
        <v>2</v>
      </c>
      <c r="X22" s="39">
        <f t="shared" si="14"/>
        <v>0</v>
      </c>
      <c r="Y22" s="39">
        <f t="shared" si="14"/>
        <v>16</v>
      </c>
      <c r="Z22" s="39">
        <f t="shared" si="14"/>
        <v>0</v>
      </c>
      <c r="AA22" s="39">
        <f t="shared" si="14"/>
        <v>2</v>
      </c>
      <c r="AB22" s="39">
        <f t="shared" si="14"/>
        <v>1</v>
      </c>
      <c r="AC22" s="39">
        <f t="shared" si="14"/>
        <v>81</v>
      </c>
      <c r="AD22" s="39">
        <f t="shared" si="14"/>
        <v>0</v>
      </c>
      <c r="AE22" s="40">
        <f t="shared" si="14"/>
        <v>115</v>
      </c>
      <c r="AF22" s="40">
        <f t="shared" si="14"/>
        <v>193</v>
      </c>
    </row>
    <row r="23" spans="2:32" ht="23.1" customHeight="1" x14ac:dyDescent="0.25">
      <c r="B23" s="23" t="s">
        <v>50</v>
      </c>
      <c r="C23" s="50">
        <v>6</v>
      </c>
      <c r="D23" s="50">
        <v>0</v>
      </c>
      <c r="E23" s="50">
        <v>2</v>
      </c>
      <c r="F23" s="50">
        <v>10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21</v>
      </c>
      <c r="P23" s="15">
        <f t="shared" si="1"/>
        <v>39</v>
      </c>
      <c r="R23" s="38" t="s">
        <v>91</v>
      </c>
      <c r="S23" s="39">
        <f>MAX(S13:S18)</f>
        <v>47</v>
      </c>
      <c r="T23" s="39">
        <f t="shared" ref="T23:AF23" si="15">MAX(T13:T18)</f>
        <v>19</v>
      </c>
      <c r="U23" s="39">
        <f t="shared" si="15"/>
        <v>14</v>
      </c>
      <c r="V23" s="39">
        <f t="shared" si="15"/>
        <v>43</v>
      </c>
      <c r="W23" s="39">
        <f t="shared" si="15"/>
        <v>1</v>
      </c>
      <c r="X23" s="39">
        <f t="shared" si="15"/>
        <v>0</v>
      </c>
      <c r="Y23" s="39">
        <f t="shared" si="15"/>
        <v>19</v>
      </c>
      <c r="Z23" s="39">
        <f t="shared" si="15"/>
        <v>2</v>
      </c>
      <c r="AA23" s="39">
        <f t="shared" si="15"/>
        <v>1</v>
      </c>
      <c r="AB23" s="39">
        <f t="shared" si="15"/>
        <v>2</v>
      </c>
      <c r="AC23" s="39">
        <f t="shared" si="15"/>
        <v>88</v>
      </c>
      <c r="AD23" s="39">
        <f t="shared" si="15"/>
        <v>1</v>
      </c>
      <c r="AE23" s="40">
        <f t="shared" si="15"/>
        <v>124</v>
      </c>
      <c r="AF23" s="40">
        <f t="shared" si="15"/>
        <v>202</v>
      </c>
    </row>
    <row r="24" spans="2:32" ht="23.1" customHeight="1" x14ac:dyDescent="0.25">
      <c r="B24" s="23" t="s">
        <v>51</v>
      </c>
      <c r="C24" s="50">
        <v>5</v>
      </c>
      <c r="D24" s="50">
        <v>7</v>
      </c>
      <c r="E24" s="50">
        <v>1</v>
      </c>
      <c r="F24" s="50">
        <v>16</v>
      </c>
      <c r="G24" s="50">
        <v>0</v>
      </c>
      <c r="H24" s="50">
        <v>0</v>
      </c>
      <c r="I24" s="50">
        <v>5</v>
      </c>
      <c r="J24" s="50">
        <v>0</v>
      </c>
      <c r="K24" s="50">
        <v>0</v>
      </c>
      <c r="L24" s="50">
        <v>1</v>
      </c>
      <c r="M24" s="50">
        <v>14</v>
      </c>
      <c r="N24" s="50">
        <v>0</v>
      </c>
      <c r="O24" s="15">
        <f t="shared" si="0"/>
        <v>35</v>
      </c>
      <c r="P24" s="15">
        <f t="shared" si="1"/>
        <v>49</v>
      </c>
      <c r="R24" s="38" t="s">
        <v>92</v>
      </c>
      <c r="S24" s="39">
        <f>MAX(S19:S21)</f>
        <v>50</v>
      </c>
      <c r="T24" s="39">
        <f t="shared" ref="T24:AF24" si="16">MAX(T19:T21)</f>
        <v>16</v>
      </c>
      <c r="U24" s="39">
        <f t="shared" si="16"/>
        <v>6</v>
      </c>
      <c r="V24" s="39">
        <f t="shared" si="16"/>
        <v>43</v>
      </c>
      <c r="W24" s="39">
        <f t="shared" si="16"/>
        <v>2</v>
      </c>
      <c r="X24" s="39">
        <f t="shared" si="16"/>
        <v>3</v>
      </c>
      <c r="Y24" s="39">
        <f t="shared" si="16"/>
        <v>26</v>
      </c>
      <c r="Z24" s="39">
        <f t="shared" si="16"/>
        <v>2</v>
      </c>
      <c r="AA24" s="39">
        <f t="shared" si="16"/>
        <v>3</v>
      </c>
      <c r="AB24" s="39">
        <f t="shared" si="16"/>
        <v>2</v>
      </c>
      <c r="AC24" s="39">
        <f t="shared" si="16"/>
        <v>86</v>
      </c>
      <c r="AD24" s="39">
        <f t="shared" si="16"/>
        <v>1</v>
      </c>
      <c r="AE24" s="40">
        <f t="shared" si="16"/>
        <v>135</v>
      </c>
      <c r="AF24" s="40">
        <f t="shared" si="16"/>
        <v>218</v>
      </c>
    </row>
    <row r="25" spans="2:32" ht="23.1" customHeight="1" x14ac:dyDescent="0.25">
      <c r="B25" s="23" t="s">
        <v>52</v>
      </c>
      <c r="C25" s="50">
        <v>7</v>
      </c>
      <c r="D25" s="50">
        <v>2</v>
      </c>
      <c r="E25" s="50">
        <v>2</v>
      </c>
      <c r="F25" s="50">
        <v>5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18</v>
      </c>
      <c r="P25" s="15">
        <f t="shared" si="1"/>
        <v>32</v>
      </c>
      <c r="R25" s="37" t="s">
        <v>85</v>
      </c>
      <c r="S25" s="35">
        <f t="shared" ref="S25:AF25" si="17">SUM(S10:S12)</f>
        <v>100</v>
      </c>
      <c r="T25" s="16">
        <f t="shared" si="17"/>
        <v>31</v>
      </c>
      <c r="U25" s="16">
        <f t="shared" si="17"/>
        <v>19</v>
      </c>
      <c r="V25" s="16">
        <f t="shared" si="17"/>
        <v>117</v>
      </c>
      <c r="W25" s="16">
        <f t="shared" si="17"/>
        <v>2</v>
      </c>
      <c r="X25" s="16">
        <f t="shared" si="17"/>
        <v>0</v>
      </c>
      <c r="Y25" s="16">
        <f t="shared" si="17"/>
        <v>33</v>
      </c>
      <c r="Z25" s="16">
        <f t="shared" si="17"/>
        <v>0</v>
      </c>
      <c r="AA25" s="16">
        <f t="shared" si="17"/>
        <v>4</v>
      </c>
      <c r="AB25" s="16">
        <f t="shared" si="17"/>
        <v>2</v>
      </c>
      <c r="AC25" s="16">
        <f t="shared" si="17"/>
        <v>198</v>
      </c>
      <c r="AD25" s="16">
        <f t="shared" si="17"/>
        <v>0</v>
      </c>
      <c r="AE25" s="32">
        <f t="shared" si="17"/>
        <v>308</v>
      </c>
      <c r="AF25" s="32">
        <f t="shared" si="17"/>
        <v>506</v>
      </c>
    </row>
    <row r="26" spans="2:32" ht="23.1" customHeight="1" x14ac:dyDescent="0.25">
      <c r="B26" s="23" t="s">
        <v>53</v>
      </c>
      <c r="C26" s="50">
        <v>7</v>
      </c>
      <c r="D26" s="50">
        <v>3</v>
      </c>
      <c r="E26" s="50">
        <v>3</v>
      </c>
      <c r="F26" s="50">
        <v>13</v>
      </c>
      <c r="G26" s="50">
        <v>0</v>
      </c>
      <c r="H26" s="50">
        <v>0</v>
      </c>
      <c r="I26" s="50">
        <v>7</v>
      </c>
      <c r="J26" s="50">
        <v>1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34</v>
      </c>
      <c r="P26" s="15">
        <f t="shared" si="1"/>
        <v>54</v>
      </c>
      <c r="R26" s="28" t="s">
        <v>86</v>
      </c>
      <c r="S26" s="16">
        <f t="shared" ref="S26:AF26" si="18">SUM(S13:S18)</f>
        <v>208</v>
      </c>
      <c r="T26" s="16">
        <f t="shared" si="18"/>
        <v>72</v>
      </c>
      <c r="U26" s="16">
        <f t="shared" si="18"/>
        <v>53</v>
      </c>
      <c r="V26" s="16">
        <f t="shared" si="18"/>
        <v>234</v>
      </c>
      <c r="W26" s="16">
        <f t="shared" si="18"/>
        <v>3</v>
      </c>
      <c r="X26" s="16">
        <f t="shared" si="18"/>
        <v>0</v>
      </c>
      <c r="Y26" s="16">
        <f t="shared" si="18"/>
        <v>93</v>
      </c>
      <c r="Z26" s="16">
        <f t="shared" si="18"/>
        <v>6</v>
      </c>
      <c r="AA26" s="16">
        <f t="shared" si="18"/>
        <v>3</v>
      </c>
      <c r="AB26" s="16">
        <f t="shared" si="18"/>
        <v>5</v>
      </c>
      <c r="AC26" s="16">
        <f t="shared" si="18"/>
        <v>480</v>
      </c>
      <c r="AD26" s="16">
        <f t="shared" si="18"/>
        <v>1</v>
      </c>
      <c r="AE26" s="32">
        <f t="shared" si="18"/>
        <v>678</v>
      </c>
      <c r="AF26" s="32">
        <f t="shared" si="18"/>
        <v>1158</v>
      </c>
    </row>
    <row r="27" spans="2:32" ht="23.1" customHeight="1" x14ac:dyDescent="0.25">
      <c r="B27" s="23" t="s">
        <v>54</v>
      </c>
      <c r="C27" s="50">
        <v>12</v>
      </c>
      <c r="D27" s="50">
        <v>1</v>
      </c>
      <c r="E27" s="50">
        <v>2</v>
      </c>
      <c r="F27" s="50">
        <v>11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31</v>
      </c>
      <c r="N27" s="50">
        <v>0</v>
      </c>
      <c r="O27" s="15">
        <f t="shared" si="0"/>
        <v>29</v>
      </c>
      <c r="P27" s="15">
        <f t="shared" si="1"/>
        <v>60</v>
      </c>
      <c r="R27" s="29" t="s">
        <v>87</v>
      </c>
      <c r="S27" s="16">
        <f t="shared" ref="S27:AF27" si="19">SUM(S19:S21)</f>
        <v>108</v>
      </c>
      <c r="T27" s="16">
        <f t="shared" si="19"/>
        <v>38</v>
      </c>
      <c r="U27" s="16">
        <f t="shared" si="19"/>
        <v>16</v>
      </c>
      <c r="V27" s="16">
        <f t="shared" si="19"/>
        <v>106</v>
      </c>
      <c r="W27" s="16">
        <f t="shared" si="19"/>
        <v>3</v>
      </c>
      <c r="X27" s="16">
        <f t="shared" si="19"/>
        <v>3</v>
      </c>
      <c r="Y27" s="16">
        <f t="shared" si="19"/>
        <v>54</v>
      </c>
      <c r="Z27" s="16">
        <f t="shared" si="19"/>
        <v>3</v>
      </c>
      <c r="AA27" s="16">
        <f t="shared" si="19"/>
        <v>4</v>
      </c>
      <c r="AB27" s="16">
        <f t="shared" si="19"/>
        <v>3</v>
      </c>
      <c r="AC27" s="16">
        <f t="shared" si="19"/>
        <v>244</v>
      </c>
      <c r="AD27" s="16">
        <f t="shared" si="19"/>
        <v>1</v>
      </c>
      <c r="AE27" s="32">
        <f t="shared" si="19"/>
        <v>339</v>
      </c>
      <c r="AF27" s="32">
        <f t="shared" si="19"/>
        <v>583</v>
      </c>
    </row>
    <row r="28" spans="2:32" ht="23.1" customHeight="1" x14ac:dyDescent="0.25">
      <c r="B28" s="23" t="s">
        <v>55</v>
      </c>
      <c r="C28" s="50">
        <v>7</v>
      </c>
      <c r="D28" s="50">
        <v>4</v>
      </c>
      <c r="E28" s="50">
        <v>0</v>
      </c>
      <c r="F28" s="50">
        <v>8</v>
      </c>
      <c r="G28" s="50">
        <v>0</v>
      </c>
      <c r="H28" s="50">
        <v>0</v>
      </c>
      <c r="I28" s="50">
        <v>7</v>
      </c>
      <c r="J28" s="50">
        <v>0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26</v>
      </c>
      <c r="P28" s="15">
        <f t="shared" si="1"/>
        <v>43</v>
      </c>
      <c r="R28" s="5" t="s">
        <v>17</v>
      </c>
      <c r="S28" s="16">
        <f t="shared" ref="S28:AF28" si="20">SUM(S10:S21)</f>
        <v>416</v>
      </c>
      <c r="T28" s="16">
        <f t="shared" si="20"/>
        <v>141</v>
      </c>
      <c r="U28" s="16">
        <f t="shared" si="20"/>
        <v>88</v>
      </c>
      <c r="V28" s="16">
        <f t="shared" si="20"/>
        <v>457</v>
      </c>
      <c r="W28" s="16">
        <f t="shared" si="20"/>
        <v>8</v>
      </c>
      <c r="X28" s="16">
        <f t="shared" si="20"/>
        <v>3</v>
      </c>
      <c r="Y28" s="16">
        <f t="shared" si="20"/>
        <v>180</v>
      </c>
      <c r="Z28" s="16">
        <f t="shared" si="20"/>
        <v>9</v>
      </c>
      <c r="AA28" s="16">
        <f t="shared" si="20"/>
        <v>11</v>
      </c>
      <c r="AB28" s="16">
        <f t="shared" si="20"/>
        <v>10</v>
      </c>
      <c r="AC28" s="16">
        <f t="shared" si="20"/>
        <v>922</v>
      </c>
      <c r="AD28" s="16">
        <f t="shared" si="20"/>
        <v>2</v>
      </c>
      <c r="AE28" s="32">
        <f t="shared" si="20"/>
        <v>1325</v>
      </c>
      <c r="AF28" s="32">
        <f t="shared" si="20"/>
        <v>2247</v>
      </c>
    </row>
    <row r="29" spans="2:32" ht="23.1" customHeight="1" x14ac:dyDescent="0.25">
      <c r="B29" s="23" t="s">
        <v>56</v>
      </c>
      <c r="C29" s="50">
        <v>9</v>
      </c>
      <c r="D29" s="50">
        <v>4</v>
      </c>
      <c r="E29" s="50">
        <v>1</v>
      </c>
      <c r="F29" s="50">
        <v>11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17</v>
      </c>
      <c r="N29" s="50">
        <v>0</v>
      </c>
      <c r="O29" s="15">
        <f t="shared" si="0"/>
        <v>27</v>
      </c>
      <c r="P29" s="15">
        <f t="shared" si="1"/>
        <v>44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3</v>
      </c>
      <c r="E30" s="50">
        <v>3</v>
      </c>
      <c r="F30" s="50">
        <v>11</v>
      </c>
      <c r="G30" s="50">
        <v>0</v>
      </c>
      <c r="H30" s="50">
        <v>0</v>
      </c>
      <c r="I30" s="50">
        <v>5</v>
      </c>
      <c r="J30" s="50">
        <v>0</v>
      </c>
      <c r="K30" s="50">
        <v>1</v>
      </c>
      <c r="L30" s="50">
        <v>0</v>
      </c>
      <c r="M30" s="50">
        <v>17</v>
      </c>
      <c r="N30" s="50">
        <v>0</v>
      </c>
      <c r="O30" s="15">
        <f t="shared" si="0"/>
        <v>30</v>
      </c>
      <c r="P30" s="15">
        <f t="shared" si="1"/>
        <v>47</v>
      </c>
    </row>
    <row r="31" spans="2:32" ht="23.1" customHeight="1" x14ac:dyDescent="0.25">
      <c r="B31" s="24" t="s">
        <v>58</v>
      </c>
      <c r="C31" s="50">
        <v>8</v>
      </c>
      <c r="D31" s="50">
        <v>1</v>
      </c>
      <c r="E31" s="50">
        <v>1</v>
      </c>
      <c r="F31" s="50">
        <v>6</v>
      </c>
      <c r="G31" s="50">
        <v>0</v>
      </c>
      <c r="H31" s="50">
        <v>0</v>
      </c>
      <c r="I31" s="50">
        <v>8</v>
      </c>
      <c r="J31" s="50">
        <v>0</v>
      </c>
      <c r="K31" s="50">
        <v>0</v>
      </c>
      <c r="L31" s="50">
        <v>0</v>
      </c>
      <c r="M31" s="50">
        <v>17</v>
      </c>
      <c r="N31" s="50">
        <v>0</v>
      </c>
      <c r="O31" s="15">
        <f t="shared" si="0"/>
        <v>24</v>
      </c>
      <c r="P31" s="15">
        <f t="shared" si="1"/>
        <v>41</v>
      </c>
    </row>
    <row r="32" spans="2:32" ht="23.1" customHeight="1" x14ac:dyDescent="0.25">
      <c r="B32" s="24" t="s">
        <v>59</v>
      </c>
      <c r="C32" s="50">
        <v>9</v>
      </c>
      <c r="D32" s="50">
        <v>3</v>
      </c>
      <c r="E32" s="50">
        <v>3</v>
      </c>
      <c r="F32" s="50">
        <v>10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30</v>
      </c>
      <c r="N32" s="50">
        <v>0</v>
      </c>
      <c r="O32" s="15">
        <f t="shared" si="0"/>
        <v>26</v>
      </c>
      <c r="P32" s="15">
        <f t="shared" si="1"/>
        <v>56</v>
      </c>
    </row>
    <row r="33" spans="2:20" ht="23.1" customHeight="1" x14ac:dyDescent="0.25">
      <c r="B33" s="23" t="s">
        <v>60</v>
      </c>
      <c r="C33" s="50">
        <v>6</v>
      </c>
      <c r="D33" s="50">
        <v>3</v>
      </c>
      <c r="E33" s="50">
        <v>3</v>
      </c>
      <c r="F33" s="50">
        <v>11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27</v>
      </c>
      <c r="P33" s="15">
        <f t="shared" si="1"/>
        <v>51</v>
      </c>
    </row>
    <row r="34" spans="2:20" ht="23.1" customHeight="1" x14ac:dyDescent="0.25">
      <c r="B34" s="24" t="s">
        <v>61</v>
      </c>
      <c r="C34" s="50">
        <v>13</v>
      </c>
      <c r="D34" s="50">
        <v>2</v>
      </c>
      <c r="E34" s="50">
        <v>3</v>
      </c>
      <c r="F34" s="50">
        <v>12</v>
      </c>
      <c r="G34" s="50">
        <v>0</v>
      </c>
      <c r="H34" s="50">
        <v>0</v>
      </c>
      <c r="I34" s="50">
        <v>4</v>
      </c>
      <c r="J34" s="50">
        <v>0</v>
      </c>
      <c r="K34" s="50">
        <v>0</v>
      </c>
      <c r="L34" s="50">
        <v>0</v>
      </c>
      <c r="M34" s="50">
        <v>21</v>
      </c>
      <c r="N34" s="50">
        <v>0</v>
      </c>
      <c r="O34" s="15">
        <f t="shared" si="0"/>
        <v>34</v>
      </c>
      <c r="P34" s="15">
        <f t="shared" si="1"/>
        <v>55</v>
      </c>
    </row>
    <row r="35" spans="2:20" ht="23.1" customHeight="1" x14ac:dyDescent="0.25">
      <c r="B35" s="24" t="s">
        <v>62</v>
      </c>
      <c r="C35" s="50">
        <v>9</v>
      </c>
      <c r="D35" s="50">
        <v>2</v>
      </c>
      <c r="E35" s="50">
        <v>4</v>
      </c>
      <c r="F35" s="50">
        <v>9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26</v>
      </c>
      <c r="P35" s="15">
        <f t="shared" si="1"/>
        <v>41</v>
      </c>
    </row>
    <row r="36" spans="2:20" ht="23.1" customHeight="1" x14ac:dyDescent="0.25">
      <c r="B36" s="24" t="s">
        <v>63</v>
      </c>
      <c r="C36" s="50">
        <v>14</v>
      </c>
      <c r="D36" s="50">
        <v>2</v>
      </c>
      <c r="E36" s="50">
        <v>4</v>
      </c>
      <c r="F36" s="50">
        <v>9</v>
      </c>
      <c r="G36" s="50">
        <v>1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26</v>
      </c>
      <c r="N36" s="50">
        <v>0</v>
      </c>
      <c r="O36" s="15">
        <f t="shared" si="0"/>
        <v>35</v>
      </c>
      <c r="P36" s="15">
        <f t="shared" si="1"/>
        <v>61</v>
      </c>
    </row>
    <row r="37" spans="2:20" ht="23.1" customHeight="1" x14ac:dyDescent="0.25">
      <c r="B37" s="23" t="s">
        <v>64</v>
      </c>
      <c r="C37" s="50">
        <v>11</v>
      </c>
      <c r="D37" s="50">
        <v>3</v>
      </c>
      <c r="E37" s="50">
        <v>3</v>
      </c>
      <c r="F37" s="50">
        <v>9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16</v>
      </c>
      <c r="N37" s="50">
        <v>0</v>
      </c>
      <c r="O37" s="15">
        <f t="shared" si="0"/>
        <v>29</v>
      </c>
      <c r="P37" s="15">
        <f t="shared" si="1"/>
        <v>45</v>
      </c>
    </row>
    <row r="38" spans="2:20" ht="23.1" customHeight="1" x14ac:dyDescent="0.25">
      <c r="B38" s="24" t="s">
        <v>65</v>
      </c>
      <c r="C38" s="50">
        <v>7</v>
      </c>
      <c r="D38" s="50">
        <v>4</v>
      </c>
      <c r="E38" s="50">
        <v>1</v>
      </c>
      <c r="F38" s="50">
        <v>6</v>
      </c>
      <c r="G38" s="50">
        <v>0</v>
      </c>
      <c r="H38" s="50">
        <v>0</v>
      </c>
      <c r="I38" s="50">
        <v>5</v>
      </c>
      <c r="J38" s="50">
        <v>0</v>
      </c>
      <c r="K38" s="50">
        <v>0</v>
      </c>
      <c r="L38" s="50">
        <v>1</v>
      </c>
      <c r="M38" s="50">
        <v>28</v>
      </c>
      <c r="N38" s="50">
        <v>0</v>
      </c>
      <c r="O38" s="15">
        <f t="shared" si="0"/>
        <v>24</v>
      </c>
      <c r="P38" s="15">
        <f t="shared" si="1"/>
        <v>52</v>
      </c>
    </row>
    <row r="39" spans="2:20" ht="23.1" customHeight="1" x14ac:dyDescent="0.25">
      <c r="B39" s="24" t="s">
        <v>66</v>
      </c>
      <c r="C39" s="50">
        <v>8</v>
      </c>
      <c r="D39" s="50">
        <v>4</v>
      </c>
      <c r="E39" s="50">
        <v>1</v>
      </c>
      <c r="F39" s="50">
        <v>10</v>
      </c>
      <c r="G39" s="50">
        <v>1</v>
      </c>
      <c r="H39" s="50">
        <v>0</v>
      </c>
      <c r="I39" s="50">
        <v>6</v>
      </c>
      <c r="J39" s="50">
        <v>0</v>
      </c>
      <c r="K39" s="50">
        <v>0</v>
      </c>
      <c r="L39" s="50">
        <v>1</v>
      </c>
      <c r="M39" s="50">
        <v>17</v>
      </c>
      <c r="N39" s="50">
        <v>0</v>
      </c>
      <c r="O39" s="15">
        <f t="shared" si="0"/>
        <v>31</v>
      </c>
      <c r="P39" s="15">
        <f t="shared" si="1"/>
        <v>48</v>
      </c>
    </row>
    <row r="40" spans="2:20" ht="23.1" customHeight="1" x14ac:dyDescent="0.25">
      <c r="B40" s="24" t="s">
        <v>67</v>
      </c>
      <c r="C40" s="50">
        <v>6</v>
      </c>
      <c r="D40" s="50">
        <v>1</v>
      </c>
      <c r="E40" s="50">
        <v>1</v>
      </c>
      <c r="F40" s="50">
        <v>11</v>
      </c>
      <c r="G40" s="50">
        <v>0</v>
      </c>
      <c r="H40" s="50">
        <v>0</v>
      </c>
      <c r="I40" s="50">
        <v>4</v>
      </c>
      <c r="J40" s="50">
        <v>0</v>
      </c>
      <c r="K40" s="50">
        <v>1</v>
      </c>
      <c r="L40" s="50">
        <v>0</v>
      </c>
      <c r="M40" s="50">
        <v>19</v>
      </c>
      <c r="N40" s="50">
        <v>0</v>
      </c>
      <c r="O40" s="15">
        <f t="shared" si="0"/>
        <v>24</v>
      </c>
      <c r="P40" s="15">
        <f t="shared" si="1"/>
        <v>43</v>
      </c>
    </row>
    <row r="41" spans="2:20" ht="23.1" customHeight="1" x14ac:dyDescent="0.25">
      <c r="B41" s="23" t="s">
        <v>68</v>
      </c>
      <c r="C41" s="50">
        <v>11</v>
      </c>
      <c r="D41" s="50">
        <v>3</v>
      </c>
      <c r="E41" s="50">
        <v>7</v>
      </c>
      <c r="F41" s="50">
        <v>11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15</v>
      </c>
      <c r="N41" s="50">
        <v>0</v>
      </c>
      <c r="O41" s="15">
        <f t="shared" si="0"/>
        <v>36</v>
      </c>
      <c r="P41" s="15">
        <f t="shared" si="1"/>
        <v>51</v>
      </c>
    </row>
    <row r="42" spans="2:20" ht="23.1" customHeight="1" x14ac:dyDescent="0.25">
      <c r="B42" s="24" t="s">
        <v>69</v>
      </c>
      <c r="C42" s="50">
        <v>10</v>
      </c>
      <c r="D42" s="50">
        <v>4</v>
      </c>
      <c r="E42" s="50">
        <v>3</v>
      </c>
      <c r="F42" s="50">
        <v>8</v>
      </c>
      <c r="G42" s="50">
        <v>1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13</v>
      </c>
      <c r="N42" s="50">
        <v>1</v>
      </c>
      <c r="O42" s="15">
        <f t="shared" si="0"/>
        <v>30</v>
      </c>
      <c r="P42" s="15">
        <f t="shared" si="1"/>
        <v>43</v>
      </c>
    </row>
    <row r="43" spans="2:20" ht="23.1" customHeight="1" x14ac:dyDescent="0.25">
      <c r="B43" s="23" t="s">
        <v>70</v>
      </c>
      <c r="C43" s="50">
        <v>8</v>
      </c>
      <c r="D43" s="50">
        <v>4</v>
      </c>
      <c r="E43" s="50">
        <v>0</v>
      </c>
      <c r="F43" s="50">
        <v>10</v>
      </c>
      <c r="G43" s="50">
        <v>0</v>
      </c>
      <c r="H43" s="50">
        <v>0</v>
      </c>
      <c r="I43" s="50">
        <v>5</v>
      </c>
      <c r="J43" s="50">
        <v>0</v>
      </c>
      <c r="K43" s="50">
        <v>0</v>
      </c>
      <c r="L43" s="50">
        <v>0</v>
      </c>
      <c r="M43" s="50">
        <v>26</v>
      </c>
      <c r="N43" s="50">
        <v>0</v>
      </c>
      <c r="O43" s="15">
        <f t="shared" si="0"/>
        <v>27</v>
      </c>
      <c r="P43" s="15">
        <f t="shared" si="1"/>
        <v>53</v>
      </c>
    </row>
    <row r="44" spans="2:20" ht="23.1" customHeight="1" x14ac:dyDescent="0.25">
      <c r="B44" s="25" t="s">
        <v>71</v>
      </c>
      <c r="C44" s="50">
        <v>10</v>
      </c>
      <c r="D44" s="50">
        <v>5</v>
      </c>
      <c r="E44" s="50">
        <v>2</v>
      </c>
      <c r="F44" s="50">
        <v>9</v>
      </c>
      <c r="G44" s="50">
        <v>0</v>
      </c>
      <c r="H44" s="50">
        <v>0</v>
      </c>
      <c r="I44" s="50">
        <v>6</v>
      </c>
      <c r="J44" s="50">
        <v>2</v>
      </c>
      <c r="K44" s="50">
        <v>0</v>
      </c>
      <c r="L44" s="50">
        <v>1</v>
      </c>
      <c r="M44" s="50">
        <v>20</v>
      </c>
      <c r="N44" s="50">
        <v>0</v>
      </c>
      <c r="O44" s="15">
        <f t="shared" si="0"/>
        <v>35</v>
      </c>
      <c r="P44" s="15">
        <f t="shared" si="1"/>
        <v>55</v>
      </c>
    </row>
    <row r="45" spans="2:20" ht="23.1" customHeight="1" x14ac:dyDescent="0.25">
      <c r="B45" s="23" t="s">
        <v>72</v>
      </c>
      <c r="C45" s="50">
        <v>9</v>
      </c>
      <c r="D45" s="50">
        <v>6</v>
      </c>
      <c r="E45" s="50">
        <v>3</v>
      </c>
      <c r="F45" s="50">
        <v>6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26</v>
      </c>
      <c r="N45" s="50">
        <v>0</v>
      </c>
      <c r="O45" s="15">
        <f t="shared" si="0"/>
        <v>25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5</v>
      </c>
      <c r="D46" s="50">
        <v>3</v>
      </c>
      <c r="E46" s="50">
        <v>1</v>
      </c>
      <c r="F46" s="50">
        <v>8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1</v>
      </c>
      <c r="M46" s="50">
        <v>17</v>
      </c>
      <c r="N46" s="50">
        <v>0</v>
      </c>
      <c r="O46" s="15">
        <f t="shared" si="0"/>
        <v>24</v>
      </c>
      <c r="P46" s="15">
        <f t="shared" si="1"/>
        <v>41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3</v>
      </c>
      <c r="E47" s="50">
        <v>3</v>
      </c>
      <c r="F47" s="50">
        <v>12</v>
      </c>
      <c r="G47" s="50">
        <v>2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19</v>
      </c>
      <c r="N47" s="50">
        <v>0</v>
      </c>
      <c r="O47" s="15">
        <f t="shared" si="0"/>
        <v>40</v>
      </c>
      <c r="P47" s="15">
        <f t="shared" si="1"/>
        <v>59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5</v>
      </c>
      <c r="E48" s="50">
        <v>1</v>
      </c>
      <c r="F48" s="50">
        <v>10</v>
      </c>
      <c r="G48" s="50">
        <v>0</v>
      </c>
      <c r="H48" s="50">
        <v>0</v>
      </c>
      <c r="I48" s="50">
        <v>11</v>
      </c>
      <c r="J48" s="50">
        <v>0</v>
      </c>
      <c r="K48" s="50">
        <v>0</v>
      </c>
      <c r="L48" s="50">
        <v>0</v>
      </c>
      <c r="M48" s="50">
        <v>23</v>
      </c>
      <c r="N48" s="50">
        <v>0</v>
      </c>
      <c r="O48" s="15">
        <f t="shared" si="0"/>
        <v>38</v>
      </c>
      <c r="P48" s="15">
        <f t="shared" si="1"/>
        <v>61</v>
      </c>
      <c r="R48" s="8"/>
      <c r="T48"/>
    </row>
    <row r="49" spans="2:20" ht="23.1" customHeight="1" x14ac:dyDescent="0.25">
      <c r="B49" s="23" t="s">
        <v>76</v>
      </c>
      <c r="C49" s="50">
        <v>19</v>
      </c>
      <c r="D49" s="50">
        <v>2</v>
      </c>
      <c r="E49" s="50">
        <v>0</v>
      </c>
      <c r="F49" s="50">
        <v>7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24</v>
      </c>
      <c r="N49" s="50">
        <v>0</v>
      </c>
      <c r="O49" s="15">
        <f t="shared" si="0"/>
        <v>33</v>
      </c>
      <c r="P49" s="15">
        <f t="shared" si="1"/>
        <v>57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3</v>
      </c>
      <c r="E50" s="50">
        <v>2</v>
      </c>
      <c r="F50" s="50">
        <v>9</v>
      </c>
      <c r="G50" s="50">
        <v>0</v>
      </c>
      <c r="H50" s="50">
        <v>0</v>
      </c>
      <c r="I50" s="50">
        <v>2</v>
      </c>
      <c r="J50" s="50">
        <v>1</v>
      </c>
      <c r="K50" s="50">
        <v>1</v>
      </c>
      <c r="L50" s="50">
        <v>0</v>
      </c>
      <c r="M50" s="50">
        <v>21</v>
      </c>
      <c r="N50" s="50">
        <v>0</v>
      </c>
      <c r="O50" s="15">
        <f t="shared" si="0"/>
        <v>27</v>
      </c>
      <c r="P50" s="15">
        <f t="shared" si="1"/>
        <v>48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5</v>
      </c>
      <c r="E51" s="50">
        <v>1</v>
      </c>
      <c r="F51" s="50">
        <v>13</v>
      </c>
      <c r="G51" s="50">
        <v>0</v>
      </c>
      <c r="H51" s="50">
        <v>0</v>
      </c>
      <c r="I51" s="50">
        <v>7</v>
      </c>
      <c r="J51" s="50">
        <v>0</v>
      </c>
      <c r="K51" s="50">
        <v>0</v>
      </c>
      <c r="L51" s="50">
        <v>1</v>
      </c>
      <c r="M51" s="50">
        <v>28</v>
      </c>
      <c r="N51" s="50">
        <v>0</v>
      </c>
      <c r="O51" s="15">
        <f t="shared" si="0"/>
        <v>34</v>
      </c>
      <c r="P51" s="15">
        <f t="shared" si="1"/>
        <v>62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7</v>
      </c>
      <c r="E52" s="50">
        <v>2</v>
      </c>
      <c r="F52" s="50">
        <v>8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1</v>
      </c>
      <c r="M52" s="50">
        <v>14</v>
      </c>
      <c r="N52" s="50">
        <v>0</v>
      </c>
      <c r="O52" s="15">
        <f t="shared" si="0"/>
        <v>27</v>
      </c>
      <c r="P52" s="15">
        <f t="shared" si="1"/>
        <v>41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1</v>
      </c>
      <c r="E53" s="50">
        <v>0</v>
      </c>
      <c r="F53" s="50">
        <v>13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25</v>
      </c>
      <c r="P53" s="15">
        <f t="shared" si="1"/>
        <v>37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6</v>
      </c>
      <c r="E54" s="50">
        <v>1</v>
      </c>
      <c r="F54" s="50">
        <v>7</v>
      </c>
      <c r="G54" s="50">
        <v>0</v>
      </c>
      <c r="H54" s="50">
        <v>0</v>
      </c>
      <c r="I54" s="50">
        <v>5</v>
      </c>
      <c r="J54" s="50">
        <v>0</v>
      </c>
      <c r="K54" s="50">
        <v>1</v>
      </c>
      <c r="L54" s="50">
        <v>0</v>
      </c>
      <c r="M54" s="50">
        <v>23</v>
      </c>
      <c r="N54" s="50">
        <v>0</v>
      </c>
      <c r="O54" s="15">
        <f t="shared" si="0"/>
        <v>25</v>
      </c>
      <c r="P54" s="15">
        <f t="shared" si="1"/>
        <v>48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1</v>
      </c>
      <c r="E55" s="50">
        <v>5</v>
      </c>
      <c r="F55" s="50">
        <v>8</v>
      </c>
      <c r="G55" s="50">
        <v>1</v>
      </c>
      <c r="H55" s="50">
        <v>1</v>
      </c>
      <c r="I55" s="50">
        <v>2</v>
      </c>
      <c r="J55" s="50">
        <v>0</v>
      </c>
      <c r="K55" s="50">
        <v>0</v>
      </c>
      <c r="L55" s="50">
        <v>0</v>
      </c>
      <c r="M55" s="50">
        <v>17</v>
      </c>
      <c r="N55" s="50">
        <v>1</v>
      </c>
      <c r="O55" s="15">
        <f t="shared" si="0"/>
        <v>23</v>
      </c>
      <c r="P55" s="15">
        <f t="shared" si="1"/>
        <v>40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2</v>
      </c>
      <c r="E56" s="50">
        <v>0</v>
      </c>
      <c r="F56" s="50">
        <v>10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5">
        <f t="shared" si="0"/>
        <v>24</v>
      </c>
      <c r="P56" s="15">
        <f t="shared" si="1"/>
        <v>45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0</v>
      </c>
      <c r="E57" s="50">
        <v>0</v>
      </c>
      <c r="F57" s="50">
        <v>1</v>
      </c>
      <c r="G57" s="50">
        <v>0</v>
      </c>
      <c r="H57" s="50">
        <v>2</v>
      </c>
      <c r="I57" s="50">
        <v>4</v>
      </c>
      <c r="J57" s="50">
        <v>0</v>
      </c>
      <c r="K57" s="50">
        <v>2</v>
      </c>
      <c r="L57" s="50">
        <v>0</v>
      </c>
      <c r="M57" s="50">
        <v>25</v>
      </c>
      <c r="N57" s="50">
        <v>0</v>
      </c>
      <c r="O57" s="15">
        <f t="shared" si="0"/>
        <v>19</v>
      </c>
      <c r="P57" s="15">
        <f t="shared" si="1"/>
        <v>44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416</v>
      </c>
      <c r="D58" s="16">
        <f t="shared" si="21"/>
        <v>141</v>
      </c>
      <c r="E58" s="16">
        <f t="shared" si="21"/>
        <v>88</v>
      </c>
      <c r="F58" s="16">
        <f t="shared" si="21"/>
        <v>457</v>
      </c>
      <c r="G58" s="16">
        <f t="shared" si="21"/>
        <v>8</v>
      </c>
      <c r="H58" s="16">
        <f t="shared" si="21"/>
        <v>3</v>
      </c>
      <c r="I58" s="16">
        <f t="shared" si="21"/>
        <v>180</v>
      </c>
      <c r="J58" s="16">
        <f t="shared" si="21"/>
        <v>9</v>
      </c>
      <c r="K58" s="16">
        <f t="shared" si="21"/>
        <v>11</v>
      </c>
      <c r="L58" s="16">
        <f t="shared" si="21"/>
        <v>10</v>
      </c>
      <c r="M58" s="16">
        <f t="shared" si="21"/>
        <v>922</v>
      </c>
      <c r="N58" s="16">
        <f t="shared" si="21"/>
        <v>2</v>
      </c>
      <c r="O58" s="16">
        <f t="shared" si="21"/>
        <v>1325</v>
      </c>
      <c r="P58" s="16">
        <f t="shared" si="21"/>
        <v>2247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0.18513573653760571</v>
      </c>
      <c r="D59" s="43">
        <f t="shared" si="22"/>
        <v>6.2750333778371165E-2</v>
      </c>
      <c r="E59" s="43">
        <f t="shared" si="22"/>
        <v>3.9163328882955054E-2</v>
      </c>
      <c r="F59" s="43">
        <f t="shared" si="22"/>
        <v>0.20338228749443701</v>
      </c>
      <c r="G59" s="43">
        <f t="shared" si="22"/>
        <v>3.5603026257231864E-3</v>
      </c>
      <c r="H59" s="43">
        <f t="shared" si="22"/>
        <v>1.3351134846461949E-3</v>
      </c>
      <c r="I59" s="43">
        <f t="shared" si="22"/>
        <v>8.0106809078771699E-2</v>
      </c>
      <c r="J59" s="43">
        <f t="shared" si="22"/>
        <v>4.0053404539385851E-3</v>
      </c>
      <c r="K59" s="43">
        <f t="shared" si="22"/>
        <v>4.8954161103693817E-3</v>
      </c>
      <c r="L59" s="43">
        <f t="shared" si="22"/>
        <v>4.450378282153983E-3</v>
      </c>
      <c r="M59" s="43">
        <f t="shared" si="22"/>
        <v>0.41032487761459724</v>
      </c>
      <c r="N59" s="43">
        <f t="shared" si="22"/>
        <v>8.9007565643079659E-4</v>
      </c>
      <c r="R59" s="8"/>
      <c r="T59"/>
    </row>
    <row r="60" spans="2:20" ht="23.1" customHeight="1" x14ac:dyDescent="0.25">
      <c r="B60" s="42" t="s">
        <v>94</v>
      </c>
      <c r="C60" s="44">
        <f>C58/$O$58</f>
        <v>0.31396226415094342</v>
      </c>
      <c r="D60" s="44">
        <f t="shared" ref="D60:N60" si="23">D58/$O$58</f>
        <v>0.10641509433962264</v>
      </c>
      <c r="E60" s="44">
        <f t="shared" si="23"/>
        <v>6.6415094339622643E-2</v>
      </c>
      <c r="F60" s="44">
        <f t="shared" si="23"/>
        <v>0.34490566037735848</v>
      </c>
      <c r="G60" s="44">
        <f t="shared" si="23"/>
        <v>6.0377358490566035E-3</v>
      </c>
      <c r="H60" s="44">
        <f t="shared" si="23"/>
        <v>2.2641509433962265E-3</v>
      </c>
      <c r="I60" s="44">
        <f t="shared" si="23"/>
        <v>0.13584905660377358</v>
      </c>
      <c r="J60" s="44">
        <f t="shared" si="23"/>
        <v>6.7924528301886791E-3</v>
      </c>
      <c r="K60" s="44">
        <f t="shared" si="23"/>
        <v>8.3018867924528304E-3</v>
      </c>
      <c r="L60" s="44">
        <f t="shared" si="23"/>
        <v>7.5471698113207548E-3</v>
      </c>
      <c r="M60" s="44"/>
      <c r="N60" s="44">
        <f t="shared" si="23"/>
        <v>1.5094339622641509E-3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KALAGI-MUKONO'!C3:G3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'1.11 MUKONO-KALAGI'!D5</f>
        <v>1.11.2019</v>
      </c>
      <c r="E5" s="3"/>
      <c r="F5" s="41" t="s">
        <v>1</v>
      </c>
      <c r="G5" s="55" t="str">
        <f>'29.10 MUKONO-KALAGI'!G5:H5</f>
        <v>KABEMBE</v>
      </c>
      <c r="H5" s="56"/>
      <c r="I5" s="14"/>
      <c r="J5" s="2" t="s">
        <v>5</v>
      </c>
      <c r="K5" s="55" t="s">
        <v>164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KALAGI-MUKONO'!D6:E6</f>
        <v>KALAGI</v>
      </c>
      <c r="E6" s="56"/>
      <c r="F6" s="2" t="s">
        <v>2</v>
      </c>
      <c r="G6" s="55" t="str">
        <f>'29.10 KALAGI-MUKONO'!G6:H6</f>
        <v>MUKONO</v>
      </c>
      <c r="H6" s="56"/>
      <c r="J6" s="2" t="s">
        <v>21</v>
      </c>
      <c r="K6" s="55" t="str">
        <f>'29.10 MUKONO-KALAGI'!K6:L6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2</v>
      </c>
      <c r="E10" s="50">
        <v>2</v>
      </c>
      <c r="F10" s="50">
        <v>11</v>
      </c>
      <c r="G10" s="50">
        <v>2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23</v>
      </c>
      <c r="N10" s="50">
        <v>0</v>
      </c>
      <c r="O10" s="15">
        <f t="shared" ref="O10:O57" si="0">SUM(C10:L10,N10)</f>
        <v>22</v>
      </c>
      <c r="P10" s="15">
        <f t="shared" ref="P10:P57" si="1">SUM(C10:N10)</f>
        <v>45</v>
      </c>
      <c r="R10" s="1" t="s">
        <v>6</v>
      </c>
      <c r="S10" s="17">
        <f t="shared" ref="S10:AF10" si="2">SUM(C10:C13)</f>
        <v>29</v>
      </c>
      <c r="T10" s="17">
        <f t="shared" si="2"/>
        <v>4</v>
      </c>
      <c r="U10" s="17">
        <f t="shared" si="2"/>
        <v>7</v>
      </c>
      <c r="V10" s="17">
        <f t="shared" si="2"/>
        <v>39</v>
      </c>
      <c r="W10" s="17">
        <f t="shared" si="2"/>
        <v>4</v>
      </c>
      <c r="X10" s="17">
        <f t="shared" si="2"/>
        <v>0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117</v>
      </c>
      <c r="AD10" s="17">
        <f t="shared" si="2"/>
        <v>0</v>
      </c>
      <c r="AE10" s="31">
        <f t="shared" si="2"/>
        <v>92</v>
      </c>
      <c r="AF10" s="31">
        <f t="shared" si="2"/>
        <v>209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0</v>
      </c>
      <c r="E11" s="50">
        <v>2</v>
      </c>
      <c r="F11" s="50">
        <v>10</v>
      </c>
      <c r="G11" s="50">
        <v>1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23</v>
      </c>
      <c r="N11" s="50">
        <v>0</v>
      </c>
      <c r="O11" s="15">
        <f t="shared" si="0"/>
        <v>27</v>
      </c>
      <c r="P11" s="15">
        <f t="shared" si="1"/>
        <v>50</v>
      </c>
      <c r="R11" s="1" t="s">
        <v>7</v>
      </c>
      <c r="S11" s="17">
        <f t="shared" ref="S11:AF11" si="3">SUM(C14:C17)</f>
        <v>30</v>
      </c>
      <c r="T11" s="17">
        <f t="shared" si="3"/>
        <v>4</v>
      </c>
      <c r="U11" s="17">
        <f t="shared" si="3"/>
        <v>3</v>
      </c>
      <c r="V11" s="17">
        <f t="shared" si="3"/>
        <v>23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115</v>
      </c>
      <c r="AD11" s="17">
        <f t="shared" si="3"/>
        <v>0</v>
      </c>
      <c r="AE11" s="31">
        <f t="shared" si="3"/>
        <v>66</v>
      </c>
      <c r="AF11" s="31">
        <f t="shared" si="3"/>
        <v>181</v>
      </c>
    </row>
    <row r="12" spans="2:32" ht="23.1" customHeight="1" x14ac:dyDescent="0.25">
      <c r="B12" s="23" t="s">
        <v>39</v>
      </c>
      <c r="C12" s="50">
        <v>5</v>
      </c>
      <c r="D12" s="50">
        <v>2</v>
      </c>
      <c r="E12" s="50">
        <v>0</v>
      </c>
      <c r="F12" s="50">
        <v>9</v>
      </c>
      <c r="G12" s="50">
        <v>1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35</v>
      </c>
      <c r="N12" s="50">
        <v>0</v>
      </c>
      <c r="O12" s="15">
        <f t="shared" si="0"/>
        <v>20</v>
      </c>
      <c r="P12" s="15">
        <f t="shared" si="1"/>
        <v>55</v>
      </c>
      <c r="R12" s="1" t="s">
        <v>8</v>
      </c>
      <c r="S12" s="17">
        <f t="shared" ref="S12:AF12" si="4">SUM(C18:C21)</f>
        <v>31</v>
      </c>
      <c r="T12" s="17">
        <f t="shared" si="4"/>
        <v>8</v>
      </c>
      <c r="U12" s="17">
        <f t="shared" si="4"/>
        <v>3</v>
      </c>
      <c r="V12" s="17">
        <f t="shared" si="4"/>
        <v>35</v>
      </c>
      <c r="W12" s="17">
        <f t="shared" si="4"/>
        <v>2</v>
      </c>
      <c r="X12" s="17">
        <f t="shared" si="4"/>
        <v>0</v>
      </c>
      <c r="Y12" s="17">
        <f t="shared" si="4"/>
        <v>11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105</v>
      </c>
      <c r="AD12" s="17">
        <f t="shared" si="4"/>
        <v>0</v>
      </c>
      <c r="AE12" s="31">
        <f t="shared" si="4"/>
        <v>91</v>
      </c>
      <c r="AF12" s="31">
        <f t="shared" si="4"/>
        <v>196</v>
      </c>
    </row>
    <row r="13" spans="2:32" ht="23.1" customHeight="1" x14ac:dyDescent="0.25">
      <c r="B13" s="23" t="s">
        <v>40</v>
      </c>
      <c r="C13" s="50">
        <v>9</v>
      </c>
      <c r="D13" s="50">
        <v>0</v>
      </c>
      <c r="E13" s="50">
        <v>3</v>
      </c>
      <c r="F13" s="50">
        <v>9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36</v>
      </c>
      <c r="N13" s="50">
        <v>0</v>
      </c>
      <c r="O13" s="15">
        <f t="shared" si="0"/>
        <v>23</v>
      </c>
      <c r="P13" s="15">
        <f t="shared" si="1"/>
        <v>59</v>
      </c>
      <c r="R13" s="1" t="s">
        <v>9</v>
      </c>
      <c r="S13" s="17">
        <f t="shared" ref="S13:AF13" si="5">SUM(C22:C25)</f>
        <v>37</v>
      </c>
      <c r="T13" s="17">
        <f t="shared" si="5"/>
        <v>7</v>
      </c>
      <c r="U13" s="17">
        <f t="shared" si="5"/>
        <v>5</v>
      </c>
      <c r="V13" s="17">
        <f t="shared" si="5"/>
        <v>30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2</v>
      </c>
      <c r="AA13" s="17">
        <f t="shared" si="5"/>
        <v>3</v>
      </c>
      <c r="AB13" s="17">
        <f t="shared" si="5"/>
        <v>0</v>
      </c>
      <c r="AC13" s="17">
        <f t="shared" si="5"/>
        <v>95</v>
      </c>
      <c r="AD13" s="17">
        <f t="shared" si="5"/>
        <v>0</v>
      </c>
      <c r="AE13" s="31">
        <f t="shared" si="5"/>
        <v>94</v>
      </c>
      <c r="AF13" s="31">
        <f t="shared" si="5"/>
        <v>189</v>
      </c>
    </row>
    <row r="14" spans="2:32" ht="23.1" customHeight="1" x14ac:dyDescent="0.25">
      <c r="B14" s="23" t="s">
        <v>41</v>
      </c>
      <c r="C14" s="50">
        <v>13</v>
      </c>
      <c r="D14" s="50">
        <v>0</v>
      </c>
      <c r="E14" s="50">
        <v>2</v>
      </c>
      <c r="F14" s="50">
        <v>5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21</v>
      </c>
      <c r="N14" s="50">
        <v>0</v>
      </c>
      <c r="O14" s="15">
        <f t="shared" si="0"/>
        <v>20</v>
      </c>
      <c r="P14" s="15">
        <f t="shared" si="1"/>
        <v>41</v>
      </c>
      <c r="R14" s="1" t="s">
        <v>10</v>
      </c>
      <c r="S14" s="17">
        <f t="shared" ref="S14:AF14" si="6">SUM(C26:C29)</f>
        <v>31</v>
      </c>
      <c r="T14" s="17">
        <f t="shared" si="6"/>
        <v>5</v>
      </c>
      <c r="U14" s="17">
        <f t="shared" si="6"/>
        <v>9</v>
      </c>
      <c r="V14" s="17">
        <f t="shared" si="6"/>
        <v>32</v>
      </c>
      <c r="W14" s="17">
        <f t="shared" si="6"/>
        <v>1</v>
      </c>
      <c r="X14" s="17">
        <f t="shared" si="6"/>
        <v>0</v>
      </c>
      <c r="Y14" s="17">
        <f t="shared" si="6"/>
        <v>16</v>
      </c>
      <c r="Z14" s="17">
        <f t="shared" si="6"/>
        <v>0</v>
      </c>
      <c r="AA14" s="17">
        <f t="shared" si="6"/>
        <v>1</v>
      </c>
      <c r="AB14" s="17">
        <f t="shared" si="6"/>
        <v>2</v>
      </c>
      <c r="AC14" s="17">
        <f t="shared" si="6"/>
        <v>108</v>
      </c>
      <c r="AD14" s="17">
        <f t="shared" si="6"/>
        <v>0</v>
      </c>
      <c r="AE14" s="31">
        <f t="shared" si="6"/>
        <v>97</v>
      </c>
      <c r="AF14" s="31">
        <f t="shared" si="6"/>
        <v>205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0</v>
      </c>
      <c r="F15" s="50">
        <v>3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29</v>
      </c>
      <c r="N15" s="50">
        <v>0</v>
      </c>
      <c r="O15" s="15">
        <f t="shared" si="0"/>
        <v>12</v>
      </c>
      <c r="P15" s="15">
        <f t="shared" si="1"/>
        <v>41</v>
      </c>
      <c r="R15" s="1" t="s">
        <v>11</v>
      </c>
      <c r="S15" s="17">
        <f t="shared" ref="S15:AF15" si="7">SUM(C30:C33)</f>
        <v>31</v>
      </c>
      <c r="T15" s="17">
        <f t="shared" si="7"/>
        <v>6</v>
      </c>
      <c r="U15" s="17">
        <f t="shared" si="7"/>
        <v>7</v>
      </c>
      <c r="V15" s="17">
        <f t="shared" si="7"/>
        <v>34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4</v>
      </c>
      <c r="AA15" s="17">
        <f t="shared" si="7"/>
        <v>2</v>
      </c>
      <c r="AB15" s="17">
        <f t="shared" si="7"/>
        <v>0</v>
      </c>
      <c r="AC15" s="17">
        <f t="shared" si="7"/>
        <v>82</v>
      </c>
      <c r="AD15" s="17">
        <f t="shared" si="7"/>
        <v>0</v>
      </c>
      <c r="AE15" s="31">
        <f t="shared" si="7"/>
        <v>93</v>
      </c>
      <c r="AF15" s="31">
        <f t="shared" si="7"/>
        <v>175</v>
      </c>
    </row>
    <row r="16" spans="2:32" ht="23.1" customHeight="1" x14ac:dyDescent="0.25">
      <c r="B16" s="23" t="s">
        <v>43</v>
      </c>
      <c r="C16" s="50">
        <v>5</v>
      </c>
      <c r="D16" s="50">
        <v>2</v>
      </c>
      <c r="E16" s="50">
        <v>1</v>
      </c>
      <c r="F16" s="50">
        <v>5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35</v>
      </c>
      <c r="N16" s="50">
        <v>0</v>
      </c>
      <c r="O16" s="15">
        <f t="shared" si="0"/>
        <v>15</v>
      </c>
      <c r="P16" s="15">
        <f t="shared" si="1"/>
        <v>50</v>
      </c>
      <c r="R16" s="1" t="s">
        <v>12</v>
      </c>
      <c r="S16" s="17">
        <f t="shared" ref="S16:AF16" si="8">SUM(C34:C37)</f>
        <v>36</v>
      </c>
      <c r="T16" s="17">
        <f t="shared" si="8"/>
        <v>8</v>
      </c>
      <c r="U16" s="17">
        <f t="shared" si="8"/>
        <v>8</v>
      </c>
      <c r="V16" s="17">
        <f t="shared" si="8"/>
        <v>27</v>
      </c>
      <c r="W16" s="17">
        <f t="shared" si="8"/>
        <v>2</v>
      </c>
      <c r="X16" s="17">
        <f t="shared" si="8"/>
        <v>0</v>
      </c>
      <c r="Y16" s="17">
        <f t="shared" si="8"/>
        <v>10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72</v>
      </c>
      <c r="AD16" s="17">
        <f t="shared" si="8"/>
        <v>0</v>
      </c>
      <c r="AE16" s="31">
        <f t="shared" si="8"/>
        <v>92</v>
      </c>
      <c r="AF16" s="31">
        <f t="shared" si="8"/>
        <v>164</v>
      </c>
    </row>
    <row r="17" spans="2:32" ht="23.1" customHeight="1" x14ac:dyDescent="0.25">
      <c r="B17" s="23" t="s">
        <v>44</v>
      </c>
      <c r="C17" s="50">
        <v>6</v>
      </c>
      <c r="D17" s="50">
        <v>2</v>
      </c>
      <c r="E17" s="50">
        <v>0</v>
      </c>
      <c r="F17" s="50">
        <v>10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30</v>
      </c>
      <c r="N17" s="50">
        <v>0</v>
      </c>
      <c r="O17" s="15">
        <f t="shared" si="0"/>
        <v>19</v>
      </c>
      <c r="P17" s="15">
        <f t="shared" si="1"/>
        <v>49</v>
      </c>
      <c r="R17" s="1" t="s">
        <v>13</v>
      </c>
      <c r="S17" s="17">
        <f t="shared" ref="S17:AF17" si="9">SUM(C38:C41)</f>
        <v>35</v>
      </c>
      <c r="T17" s="17">
        <f t="shared" si="9"/>
        <v>6</v>
      </c>
      <c r="U17" s="17">
        <f t="shared" si="9"/>
        <v>7</v>
      </c>
      <c r="V17" s="17">
        <f t="shared" si="9"/>
        <v>30</v>
      </c>
      <c r="W17" s="17">
        <f t="shared" si="9"/>
        <v>1</v>
      </c>
      <c r="X17" s="17">
        <f t="shared" si="9"/>
        <v>0</v>
      </c>
      <c r="Y17" s="17">
        <f t="shared" si="9"/>
        <v>13</v>
      </c>
      <c r="Z17" s="17">
        <f t="shared" si="9"/>
        <v>2</v>
      </c>
      <c r="AA17" s="17">
        <f t="shared" si="9"/>
        <v>2</v>
      </c>
      <c r="AB17" s="17">
        <f t="shared" si="9"/>
        <v>1</v>
      </c>
      <c r="AC17" s="17">
        <f t="shared" si="9"/>
        <v>68</v>
      </c>
      <c r="AD17" s="17">
        <f t="shared" si="9"/>
        <v>0</v>
      </c>
      <c r="AE17" s="31">
        <f t="shared" si="9"/>
        <v>97</v>
      </c>
      <c r="AF17" s="31">
        <f t="shared" si="9"/>
        <v>165</v>
      </c>
    </row>
    <row r="18" spans="2:32" ht="23.1" customHeight="1" x14ac:dyDescent="0.25">
      <c r="B18" s="23" t="s">
        <v>45</v>
      </c>
      <c r="C18" s="50">
        <v>6</v>
      </c>
      <c r="D18" s="50">
        <v>1</v>
      </c>
      <c r="E18" s="50">
        <v>1</v>
      </c>
      <c r="F18" s="50">
        <v>7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25</v>
      </c>
      <c r="N18" s="50">
        <v>0</v>
      </c>
      <c r="O18" s="15">
        <f t="shared" si="0"/>
        <v>16</v>
      </c>
      <c r="P18" s="15">
        <f t="shared" si="1"/>
        <v>41</v>
      </c>
      <c r="R18" s="1" t="s">
        <v>14</v>
      </c>
      <c r="S18" s="17">
        <f t="shared" ref="S18:AF18" si="10">SUM(C42:C45)</f>
        <v>32</v>
      </c>
      <c r="T18" s="17">
        <f t="shared" si="10"/>
        <v>5</v>
      </c>
      <c r="U18" s="17">
        <f t="shared" si="10"/>
        <v>8</v>
      </c>
      <c r="V18" s="17">
        <f t="shared" si="10"/>
        <v>28</v>
      </c>
      <c r="W18" s="17">
        <f t="shared" si="10"/>
        <v>2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79</v>
      </c>
      <c r="AD18" s="17">
        <f t="shared" si="10"/>
        <v>0</v>
      </c>
      <c r="AE18" s="31">
        <f t="shared" si="10"/>
        <v>88</v>
      </c>
      <c r="AF18" s="31">
        <f t="shared" si="10"/>
        <v>167</v>
      </c>
    </row>
    <row r="19" spans="2:32" ht="23.1" customHeight="1" x14ac:dyDescent="0.25">
      <c r="B19" s="23" t="s">
        <v>46</v>
      </c>
      <c r="C19" s="50">
        <v>10</v>
      </c>
      <c r="D19" s="50">
        <v>2</v>
      </c>
      <c r="E19" s="50">
        <v>0</v>
      </c>
      <c r="F19" s="50">
        <v>12</v>
      </c>
      <c r="G19" s="50">
        <v>0</v>
      </c>
      <c r="H19" s="50">
        <v>0</v>
      </c>
      <c r="I19" s="50">
        <v>6</v>
      </c>
      <c r="J19" s="50">
        <v>0</v>
      </c>
      <c r="K19" s="50">
        <v>0</v>
      </c>
      <c r="L19" s="50">
        <v>0</v>
      </c>
      <c r="M19" s="50">
        <v>26</v>
      </c>
      <c r="N19" s="50">
        <v>0</v>
      </c>
      <c r="O19" s="15">
        <f t="shared" si="0"/>
        <v>30</v>
      </c>
      <c r="P19" s="15">
        <f t="shared" si="1"/>
        <v>56</v>
      </c>
      <c r="R19" s="1" t="s">
        <v>15</v>
      </c>
      <c r="S19" s="17">
        <f t="shared" ref="S19:AF19" si="11">SUM(C46:C49)</f>
        <v>47</v>
      </c>
      <c r="T19" s="17">
        <f t="shared" si="11"/>
        <v>9</v>
      </c>
      <c r="U19" s="17">
        <f t="shared" si="11"/>
        <v>8</v>
      </c>
      <c r="V19" s="17">
        <f t="shared" si="11"/>
        <v>46</v>
      </c>
      <c r="W19" s="17">
        <f t="shared" si="11"/>
        <v>2</v>
      </c>
      <c r="X19" s="17">
        <f t="shared" si="11"/>
        <v>0</v>
      </c>
      <c r="Y19" s="17">
        <f t="shared" si="11"/>
        <v>9</v>
      </c>
      <c r="Z19" s="17">
        <f t="shared" si="11"/>
        <v>0</v>
      </c>
      <c r="AA19" s="17">
        <f t="shared" si="11"/>
        <v>1</v>
      </c>
      <c r="AB19" s="17">
        <f t="shared" si="11"/>
        <v>1</v>
      </c>
      <c r="AC19" s="17">
        <f t="shared" si="11"/>
        <v>95</v>
      </c>
      <c r="AD19" s="17">
        <f t="shared" si="11"/>
        <v>0</v>
      </c>
      <c r="AE19" s="31">
        <f t="shared" si="11"/>
        <v>123</v>
      </c>
      <c r="AF19" s="31">
        <f t="shared" si="11"/>
        <v>218</v>
      </c>
    </row>
    <row r="20" spans="2:32" ht="23.1" customHeight="1" x14ac:dyDescent="0.25">
      <c r="B20" s="23" t="s">
        <v>47</v>
      </c>
      <c r="C20" s="50">
        <v>9</v>
      </c>
      <c r="D20" s="50">
        <v>3</v>
      </c>
      <c r="E20" s="50">
        <v>1</v>
      </c>
      <c r="F20" s="50">
        <v>8</v>
      </c>
      <c r="G20" s="50">
        <v>2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36</v>
      </c>
      <c r="N20" s="50">
        <v>0</v>
      </c>
      <c r="O20" s="15">
        <f t="shared" si="0"/>
        <v>25</v>
      </c>
      <c r="P20" s="15">
        <f t="shared" si="1"/>
        <v>61</v>
      </c>
      <c r="R20" s="1" t="s">
        <v>16</v>
      </c>
      <c r="S20" s="17">
        <f t="shared" ref="S20:AF20" si="12">SUM(C50:C53)</f>
        <v>53</v>
      </c>
      <c r="T20" s="17">
        <f t="shared" si="12"/>
        <v>15</v>
      </c>
      <c r="U20" s="17">
        <f t="shared" si="12"/>
        <v>8</v>
      </c>
      <c r="V20" s="17">
        <f t="shared" si="12"/>
        <v>40</v>
      </c>
      <c r="W20" s="17">
        <f t="shared" si="12"/>
        <v>1</v>
      </c>
      <c r="X20" s="17">
        <f t="shared" si="12"/>
        <v>0</v>
      </c>
      <c r="Y20" s="17">
        <f t="shared" si="12"/>
        <v>12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98</v>
      </c>
      <c r="AD20" s="17">
        <f t="shared" si="12"/>
        <v>0</v>
      </c>
      <c r="AE20" s="31">
        <f t="shared" si="12"/>
        <v>130</v>
      </c>
      <c r="AF20" s="31">
        <f t="shared" si="12"/>
        <v>228</v>
      </c>
    </row>
    <row r="21" spans="2:32" ht="23.1" customHeight="1" x14ac:dyDescent="0.25">
      <c r="B21" s="23" t="s">
        <v>48</v>
      </c>
      <c r="C21" s="50">
        <v>6</v>
      </c>
      <c r="D21" s="50">
        <v>2</v>
      </c>
      <c r="E21" s="50">
        <v>1</v>
      </c>
      <c r="F21" s="50">
        <v>8</v>
      </c>
      <c r="G21" s="50">
        <v>0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18</v>
      </c>
      <c r="N21" s="50">
        <v>0</v>
      </c>
      <c r="O21" s="15">
        <f t="shared" si="0"/>
        <v>20</v>
      </c>
      <c r="P21" s="15">
        <f t="shared" si="1"/>
        <v>38</v>
      </c>
      <c r="R21" s="36" t="s">
        <v>20</v>
      </c>
      <c r="S21" s="34">
        <f t="shared" ref="S21:AF21" si="13">SUM(C54:C57)</f>
        <v>26</v>
      </c>
      <c r="T21" s="17">
        <f t="shared" si="13"/>
        <v>12</v>
      </c>
      <c r="U21" s="17">
        <f t="shared" si="13"/>
        <v>11</v>
      </c>
      <c r="V21" s="17">
        <f t="shared" si="13"/>
        <v>46</v>
      </c>
      <c r="W21" s="17">
        <f t="shared" si="13"/>
        <v>1</v>
      </c>
      <c r="X21" s="17">
        <f t="shared" si="13"/>
        <v>1</v>
      </c>
      <c r="Y21" s="17">
        <f t="shared" si="13"/>
        <v>15</v>
      </c>
      <c r="Z21" s="17">
        <f t="shared" si="13"/>
        <v>1</v>
      </c>
      <c r="AA21" s="17">
        <f t="shared" si="13"/>
        <v>2</v>
      </c>
      <c r="AB21" s="17">
        <f t="shared" si="13"/>
        <v>4</v>
      </c>
      <c r="AC21" s="17">
        <f t="shared" si="13"/>
        <v>56</v>
      </c>
      <c r="AD21" s="17">
        <f t="shared" si="13"/>
        <v>1</v>
      </c>
      <c r="AE21" s="31">
        <f t="shared" si="13"/>
        <v>120</v>
      </c>
      <c r="AF21" s="31">
        <f t="shared" si="13"/>
        <v>176</v>
      </c>
    </row>
    <row r="22" spans="2:32" ht="23.1" customHeight="1" x14ac:dyDescent="0.25">
      <c r="B22" s="23" t="s">
        <v>49</v>
      </c>
      <c r="C22" s="50">
        <v>9</v>
      </c>
      <c r="D22" s="50">
        <v>1</v>
      </c>
      <c r="E22" s="50">
        <v>2</v>
      </c>
      <c r="F22" s="50">
        <v>6</v>
      </c>
      <c r="G22" s="50">
        <v>0</v>
      </c>
      <c r="H22" s="50">
        <v>0</v>
      </c>
      <c r="I22" s="50">
        <v>4</v>
      </c>
      <c r="J22" s="50">
        <v>1</v>
      </c>
      <c r="K22" s="50">
        <v>1</v>
      </c>
      <c r="L22" s="50">
        <v>0</v>
      </c>
      <c r="M22" s="50">
        <v>24</v>
      </c>
      <c r="N22" s="50">
        <v>0</v>
      </c>
      <c r="O22" s="15">
        <f t="shared" si="0"/>
        <v>24</v>
      </c>
      <c r="P22" s="15">
        <f t="shared" si="1"/>
        <v>48</v>
      </c>
      <c r="R22" s="38" t="s">
        <v>90</v>
      </c>
      <c r="S22" s="39">
        <f>MAX(S10:S12)</f>
        <v>31</v>
      </c>
      <c r="T22" s="39">
        <f t="shared" ref="T22:AF22" si="14">MAX(T10:T12)</f>
        <v>8</v>
      </c>
      <c r="U22" s="39">
        <f t="shared" si="14"/>
        <v>7</v>
      </c>
      <c r="V22" s="39">
        <f t="shared" si="14"/>
        <v>39</v>
      </c>
      <c r="W22" s="39">
        <f t="shared" si="14"/>
        <v>4</v>
      </c>
      <c r="X22" s="39">
        <f t="shared" si="14"/>
        <v>0</v>
      </c>
      <c r="Y22" s="39">
        <f t="shared" si="14"/>
        <v>11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117</v>
      </c>
      <c r="AD22" s="39">
        <f t="shared" si="14"/>
        <v>0</v>
      </c>
      <c r="AE22" s="40">
        <f t="shared" si="14"/>
        <v>92</v>
      </c>
      <c r="AF22" s="40">
        <f t="shared" si="14"/>
        <v>209</v>
      </c>
    </row>
    <row r="23" spans="2:32" ht="23.1" customHeight="1" x14ac:dyDescent="0.25">
      <c r="B23" s="23" t="s">
        <v>50</v>
      </c>
      <c r="C23" s="50">
        <v>10</v>
      </c>
      <c r="D23" s="50">
        <v>3</v>
      </c>
      <c r="E23" s="50">
        <v>2</v>
      </c>
      <c r="F23" s="50">
        <v>11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27</v>
      </c>
      <c r="N23" s="50">
        <v>0</v>
      </c>
      <c r="O23" s="15">
        <f t="shared" si="0"/>
        <v>28</v>
      </c>
      <c r="P23" s="15">
        <f t="shared" si="1"/>
        <v>55</v>
      </c>
      <c r="R23" s="38" t="s">
        <v>91</v>
      </c>
      <c r="S23" s="39">
        <f>MAX(S13:S18)</f>
        <v>37</v>
      </c>
      <c r="T23" s="39">
        <f t="shared" ref="T23:AF23" si="15">MAX(T13:T18)</f>
        <v>8</v>
      </c>
      <c r="U23" s="39">
        <f t="shared" si="15"/>
        <v>9</v>
      </c>
      <c r="V23" s="39">
        <f t="shared" si="15"/>
        <v>34</v>
      </c>
      <c r="W23" s="39">
        <f t="shared" si="15"/>
        <v>2</v>
      </c>
      <c r="X23" s="39">
        <f t="shared" si="15"/>
        <v>0</v>
      </c>
      <c r="Y23" s="39">
        <f t="shared" si="15"/>
        <v>16</v>
      </c>
      <c r="Z23" s="39">
        <f t="shared" si="15"/>
        <v>4</v>
      </c>
      <c r="AA23" s="39">
        <f t="shared" si="15"/>
        <v>3</v>
      </c>
      <c r="AB23" s="39">
        <f t="shared" si="15"/>
        <v>2</v>
      </c>
      <c r="AC23" s="39">
        <f t="shared" si="15"/>
        <v>108</v>
      </c>
      <c r="AD23" s="39">
        <f t="shared" si="15"/>
        <v>0</v>
      </c>
      <c r="AE23" s="40">
        <f t="shared" si="15"/>
        <v>97</v>
      </c>
      <c r="AF23" s="40">
        <f t="shared" si="15"/>
        <v>205</v>
      </c>
    </row>
    <row r="24" spans="2:32" ht="23.1" customHeight="1" x14ac:dyDescent="0.25">
      <c r="B24" s="23" t="s">
        <v>51</v>
      </c>
      <c r="C24" s="50">
        <v>10</v>
      </c>
      <c r="D24" s="50">
        <v>1</v>
      </c>
      <c r="E24" s="50">
        <v>0</v>
      </c>
      <c r="F24" s="50">
        <v>6</v>
      </c>
      <c r="G24" s="50">
        <v>0</v>
      </c>
      <c r="H24" s="50">
        <v>0</v>
      </c>
      <c r="I24" s="50">
        <v>1</v>
      </c>
      <c r="J24" s="50">
        <v>0</v>
      </c>
      <c r="K24" s="50">
        <v>2</v>
      </c>
      <c r="L24" s="50">
        <v>0</v>
      </c>
      <c r="M24" s="50">
        <v>20</v>
      </c>
      <c r="N24" s="50">
        <v>0</v>
      </c>
      <c r="O24" s="15">
        <f t="shared" si="0"/>
        <v>20</v>
      </c>
      <c r="P24" s="15">
        <f t="shared" si="1"/>
        <v>40</v>
      </c>
      <c r="R24" s="38" t="s">
        <v>92</v>
      </c>
      <c r="S24" s="39">
        <f>MAX(S19:S21)</f>
        <v>53</v>
      </c>
      <c r="T24" s="39">
        <f t="shared" ref="T24:AF24" si="16">MAX(T19:T21)</f>
        <v>15</v>
      </c>
      <c r="U24" s="39">
        <f t="shared" si="16"/>
        <v>11</v>
      </c>
      <c r="V24" s="39">
        <f t="shared" si="16"/>
        <v>46</v>
      </c>
      <c r="W24" s="39">
        <f t="shared" si="16"/>
        <v>2</v>
      </c>
      <c r="X24" s="39">
        <f t="shared" si="16"/>
        <v>1</v>
      </c>
      <c r="Y24" s="39">
        <f t="shared" si="16"/>
        <v>15</v>
      </c>
      <c r="Z24" s="39">
        <f t="shared" si="16"/>
        <v>1</v>
      </c>
      <c r="AA24" s="39">
        <f t="shared" si="16"/>
        <v>2</v>
      </c>
      <c r="AB24" s="39">
        <f t="shared" si="16"/>
        <v>4</v>
      </c>
      <c r="AC24" s="39">
        <f t="shared" si="16"/>
        <v>98</v>
      </c>
      <c r="AD24" s="39">
        <f t="shared" si="16"/>
        <v>1</v>
      </c>
      <c r="AE24" s="40">
        <f t="shared" si="16"/>
        <v>130</v>
      </c>
      <c r="AF24" s="40">
        <f t="shared" si="16"/>
        <v>228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1</v>
      </c>
      <c r="F25" s="50">
        <v>7</v>
      </c>
      <c r="G25" s="50">
        <v>1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24</v>
      </c>
      <c r="N25" s="50">
        <v>0</v>
      </c>
      <c r="O25" s="15">
        <f t="shared" si="0"/>
        <v>22</v>
      </c>
      <c r="P25" s="15">
        <f t="shared" si="1"/>
        <v>46</v>
      </c>
      <c r="R25" s="37" t="s">
        <v>85</v>
      </c>
      <c r="S25" s="35">
        <f t="shared" ref="S25:AF25" si="17">SUM(S10:S12)</f>
        <v>90</v>
      </c>
      <c r="T25" s="16">
        <f t="shared" si="17"/>
        <v>16</v>
      </c>
      <c r="U25" s="16">
        <f t="shared" si="17"/>
        <v>13</v>
      </c>
      <c r="V25" s="16">
        <f t="shared" si="17"/>
        <v>97</v>
      </c>
      <c r="W25" s="16">
        <f t="shared" si="17"/>
        <v>6</v>
      </c>
      <c r="X25" s="16">
        <f t="shared" si="17"/>
        <v>0</v>
      </c>
      <c r="Y25" s="16">
        <f t="shared" si="17"/>
        <v>25</v>
      </c>
      <c r="Z25" s="16">
        <f t="shared" si="17"/>
        <v>1</v>
      </c>
      <c r="AA25" s="16">
        <f t="shared" si="17"/>
        <v>1</v>
      </c>
      <c r="AB25" s="16">
        <f t="shared" si="17"/>
        <v>0</v>
      </c>
      <c r="AC25" s="16">
        <f t="shared" si="17"/>
        <v>337</v>
      </c>
      <c r="AD25" s="16">
        <f t="shared" si="17"/>
        <v>0</v>
      </c>
      <c r="AE25" s="32">
        <f t="shared" si="17"/>
        <v>249</v>
      </c>
      <c r="AF25" s="32">
        <f t="shared" si="17"/>
        <v>586</v>
      </c>
    </row>
    <row r="26" spans="2:32" ht="23.1" customHeight="1" x14ac:dyDescent="0.25">
      <c r="B26" s="23" t="s">
        <v>53</v>
      </c>
      <c r="C26" s="50">
        <v>10</v>
      </c>
      <c r="D26" s="50">
        <v>4</v>
      </c>
      <c r="E26" s="50">
        <v>2</v>
      </c>
      <c r="F26" s="50">
        <v>14</v>
      </c>
      <c r="G26" s="50">
        <v>0</v>
      </c>
      <c r="H26" s="50">
        <v>0</v>
      </c>
      <c r="I26" s="50">
        <v>6</v>
      </c>
      <c r="J26" s="50">
        <v>0</v>
      </c>
      <c r="K26" s="50">
        <v>0</v>
      </c>
      <c r="L26" s="50">
        <v>0</v>
      </c>
      <c r="M26" s="50">
        <v>23</v>
      </c>
      <c r="N26" s="50">
        <v>0</v>
      </c>
      <c r="O26" s="15">
        <f t="shared" si="0"/>
        <v>36</v>
      </c>
      <c r="P26" s="15">
        <f t="shared" si="1"/>
        <v>59</v>
      </c>
      <c r="R26" s="28" t="s">
        <v>86</v>
      </c>
      <c r="S26" s="16">
        <f t="shared" ref="S26:AF26" si="18">SUM(S13:S18)</f>
        <v>202</v>
      </c>
      <c r="T26" s="16">
        <f t="shared" si="18"/>
        <v>37</v>
      </c>
      <c r="U26" s="16">
        <f t="shared" si="18"/>
        <v>44</v>
      </c>
      <c r="V26" s="16">
        <f t="shared" si="18"/>
        <v>181</v>
      </c>
      <c r="W26" s="16">
        <f t="shared" si="18"/>
        <v>7</v>
      </c>
      <c r="X26" s="16">
        <f t="shared" si="18"/>
        <v>0</v>
      </c>
      <c r="Y26" s="16">
        <f t="shared" si="18"/>
        <v>67</v>
      </c>
      <c r="Z26" s="16">
        <f t="shared" si="18"/>
        <v>9</v>
      </c>
      <c r="AA26" s="16">
        <f t="shared" si="18"/>
        <v>11</v>
      </c>
      <c r="AB26" s="16">
        <f t="shared" si="18"/>
        <v>3</v>
      </c>
      <c r="AC26" s="16">
        <f t="shared" si="18"/>
        <v>504</v>
      </c>
      <c r="AD26" s="16">
        <f t="shared" si="18"/>
        <v>0</v>
      </c>
      <c r="AE26" s="32">
        <f t="shared" si="18"/>
        <v>561</v>
      </c>
      <c r="AF26" s="32">
        <f t="shared" si="18"/>
        <v>1065</v>
      </c>
    </row>
    <row r="27" spans="2:32" ht="23.1" customHeight="1" x14ac:dyDescent="0.25">
      <c r="B27" s="23" t="s">
        <v>54</v>
      </c>
      <c r="C27" s="50">
        <v>5</v>
      </c>
      <c r="D27" s="50">
        <v>0</v>
      </c>
      <c r="E27" s="50">
        <v>3</v>
      </c>
      <c r="F27" s="50">
        <v>5</v>
      </c>
      <c r="G27" s="50">
        <v>0</v>
      </c>
      <c r="H27" s="50">
        <v>0</v>
      </c>
      <c r="I27" s="50">
        <v>3</v>
      </c>
      <c r="J27" s="50">
        <v>0</v>
      </c>
      <c r="K27" s="50">
        <v>1</v>
      </c>
      <c r="L27" s="50">
        <v>2</v>
      </c>
      <c r="M27" s="50">
        <v>20</v>
      </c>
      <c r="N27" s="50">
        <v>0</v>
      </c>
      <c r="O27" s="15">
        <f t="shared" si="0"/>
        <v>19</v>
      </c>
      <c r="P27" s="15">
        <f t="shared" si="1"/>
        <v>39</v>
      </c>
      <c r="R27" s="29" t="s">
        <v>87</v>
      </c>
      <c r="S27" s="16">
        <f t="shared" ref="S27:AF27" si="19">SUM(S19:S21)</f>
        <v>126</v>
      </c>
      <c r="T27" s="16">
        <f t="shared" si="19"/>
        <v>36</v>
      </c>
      <c r="U27" s="16">
        <f t="shared" si="19"/>
        <v>27</v>
      </c>
      <c r="V27" s="16">
        <f t="shared" si="19"/>
        <v>132</v>
      </c>
      <c r="W27" s="16">
        <f t="shared" si="19"/>
        <v>4</v>
      </c>
      <c r="X27" s="16">
        <f t="shared" si="19"/>
        <v>1</v>
      </c>
      <c r="Y27" s="16">
        <f t="shared" si="19"/>
        <v>36</v>
      </c>
      <c r="Z27" s="16">
        <f t="shared" si="19"/>
        <v>2</v>
      </c>
      <c r="AA27" s="16">
        <f t="shared" si="19"/>
        <v>3</v>
      </c>
      <c r="AB27" s="16">
        <f t="shared" si="19"/>
        <v>5</v>
      </c>
      <c r="AC27" s="16">
        <f t="shared" si="19"/>
        <v>249</v>
      </c>
      <c r="AD27" s="16">
        <f t="shared" si="19"/>
        <v>1</v>
      </c>
      <c r="AE27" s="32">
        <f t="shared" si="19"/>
        <v>373</v>
      </c>
      <c r="AF27" s="32">
        <f t="shared" si="19"/>
        <v>622</v>
      </c>
    </row>
    <row r="28" spans="2:32" ht="23.1" customHeight="1" x14ac:dyDescent="0.25">
      <c r="B28" s="23" t="s">
        <v>55</v>
      </c>
      <c r="C28" s="50">
        <v>8</v>
      </c>
      <c r="D28" s="50">
        <v>0</v>
      </c>
      <c r="E28" s="50">
        <v>3</v>
      </c>
      <c r="F28" s="50">
        <v>7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32</v>
      </c>
      <c r="N28" s="50">
        <v>0</v>
      </c>
      <c r="O28" s="15">
        <f t="shared" si="0"/>
        <v>20</v>
      </c>
      <c r="P28" s="15">
        <f t="shared" si="1"/>
        <v>52</v>
      </c>
      <c r="R28" s="5" t="s">
        <v>17</v>
      </c>
      <c r="S28" s="16">
        <f t="shared" ref="S28:AF28" si="20">SUM(S10:S21)</f>
        <v>418</v>
      </c>
      <c r="T28" s="16">
        <f t="shared" si="20"/>
        <v>89</v>
      </c>
      <c r="U28" s="16">
        <f t="shared" si="20"/>
        <v>84</v>
      </c>
      <c r="V28" s="16">
        <f t="shared" si="20"/>
        <v>410</v>
      </c>
      <c r="W28" s="16">
        <f t="shared" si="20"/>
        <v>17</v>
      </c>
      <c r="X28" s="16">
        <f t="shared" si="20"/>
        <v>1</v>
      </c>
      <c r="Y28" s="16">
        <f t="shared" si="20"/>
        <v>128</v>
      </c>
      <c r="Z28" s="16">
        <f t="shared" si="20"/>
        <v>12</v>
      </c>
      <c r="AA28" s="16">
        <f t="shared" si="20"/>
        <v>15</v>
      </c>
      <c r="AB28" s="16">
        <f t="shared" si="20"/>
        <v>8</v>
      </c>
      <c r="AC28" s="16">
        <f t="shared" si="20"/>
        <v>1090</v>
      </c>
      <c r="AD28" s="16">
        <f t="shared" si="20"/>
        <v>1</v>
      </c>
      <c r="AE28" s="32">
        <f t="shared" si="20"/>
        <v>1183</v>
      </c>
      <c r="AF28" s="32">
        <f t="shared" si="20"/>
        <v>2273</v>
      </c>
    </row>
    <row r="29" spans="2:32" ht="23.1" customHeight="1" x14ac:dyDescent="0.25">
      <c r="B29" s="23" t="s">
        <v>56</v>
      </c>
      <c r="C29" s="50">
        <v>8</v>
      </c>
      <c r="D29" s="50">
        <v>1</v>
      </c>
      <c r="E29" s="50">
        <v>1</v>
      </c>
      <c r="F29" s="50">
        <v>6</v>
      </c>
      <c r="G29" s="50">
        <v>1</v>
      </c>
      <c r="H29" s="50">
        <v>0</v>
      </c>
      <c r="I29" s="50">
        <v>5</v>
      </c>
      <c r="J29" s="50">
        <v>0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22</v>
      </c>
      <c r="P29" s="15">
        <f t="shared" si="1"/>
        <v>55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1</v>
      </c>
      <c r="E30" s="50">
        <v>3</v>
      </c>
      <c r="F30" s="50">
        <v>9</v>
      </c>
      <c r="G30" s="50">
        <v>0</v>
      </c>
      <c r="H30" s="50">
        <v>0</v>
      </c>
      <c r="I30" s="50">
        <v>4</v>
      </c>
      <c r="J30" s="50">
        <v>3</v>
      </c>
      <c r="K30" s="50">
        <v>0</v>
      </c>
      <c r="L30" s="50">
        <v>0</v>
      </c>
      <c r="M30" s="50">
        <v>26</v>
      </c>
      <c r="N30" s="50">
        <v>0</v>
      </c>
      <c r="O30" s="15">
        <f t="shared" si="0"/>
        <v>30</v>
      </c>
      <c r="P30" s="15">
        <f t="shared" si="1"/>
        <v>56</v>
      </c>
    </row>
    <row r="31" spans="2:32" ht="23.1" customHeight="1" x14ac:dyDescent="0.25">
      <c r="B31" s="24" t="s">
        <v>58</v>
      </c>
      <c r="C31" s="50">
        <v>7</v>
      </c>
      <c r="D31" s="50">
        <v>1</v>
      </c>
      <c r="E31" s="50">
        <v>2</v>
      </c>
      <c r="F31" s="50">
        <v>8</v>
      </c>
      <c r="G31" s="50">
        <v>0</v>
      </c>
      <c r="H31" s="50">
        <v>0</v>
      </c>
      <c r="I31" s="50">
        <v>0</v>
      </c>
      <c r="J31" s="50">
        <v>1</v>
      </c>
      <c r="K31" s="50">
        <v>1</v>
      </c>
      <c r="L31" s="50">
        <v>0</v>
      </c>
      <c r="M31" s="50">
        <v>21</v>
      </c>
      <c r="N31" s="50">
        <v>0</v>
      </c>
      <c r="O31" s="15">
        <f t="shared" si="0"/>
        <v>20</v>
      </c>
      <c r="P31" s="15">
        <f t="shared" si="1"/>
        <v>41</v>
      </c>
    </row>
    <row r="32" spans="2:32" ht="23.1" customHeight="1" x14ac:dyDescent="0.25">
      <c r="B32" s="24" t="s">
        <v>59</v>
      </c>
      <c r="C32" s="50">
        <v>9</v>
      </c>
      <c r="D32" s="50">
        <v>2</v>
      </c>
      <c r="E32" s="50">
        <v>0</v>
      </c>
      <c r="F32" s="50">
        <v>9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22</v>
      </c>
      <c r="P32" s="15">
        <f t="shared" si="1"/>
        <v>38</v>
      </c>
    </row>
    <row r="33" spans="2:20" ht="23.1" customHeight="1" x14ac:dyDescent="0.25">
      <c r="B33" s="23" t="s">
        <v>60</v>
      </c>
      <c r="C33" s="50">
        <v>5</v>
      </c>
      <c r="D33" s="50">
        <v>2</v>
      </c>
      <c r="E33" s="50">
        <v>2</v>
      </c>
      <c r="F33" s="50">
        <v>8</v>
      </c>
      <c r="G33" s="50">
        <v>0</v>
      </c>
      <c r="H33" s="50">
        <v>0</v>
      </c>
      <c r="I33" s="50">
        <v>3</v>
      </c>
      <c r="J33" s="50">
        <v>0</v>
      </c>
      <c r="K33" s="50">
        <v>1</v>
      </c>
      <c r="L33" s="50">
        <v>0</v>
      </c>
      <c r="M33" s="50">
        <v>19</v>
      </c>
      <c r="N33" s="50">
        <v>0</v>
      </c>
      <c r="O33" s="15">
        <f t="shared" si="0"/>
        <v>21</v>
      </c>
      <c r="P33" s="15">
        <f t="shared" si="1"/>
        <v>40</v>
      </c>
    </row>
    <row r="34" spans="2:20" ht="23.1" customHeight="1" x14ac:dyDescent="0.25">
      <c r="B34" s="24" t="s">
        <v>61</v>
      </c>
      <c r="C34" s="50">
        <v>5</v>
      </c>
      <c r="D34" s="50">
        <v>1</v>
      </c>
      <c r="E34" s="50">
        <v>3</v>
      </c>
      <c r="F34" s="50">
        <v>7</v>
      </c>
      <c r="G34" s="50">
        <v>1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18</v>
      </c>
      <c r="N34" s="50">
        <v>0</v>
      </c>
      <c r="O34" s="15">
        <f t="shared" si="0"/>
        <v>20</v>
      </c>
      <c r="P34" s="15">
        <f t="shared" si="1"/>
        <v>38</v>
      </c>
    </row>
    <row r="35" spans="2:20" ht="23.1" customHeight="1" x14ac:dyDescent="0.25">
      <c r="B35" s="24" t="s">
        <v>62</v>
      </c>
      <c r="C35" s="50">
        <v>7</v>
      </c>
      <c r="D35" s="50">
        <v>5</v>
      </c>
      <c r="E35" s="50">
        <v>3</v>
      </c>
      <c r="F35" s="50">
        <v>9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26</v>
      </c>
      <c r="P35" s="15">
        <f t="shared" si="1"/>
        <v>46</v>
      </c>
    </row>
    <row r="36" spans="2:20" ht="23.1" customHeight="1" x14ac:dyDescent="0.25">
      <c r="B36" s="24" t="s">
        <v>63</v>
      </c>
      <c r="C36" s="50">
        <v>11</v>
      </c>
      <c r="D36" s="50">
        <v>2</v>
      </c>
      <c r="E36" s="50">
        <v>0</v>
      </c>
      <c r="F36" s="50">
        <v>5</v>
      </c>
      <c r="G36" s="50">
        <v>0</v>
      </c>
      <c r="H36" s="50">
        <v>0</v>
      </c>
      <c r="I36" s="50">
        <v>4</v>
      </c>
      <c r="J36" s="50">
        <v>0</v>
      </c>
      <c r="K36" s="50">
        <v>1</v>
      </c>
      <c r="L36" s="50">
        <v>0</v>
      </c>
      <c r="M36" s="50">
        <v>15</v>
      </c>
      <c r="N36" s="50">
        <v>0</v>
      </c>
      <c r="O36" s="15">
        <f t="shared" si="0"/>
        <v>23</v>
      </c>
      <c r="P36" s="15">
        <f t="shared" si="1"/>
        <v>38</v>
      </c>
    </row>
    <row r="37" spans="2:20" ht="23.1" customHeight="1" x14ac:dyDescent="0.25">
      <c r="B37" s="23" t="s">
        <v>64</v>
      </c>
      <c r="C37" s="50">
        <v>13</v>
      </c>
      <c r="D37" s="50">
        <v>0</v>
      </c>
      <c r="E37" s="50">
        <v>2</v>
      </c>
      <c r="F37" s="50">
        <v>6</v>
      </c>
      <c r="G37" s="50">
        <v>1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19</v>
      </c>
      <c r="N37" s="50">
        <v>0</v>
      </c>
      <c r="O37" s="15">
        <f t="shared" si="0"/>
        <v>23</v>
      </c>
      <c r="P37" s="15">
        <f t="shared" si="1"/>
        <v>42</v>
      </c>
    </row>
    <row r="38" spans="2:20" ht="23.1" customHeight="1" x14ac:dyDescent="0.25">
      <c r="B38" s="24" t="s">
        <v>65</v>
      </c>
      <c r="C38" s="50">
        <v>9</v>
      </c>
      <c r="D38" s="50">
        <v>1</v>
      </c>
      <c r="E38" s="50">
        <v>3</v>
      </c>
      <c r="F38" s="50">
        <v>6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1</v>
      </c>
      <c r="M38" s="50">
        <v>13</v>
      </c>
      <c r="N38" s="50">
        <v>0</v>
      </c>
      <c r="O38" s="15">
        <f t="shared" si="0"/>
        <v>26</v>
      </c>
      <c r="P38" s="15">
        <f t="shared" si="1"/>
        <v>39</v>
      </c>
    </row>
    <row r="39" spans="2:20" ht="23.1" customHeight="1" x14ac:dyDescent="0.25">
      <c r="B39" s="24" t="s">
        <v>66</v>
      </c>
      <c r="C39" s="50">
        <v>7</v>
      </c>
      <c r="D39" s="50">
        <v>1</v>
      </c>
      <c r="E39" s="50">
        <v>2</v>
      </c>
      <c r="F39" s="50">
        <v>7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26</v>
      </c>
      <c r="N39" s="50">
        <v>0</v>
      </c>
      <c r="O39" s="15">
        <f t="shared" si="0"/>
        <v>17</v>
      </c>
      <c r="P39" s="15">
        <f t="shared" si="1"/>
        <v>43</v>
      </c>
    </row>
    <row r="40" spans="2:20" ht="23.1" customHeight="1" x14ac:dyDescent="0.25">
      <c r="B40" s="24" t="s">
        <v>67</v>
      </c>
      <c r="C40" s="50">
        <v>13</v>
      </c>
      <c r="D40" s="50">
        <v>2</v>
      </c>
      <c r="E40" s="50">
        <v>2</v>
      </c>
      <c r="F40" s="50">
        <v>11</v>
      </c>
      <c r="G40" s="50">
        <v>1</v>
      </c>
      <c r="H40" s="50">
        <v>0</v>
      </c>
      <c r="I40" s="50">
        <v>3</v>
      </c>
      <c r="J40" s="50">
        <v>1</v>
      </c>
      <c r="K40" s="50">
        <v>2</v>
      </c>
      <c r="L40" s="50">
        <v>0</v>
      </c>
      <c r="M40" s="50">
        <v>13</v>
      </c>
      <c r="N40" s="50">
        <v>0</v>
      </c>
      <c r="O40" s="15">
        <f t="shared" si="0"/>
        <v>35</v>
      </c>
      <c r="P40" s="15">
        <f t="shared" si="1"/>
        <v>48</v>
      </c>
    </row>
    <row r="41" spans="2:20" ht="23.1" customHeight="1" x14ac:dyDescent="0.25">
      <c r="B41" s="23" t="s">
        <v>68</v>
      </c>
      <c r="C41" s="50">
        <v>6</v>
      </c>
      <c r="D41" s="50">
        <v>2</v>
      </c>
      <c r="E41" s="50">
        <v>0</v>
      </c>
      <c r="F41" s="50">
        <v>6</v>
      </c>
      <c r="G41" s="50">
        <v>0</v>
      </c>
      <c r="H41" s="50">
        <v>0</v>
      </c>
      <c r="I41" s="50">
        <v>4</v>
      </c>
      <c r="J41" s="50">
        <v>1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19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7</v>
      </c>
      <c r="D42" s="50">
        <v>0</v>
      </c>
      <c r="E42" s="50">
        <v>2</v>
      </c>
      <c r="F42" s="50">
        <v>7</v>
      </c>
      <c r="G42" s="50">
        <v>2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18</v>
      </c>
      <c r="P42" s="15">
        <f t="shared" si="1"/>
        <v>34</v>
      </c>
    </row>
    <row r="43" spans="2:20" ht="23.1" customHeight="1" x14ac:dyDescent="0.25">
      <c r="B43" s="23" t="s">
        <v>70</v>
      </c>
      <c r="C43" s="50">
        <v>10</v>
      </c>
      <c r="D43" s="50">
        <v>2</v>
      </c>
      <c r="E43" s="50">
        <v>2</v>
      </c>
      <c r="F43" s="50">
        <v>5</v>
      </c>
      <c r="G43" s="50">
        <v>0</v>
      </c>
      <c r="H43" s="50">
        <v>0</v>
      </c>
      <c r="I43" s="50">
        <v>1</v>
      </c>
      <c r="J43" s="50">
        <v>1</v>
      </c>
      <c r="K43" s="50">
        <v>1</v>
      </c>
      <c r="L43" s="50">
        <v>0</v>
      </c>
      <c r="M43" s="50">
        <v>18</v>
      </c>
      <c r="N43" s="50">
        <v>0</v>
      </c>
      <c r="O43" s="15">
        <f t="shared" si="0"/>
        <v>22</v>
      </c>
      <c r="P43" s="15">
        <f t="shared" si="1"/>
        <v>40</v>
      </c>
    </row>
    <row r="44" spans="2:20" ht="23.1" customHeight="1" x14ac:dyDescent="0.25">
      <c r="B44" s="25" t="s">
        <v>71</v>
      </c>
      <c r="C44" s="50">
        <v>10</v>
      </c>
      <c r="D44" s="50">
        <v>0</v>
      </c>
      <c r="E44" s="50">
        <v>4</v>
      </c>
      <c r="F44" s="50">
        <v>8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v>0</v>
      </c>
      <c r="M44" s="50">
        <v>24</v>
      </c>
      <c r="N44" s="50">
        <v>0</v>
      </c>
      <c r="O44" s="15">
        <f t="shared" si="0"/>
        <v>24</v>
      </c>
      <c r="P44" s="15">
        <f t="shared" si="1"/>
        <v>48</v>
      </c>
    </row>
    <row r="45" spans="2:20" ht="23.1" customHeight="1" x14ac:dyDescent="0.25">
      <c r="B45" s="23" t="s">
        <v>72</v>
      </c>
      <c r="C45" s="50">
        <v>5</v>
      </c>
      <c r="D45" s="50">
        <v>3</v>
      </c>
      <c r="E45" s="50">
        <v>0</v>
      </c>
      <c r="F45" s="50">
        <v>8</v>
      </c>
      <c r="G45" s="50">
        <v>0</v>
      </c>
      <c r="H45" s="50">
        <v>0</v>
      </c>
      <c r="I45" s="50">
        <v>8</v>
      </c>
      <c r="J45" s="50">
        <v>0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24</v>
      </c>
      <c r="P45" s="15">
        <f t="shared" si="1"/>
        <v>45</v>
      </c>
    </row>
    <row r="46" spans="2:20" ht="23.1" customHeight="1" x14ac:dyDescent="0.25">
      <c r="B46" s="24" t="s">
        <v>73</v>
      </c>
      <c r="C46" s="50">
        <v>6</v>
      </c>
      <c r="D46" s="50">
        <v>0</v>
      </c>
      <c r="E46" s="50">
        <v>3</v>
      </c>
      <c r="F46" s="50">
        <v>12</v>
      </c>
      <c r="G46" s="50">
        <v>1</v>
      </c>
      <c r="H46" s="50">
        <v>0</v>
      </c>
      <c r="I46" s="50">
        <v>3</v>
      </c>
      <c r="J46" s="50">
        <v>0</v>
      </c>
      <c r="K46" s="50">
        <v>1</v>
      </c>
      <c r="L46" s="50">
        <v>1</v>
      </c>
      <c r="M46" s="50">
        <v>24</v>
      </c>
      <c r="N46" s="50">
        <v>0</v>
      </c>
      <c r="O46" s="15">
        <f t="shared" si="0"/>
        <v>27</v>
      </c>
      <c r="P46" s="15">
        <f t="shared" si="1"/>
        <v>51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3</v>
      </c>
      <c r="E47" s="50">
        <v>2</v>
      </c>
      <c r="F47" s="50">
        <v>12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23</v>
      </c>
      <c r="N47" s="50">
        <v>0</v>
      </c>
      <c r="O47" s="15">
        <f t="shared" si="0"/>
        <v>32</v>
      </c>
      <c r="P47" s="15">
        <f t="shared" si="1"/>
        <v>55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4</v>
      </c>
      <c r="E48" s="50">
        <v>1</v>
      </c>
      <c r="F48" s="50">
        <v>6</v>
      </c>
      <c r="G48" s="50">
        <v>1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16</v>
      </c>
      <c r="N48" s="50">
        <v>0</v>
      </c>
      <c r="O48" s="15">
        <f t="shared" si="0"/>
        <v>28</v>
      </c>
      <c r="P48" s="15">
        <f t="shared" si="1"/>
        <v>44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2</v>
      </c>
      <c r="E49" s="50">
        <v>2</v>
      </c>
      <c r="F49" s="50">
        <v>16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32</v>
      </c>
      <c r="N49" s="50">
        <v>0</v>
      </c>
      <c r="O49" s="15">
        <f t="shared" si="0"/>
        <v>36</v>
      </c>
      <c r="P49" s="15">
        <f t="shared" si="1"/>
        <v>68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4</v>
      </c>
      <c r="E50" s="50">
        <v>2</v>
      </c>
      <c r="F50" s="50">
        <v>14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43</v>
      </c>
      <c r="P50" s="15">
        <f t="shared" si="1"/>
        <v>73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3</v>
      </c>
      <c r="E51" s="50">
        <v>1</v>
      </c>
      <c r="F51" s="50">
        <v>11</v>
      </c>
      <c r="G51" s="50">
        <v>0</v>
      </c>
      <c r="H51" s="50">
        <v>0</v>
      </c>
      <c r="I51" s="50">
        <v>4</v>
      </c>
      <c r="J51" s="50">
        <v>1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30</v>
      </c>
      <c r="P51" s="15">
        <f t="shared" si="1"/>
        <v>49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7</v>
      </c>
      <c r="E52" s="50">
        <v>4</v>
      </c>
      <c r="F52" s="50">
        <v>9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27</v>
      </c>
      <c r="N52" s="50">
        <v>0</v>
      </c>
      <c r="O52" s="15">
        <f t="shared" si="0"/>
        <v>33</v>
      </c>
      <c r="P52" s="15">
        <f t="shared" si="1"/>
        <v>60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1</v>
      </c>
      <c r="E53" s="50">
        <v>1</v>
      </c>
      <c r="F53" s="50">
        <v>6</v>
      </c>
      <c r="G53" s="50">
        <v>0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24</v>
      </c>
      <c r="P53" s="15">
        <f t="shared" si="1"/>
        <v>46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1</v>
      </c>
      <c r="E54" s="50">
        <v>2</v>
      </c>
      <c r="F54" s="50">
        <v>3</v>
      </c>
      <c r="G54" s="50">
        <v>1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14</v>
      </c>
      <c r="N54" s="50">
        <v>0</v>
      </c>
      <c r="O54" s="15">
        <f t="shared" si="0"/>
        <v>11</v>
      </c>
      <c r="P54" s="15">
        <f t="shared" si="1"/>
        <v>25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2</v>
      </c>
      <c r="E55" s="50">
        <v>2</v>
      </c>
      <c r="F55" s="50">
        <v>11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1</v>
      </c>
      <c r="M55" s="50">
        <v>15</v>
      </c>
      <c r="N55" s="50">
        <v>1</v>
      </c>
      <c r="O55" s="15">
        <f t="shared" si="0"/>
        <v>28</v>
      </c>
      <c r="P55" s="15">
        <f t="shared" si="1"/>
        <v>43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4</v>
      </c>
      <c r="E56" s="50">
        <v>1</v>
      </c>
      <c r="F56" s="50">
        <v>12</v>
      </c>
      <c r="G56" s="50">
        <v>0</v>
      </c>
      <c r="H56" s="50">
        <v>0</v>
      </c>
      <c r="I56" s="50">
        <v>6</v>
      </c>
      <c r="J56" s="50">
        <v>1</v>
      </c>
      <c r="K56" s="50">
        <v>0</v>
      </c>
      <c r="L56" s="50">
        <v>0</v>
      </c>
      <c r="M56" s="50">
        <v>12</v>
      </c>
      <c r="N56" s="50">
        <v>0</v>
      </c>
      <c r="O56" s="15">
        <f t="shared" si="0"/>
        <v>31</v>
      </c>
      <c r="P56" s="15">
        <f t="shared" si="1"/>
        <v>43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5</v>
      </c>
      <c r="E57" s="50">
        <v>6</v>
      </c>
      <c r="F57" s="50">
        <v>20</v>
      </c>
      <c r="G57" s="50">
        <v>0</v>
      </c>
      <c r="H57" s="50">
        <v>1</v>
      </c>
      <c r="I57" s="50">
        <v>5</v>
      </c>
      <c r="J57" s="50">
        <v>0</v>
      </c>
      <c r="K57" s="50">
        <v>2</v>
      </c>
      <c r="L57" s="50">
        <v>3</v>
      </c>
      <c r="M57" s="50">
        <v>15</v>
      </c>
      <c r="N57" s="50">
        <v>0</v>
      </c>
      <c r="O57" s="15">
        <f t="shared" si="0"/>
        <v>50</v>
      </c>
      <c r="P57" s="15">
        <f t="shared" si="1"/>
        <v>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418</v>
      </c>
      <c r="D58" s="16">
        <f t="shared" si="21"/>
        <v>89</v>
      </c>
      <c r="E58" s="16">
        <f t="shared" si="21"/>
        <v>84</v>
      </c>
      <c r="F58" s="16">
        <f t="shared" si="21"/>
        <v>410</v>
      </c>
      <c r="G58" s="16">
        <f t="shared" si="21"/>
        <v>17</v>
      </c>
      <c r="H58" s="16">
        <f t="shared" si="21"/>
        <v>1</v>
      </c>
      <c r="I58" s="16">
        <f t="shared" si="21"/>
        <v>128</v>
      </c>
      <c r="J58" s="16">
        <f t="shared" si="21"/>
        <v>12</v>
      </c>
      <c r="K58" s="16">
        <f t="shared" si="21"/>
        <v>15</v>
      </c>
      <c r="L58" s="16">
        <f t="shared" si="21"/>
        <v>8</v>
      </c>
      <c r="M58" s="16">
        <f t="shared" si="21"/>
        <v>1090</v>
      </c>
      <c r="N58" s="16">
        <f t="shared" si="21"/>
        <v>1</v>
      </c>
      <c r="O58" s="16">
        <f t="shared" si="21"/>
        <v>1183</v>
      </c>
      <c r="P58" s="16">
        <f t="shared" si="21"/>
        <v>2273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0.18389793224813022</v>
      </c>
      <c r="D59" s="43">
        <f t="shared" si="22"/>
        <v>3.915530136383634E-2</v>
      </c>
      <c r="E59" s="43">
        <f t="shared" si="22"/>
        <v>3.6955565332160142E-2</v>
      </c>
      <c r="F59" s="43">
        <f t="shared" si="22"/>
        <v>0.1803783545974483</v>
      </c>
      <c r="G59" s="43">
        <f t="shared" si="22"/>
        <v>7.479102507699076E-3</v>
      </c>
      <c r="H59" s="43">
        <f t="shared" si="22"/>
        <v>4.399472063352398E-4</v>
      </c>
      <c r="I59" s="43">
        <f t="shared" si="22"/>
        <v>5.6313242410910694E-2</v>
      </c>
      <c r="J59" s="43">
        <f t="shared" si="22"/>
        <v>5.2793664760228771E-3</v>
      </c>
      <c r="K59" s="43">
        <f t="shared" si="22"/>
        <v>6.5992080950285966E-3</v>
      </c>
      <c r="L59" s="43">
        <f t="shared" si="22"/>
        <v>3.5195776506819184E-3</v>
      </c>
      <c r="M59" s="43">
        <f t="shared" si="22"/>
        <v>0.47954245490541136</v>
      </c>
      <c r="N59" s="43">
        <f t="shared" si="22"/>
        <v>4.399472063352398E-4</v>
      </c>
      <c r="R59" s="8"/>
      <c r="T59"/>
    </row>
    <row r="60" spans="2:20" ht="23.1" customHeight="1" x14ac:dyDescent="0.25">
      <c r="B60" s="42" t="s">
        <v>94</v>
      </c>
      <c r="C60" s="44">
        <f>C58/$O$58</f>
        <v>0.35333896872358411</v>
      </c>
      <c r="D60" s="44">
        <f t="shared" ref="D60:N60" si="23">D58/$O$58</f>
        <v>7.5232459847844463E-2</v>
      </c>
      <c r="E60" s="44">
        <f t="shared" si="23"/>
        <v>7.1005917159763315E-2</v>
      </c>
      <c r="F60" s="44">
        <f t="shared" si="23"/>
        <v>0.34657650042265425</v>
      </c>
      <c r="G60" s="44">
        <f t="shared" si="23"/>
        <v>1.4370245139475908E-2</v>
      </c>
      <c r="H60" s="44">
        <f t="shared" si="23"/>
        <v>8.4530853761622987E-4</v>
      </c>
      <c r="I60" s="44">
        <f t="shared" si="23"/>
        <v>0.10819949281487742</v>
      </c>
      <c r="J60" s="44">
        <f t="shared" si="23"/>
        <v>1.0143702451394759E-2</v>
      </c>
      <c r="K60" s="44">
        <f t="shared" si="23"/>
        <v>1.2679628064243449E-2</v>
      </c>
      <c r="L60" s="44">
        <f t="shared" si="23"/>
        <v>6.762468300929839E-3</v>
      </c>
      <c r="M60" s="44"/>
      <c r="N60" s="44">
        <f t="shared" si="23"/>
        <v>8.4530853761622987E-4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58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173</v>
      </c>
      <c r="E5" s="3"/>
      <c r="F5" s="41" t="s">
        <v>1</v>
      </c>
      <c r="G5" s="55" t="str">
        <f>'31.10 KALAGI-MUKONO-24h'!G5:H5</f>
        <v>KABEMBE</v>
      </c>
      <c r="H5" s="56"/>
      <c r="I5" s="14"/>
      <c r="J5" s="2" t="s">
        <v>5</v>
      </c>
      <c r="K5" s="55" t="s">
        <v>163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MUKONO-KALAGI'!D6:E6</f>
        <v>MUKONO</v>
      </c>
      <c r="E6" s="56"/>
      <c r="F6" s="2" t="s">
        <v>2</v>
      </c>
      <c r="G6" s="55" t="str">
        <f>'29.10 MUKONO-KALAGI'!G6:H6</f>
        <v>KALAGI</v>
      </c>
      <c r="H6" s="56"/>
      <c r="J6" s="2" t="s">
        <v>21</v>
      </c>
      <c r="K6" s="55" t="str">
        <f>'31.10 KALAGI-MUKONO-24h'!K6:L6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1</v>
      </c>
      <c r="E10" s="50">
        <v>2</v>
      </c>
      <c r="F10" s="50">
        <v>6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11</v>
      </c>
      <c r="P10" s="15">
        <f t="shared" ref="P10:P73" si="1">SUM(C10:N10)</f>
        <v>15</v>
      </c>
      <c r="R10" s="1" t="s">
        <v>6</v>
      </c>
      <c r="S10" s="17">
        <f t="shared" ref="S10:AF10" si="2">SUM(C10:C13)</f>
        <v>14</v>
      </c>
      <c r="T10" s="17">
        <f t="shared" si="2"/>
        <v>6</v>
      </c>
      <c r="U10" s="17">
        <f t="shared" si="2"/>
        <v>4</v>
      </c>
      <c r="V10" s="17">
        <f t="shared" si="2"/>
        <v>36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33</v>
      </c>
      <c r="AD10" s="17">
        <f t="shared" si="2"/>
        <v>0</v>
      </c>
      <c r="AE10" s="31">
        <f t="shared" si="2"/>
        <v>67</v>
      </c>
      <c r="AF10" s="31">
        <f t="shared" si="2"/>
        <v>100</v>
      </c>
    </row>
    <row r="11" spans="2:32" s="6" customFormat="1" ht="23.1" customHeight="1" x14ac:dyDescent="0.25">
      <c r="B11" s="45" t="s">
        <v>38</v>
      </c>
      <c r="C11" s="50">
        <v>4</v>
      </c>
      <c r="D11" s="50">
        <v>3</v>
      </c>
      <c r="E11" s="50">
        <v>1</v>
      </c>
      <c r="F11" s="50">
        <v>13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14</v>
      </c>
      <c r="N11" s="50">
        <v>0</v>
      </c>
      <c r="O11" s="15">
        <f t="shared" si="0"/>
        <v>21</v>
      </c>
      <c r="P11" s="15">
        <f t="shared" si="1"/>
        <v>35</v>
      </c>
      <c r="R11" s="1" t="s">
        <v>7</v>
      </c>
      <c r="S11" s="17">
        <f t="shared" ref="S11:AF11" si="3">SUM(C14:C17)</f>
        <v>25</v>
      </c>
      <c r="T11" s="17">
        <f t="shared" si="3"/>
        <v>10</v>
      </c>
      <c r="U11" s="17">
        <f t="shared" si="3"/>
        <v>4</v>
      </c>
      <c r="V11" s="17">
        <f t="shared" si="3"/>
        <v>32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45</v>
      </c>
      <c r="AD11" s="17">
        <f t="shared" si="3"/>
        <v>0</v>
      </c>
      <c r="AE11" s="31">
        <f t="shared" si="3"/>
        <v>81</v>
      </c>
      <c r="AF11" s="31">
        <f t="shared" si="3"/>
        <v>126</v>
      </c>
    </row>
    <row r="12" spans="2:32" ht="23.1" customHeight="1" x14ac:dyDescent="0.25">
      <c r="B12" s="45" t="s">
        <v>39</v>
      </c>
      <c r="C12" s="50">
        <v>3</v>
      </c>
      <c r="D12" s="50">
        <v>1</v>
      </c>
      <c r="E12" s="50">
        <v>0</v>
      </c>
      <c r="F12" s="50">
        <v>6</v>
      </c>
      <c r="G12" s="50">
        <v>0</v>
      </c>
      <c r="H12" s="50">
        <v>0</v>
      </c>
      <c r="I12" s="50">
        <v>2</v>
      </c>
      <c r="J12" s="50">
        <v>0</v>
      </c>
      <c r="K12" s="50">
        <v>1</v>
      </c>
      <c r="L12" s="50">
        <v>0</v>
      </c>
      <c r="M12" s="50">
        <v>7</v>
      </c>
      <c r="N12" s="50">
        <v>0</v>
      </c>
      <c r="O12" s="15">
        <f t="shared" si="0"/>
        <v>13</v>
      </c>
      <c r="P12" s="15">
        <f t="shared" si="1"/>
        <v>20</v>
      </c>
      <c r="R12" s="1" t="s">
        <v>8</v>
      </c>
      <c r="S12" s="17">
        <f t="shared" ref="S12:AF12" si="4">SUM(C18:C21)</f>
        <v>44</v>
      </c>
      <c r="T12" s="17">
        <f t="shared" si="4"/>
        <v>13</v>
      </c>
      <c r="U12" s="17">
        <f t="shared" si="4"/>
        <v>6</v>
      </c>
      <c r="V12" s="17">
        <f t="shared" si="4"/>
        <v>27</v>
      </c>
      <c r="W12" s="17">
        <f t="shared" si="4"/>
        <v>1</v>
      </c>
      <c r="X12" s="17">
        <f t="shared" si="4"/>
        <v>0</v>
      </c>
      <c r="Y12" s="17">
        <f t="shared" si="4"/>
        <v>13</v>
      </c>
      <c r="Z12" s="17">
        <f t="shared" si="4"/>
        <v>1</v>
      </c>
      <c r="AA12" s="17">
        <f t="shared" si="4"/>
        <v>0</v>
      </c>
      <c r="AB12" s="17">
        <f t="shared" si="4"/>
        <v>3</v>
      </c>
      <c r="AC12" s="17">
        <f t="shared" si="4"/>
        <v>76</v>
      </c>
      <c r="AD12" s="17">
        <f t="shared" si="4"/>
        <v>0</v>
      </c>
      <c r="AE12" s="31">
        <f t="shared" si="4"/>
        <v>108</v>
      </c>
      <c r="AF12" s="31">
        <f t="shared" si="4"/>
        <v>184</v>
      </c>
    </row>
    <row r="13" spans="2:32" ht="23.1" customHeight="1" x14ac:dyDescent="0.25">
      <c r="B13" s="45" t="s">
        <v>40</v>
      </c>
      <c r="C13" s="50">
        <v>5</v>
      </c>
      <c r="D13" s="50">
        <v>1</v>
      </c>
      <c r="E13" s="50">
        <v>1</v>
      </c>
      <c r="F13" s="50">
        <v>11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22</v>
      </c>
      <c r="P13" s="15">
        <f t="shared" si="1"/>
        <v>30</v>
      </c>
      <c r="R13" s="1" t="s">
        <v>9</v>
      </c>
      <c r="S13" s="17">
        <f t="shared" ref="S13:AF13" si="5">SUM(C22:C25)</f>
        <v>46</v>
      </c>
      <c r="T13" s="17">
        <f t="shared" si="5"/>
        <v>12</v>
      </c>
      <c r="U13" s="17">
        <f t="shared" si="5"/>
        <v>7</v>
      </c>
      <c r="V13" s="17">
        <f t="shared" si="5"/>
        <v>38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2</v>
      </c>
      <c r="AA13" s="17">
        <f t="shared" si="5"/>
        <v>1</v>
      </c>
      <c r="AB13" s="17">
        <f t="shared" si="5"/>
        <v>1</v>
      </c>
      <c r="AC13" s="17">
        <f t="shared" si="5"/>
        <v>85</v>
      </c>
      <c r="AD13" s="17">
        <f t="shared" si="5"/>
        <v>0</v>
      </c>
      <c r="AE13" s="31">
        <f t="shared" si="5"/>
        <v>118</v>
      </c>
      <c r="AF13" s="31">
        <f t="shared" si="5"/>
        <v>203</v>
      </c>
    </row>
    <row r="14" spans="2:32" ht="23.1" customHeight="1" x14ac:dyDescent="0.25">
      <c r="B14" s="45" t="s">
        <v>41</v>
      </c>
      <c r="C14" s="50">
        <v>7</v>
      </c>
      <c r="D14" s="50">
        <v>3</v>
      </c>
      <c r="E14" s="50">
        <v>2</v>
      </c>
      <c r="F14" s="50">
        <v>10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10</v>
      </c>
      <c r="N14" s="50">
        <v>0</v>
      </c>
      <c r="O14" s="15">
        <f t="shared" si="0"/>
        <v>24</v>
      </c>
      <c r="P14" s="15">
        <f t="shared" si="1"/>
        <v>34</v>
      </c>
      <c r="R14" s="1" t="s">
        <v>10</v>
      </c>
      <c r="S14" s="17">
        <f t="shared" ref="S14:AF14" si="6">SUM(C26:C29)</f>
        <v>45</v>
      </c>
      <c r="T14" s="17">
        <f t="shared" si="6"/>
        <v>15</v>
      </c>
      <c r="U14" s="17">
        <f t="shared" si="6"/>
        <v>13</v>
      </c>
      <c r="V14" s="17">
        <f t="shared" si="6"/>
        <v>32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101</v>
      </c>
      <c r="AD14" s="17">
        <f t="shared" si="6"/>
        <v>0</v>
      </c>
      <c r="AE14" s="31">
        <f t="shared" si="6"/>
        <v>116</v>
      </c>
      <c r="AF14" s="31">
        <f t="shared" si="6"/>
        <v>217</v>
      </c>
    </row>
    <row r="15" spans="2:32" ht="23.1" customHeight="1" x14ac:dyDescent="0.25">
      <c r="B15" s="45" t="s">
        <v>42</v>
      </c>
      <c r="C15" s="50">
        <v>4</v>
      </c>
      <c r="D15" s="50">
        <v>3</v>
      </c>
      <c r="E15" s="50">
        <v>1</v>
      </c>
      <c r="F15" s="50">
        <v>8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1</v>
      </c>
      <c r="M15" s="50">
        <v>12</v>
      </c>
      <c r="N15" s="50">
        <v>0</v>
      </c>
      <c r="O15" s="15">
        <f t="shared" si="0"/>
        <v>18</v>
      </c>
      <c r="P15" s="15">
        <f t="shared" si="1"/>
        <v>30</v>
      </c>
      <c r="R15" s="1" t="s">
        <v>11</v>
      </c>
      <c r="S15" s="17">
        <f t="shared" ref="S15:AF15" si="7">SUM(C30:C33)</f>
        <v>43</v>
      </c>
      <c r="T15" s="17">
        <f t="shared" si="7"/>
        <v>17</v>
      </c>
      <c r="U15" s="17">
        <f t="shared" si="7"/>
        <v>10</v>
      </c>
      <c r="V15" s="17">
        <f t="shared" si="7"/>
        <v>38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152</v>
      </c>
      <c r="AD15" s="17">
        <f t="shared" si="7"/>
        <v>0</v>
      </c>
      <c r="AE15" s="31">
        <f t="shared" si="7"/>
        <v>122</v>
      </c>
      <c r="AF15" s="31">
        <f t="shared" si="7"/>
        <v>274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9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13</v>
      </c>
      <c r="P16" s="15">
        <f t="shared" si="1"/>
        <v>19</v>
      </c>
      <c r="R16" s="1" t="s">
        <v>12</v>
      </c>
      <c r="S16" s="17">
        <f t="shared" ref="S16:AF16" si="8">SUM(C34:C37)</f>
        <v>39</v>
      </c>
      <c r="T16" s="17">
        <f t="shared" si="8"/>
        <v>18</v>
      </c>
      <c r="U16" s="17">
        <f t="shared" si="8"/>
        <v>6</v>
      </c>
      <c r="V16" s="17">
        <f t="shared" si="8"/>
        <v>41</v>
      </c>
      <c r="W16" s="17">
        <f t="shared" si="8"/>
        <v>1</v>
      </c>
      <c r="X16" s="17">
        <f t="shared" si="8"/>
        <v>0</v>
      </c>
      <c r="Y16" s="17">
        <f t="shared" si="8"/>
        <v>8</v>
      </c>
      <c r="Z16" s="17">
        <f t="shared" si="8"/>
        <v>3</v>
      </c>
      <c r="AA16" s="17">
        <f t="shared" si="8"/>
        <v>2</v>
      </c>
      <c r="AB16" s="17">
        <f t="shared" si="8"/>
        <v>1</v>
      </c>
      <c r="AC16" s="17">
        <f t="shared" si="8"/>
        <v>73</v>
      </c>
      <c r="AD16" s="17">
        <f t="shared" si="8"/>
        <v>0</v>
      </c>
      <c r="AE16" s="31">
        <f t="shared" si="8"/>
        <v>119</v>
      </c>
      <c r="AF16" s="31">
        <f t="shared" si="8"/>
        <v>192</v>
      </c>
    </row>
    <row r="17" spans="2:32" ht="23.1" customHeight="1" x14ac:dyDescent="0.25">
      <c r="B17" s="45" t="s">
        <v>44</v>
      </c>
      <c r="C17" s="50">
        <v>12</v>
      </c>
      <c r="D17" s="50">
        <v>4</v>
      </c>
      <c r="E17" s="50">
        <v>1</v>
      </c>
      <c r="F17" s="50">
        <v>5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26</v>
      </c>
      <c r="P17" s="15">
        <f t="shared" si="1"/>
        <v>43</v>
      </c>
      <c r="R17" s="1" t="s">
        <v>13</v>
      </c>
      <c r="S17" s="17">
        <f t="shared" ref="S17:AF17" si="9">SUM(C38:C41)</f>
        <v>54</v>
      </c>
      <c r="T17" s="17">
        <f t="shared" si="9"/>
        <v>23</v>
      </c>
      <c r="U17" s="17">
        <f t="shared" si="9"/>
        <v>4</v>
      </c>
      <c r="V17" s="17">
        <f t="shared" si="9"/>
        <v>38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34</v>
      </c>
      <c r="AD17" s="17">
        <f t="shared" si="9"/>
        <v>0</v>
      </c>
      <c r="AE17" s="31">
        <f t="shared" si="9"/>
        <v>133</v>
      </c>
      <c r="AF17" s="31">
        <f t="shared" si="9"/>
        <v>167</v>
      </c>
    </row>
    <row r="18" spans="2:32" ht="23.1" customHeight="1" x14ac:dyDescent="0.25">
      <c r="B18" s="45" t="s">
        <v>45</v>
      </c>
      <c r="C18" s="50">
        <v>13</v>
      </c>
      <c r="D18" s="50">
        <v>3</v>
      </c>
      <c r="E18" s="50">
        <v>2</v>
      </c>
      <c r="F18" s="50">
        <v>5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2</v>
      </c>
      <c r="M18" s="50">
        <v>26</v>
      </c>
      <c r="N18" s="50">
        <v>0</v>
      </c>
      <c r="O18" s="15">
        <f t="shared" si="0"/>
        <v>28</v>
      </c>
      <c r="P18" s="15">
        <f t="shared" si="1"/>
        <v>54</v>
      </c>
      <c r="R18" s="1" t="s">
        <v>14</v>
      </c>
      <c r="S18" s="17">
        <f t="shared" ref="S18:AF18" si="10">SUM(C42:C45)</f>
        <v>43</v>
      </c>
      <c r="T18" s="17">
        <f t="shared" si="10"/>
        <v>41</v>
      </c>
      <c r="U18" s="17">
        <f t="shared" si="10"/>
        <v>9</v>
      </c>
      <c r="V18" s="17">
        <f t="shared" si="10"/>
        <v>38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0</v>
      </c>
      <c r="AB18" s="17">
        <f t="shared" si="10"/>
        <v>3</v>
      </c>
      <c r="AC18" s="17">
        <f t="shared" si="10"/>
        <v>76</v>
      </c>
      <c r="AD18" s="17">
        <f t="shared" si="10"/>
        <v>0</v>
      </c>
      <c r="AE18" s="31">
        <f t="shared" si="10"/>
        <v>145</v>
      </c>
      <c r="AF18" s="31">
        <f t="shared" si="10"/>
        <v>221</v>
      </c>
    </row>
    <row r="19" spans="2:32" ht="23.1" customHeight="1" x14ac:dyDescent="0.25">
      <c r="B19" s="45" t="s">
        <v>46</v>
      </c>
      <c r="C19" s="50">
        <v>16</v>
      </c>
      <c r="D19" s="50">
        <v>3</v>
      </c>
      <c r="E19" s="50">
        <v>2</v>
      </c>
      <c r="F19" s="50">
        <v>7</v>
      </c>
      <c r="G19" s="50">
        <v>1</v>
      </c>
      <c r="H19" s="50">
        <v>0</v>
      </c>
      <c r="I19" s="50">
        <v>7</v>
      </c>
      <c r="J19" s="50">
        <v>0</v>
      </c>
      <c r="K19" s="50">
        <v>0</v>
      </c>
      <c r="L19" s="50">
        <v>0</v>
      </c>
      <c r="M19" s="50">
        <v>21</v>
      </c>
      <c r="N19" s="50">
        <v>0</v>
      </c>
      <c r="O19" s="15">
        <f t="shared" si="0"/>
        <v>36</v>
      </c>
      <c r="P19" s="15">
        <f t="shared" si="1"/>
        <v>57</v>
      </c>
      <c r="R19" s="1" t="s">
        <v>15</v>
      </c>
      <c r="S19" s="17">
        <f t="shared" ref="S19:AF19" si="11">SUM(C46:C49)</f>
        <v>84</v>
      </c>
      <c r="T19" s="17">
        <f t="shared" si="11"/>
        <v>39</v>
      </c>
      <c r="U19" s="17">
        <f t="shared" si="11"/>
        <v>13</v>
      </c>
      <c r="V19" s="17">
        <f t="shared" si="11"/>
        <v>42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1</v>
      </c>
      <c r="AA19" s="17">
        <f t="shared" si="11"/>
        <v>1</v>
      </c>
      <c r="AB19" s="17">
        <f t="shared" si="11"/>
        <v>2</v>
      </c>
      <c r="AC19" s="17">
        <f t="shared" si="11"/>
        <v>126</v>
      </c>
      <c r="AD19" s="17">
        <f t="shared" si="11"/>
        <v>0</v>
      </c>
      <c r="AE19" s="31">
        <f t="shared" si="11"/>
        <v>194</v>
      </c>
      <c r="AF19" s="31">
        <f t="shared" si="11"/>
        <v>320</v>
      </c>
    </row>
    <row r="20" spans="2:32" ht="23.1" customHeight="1" x14ac:dyDescent="0.25">
      <c r="B20" s="45" t="s">
        <v>47</v>
      </c>
      <c r="C20" s="50">
        <v>9</v>
      </c>
      <c r="D20" s="50">
        <v>4</v>
      </c>
      <c r="E20" s="50">
        <v>0</v>
      </c>
      <c r="F20" s="50">
        <v>10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26</v>
      </c>
      <c r="P20" s="15">
        <f t="shared" si="1"/>
        <v>39</v>
      </c>
      <c r="R20" s="1" t="s">
        <v>16</v>
      </c>
      <c r="S20" s="17">
        <f t="shared" ref="S20:AF20" si="12">SUM(C50:C53)</f>
        <v>96</v>
      </c>
      <c r="T20" s="17">
        <f t="shared" si="12"/>
        <v>36</v>
      </c>
      <c r="U20" s="17">
        <f t="shared" si="12"/>
        <v>16</v>
      </c>
      <c r="V20" s="17">
        <f t="shared" si="12"/>
        <v>44</v>
      </c>
      <c r="W20" s="17">
        <f t="shared" si="12"/>
        <v>0</v>
      </c>
      <c r="X20" s="17">
        <f t="shared" si="12"/>
        <v>0</v>
      </c>
      <c r="Y20" s="17">
        <f t="shared" si="12"/>
        <v>17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147</v>
      </c>
      <c r="AD20" s="17">
        <f t="shared" si="12"/>
        <v>1</v>
      </c>
      <c r="AE20" s="31">
        <f t="shared" si="12"/>
        <v>211</v>
      </c>
      <c r="AF20" s="31">
        <f t="shared" si="12"/>
        <v>358</v>
      </c>
    </row>
    <row r="21" spans="2:32" ht="23.1" customHeight="1" x14ac:dyDescent="0.25">
      <c r="B21" s="45" t="s">
        <v>48</v>
      </c>
      <c r="C21" s="50">
        <v>6</v>
      </c>
      <c r="D21" s="50">
        <v>3</v>
      </c>
      <c r="E21" s="50">
        <v>2</v>
      </c>
      <c r="F21" s="50">
        <v>5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1</v>
      </c>
      <c r="M21" s="50">
        <v>16</v>
      </c>
      <c r="N21" s="50">
        <v>0</v>
      </c>
      <c r="O21" s="15">
        <f t="shared" si="0"/>
        <v>18</v>
      </c>
      <c r="P21" s="15">
        <f t="shared" si="1"/>
        <v>34</v>
      </c>
      <c r="R21" s="36" t="s">
        <v>20</v>
      </c>
      <c r="S21" s="34">
        <f t="shared" ref="S21:AF21" si="13">SUM(C54:C57)</f>
        <v>95</v>
      </c>
      <c r="T21" s="17">
        <f t="shared" si="13"/>
        <v>28</v>
      </c>
      <c r="U21" s="17">
        <f t="shared" si="13"/>
        <v>13</v>
      </c>
      <c r="V21" s="17">
        <f t="shared" si="13"/>
        <v>57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2</v>
      </c>
      <c r="AA21" s="17">
        <f t="shared" si="13"/>
        <v>2</v>
      </c>
      <c r="AB21" s="17">
        <f t="shared" si="13"/>
        <v>3</v>
      </c>
      <c r="AC21" s="17">
        <f t="shared" si="13"/>
        <v>148</v>
      </c>
      <c r="AD21" s="17">
        <f t="shared" si="13"/>
        <v>1</v>
      </c>
      <c r="AE21" s="31">
        <f t="shared" si="13"/>
        <v>210</v>
      </c>
      <c r="AF21" s="31">
        <f t="shared" si="13"/>
        <v>358</v>
      </c>
    </row>
    <row r="22" spans="2:32" ht="23.1" customHeight="1" x14ac:dyDescent="0.25">
      <c r="B22" s="45" t="s">
        <v>49</v>
      </c>
      <c r="C22" s="50">
        <v>11</v>
      </c>
      <c r="D22" s="50">
        <v>3</v>
      </c>
      <c r="E22" s="50">
        <v>3</v>
      </c>
      <c r="F22" s="50">
        <v>11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22</v>
      </c>
      <c r="N22" s="50">
        <v>0</v>
      </c>
      <c r="O22" s="15">
        <f t="shared" si="0"/>
        <v>31</v>
      </c>
      <c r="P22" s="15">
        <f t="shared" si="1"/>
        <v>53</v>
      </c>
      <c r="R22" s="36" t="s">
        <v>146</v>
      </c>
      <c r="S22" s="34">
        <f>SUM(C58:C61)</f>
        <v>48</v>
      </c>
      <c r="T22" s="34">
        <f t="shared" ref="T22:AF22" si="14">SUM(D58:D61)</f>
        <v>9</v>
      </c>
      <c r="U22" s="34">
        <f t="shared" si="14"/>
        <v>6</v>
      </c>
      <c r="V22" s="34">
        <f t="shared" si="14"/>
        <v>41</v>
      </c>
      <c r="W22" s="34">
        <f t="shared" si="14"/>
        <v>1</v>
      </c>
      <c r="X22" s="34">
        <f t="shared" si="14"/>
        <v>1</v>
      </c>
      <c r="Y22" s="34">
        <f t="shared" si="14"/>
        <v>10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106</v>
      </c>
      <c r="AD22" s="34">
        <f t="shared" si="14"/>
        <v>0</v>
      </c>
      <c r="AE22" s="31">
        <f t="shared" si="14"/>
        <v>116</v>
      </c>
      <c r="AF22" s="31">
        <f t="shared" si="14"/>
        <v>222</v>
      </c>
    </row>
    <row r="23" spans="2:32" ht="23.1" customHeight="1" x14ac:dyDescent="0.25">
      <c r="B23" s="45" t="s">
        <v>50</v>
      </c>
      <c r="C23" s="50">
        <v>10</v>
      </c>
      <c r="D23" s="50">
        <v>1</v>
      </c>
      <c r="E23" s="50">
        <v>1</v>
      </c>
      <c r="F23" s="50">
        <v>11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26</v>
      </c>
      <c r="P23" s="15">
        <f t="shared" si="1"/>
        <v>39</v>
      </c>
      <c r="R23" s="36" t="s">
        <v>147</v>
      </c>
      <c r="S23" s="34">
        <f>SUM(C62:C65)</f>
        <v>39</v>
      </c>
      <c r="T23" s="34">
        <f t="shared" ref="T23:AF23" si="15">SUM(D62:D65)</f>
        <v>16</v>
      </c>
      <c r="U23" s="34">
        <f t="shared" si="15"/>
        <v>9</v>
      </c>
      <c r="V23" s="34">
        <f t="shared" si="15"/>
        <v>42</v>
      </c>
      <c r="W23" s="34">
        <f t="shared" si="15"/>
        <v>1</v>
      </c>
      <c r="X23" s="34">
        <f t="shared" si="15"/>
        <v>0</v>
      </c>
      <c r="Y23" s="34">
        <f t="shared" si="15"/>
        <v>8</v>
      </c>
      <c r="Z23" s="34">
        <f t="shared" si="15"/>
        <v>1</v>
      </c>
      <c r="AA23" s="34">
        <f t="shared" si="15"/>
        <v>0</v>
      </c>
      <c r="AB23" s="34">
        <f t="shared" si="15"/>
        <v>1</v>
      </c>
      <c r="AC23" s="34">
        <f t="shared" si="15"/>
        <v>121</v>
      </c>
      <c r="AD23" s="34">
        <f t="shared" si="15"/>
        <v>0</v>
      </c>
      <c r="AE23" s="31">
        <f t="shared" si="15"/>
        <v>117</v>
      </c>
      <c r="AF23" s="31">
        <f t="shared" si="15"/>
        <v>238</v>
      </c>
    </row>
    <row r="24" spans="2:32" ht="23.1" customHeight="1" x14ac:dyDescent="0.25">
      <c r="B24" s="45" t="s">
        <v>51</v>
      </c>
      <c r="C24" s="50">
        <v>10</v>
      </c>
      <c r="D24" s="50">
        <v>4</v>
      </c>
      <c r="E24" s="50">
        <v>1</v>
      </c>
      <c r="F24" s="50">
        <v>7</v>
      </c>
      <c r="G24" s="50">
        <v>0</v>
      </c>
      <c r="H24" s="50">
        <v>0</v>
      </c>
      <c r="I24" s="50">
        <v>4</v>
      </c>
      <c r="J24" s="50">
        <v>0</v>
      </c>
      <c r="K24" s="50">
        <v>1</v>
      </c>
      <c r="L24" s="50">
        <v>1</v>
      </c>
      <c r="M24" s="50">
        <v>27</v>
      </c>
      <c r="N24" s="50">
        <v>0</v>
      </c>
      <c r="O24" s="15">
        <f t="shared" si="0"/>
        <v>28</v>
      </c>
      <c r="P24" s="15">
        <f t="shared" si="1"/>
        <v>55</v>
      </c>
      <c r="R24" s="36" t="s">
        <v>148</v>
      </c>
      <c r="S24" s="34">
        <f>SUM(C66:C69)</f>
        <v>34</v>
      </c>
      <c r="T24" s="34">
        <f t="shared" ref="T24:AF24" si="16">SUM(D66:D69)</f>
        <v>8</v>
      </c>
      <c r="U24" s="34">
        <f t="shared" si="16"/>
        <v>5</v>
      </c>
      <c r="V24" s="34">
        <f t="shared" si="16"/>
        <v>36</v>
      </c>
      <c r="W24" s="34">
        <f t="shared" si="16"/>
        <v>9</v>
      </c>
      <c r="X24" s="34">
        <f t="shared" si="16"/>
        <v>0</v>
      </c>
      <c r="Y24" s="34">
        <f t="shared" si="16"/>
        <v>11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86</v>
      </c>
      <c r="AD24" s="34">
        <f t="shared" si="16"/>
        <v>0</v>
      </c>
      <c r="AE24" s="31">
        <f t="shared" si="16"/>
        <v>103</v>
      </c>
      <c r="AF24" s="31">
        <f t="shared" si="16"/>
        <v>189</v>
      </c>
    </row>
    <row r="25" spans="2:32" ht="23.1" customHeight="1" x14ac:dyDescent="0.25">
      <c r="B25" s="45" t="s">
        <v>52</v>
      </c>
      <c r="C25" s="50">
        <v>15</v>
      </c>
      <c r="D25" s="50">
        <v>4</v>
      </c>
      <c r="E25" s="50">
        <v>2</v>
      </c>
      <c r="F25" s="50">
        <v>9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23</v>
      </c>
      <c r="N25" s="50">
        <v>0</v>
      </c>
      <c r="O25" s="15">
        <f t="shared" si="0"/>
        <v>33</v>
      </c>
      <c r="P25" s="15">
        <f t="shared" si="1"/>
        <v>56</v>
      </c>
      <c r="R25" s="36" t="s">
        <v>149</v>
      </c>
      <c r="S25" s="34">
        <f>SUM(C70:C73)</f>
        <v>17</v>
      </c>
      <c r="T25" s="34">
        <f t="shared" ref="T25:AF25" si="17">SUM(D70:D73)</f>
        <v>11</v>
      </c>
      <c r="U25" s="34">
        <f t="shared" si="17"/>
        <v>3</v>
      </c>
      <c r="V25" s="34">
        <f t="shared" si="17"/>
        <v>23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64</v>
      </c>
      <c r="AD25" s="34">
        <f t="shared" si="17"/>
        <v>0</v>
      </c>
      <c r="AE25" s="31">
        <f t="shared" si="17"/>
        <v>59</v>
      </c>
      <c r="AF25" s="31">
        <f t="shared" si="17"/>
        <v>123</v>
      </c>
    </row>
    <row r="26" spans="2:32" ht="23.1" customHeight="1" x14ac:dyDescent="0.25">
      <c r="B26" s="45" t="s">
        <v>53</v>
      </c>
      <c r="C26" s="50">
        <v>8</v>
      </c>
      <c r="D26" s="50">
        <v>3</v>
      </c>
      <c r="E26" s="50">
        <v>3</v>
      </c>
      <c r="F26" s="50">
        <v>11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28</v>
      </c>
      <c r="N26" s="50">
        <v>0</v>
      </c>
      <c r="O26" s="15">
        <f t="shared" si="0"/>
        <v>27</v>
      </c>
      <c r="P26" s="15">
        <f t="shared" si="1"/>
        <v>55</v>
      </c>
      <c r="R26" s="36" t="s">
        <v>150</v>
      </c>
      <c r="S26" s="34">
        <f>SUM(C74:C77)</f>
        <v>13</v>
      </c>
      <c r="T26" s="34">
        <f t="shared" ref="T26:AF26" si="18">SUM(D74:D77)</f>
        <v>2</v>
      </c>
      <c r="U26" s="34">
        <f t="shared" si="18"/>
        <v>1</v>
      </c>
      <c r="V26" s="34">
        <f t="shared" si="18"/>
        <v>19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44</v>
      </c>
      <c r="AD26" s="34">
        <f t="shared" si="18"/>
        <v>0</v>
      </c>
      <c r="AE26" s="31">
        <f t="shared" si="18"/>
        <v>38</v>
      </c>
      <c r="AF26" s="31">
        <f t="shared" si="18"/>
        <v>82</v>
      </c>
    </row>
    <row r="27" spans="2:32" ht="23.1" customHeight="1" x14ac:dyDescent="0.25">
      <c r="B27" s="45" t="s">
        <v>54</v>
      </c>
      <c r="C27" s="50">
        <v>13</v>
      </c>
      <c r="D27" s="50">
        <v>3</v>
      </c>
      <c r="E27" s="50">
        <v>3</v>
      </c>
      <c r="F27" s="50">
        <v>12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27</v>
      </c>
      <c r="N27" s="50">
        <v>0</v>
      </c>
      <c r="O27" s="15">
        <f t="shared" si="0"/>
        <v>33</v>
      </c>
      <c r="P27" s="15">
        <f t="shared" si="1"/>
        <v>60</v>
      </c>
      <c r="R27" s="36" t="s">
        <v>151</v>
      </c>
      <c r="S27" s="34">
        <f>SUM(C78:C81)</f>
        <v>12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7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20</v>
      </c>
      <c r="AD27" s="34">
        <f t="shared" si="19"/>
        <v>0</v>
      </c>
      <c r="AE27" s="31">
        <f t="shared" si="19"/>
        <v>23</v>
      </c>
      <c r="AF27" s="31">
        <f t="shared" si="19"/>
        <v>43</v>
      </c>
    </row>
    <row r="28" spans="2:32" ht="23.1" customHeight="1" x14ac:dyDescent="0.25">
      <c r="B28" s="45" t="s">
        <v>55</v>
      </c>
      <c r="C28" s="50">
        <v>13</v>
      </c>
      <c r="D28" s="50">
        <v>6</v>
      </c>
      <c r="E28" s="50">
        <v>5</v>
      </c>
      <c r="F28" s="50">
        <v>6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25</v>
      </c>
      <c r="N28" s="50">
        <v>0</v>
      </c>
      <c r="O28" s="15">
        <f t="shared" si="0"/>
        <v>33</v>
      </c>
      <c r="P28" s="15">
        <f t="shared" si="1"/>
        <v>58</v>
      </c>
      <c r="R28" s="36" t="s">
        <v>152</v>
      </c>
      <c r="S28" s="34">
        <f>SUM(C82:C85)</f>
        <v>0</v>
      </c>
      <c r="T28" s="34">
        <f t="shared" ref="T28:AF28" si="20">SUM(D82:D85)</f>
        <v>2</v>
      </c>
      <c r="U28" s="34">
        <f t="shared" si="20"/>
        <v>1</v>
      </c>
      <c r="V28" s="34">
        <f t="shared" si="20"/>
        <v>4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15</v>
      </c>
      <c r="AD28" s="34">
        <f t="shared" si="20"/>
        <v>0</v>
      </c>
      <c r="AE28" s="31">
        <f t="shared" si="20"/>
        <v>7</v>
      </c>
      <c r="AF28" s="31">
        <f t="shared" si="20"/>
        <v>22</v>
      </c>
    </row>
    <row r="29" spans="2:32" ht="23.1" customHeight="1" x14ac:dyDescent="0.25">
      <c r="B29" s="45" t="s">
        <v>56</v>
      </c>
      <c r="C29" s="50">
        <v>11</v>
      </c>
      <c r="D29" s="50">
        <v>3</v>
      </c>
      <c r="E29" s="50">
        <v>2</v>
      </c>
      <c r="F29" s="50">
        <v>3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23</v>
      </c>
      <c r="P29" s="15">
        <f t="shared" si="1"/>
        <v>44</v>
      </c>
      <c r="R29" s="36" t="s">
        <v>153</v>
      </c>
      <c r="S29" s="34">
        <f>SUM(C86:C89)</f>
        <v>0</v>
      </c>
      <c r="T29" s="34">
        <f t="shared" ref="T29:AF29" si="21">SUM(D86:D89)</f>
        <v>2</v>
      </c>
      <c r="U29" s="34">
        <f t="shared" si="21"/>
        <v>3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16</v>
      </c>
      <c r="AD29" s="34">
        <f t="shared" si="21"/>
        <v>0</v>
      </c>
      <c r="AE29" s="31">
        <f t="shared" si="21"/>
        <v>11</v>
      </c>
      <c r="AF29" s="31">
        <f t="shared" si="21"/>
        <v>27</v>
      </c>
    </row>
    <row r="30" spans="2:32" ht="23.1" customHeight="1" x14ac:dyDescent="0.25">
      <c r="B30" s="45" t="s">
        <v>57</v>
      </c>
      <c r="C30" s="50">
        <v>14</v>
      </c>
      <c r="D30" s="50">
        <v>2</v>
      </c>
      <c r="E30" s="50">
        <v>1</v>
      </c>
      <c r="F30" s="50">
        <v>12</v>
      </c>
      <c r="G30" s="50">
        <v>0</v>
      </c>
      <c r="H30" s="50">
        <v>0</v>
      </c>
      <c r="I30" s="50">
        <v>0</v>
      </c>
      <c r="J30" s="50">
        <v>2</v>
      </c>
      <c r="K30" s="50">
        <v>1</v>
      </c>
      <c r="L30" s="50">
        <v>0</v>
      </c>
      <c r="M30" s="50">
        <v>24</v>
      </c>
      <c r="N30" s="50">
        <v>0</v>
      </c>
      <c r="O30" s="15">
        <f t="shared" si="0"/>
        <v>32</v>
      </c>
      <c r="P30" s="15">
        <f t="shared" si="1"/>
        <v>56</v>
      </c>
      <c r="R30" s="36" t="s">
        <v>154</v>
      </c>
      <c r="S30" s="34">
        <f>SUM(C90:C93)</f>
        <v>0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2</v>
      </c>
      <c r="W30" s="34">
        <f t="shared" si="22"/>
        <v>2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2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9</v>
      </c>
      <c r="AF30" s="31">
        <f t="shared" si="22"/>
        <v>14</v>
      </c>
    </row>
    <row r="31" spans="2:32" ht="23.1" customHeight="1" x14ac:dyDescent="0.25">
      <c r="B31" s="46" t="s">
        <v>58</v>
      </c>
      <c r="C31" s="50">
        <v>8</v>
      </c>
      <c r="D31" s="50">
        <v>5</v>
      </c>
      <c r="E31" s="50">
        <v>2</v>
      </c>
      <c r="F31" s="50">
        <v>10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29</v>
      </c>
      <c r="N31" s="50">
        <v>0</v>
      </c>
      <c r="O31" s="15">
        <f t="shared" si="0"/>
        <v>29</v>
      </c>
      <c r="P31" s="15">
        <f t="shared" si="1"/>
        <v>58</v>
      </c>
      <c r="R31" s="36" t="s">
        <v>155</v>
      </c>
      <c r="S31" s="34">
        <f>SUM(C94:C97)</f>
        <v>0</v>
      </c>
      <c r="T31" s="34">
        <f t="shared" ref="T31:AF31" si="23">SUM(D94:D97)</f>
        <v>2</v>
      </c>
      <c r="U31" s="34">
        <f t="shared" si="23"/>
        <v>3</v>
      </c>
      <c r="V31" s="34">
        <f t="shared" si="23"/>
        <v>2</v>
      </c>
      <c r="W31" s="34">
        <f t="shared" si="23"/>
        <v>3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11</v>
      </c>
      <c r="AF31" s="31">
        <f t="shared" si="23"/>
        <v>17</v>
      </c>
    </row>
    <row r="32" spans="2:32" ht="23.1" customHeight="1" x14ac:dyDescent="0.25">
      <c r="B32" s="46" t="s">
        <v>59</v>
      </c>
      <c r="C32" s="50">
        <v>14</v>
      </c>
      <c r="D32" s="50">
        <v>8</v>
      </c>
      <c r="E32" s="50">
        <v>1</v>
      </c>
      <c r="F32" s="50">
        <v>6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73</v>
      </c>
      <c r="N32" s="50">
        <v>0</v>
      </c>
      <c r="O32" s="15">
        <f t="shared" si="0"/>
        <v>32</v>
      </c>
      <c r="P32" s="15">
        <f t="shared" si="1"/>
        <v>105</v>
      </c>
      <c r="R32" s="33" t="s">
        <v>156</v>
      </c>
      <c r="S32" s="34">
        <f>SUM(C98:C101)</f>
        <v>0</v>
      </c>
      <c r="T32" s="34">
        <f t="shared" ref="T32:AF32" si="24">SUM(D98:D101)</f>
        <v>2</v>
      </c>
      <c r="U32" s="34">
        <f t="shared" si="24"/>
        <v>3</v>
      </c>
      <c r="V32" s="34">
        <f t="shared" si="24"/>
        <v>4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9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7</v>
      </c>
      <c r="D33" s="50">
        <v>2</v>
      </c>
      <c r="E33" s="50">
        <v>6</v>
      </c>
      <c r="F33" s="50">
        <v>10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0</v>
      </c>
      <c r="M33" s="50">
        <v>26</v>
      </c>
      <c r="N33" s="50">
        <v>0</v>
      </c>
      <c r="O33" s="15">
        <f t="shared" si="0"/>
        <v>29</v>
      </c>
      <c r="P33" s="15">
        <f t="shared" si="1"/>
        <v>55</v>
      </c>
      <c r="R33" s="33" t="s">
        <v>157</v>
      </c>
      <c r="S33" s="34">
        <f>SUM(C102:C105)</f>
        <v>13</v>
      </c>
      <c r="T33" s="34">
        <f t="shared" ref="T33:AF33" si="25">SUM(D102:D105)</f>
        <v>5</v>
      </c>
      <c r="U33" s="34">
        <f t="shared" si="25"/>
        <v>6</v>
      </c>
      <c r="V33" s="34">
        <f t="shared" si="25"/>
        <v>14</v>
      </c>
      <c r="W33" s="34">
        <f t="shared" si="25"/>
        <v>0</v>
      </c>
      <c r="X33" s="34">
        <f t="shared" si="25"/>
        <v>0</v>
      </c>
      <c r="Y33" s="34">
        <f t="shared" si="25"/>
        <v>13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30</v>
      </c>
      <c r="AD33" s="34">
        <f t="shared" si="25"/>
        <v>0</v>
      </c>
      <c r="AE33" s="31">
        <f t="shared" si="25"/>
        <v>51</v>
      </c>
      <c r="AF33" s="31">
        <f t="shared" si="25"/>
        <v>81</v>
      </c>
    </row>
    <row r="34" spans="2:32" ht="23.1" customHeight="1" x14ac:dyDescent="0.25">
      <c r="B34" s="46" t="s">
        <v>61</v>
      </c>
      <c r="C34" s="50">
        <v>9</v>
      </c>
      <c r="D34" s="50">
        <v>5</v>
      </c>
      <c r="E34" s="50">
        <v>2</v>
      </c>
      <c r="F34" s="50">
        <v>13</v>
      </c>
      <c r="G34" s="50">
        <v>1</v>
      </c>
      <c r="H34" s="50">
        <v>0</v>
      </c>
      <c r="I34" s="50">
        <v>0</v>
      </c>
      <c r="J34" s="50">
        <v>1</v>
      </c>
      <c r="K34" s="50">
        <v>2</v>
      </c>
      <c r="L34" s="50">
        <v>0</v>
      </c>
      <c r="M34" s="50">
        <v>21</v>
      </c>
      <c r="N34" s="50">
        <v>0</v>
      </c>
      <c r="O34" s="15">
        <f t="shared" si="0"/>
        <v>33</v>
      </c>
      <c r="P34" s="15">
        <f t="shared" si="1"/>
        <v>54</v>
      </c>
      <c r="R34" s="38" t="s">
        <v>90</v>
      </c>
      <c r="S34" s="39">
        <f t="shared" ref="S34:AF34" si="26">MAX(S10:S12)</f>
        <v>44</v>
      </c>
      <c r="T34" s="39">
        <f t="shared" si="26"/>
        <v>13</v>
      </c>
      <c r="U34" s="39">
        <f t="shared" si="26"/>
        <v>6</v>
      </c>
      <c r="V34" s="39">
        <f t="shared" si="26"/>
        <v>36</v>
      </c>
      <c r="W34" s="39">
        <f t="shared" si="26"/>
        <v>1</v>
      </c>
      <c r="X34" s="39">
        <f t="shared" si="26"/>
        <v>0</v>
      </c>
      <c r="Y34" s="39">
        <f t="shared" si="26"/>
        <v>13</v>
      </c>
      <c r="Z34" s="39">
        <f t="shared" si="26"/>
        <v>1</v>
      </c>
      <c r="AA34" s="39">
        <f t="shared" si="26"/>
        <v>1</v>
      </c>
      <c r="AB34" s="39">
        <f t="shared" si="26"/>
        <v>3</v>
      </c>
      <c r="AC34" s="39">
        <f t="shared" si="26"/>
        <v>76</v>
      </c>
      <c r="AD34" s="39">
        <f t="shared" si="26"/>
        <v>0</v>
      </c>
      <c r="AE34" s="40">
        <f t="shared" si="26"/>
        <v>108</v>
      </c>
      <c r="AF34" s="40">
        <f t="shared" si="26"/>
        <v>184</v>
      </c>
    </row>
    <row r="35" spans="2:32" ht="23.1" customHeight="1" x14ac:dyDescent="0.25">
      <c r="B35" s="46" t="s">
        <v>62</v>
      </c>
      <c r="C35" s="50">
        <v>10</v>
      </c>
      <c r="D35" s="50">
        <v>3</v>
      </c>
      <c r="E35" s="50">
        <v>1</v>
      </c>
      <c r="F35" s="50">
        <v>11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27</v>
      </c>
      <c r="P35" s="15">
        <f t="shared" si="1"/>
        <v>40</v>
      </c>
      <c r="R35" s="38" t="s">
        <v>91</v>
      </c>
      <c r="S35" s="39">
        <f t="shared" ref="S35:AF35" si="27">MAX(S13:S18)</f>
        <v>54</v>
      </c>
      <c r="T35" s="39">
        <f t="shared" si="27"/>
        <v>41</v>
      </c>
      <c r="U35" s="39">
        <f t="shared" si="27"/>
        <v>13</v>
      </c>
      <c r="V35" s="39">
        <f t="shared" si="27"/>
        <v>41</v>
      </c>
      <c r="W35" s="39">
        <f t="shared" si="27"/>
        <v>1</v>
      </c>
      <c r="X35" s="39">
        <f t="shared" si="27"/>
        <v>0</v>
      </c>
      <c r="Y35" s="39">
        <f t="shared" si="27"/>
        <v>13</v>
      </c>
      <c r="Z35" s="39">
        <f t="shared" si="27"/>
        <v>5</v>
      </c>
      <c r="AA35" s="39">
        <f t="shared" si="27"/>
        <v>2</v>
      </c>
      <c r="AB35" s="39">
        <f t="shared" si="27"/>
        <v>3</v>
      </c>
      <c r="AC35" s="39">
        <f t="shared" si="27"/>
        <v>152</v>
      </c>
      <c r="AD35" s="39">
        <f t="shared" si="27"/>
        <v>0</v>
      </c>
      <c r="AE35" s="40">
        <f t="shared" si="27"/>
        <v>145</v>
      </c>
      <c r="AF35" s="40">
        <f t="shared" si="27"/>
        <v>274</v>
      </c>
    </row>
    <row r="36" spans="2:32" ht="23.1" customHeight="1" x14ac:dyDescent="0.25">
      <c r="B36" s="46" t="s">
        <v>63</v>
      </c>
      <c r="C36" s="50">
        <v>10</v>
      </c>
      <c r="D36" s="50">
        <v>5</v>
      </c>
      <c r="E36" s="50">
        <v>2</v>
      </c>
      <c r="F36" s="50">
        <v>9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1</v>
      </c>
      <c r="M36" s="50">
        <v>21</v>
      </c>
      <c r="N36" s="50">
        <v>0</v>
      </c>
      <c r="O36" s="15">
        <f t="shared" si="0"/>
        <v>31</v>
      </c>
      <c r="P36" s="15">
        <f t="shared" si="1"/>
        <v>52</v>
      </c>
      <c r="R36" s="38" t="s">
        <v>92</v>
      </c>
      <c r="S36" s="39">
        <f t="shared" ref="S36:AF36" si="28">MAX(S19:S21)</f>
        <v>96</v>
      </c>
      <c r="T36" s="39">
        <f t="shared" si="28"/>
        <v>39</v>
      </c>
      <c r="U36" s="39">
        <f t="shared" si="28"/>
        <v>16</v>
      </c>
      <c r="V36" s="39">
        <f t="shared" si="28"/>
        <v>57</v>
      </c>
      <c r="W36" s="39">
        <f t="shared" si="28"/>
        <v>0</v>
      </c>
      <c r="X36" s="39">
        <f t="shared" si="28"/>
        <v>0</v>
      </c>
      <c r="Y36" s="39">
        <f t="shared" si="28"/>
        <v>17</v>
      </c>
      <c r="Z36" s="39">
        <f t="shared" si="28"/>
        <v>2</v>
      </c>
      <c r="AA36" s="39">
        <f t="shared" si="28"/>
        <v>2</v>
      </c>
      <c r="AB36" s="39">
        <f t="shared" si="28"/>
        <v>3</v>
      </c>
      <c r="AC36" s="39">
        <f t="shared" si="28"/>
        <v>148</v>
      </c>
      <c r="AD36" s="39">
        <f t="shared" si="28"/>
        <v>1</v>
      </c>
      <c r="AE36" s="40">
        <f t="shared" si="28"/>
        <v>211</v>
      </c>
      <c r="AF36" s="40">
        <f t="shared" si="28"/>
        <v>358</v>
      </c>
    </row>
    <row r="37" spans="2:32" ht="23.1" customHeight="1" x14ac:dyDescent="0.25">
      <c r="B37" s="45" t="s">
        <v>64</v>
      </c>
      <c r="C37" s="50">
        <v>10</v>
      </c>
      <c r="D37" s="50">
        <v>5</v>
      </c>
      <c r="E37" s="50">
        <v>1</v>
      </c>
      <c r="F37" s="50">
        <v>8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18</v>
      </c>
      <c r="N37" s="50">
        <v>0</v>
      </c>
      <c r="O37" s="15">
        <f t="shared" si="0"/>
        <v>28</v>
      </c>
      <c r="P37" s="15">
        <f t="shared" si="1"/>
        <v>46</v>
      </c>
      <c r="R37" s="37" t="s">
        <v>85</v>
      </c>
      <c r="S37" s="35">
        <f t="shared" ref="S37:AF37" si="29">SUM(S10:S12)</f>
        <v>83</v>
      </c>
      <c r="T37" s="16">
        <f t="shared" si="29"/>
        <v>29</v>
      </c>
      <c r="U37" s="16">
        <f t="shared" si="29"/>
        <v>14</v>
      </c>
      <c r="V37" s="16">
        <f t="shared" si="29"/>
        <v>95</v>
      </c>
      <c r="W37" s="16">
        <f t="shared" si="29"/>
        <v>1</v>
      </c>
      <c r="X37" s="16">
        <f t="shared" si="29"/>
        <v>0</v>
      </c>
      <c r="Y37" s="16">
        <f t="shared" si="29"/>
        <v>27</v>
      </c>
      <c r="Z37" s="16">
        <f t="shared" si="29"/>
        <v>1</v>
      </c>
      <c r="AA37" s="16">
        <f t="shared" si="29"/>
        <v>1</v>
      </c>
      <c r="AB37" s="16">
        <f t="shared" si="29"/>
        <v>5</v>
      </c>
      <c r="AC37" s="16">
        <f t="shared" si="29"/>
        <v>154</v>
      </c>
      <c r="AD37" s="16">
        <f t="shared" si="29"/>
        <v>0</v>
      </c>
      <c r="AE37" s="32">
        <f t="shared" si="29"/>
        <v>256</v>
      </c>
      <c r="AF37" s="32">
        <f t="shared" si="29"/>
        <v>410</v>
      </c>
    </row>
    <row r="38" spans="2:32" ht="23.1" customHeight="1" x14ac:dyDescent="0.25">
      <c r="B38" s="46" t="s">
        <v>65</v>
      </c>
      <c r="C38" s="50">
        <v>8</v>
      </c>
      <c r="D38" s="50">
        <v>4</v>
      </c>
      <c r="E38" s="50">
        <v>0</v>
      </c>
      <c r="F38" s="50">
        <v>10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23</v>
      </c>
      <c r="P38" s="15">
        <f t="shared" si="1"/>
        <v>31</v>
      </c>
      <c r="R38" s="28" t="s">
        <v>86</v>
      </c>
      <c r="S38" s="16">
        <f t="shared" ref="S38:AF38" si="30">SUM(S13:S18)</f>
        <v>270</v>
      </c>
      <c r="T38" s="16">
        <f t="shared" si="30"/>
        <v>126</v>
      </c>
      <c r="U38" s="16">
        <f t="shared" si="30"/>
        <v>49</v>
      </c>
      <c r="V38" s="16">
        <f t="shared" si="30"/>
        <v>225</v>
      </c>
      <c r="W38" s="16">
        <f t="shared" si="30"/>
        <v>1</v>
      </c>
      <c r="X38" s="16">
        <f t="shared" si="30"/>
        <v>0</v>
      </c>
      <c r="Y38" s="16">
        <f t="shared" si="30"/>
        <v>60</v>
      </c>
      <c r="Z38" s="16">
        <f t="shared" si="30"/>
        <v>12</v>
      </c>
      <c r="AA38" s="16">
        <f t="shared" si="30"/>
        <v>5</v>
      </c>
      <c r="AB38" s="16">
        <f t="shared" si="30"/>
        <v>5</v>
      </c>
      <c r="AC38" s="16">
        <f t="shared" si="30"/>
        <v>521</v>
      </c>
      <c r="AD38" s="16">
        <f t="shared" si="30"/>
        <v>0</v>
      </c>
      <c r="AE38" s="32">
        <f t="shared" si="30"/>
        <v>753</v>
      </c>
      <c r="AF38" s="32">
        <f t="shared" si="30"/>
        <v>1274</v>
      </c>
    </row>
    <row r="39" spans="2:32" ht="23.1" customHeight="1" x14ac:dyDescent="0.25">
      <c r="B39" s="46" t="s">
        <v>66</v>
      </c>
      <c r="C39" s="50">
        <v>16</v>
      </c>
      <c r="D39" s="50">
        <v>8</v>
      </c>
      <c r="E39" s="50">
        <v>1</v>
      </c>
      <c r="F39" s="50">
        <v>9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12</v>
      </c>
      <c r="N39" s="50">
        <v>0</v>
      </c>
      <c r="O39" s="15">
        <f t="shared" si="0"/>
        <v>38</v>
      </c>
      <c r="P39" s="15">
        <f t="shared" si="1"/>
        <v>50</v>
      </c>
      <c r="R39" s="29" t="s">
        <v>87</v>
      </c>
      <c r="S39" s="16">
        <f t="shared" ref="S39:AF39" si="31">SUM(S19:S21)</f>
        <v>275</v>
      </c>
      <c r="T39" s="16">
        <f t="shared" si="31"/>
        <v>103</v>
      </c>
      <c r="U39" s="16">
        <f t="shared" si="31"/>
        <v>42</v>
      </c>
      <c r="V39" s="16">
        <f t="shared" si="31"/>
        <v>143</v>
      </c>
      <c r="W39" s="16">
        <f t="shared" si="31"/>
        <v>0</v>
      </c>
      <c r="X39" s="16">
        <f t="shared" si="31"/>
        <v>0</v>
      </c>
      <c r="Y39" s="16">
        <f t="shared" si="31"/>
        <v>38</v>
      </c>
      <c r="Z39" s="16">
        <f t="shared" si="31"/>
        <v>4</v>
      </c>
      <c r="AA39" s="16">
        <f t="shared" si="31"/>
        <v>3</v>
      </c>
      <c r="AB39" s="16">
        <f t="shared" si="31"/>
        <v>5</v>
      </c>
      <c r="AC39" s="16">
        <f t="shared" si="31"/>
        <v>421</v>
      </c>
      <c r="AD39" s="16">
        <f t="shared" si="31"/>
        <v>2</v>
      </c>
      <c r="AE39" s="32">
        <f t="shared" si="31"/>
        <v>615</v>
      </c>
      <c r="AF39" s="32">
        <f t="shared" si="31"/>
        <v>1036</v>
      </c>
    </row>
    <row r="40" spans="2:32" ht="23.1" customHeight="1" x14ac:dyDescent="0.25">
      <c r="B40" s="46" t="s">
        <v>67</v>
      </c>
      <c r="C40" s="50">
        <v>17</v>
      </c>
      <c r="D40" s="50">
        <v>8</v>
      </c>
      <c r="E40" s="50">
        <v>3</v>
      </c>
      <c r="F40" s="50">
        <v>10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41</v>
      </c>
      <c r="P40" s="15">
        <f t="shared" si="1"/>
        <v>46</v>
      </c>
      <c r="R40" s="5" t="s">
        <v>17</v>
      </c>
      <c r="S40" s="16">
        <f t="shared" ref="S40:AF40" si="32">SUM(S10:S21)</f>
        <v>628</v>
      </c>
      <c r="T40" s="16">
        <f t="shared" si="32"/>
        <v>258</v>
      </c>
      <c r="U40" s="16">
        <f t="shared" si="32"/>
        <v>105</v>
      </c>
      <c r="V40" s="16">
        <f t="shared" si="32"/>
        <v>463</v>
      </c>
      <c r="W40" s="16">
        <f t="shared" si="32"/>
        <v>2</v>
      </c>
      <c r="X40" s="16">
        <f t="shared" si="32"/>
        <v>0</v>
      </c>
      <c r="Y40" s="16">
        <f t="shared" si="32"/>
        <v>125</v>
      </c>
      <c r="Z40" s="16">
        <f t="shared" si="32"/>
        <v>17</v>
      </c>
      <c r="AA40" s="16">
        <f t="shared" si="32"/>
        <v>9</v>
      </c>
      <c r="AB40" s="16">
        <f t="shared" si="32"/>
        <v>15</v>
      </c>
      <c r="AC40" s="16">
        <f t="shared" si="32"/>
        <v>1096</v>
      </c>
      <c r="AD40" s="16">
        <f t="shared" si="32"/>
        <v>2</v>
      </c>
      <c r="AE40" s="32">
        <f t="shared" si="32"/>
        <v>1624</v>
      </c>
      <c r="AF40" s="32">
        <f t="shared" si="32"/>
        <v>2720</v>
      </c>
    </row>
    <row r="41" spans="2:32" ht="23.1" customHeight="1" x14ac:dyDescent="0.25">
      <c r="B41" s="45" t="s">
        <v>68</v>
      </c>
      <c r="C41" s="50">
        <v>13</v>
      </c>
      <c r="D41" s="50">
        <v>3</v>
      </c>
      <c r="E41" s="50">
        <v>0</v>
      </c>
      <c r="F41" s="50">
        <v>9</v>
      </c>
      <c r="G41" s="50">
        <v>0</v>
      </c>
      <c r="H41" s="50">
        <v>0</v>
      </c>
      <c r="I41" s="50">
        <v>5</v>
      </c>
      <c r="J41" s="50">
        <v>0</v>
      </c>
      <c r="K41" s="50">
        <v>1</v>
      </c>
      <c r="L41" s="50">
        <v>0</v>
      </c>
      <c r="M41" s="50">
        <v>9</v>
      </c>
      <c r="N41" s="50">
        <v>0</v>
      </c>
      <c r="O41" s="15">
        <f t="shared" si="0"/>
        <v>31</v>
      </c>
      <c r="P41" s="15">
        <f t="shared" si="1"/>
        <v>40</v>
      </c>
      <c r="R41" s="5" t="s">
        <v>159</v>
      </c>
      <c r="S41" s="16">
        <f>SUM(S10:S33)</f>
        <v>804</v>
      </c>
      <c r="T41" s="16">
        <f t="shared" ref="T41:AF41" si="33">SUM(T10:T33)</f>
        <v>320</v>
      </c>
      <c r="U41" s="16">
        <f t="shared" si="33"/>
        <v>147</v>
      </c>
      <c r="V41" s="16">
        <f t="shared" si="33"/>
        <v>661</v>
      </c>
      <c r="W41" s="16">
        <f t="shared" si="33"/>
        <v>18</v>
      </c>
      <c r="X41" s="16">
        <f t="shared" si="33"/>
        <v>1</v>
      </c>
      <c r="Y41" s="16">
        <f t="shared" si="33"/>
        <v>179</v>
      </c>
      <c r="Z41" s="16">
        <f t="shared" si="33"/>
        <v>18</v>
      </c>
      <c r="AA41" s="16">
        <f t="shared" si="33"/>
        <v>11</v>
      </c>
      <c r="AB41" s="16">
        <f t="shared" si="33"/>
        <v>17</v>
      </c>
      <c r="AC41" s="16">
        <f t="shared" si="33"/>
        <v>1616</v>
      </c>
      <c r="AD41" s="16">
        <f t="shared" si="33"/>
        <v>2</v>
      </c>
      <c r="AE41" s="32">
        <f t="shared" si="33"/>
        <v>2178</v>
      </c>
      <c r="AF41" s="32">
        <f t="shared" si="33"/>
        <v>3794</v>
      </c>
    </row>
    <row r="42" spans="2:32" ht="23.1" customHeight="1" x14ac:dyDescent="0.25">
      <c r="B42" s="46" t="s">
        <v>69</v>
      </c>
      <c r="C42" s="50">
        <v>14</v>
      </c>
      <c r="D42" s="50">
        <v>8</v>
      </c>
      <c r="E42" s="50">
        <v>2</v>
      </c>
      <c r="F42" s="50">
        <v>5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32</v>
      </c>
      <c r="P42" s="15">
        <f t="shared" si="1"/>
        <v>43</v>
      </c>
      <c r="R42" s="5" t="s">
        <v>160</v>
      </c>
      <c r="S42" s="48">
        <f>S41/S40</f>
        <v>1.2802547770700636</v>
      </c>
      <c r="T42" s="48">
        <f t="shared" ref="T42:AF42" si="34">T41/T40</f>
        <v>1.2403100775193798</v>
      </c>
      <c r="U42" s="48">
        <f t="shared" si="34"/>
        <v>1.4</v>
      </c>
      <c r="V42" s="48">
        <f t="shared" si="34"/>
        <v>1.4276457883369331</v>
      </c>
      <c r="W42" s="48">
        <f t="shared" si="34"/>
        <v>9</v>
      </c>
      <c r="X42" s="48" t="e">
        <f t="shared" si="34"/>
        <v>#DIV/0!</v>
      </c>
      <c r="Y42" s="48">
        <f t="shared" si="34"/>
        <v>1.4319999999999999</v>
      </c>
      <c r="Z42" s="48">
        <f t="shared" si="34"/>
        <v>1.0588235294117647</v>
      </c>
      <c r="AA42" s="48">
        <f t="shared" si="34"/>
        <v>1.2222222222222223</v>
      </c>
      <c r="AB42" s="48">
        <f t="shared" si="34"/>
        <v>1.1333333333333333</v>
      </c>
      <c r="AC42" s="48">
        <f t="shared" si="34"/>
        <v>1.4744525547445255</v>
      </c>
      <c r="AD42" s="48">
        <f t="shared" si="34"/>
        <v>1</v>
      </c>
      <c r="AE42" s="48">
        <f t="shared" si="34"/>
        <v>1.3411330049261083</v>
      </c>
      <c r="AF42" s="48">
        <f t="shared" si="34"/>
        <v>1.3948529411764705</v>
      </c>
    </row>
    <row r="43" spans="2:32" ht="23.1" customHeight="1" x14ac:dyDescent="0.25">
      <c r="B43" s="45" t="s">
        <v>70</v>
      </c>
      <c r="C43" s="50">
        <v>12</v>
      </c>
      <c r="D43" s="50">
        <v>19</v>
      </c>
      <c r="E43" s="50">
        <v>2</v>
      </c>
      <c r="F43" s="50">
        <v>5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42</v>
      </c>
      <c r="P43" s="15">
        <f t="shared" si="1"/>
        <v>59</v>
      </c>
    </row>
    <row r="44" spans="2:32" ht="23.1" customHeight="1" x14ac:dyDescent="0.25">
      <c r="B44" s="47" t="s">
        <v>71</v>
      </c>
      <c r="C44" s="50">
        <v>13</v>
      </c>
      <c r="D44" s="50">
        <v>7</v>
      </c>
      <c r="E44" s="50">
        <v>2</v>
      </c>
      <c r="F44" s="50">
        <v>9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3</v>
      </c>
      <c r="M44" s="50">
        <v>23</v>
      </c>
      <c r="N44" s="50">
        <v>0</v>
      </c>
      <c r="O44" s="15">
        <f t="shared" si="0"/>
        <v>37</v>
      </c>
      <c r="P44" s="15">
        <f t="shared" si="1"/>
        <v>60</v>
      </c>
    </row>
    <row r="45" spans="2:32" ht="23.1" customHeight="1" x14ac:dyDescent="0.25">
      <c r="B45" s="45" t="s">
        <v>72</v>
      </c>
      <c r="C45" s="50">
        <v>4</v>
      </c>
      <c r="D45" s="50">
        <v>7</v>
      </c>
      <c r="E45" s="50">
        <v>3</v>
      </c>
      <c r="F45" s="50">
        <v>19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34</v>
      </c>
      <c r="P45" s="15">
        <f t="shared" si="1"/>
        <v>59</v>
      </c>
    </row>
    <row r="46" spans="2:32" ht="23.1" customHeight="1" x14ac:dyDescent="0.25">
      <c r="B46" s="46" t="s">
        <v>73</v>
      </c>
      <c r="C46" s="50">
        <v>19</v>
      </c>
      <c r="D46" s="50">
        <v>12</v>
      </c>
      <c r="E46" s="50">
        <v>0</v>
      </c>
      <c r="F46" s="50">
        <v>6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17</v>
      </c>
      <c r="N46" s="50">
        <v>0</v>
      </c>
      <c r="O46" s="15">
        <f t="shared" si="0"/>
        <v>40</v>
      </c>
      <c r="P46" s="15">
        <f t="shared" si="1"/>
        <v>57</v>
      </c>
      <c r="R46" s="8"/>
      <c r="T46"/>
    </row>
    <row r="47" spans="2:32" ht="23.1" customHeight="1" x14ac:dyDescent="0.25">
      <c r="B47" s="46" t="s">
        <v>74</v>
      </c>
      <c r="C47" s="50">
        <v>15</v>
      </c>
      <c r="D47" s="50">
        <v>10</v>
      </c>
      <c r="E47" s="50">
        <v>3</v>
      </c>
      <c r="F47" s="50">
        <v>12</v>
      </c>
      <c r="G47" s="50">
        <v>0</v>
      </c>
      <c r="H47" s="50">
        <v>0</v>
      </c>
      <c r="I47" s="50">
        <v>5</v>
      </c>
      <c r="J47" s="50">
        <v>0</v>
      </c>
      <c r="K47" s="50">
        <v>1</v>
      </c>
      <c r="L47" s="50">
        <v>1</v>
      </c>
      <c r="M47" s="50">
        <v>31</v>
      </c>
      <c r="N47" s="50">
        <v>0</v>
      </c>
      <c r="O47" s="15">
        <f t="shared" si="0"/>
        <v>47</v>
      </c>
      <c r="P47" s="15">
        <f t="shared" si="1"/>
        <v>78</v>
      </c>
      <c r="R47" s="8"/>
      <c r="T47"/>
    </row>
    <row r="48" spans="2:32" ht="23.1" customHeight="1" x14ac:dyDescent="0.25">
      <c r="B48" s="46" t="s">
        <v>75</v>
      </c>
      <c r="C48" s="50">
        <v>26</v>
      </c>
      <c r="D48" s="50">
        <v>9</v>
      </c>
      <c r="E48" s="50">
        <v>3</v>
      </c>
      <c r="F48" s="50">
        <v>8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53</v>
      </c>
      <c r="N48" s="50">
        <v>0</v>
      </c>
      <c r="O48" s="15">
        <f t="shared" si="0"/>
        <v>49</v>
      </c>
      <c r="P48" s="15">
        <f t="shared" si="1"/>
        <v>102</v>
      </c>
      <c r="R48" s="8"/>
      <c r="T48"/>
    </row>
    <row r="49" spans="2:20" ht="23.1" customHeight="1" x14ac:dyDescent="0.25">
      <c r="B49" s="45" t="s">
        <v>76</v>
      </c>
      <c r="C49" s="50">
        <v>24</v>
      </c>
      <c r="D49" s="50">
        <v>8</v>
      </c>
      <c r="E49" s="50">
        <v>7</v>
      </c>
      <c r="F49" s="50">
        <v>16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25</v>
      </c>
      <c r="N49" s="50">
        <v>0</v>
      </c>
      <c r="O49" s="15">
        <f t="shared" si="0"/>
        <v>58</v>
      </c>
      <c r="P49" s="15">
        <f t="shared" si="1"/>
        <v>83</v>
      </c>
      <c r="R49" s="8"/>
      <c r="T49"/>
    </row>
    <row r="50" spans="2:20" ht="23.1" customHeight="1" x14ac:dyDescent="0.25">
      <c r="B50" s="46" t="s">
        <v>77</v>
      </c>
      <c r="C50" s="50">
        <v>29</v>
      </c>
      <c r="D50" s="50">
        <v>6</v>
      </c>
      <c r="E50" s="50">
        <v>2</v>
      </c>
      <c r="F50" s="50">
        <v>12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37</v>
      </c>
      <c r="N50" s="50">
        <v>1</v>
      </c>
      <c r="O50" s="15">
        <f t="shared" si="0"/>
        <v>53</v>
      </c>
      <c r="P50" s="15">
        <f t="shared" si="1"/>
        <v>90</v>
      </c>
      <c r="R50" s="8"/>
      <c r="T50"/>
    </row>
    <row r="51" spans="2:20" ht="23.1" customHeight="1" x14ac:dyDescent="0.25">
      <c r="B51" s="46" t="s">
        <v>78</v>
      </c>
      <c r="C51" s="50">
        <v>28</v>
      </c>
      <c r="D51" s="50">
        <v>9</v>
      </c>
      <c r="E51" s="50">
        <v>5</v>
      </c>
      <c r="F51" s="50">
        <v>10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42</v>
      </c>
      <c r="N51" s="50">
        <v>0</v>
      </c>
      <c r="O51" s="15">
        <f t="shared" si="0"/>
        <v>55</v>
      </c>
      <c r="P51" s="15">
        <f t="shared" si="1"/>
        <v>97</v>
      </c>
      <c r="R51" s="8"/>
      <c r="T51"/>
    </row>
    <row r="52" spans="2:20" ht="23.1" customHeight="1" x14ac:dyDescent="0.25">
      <c r="B52" s="46" t="s">
        <v>79</v>
      </c>
      <c r="C52" s="50">
        <v>23</v>
      </c>
      <c r="D52" s="50">
        <v>7</v>
      </c>
      <c r="E52" s="50">
        <v>4</v>
      </c>
      <c r="F52" s="50">
        <v>6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38</v>
      </c>
      <c r="N52" s="50">
        <v>0</v>
      </c>
      <c r="O52" s="15">
        <f t="shared" si="0"/>
        <v>42</v>
      </c>
      <c r="P52" s="15">
        <f t="shared" si="1"/>
        <v>80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14</v>
      </c>
      <c r="E53" s="50">
        <v>5</v>
      </c>
      <c r="F53" s="50">
        <v>16</v>
      </c>
      <c r="G53" s="50">
        <v>0</v>
      </c>
      <c r="H53" s="50">
        <v>0</v>
      </c>
      <c r="I53" s="50">
        <v>10</v>
      </c>
      <c r="J53" s="50">
        <v>0</v>
      </c>
      <c r="K53" s="50">
        <v>0</v>
      </c>
      <c r="L53" s="50">
        <v>0</v>
      </c>
      <c r="M53" s="50">
        <v>30</v>
      </c>
      <c r="N53" s="50">
        <v>0</v>
      </c>
      <c r="O53" s="15">
        <f t="shared" si="0"/>
        <v>61</v>
      </c>
      <c r="P53" s="15">
        <f t="shared" si="1"/>
        <v>91</v>
      </c>
      <c r="R53" s="8"/>
      <c r="T53"/>
    </row>
    <row r="54" spans="2:20" ht="23.1" customHeight="1" x14ac:dyDescent="0.25">
      <c r="B54" s="45" t="s">
        <v>81</v>
      </c>
      <c r="C54" s="50">
        <v>30</v>
      </c>
      <c r="D54" s="50">
        <v>13</v>
      </c>
      <c r="E54" s="50">
        <v>1</v>
      </c>
      <c r="F54" s="50">
        <v>12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26</v>
      </c>
      <c r="N54" s="50">
        <v>0</v>
      </c>
      <c r="O54" s="15">
        <f t="shared" si="0"/>
        <v>60</v>
      </c>
      <c r="P54" s="15">
        <f t="shared" si="1"/>
        <v>86</v>
      </c>
      <c r="R54" s="8"/>
      <c r="T54"/>
    </row>
    <row r="55" spans="2:20" ht="23.1" customHeight="1" x14ac:dyDescent="0.25">
      <c r="B55" s="45" t="s">
        <v>82</v>
      </c>
      <c r="C55" s="50">
        <v>31</v>
      </c>
      <c r="D55" s="50">
        <v>8</v>
      </c>
      <c r="E55" s="50">
        <v>7</v>
      </c>
      <c r="F55" s="50">
        <v>15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43</v>
      </c>
      <c r="N55" s="50">
        <v>1</v>
      </c>
      <c r="O55" s="15">
        <f t="shared" si="0"/>
        <v>64</v>
      </c>
      <c r="P55" s="15">
        <f t="shared" si="1"/>
        <v>107</v>
      </c>
      <c r="R55" s="8"/>
      <c r="T55"/>
    </row>
    <row r="56" spans="2:20" ht="23.1" customHeight="1" x14ac:dyDescent="0.25">
      <c r="B56" s="45" t="s">
        <v>83</v>
      </c>
      <c r="C56" s="50">
        <v>14</v>
      </c>
      <c r="D56" s="50">
        <v>6</v>
      </c>
      <c r="E56" s="50">
        <v>2</v>
      </c>
      <c r="F56" s="50">
        <v>18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41</v>
      </c>
      <c r="N56" s="50">
        <v>0</v>
      </c>
      <c r="O56" s="15">
        <f t="shared" si="0"/>
        <v>43</v>
      </c>
      <c r="P56" s="15">
        <f t="shared" si="1"/>
        <v>84</v>
      </c>
      <c r="R56" s="8"/>
      <c r="T56"/>
    </row>
    <row r="57" spans="2:20" ht="23.1" customHeight="1" x14ac:dyDescent="0.25">
      <c r="B57" s="45" t="s">
        <v>84</v>
      </c>
      <c r="C57" s="50">
        <v>20</v>
      </c>
      <c r="D57" s="50">
        <v>1</v>
      </c>
      <c r="E57" s="50">
        <v>3</v>
      </c>
      <c r="F57" s="50">
        <v>12</v>
      </c>
      <c r="G57" s="50">
        <v>0</v>
      </c>
      <c r="H57" s="50">
        <v>0</v>
      </c>
      <c r="I57" s="50">
        <v>0</v>
      </c>
      <c r="J57" s="50">
        <v>2</v>
      </c>
      <c r="K57" s="50">
        <v>2</v>
      </c>
      <c r="L57" s="50">
        <v>3</v>
      </c>
      <c r="M57" s="50">
        <v>38</v>
      </c>
      <c r="N57" s="50">
        <v>0</v>
      </c>
      <c r="O57" s="15">
        <f t="shared" si="0"/>
        <v>43</v>
      </c>
      <c r="P57" s="15">
        <f t="shared" si="1"/>
        <v>81</v>
      </c>
      <c r="R57" s="8"/>
      <c r="T57"/>
    </row>
    <row r="58" spans="2:20" ht="23.1" customHeight="1" x14ac:dyDescent="0.25">
      <c r="B58" s="45" t="s">
        <v>99</v>
      </c>
      <c r="C58" s="50">
        <v>11</v>
      </c>
      <c r="D58" s="50">
        <v>1</v>
      </c>
      <c r="E58" s="50">
        <v>2</v>
      </c>
      <c r="F58" s="50">
        <v>8</v>
      </c>
      <c r="G58" s="50">
        <v>0</v>
      </c>
      <c r="H58" s="50">
        <v>0</v>
      </c>
      <c r="I58" s="50">
        <v>3</v>
      </c>
      <c r="J58" s="50">
        <v>0</v>
      </c>
      <c r="K58" s="50">
        <v>0</v>
      </c>
      <c r="L58" s="50">
        <v>0</v>
      </c>
      <c r="M58" s="50">
        <v>18</v>
      </c>
      <c r="N58" s="50">
        <v>0</v>
      </c>
      <c r="O58" s="15">
        <f t="shared" si="0"/>
        <v>25</v>
      </c>
      <c r="P58" s="15">
        <f t="shared" si="1"/>
        <v>43</v>
      </c>
      <c r="R58" s="8"/>
      <c r="T58"/>
    </row>
    <row r="59" spans="2:20" ht="23.1" customHeight="1" x14ac:dyDescent="0.25">
      <c r="B59" s="45" t="s">
        <v>100</v>
      </c>
      <c r="C59" s="50">
        <v>13</v>
      </c>
      <c r="D59" s="50">
        <v>5</v>
      </c>
      <c r="E59" s="50">
        <v>1</v>
      </c>
      <c r="F59" s="50">
        <v>8</v>
      </c>
      <c r="G59" s="50">
        <v>1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36</v>
      </c>
      <c r="N59" s="50">
        <v>0</v>
      </c>
      <c r="O59" s="15">
        <f t="shared" si="0"/>
        <v>32</v>
      </c>
      <c r="P59" s="15">
        <f t="shared" si="1"/>
        <v>68</v>
      </c>
      <c r="R59" s="8"/>
      <c r="T59"/>
    </row>
    <row r="60" spans="2:20" ht="23.1" customHeight="1" x14ac:dyDescent="0.25">
      <c r="B60" s="45" t="s">
        <v>101</v>
      </c>
      <c r="C60" s="50">
        <v>10</v>
      </c>
      <c r="D60" s="50">
        <v>2</v>
      </c>
      <c r="E60" s="50">
        <v>2</v>
      </c>
      <c r="F60" s="50">
        <v>9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26</v>
      </c>
      <c r="N60" s="50">
        <v>0</v>
      </c>
      <c r="O60" s="15">
        <f t="shared" si="0"/>
        <v>25</v>
      </c>
      <c r="P60" s="15">
        <f t="shared" si="1"/>
        <v>51</v>
      </c>
      <c r="R60" s="8"/>
      <c r="T60"/>
    </row>
    <row r="61" spans="2:20" ht="23.1" customHeight="1" x14ac:dyDescent="0.25">
      <c r="B61" s="45" t="s">
        <v>102</v>
      </c>
      <c r="C61" s="50">
        <v>14</v>
      </c>
      <c r="D61" s="50">
        <v>1</v>
      </c>
      <c r="E61" s="50">
        <v>1</v>
      </c>
      <c r="F61" s="50">
        <v>16</v>
      </c>
      <c r="G61" s="50">
        <v>0</v>
      </c>
      <c r="H61" s="50">
        <v>1</v>
      </c>
      <c r="I61" s="50">
        <v>1</v>
      </c>
      <c r="J61" s="50">
        <v>0</v>
      </c>
      <c r="K61" s="50">
        <v>0</v>
      </c>
      <c r="L61" s="50">
        <v>0</v>
      </c>
      <c r="M61" s="50">
        <v>26</v>
      </c>
      <c r="N61" s="50">
        <v>0</v>
      </c>
      <c r="O61" s="15">
        <f t="shared" si="0"/>
        <v>34</v>
      </c>
      <c r="P61" s="15">
        <f t="shared" si="1"/>
        <v>60</v>
      </c>
      <c r="R61" s="8"/>
      <c r="T61"/>
    </row>
    <row r="62" spans="2:20" ht="23.1" customHeight="1" x14ac:dyDescent="0.25">
      <c r="B62" s="45" t="s">
        <v>107</v>
      </c>
      <c r="C62" s="50">
        <v>7</v>
      </c>
      <c r="D62" s="50">
        <v>3</v>
      </c>
      <c r="E62" s="50">
        <v>0</v>
      </c>
      <c r="F62" s="50">
        <v>11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20</v>
      </c>
      <c r="N62" s="50">
        <v>0</v>
      </c>
      <c r="O62" s="15">
        <f t="shared" si="0"/>
        <v>22</v>
      </c>
      <c r="P62" s="15">
        <f t="shared" si="1"/>
        <v>42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9</v>
      </c>
      <c r="E63" s="50">
        <v>5</v>
      </c>
      <c r="F63" s="50">
        <v>10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35</v>
      </c>
      <c r="N63" s="50">
        <v>0</v>
      </c>
      <c r="O63" s="15">
        <f t="shared" si="0"/>
        <v>43</v>
      </c>
      <c r="P63" s="15">
        <f t="shared" si="1"/>
        <v>78</v>
      </c>
      <c r="R63" s="8"/>
      <c r="T63"/>
    </row>
    <row r="64" spans="2:20" ht="23.1" customHeight="1" x14ac:dyDescent="0.25">
      <c r="B64" s="45" t="s">
        <v>109</v>
      </c>
      <c r="C64" s="50">
        <v>9</v>
      </c>
      <c r="D64" s="50">
        <v>3</v>
      </c>
      <c r="E64" s="50">
        <v>1</v>
      </c>
      <c r="F64" s="50">
        <v>6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24</v>
      </c>
      <c r="N64" s="50">
        <v>0</v>
      </c>
      <c r="O64" s="15">
        <f t="shared" si="0"/>
        <v>20</v>
      </c>
      <c r="P64" s="15">
        <f t="shared" si="1"/>
        <v>44</v>
      </c>
      <c r="R64" s="8"/>
      <c r="T64"/>
    </row>
    <row r="65" spans="2:20" ht="23.1" customHeight="1" x14ac:dyDescent="0.25">
      <c r="B65" s="45" t="s">
        <v>158</v>
      </c>
      <c r="C65" s="50">
        <v>7</v>
      </c>
      <c r="D65" s="50">
        <v>1</v>
      </c>
      <c r="E65" s="50">
        <v>3</v>
      </c>
      <c r="F65" s="50">
        <v>15</v>
      </c>
      <c r="G65" s="50">
        <v>1</v>
      </c>
      <c r="H65" s="50">
        <v>0</v>
      </c>
      <c r="I65" s="50">
        <v>3</v>
      </c>
      <c r="J65" s="50">
        <v>1</v>
      </c>
      <c r="K65" s="50">
        <v>0</v>
      </c>
      <c r="L65" s="50">
        <v>1</v>
      </c>
      <c r="M65" s="50">
        <v>42</v>
      </c>
      <c r="N65" s="50">
        <v>0</v>
      </c>
      <c r="O65" s="15">
        <f t="shared" si="0"/>
        <v>32</v>
      </c>
      <c r="P65" s="15">
        <f t="shared" si="1"/>
        <v>74</v>
      </c>
      <c r="R65" s="8"/>
      <c r="T65"/>
    </row>
    <row r="66" spans="2:20" ht="23.1" customHeight="1" x14ac:dyDescent="0.25">
      <c r="B66" s="45" t="s">
        <v>103</v>
      </c>
      <c r="C66" s="50">
        <v>15</v>
      </c>
      <c r="D66" s="50">
        <v>2</v>
      </c>
      <c r="E66" s="50">
        <v>0</v>
      </c>
      <c r="F66" s="50">
        <v>5</v>
      </c>
      <c r="G66" s="50">
        <v>7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31</v>
      </c>
      <c r="N66" s="50">
        <v>0</v>
      </c>
      <c r="O66" s="15">
        <f t="shared" si="0"/>
        <v>29</v>
      </c>
      <c r="P66" s="15">
        <f t="shared" si="1"/>
        <v>60</v>
      </c>
      <c r="R66" s="8"/>
      <c r="T66"/>
    </row>
    <row r="67" spans="2:20" ht="23.1" customHeight="1" x14ac:dyDescent="0.25">
      <c r="B67" s="45" t="s">
        <v>104</v>
      </c>
      <c r="C67" s="50">
        <v>11</v>
      </c>
      <c r="D67" s="50">
        <v>4</v>
      </c>
      <c r="E67" s="50">
        <v>5</v>
      </c>
      <c r="F67" s="50">
        <v>14</v>
      </c>
      <c r="G67" s="50">
        <v>2</v>
      </c>
      <c r="H67" s="50">
        <v>0</v>
      </c>
      <c r="I67" s="50">
        <v>4</v>
      </c>
      <c r="J67" s="50">
        <v>0</v>
      </c>
      <c r="K67" s="50">
        <v>0</v>
      </c>
      <c r="L67" s="50">
        <v>0</v>
      </c>
      <c r="M67" s="50">
        <v>23</v>
      </c>
      <c r="N67" s="50">
        <v>0</v>
      </c>
      <c r="O67" s="15">
        <f t="shared" si="0"/>
        <v>40</v>
      </c>
      <c r="P67" s="15">
        <f t="shared" si="1"/>
        <v>63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0</v>
      </c>
      <c r="F68" s="50">
        <v>7</v>
      </c>
      <c r="G68" s="50">
        <v>0</v>
      </c>
      <c r="H68" s="50">
        <v>0</v>
      </c>
      <c r="I68" s="50">
        <v>4</v>
      </c>
      <c r="J68" s="50">
        <v>0</v>
      </c>
      <c r="K68" s="50">
        <v>0</v>
      </c>
      <c r="L68" s="50">
        <v>0</v>
      </c>
      <c r="M68" s="50">
        <v>17</v>
      </c>
      <c r="N68" s="50">
        <v>0</v>
      </c>
      <c r="O68" s="15">
        <f t="shared" si="0"/>
        <v>13</v>
      </c>
      <c r="P68" s="15">
        <f t="shared" si="1"/>
        <v>30</v>
      </c>
      <c r="R68" s="8"/>
      <c r="T68"/>
    </row>
    <row r="69" spans="2:20" ht="23.1" customHeight="1" x14ac:dyDescent="0.25">
      <c r="B69" s="45" t="s">
        <v>106</v>
      </c>
      <c r="C69" s="50">
        <v>6</v>
      </c>
      <c r="D69" s="50">
        <v>2</v>
      </c>
      <c r="E69" s="50">
        <v>0</v>
      </c>
      <c r="F69" s="50">
        <v>10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0</v>
      </c>
      <c r="M69" s="50">
        <v>15</v>
      </c>
      <c r="N69" s="50">
        <v>0</v>
      </c>
      <c r="O69" s="15">
        <f t="shared" si="0"/>
        <v>21</v>
      </c>
      <c r="P69" s="15">
        <f t="shared" si="1"/>
        <v>36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4</v>
      </c>
      <c r="E70" s="50">
        <v>1</v>
      </c>
      <c r="F70" s="50">
        <v>7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18</v>
      </c>
      <c r="N70" s="50">
        <v>0</v>
      </c>
      <c r="O70" s="15">
        <f t="shared" si="0"/>
        <v>16</v>
      </c>
      <c r="P70" s="15">
        <f t="shared" si="1"/>
        <v>34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4</v>
      </c>
      <c r="E71" s="50">
        <v>1</v>
      </c>
      <c r="F71" s="50">
        <v>5</v>
      </c>
      <c r="G71" s="50">
        <v>0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12</v>
      </c>
      <c r="N71" s="50">
        <v>0</v>
      </c>
      <c r="O71" s="15">
        <f t="shared" si="0"/>
        <v>20</v>
      </c>
      <c r="P71" s="15">
        <f t="shared" si="1"/>
        <v>32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3</v>
      </c>
      <c r="E72" s="50">
        <v>1</v>
      </c>
      <c r="F72" s="50">
        <v>4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17</v>
      </c>
      <c r="N72" s="50">
        <v>0</v>
      </c>
      <c r="O72" s="15">
        <f t="shared" si="0"/>
        <v>12</v>
      </c>
      <c r="P72" s="15">
        <f t="shared" si="1"/>
        <v>29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0</v>
      </c>
      <c r="E73" s="50">
        <v>0</v>
      </c>
      <c r="F73" s="50">
        <v>7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1</v>
      </c>
      <c r="M73" s="50">
        <v>17</v>
      </c>
      <c r="N73" s="50">
        <v>0</v>
      </c>
      <c r="O73" s="15">
        <f t="shared" si="0"/>
        <v>11</v>
      </c>
      <c r="P73" s="15">
        <f t="shared" si="1"/>
        <v>28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1</v>
      </c>
      <c r="E74" s="50">
        <v>1</v>
      </c>
      <c r="F74" s="50">
        <v>5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17</v>
      </c>
      <c r="N74" s="50">
        <v>0</v>
      </c>
      <c r="O74" s="15">
        <f t="shared" ref="O74:O105" si="35">SUM(C74:L74,N74)</f>
        <v>9</v>
      </c>
      <c r="P74" s="15">
        <f t="shared" ref="P74:P105" si="36">SUM(C74:N74)</f>
        <v>26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1</v>
      </c>
      <c r="E75" s="50">
        <v>0</v>
      </c>
      <c r="F75" s="50">
        <v>5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10</v>
      </c>
      <c r="N75" s="50">
        <v>0</v>
      </c>
      <c r="O75" s="15">
        <f t="shared" si="35"/>
        <v>10</v>
      </c>
      <c r="P75" s="15">
        <f t="shared" si="36"/>
        <v>20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0</v>
      </c>
      <c r="E76" s="50">
        <v>0</v>
      </c>
      <c r="F76" s="50">
        <v>6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5</v>
      </c>
      <c r="N76" s="50">
        <v>0</v>
      </c>
      <c r="O76" s="15">
        <f t="shared" si="35"/>
        <v>12</v>
      </c>
      <c r="P76" s="15">
        <f t="shared" si="36"/>
        <v>17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0</v>
      </c>
      <c r="F77" s="50">
        <v>3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12</v>
      </c>
      <c r="N77" s="50">
        <v>0</v>
      </c>
      <c r="O77" s="15">
        <f t="shared" si="35"/>
        <v>7</v>
      </c>
      <c r="P77" s="15">
        <f t="shared" si="36"/>
        <v>19</v>
      </c>
      <c r="R77" s="8"/>
      <c r="T77"/>
    </row>
    <row r="78" spans="2:20" ht="23.1" customHeight="1" x14ac:dyDescent="0.25">
      <c r="B78" s="46" t="s">
        <v>118</v>
      </c>
      <c r="C78" s="50">
        <v>5</v>
      </c>
      <c r="D78" s="50">
        <v>0</v>
      </c>
      <c r="E78" s="50">
        <v>0</v>
      </c>
      <c r="F78" s="50">
        <v>2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7</v>
      </c>
      <c r="P78" s="15">
        <f t="shared" si="36"/>
        <v>13</v>
      </c>
      <c r="R78" s="8"/>
      <c r="T78"/>
    </row>
    <row r="79" spans="2:20" ht="23.1" customHeight="1" x14ac:dyDescent="0.25">
      <c r="B79" s="45" t="s">
        <v>119</v>
      </c>
      <c r="C79" s="50">
        <v>4</v>
      </c>
      <c r="D79" s="50">
        <v>0</v>
      </c>
      <c r="E79" s="50">
        <v>1</v>
      </c>
      <c r="F79" s="50">
        <v>1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8</v>
      </c>
      <c r="N79" s="50">
        <v>0</v>
      </c>
      <c r="O79" s="15">
        <f t="shared" si="35"/>
        <v>7</v>
      </c>
      <c r="P79" s="15">
        <f t="shared" si="36"/>
        <v>15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3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6</v>
      </c>
      <c r="N80" s="50">
        <v>0</v>
      </c>
      <c r="O80" s="15">
        <f t="shared" si="35"/>
        <v>6</v>
      </c>
      <c r="P80" s="15">
        <f t="shared" si="36"/>
        <v>12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1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2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2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2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5</v>
      </c>
      <c r="N83" s="50">
        <v>0</v>
      </c>
      <c r="O83" s="15">
        <f t="shared" si="35"/>
        <v>3</v>
      </c>
      <c r="P83" s="15">
        <f t="shared" si="36"/>
        <v>8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5">
        <f t="shared" si="35"/>
        <v>0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2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2</v>
      </c>
      <c r="P85" s="15">
        <f t="shared" si="36"/>
        <v>6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2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5">
        <f t="shared" si="35"/>
        <v>2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2</v>
      </c>
      <c r="E87" s="50">
        <v>3</v>
      </c>
      <c r="F87" s="50">
        <v>0</v>
      </c>
      <c r="G87" s="50">
        <v>0</v>
      </c>
      <c r="H87" s="50">
        <v>0</v>
      </c>
      <c r="I87" s="50">
        <v>2</v>
      </c>
      <c r="J87" s="50">
        <v>0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5"/>
        <v>7</v>
      </c>
      <c r="P87" s="15">
        <f t="shared" si="36"/>
        <v>12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0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2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5"/>
        <v>2</v>
      </c>
      <c r="P89" s="15">
        <f t="shared" si="36"/>
        <v>6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2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2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2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2</v>
      </c>
      <c r="L91" s="50">
        <v>0</v>
      </c>
      <c r="M91" s="50">
        <v>0</v>
      </c>
      <c r="N91" s="50">
        <v>0</v>
      </c>
      <c r="O91" s="15">
        <f t="shared" si="35"/>
        <v>5</v>
      </c>
      <c r="P91" s="15">
        <f t="shared" si="36"/>
        <v>5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2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2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2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5">
        <f t="shared" si="35"/>
        <v>2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2</v>
      </c>
      <c r="E95" s="50">
        <v>3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6</v>
      </c>
      <c r="P95" s="15">
        <f t="shared" si="36"/>
        <v>9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3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2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2</v>
      </c>
      <c r="E99" s="50">
        <v>3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3</v>
      </c>
      <c r="N99" s="50">
        <v>0</v>
      </c>
      <c r="O99" s="15">
        <f t="shared" si="35"/>
        <v>5</v>
      </c>
      <c r="P99" s="15">
        <f t="shared" si="36"/>
        <v>8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2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2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5</v>
      </c>
      <c r="J102" s="50">
        <v>0</v>
      </c>
      <c r="K102" s="50">
        <v>0</v>
      </c>
      <c r="L102" s="50">
        <v>0</v>
      </c>
      <c r="M102" s="50">
        <v>8</v>
      </c>
      <c r="N102" s="50">
        <v>0</v>
      </c>
      <c r="O102" s="15">
        <f t="shared" si="35"/>
        <v>7</v>
      </c>
      <c r="P102" s="15">
        <f t="shared" si="36"/>
        <v>15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3</v>
      </c>
      <c r="E103" s="50">
        <v>2</v>
      </c>
      <c r="F103" s="50">
        <v>4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9</v>
      </c>
      <c r="P103" s="15">
        <f t="shared" si="36"/>
        <v>12</v>
      </c>
      <c r="R103" s="8"/>
      <c r="T103"/>
    </row>
    <row r="104" spans="2:20" ht="23.1" customHeight="1" x14ac:dyDescent="0.25">
      <c r="B104" s="47" t="s">
        <v>144</v>
      </c>
      <c r="C104" s="50">
        <v>6</v>
      </c>
      <c r="D104" s="50">
        <v>0</v>
      </c>
      <c r="E104" s="50">
        <v>2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</v>
      </c>
      <c r="N104" s="50">
        <v>0</v>
      </c>
      <c r="O104" s="15">
        <f t="shared" si="35"/>
        <v>8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7</v>
      </c>
      <c r="D105" s="50">
        <v>2</v>
      </c>
      <c r="E105" s="50">
        <v>2</v>
      </c>
      <c r="F105" s="50">
        <v>8</v>
      </c>
      <c r="G105" s="50">
        <v>0</v>
      </c>
      <c r="H105" s="50">
        <v>0</v>
      </c>
      <c r="I105" s="50">
        <v>8</v>
      </c>
      <c r="J105" s="50">
        <v>0</v>
      </c>
      <c r="K105" s="50">
        <v>0</v>
      </c>
      <c r="L105" s="50">
        <v>0</v>
      </c>
      <c r="M105" s="50">
        <v>14</v>
      </c>
      <c r="N105" s="50">
        <v>0</v>
      </c>
      <c r="O105" s="15">
        <f t="shared" si="35"/>
        <v>27</v>
      </c>
      <c r="P105" s="15">
        <f t="shared" si="36"/>
        <v>41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804</v>
      </c>
      <c r="D106" s="16">
        <f t="shared" ref="D106:P106" si="37">SUM(D10:D105)</f>
        <v>320</v>
      </c>
      <c r="E106" s="16">
        <f t="shared" si="37"/>
        <v>147</v>
      </c>
      <c r="F106" s="16">
        <f t="shared" si="37"/>
        <v>661</v>
      </c>
      <c r="G106" s="16">
        <f t="shared" si="37"/>
        <v>18</v>
      </c>
      <c r="H106" s="16">
        <f t="shared" si="37"/>
        <v>1</v>
      </c>
      <c r="I106" s="16">
        <f t="shared" si="37"/>
        <v>179</v>
      </c>
      <c r="J106" s="16">
        <f t="shared" si="37"/>
        <v>18</v>
      </c>
      <c r="K106" s="16">
        <f t="shared" si="37"/>
        <v>11</v>
      </c>
      <c r="L106" s="16">
        <f t="shared" si="37"/>
        <v>17</v>
      </c>
      <c r="M106" s="16">
        <f t="shared" si="37"/>
        <v>1616</v>
      </c>
      <c r="N106" s="16">
        <f t="shared" si="37"/>
        <v>2</v>
      </c>
      <c r="O106" s="16">
        <f t="shared" si="37"/>
        <v>2178</v>
      </c>
      <c r="P106" s="16">
        <f t="shared" si="37"/>
        <v>3794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0.21191354770690565</v>
      </c>
      <c r="D107" s="43">
        <f t="shared" si="38"/>
        <v>8.4343700579862943E-2</v>
      </c>
      <c r="E107" s="43">
        <f t="shared" si="38"/>
        <v>3.8745387453874541E-2</v>
      </c>
      <c r="F107" s="43">
        <f t="shared" si="38"/>
        <v>0.1742224565102794</v>
      </c>
      <c r="G107" s="43">
        <f t="shared" si="38"/>
        <v>4.7443331576172906E-3</v>
      </c>
      <c r="H107" s="43">
        <f t="shared" si="38"/>
        <v>2.6357406431207171E-4</v>
      </c>
      <c r="I107" s="43">
        <f t="shared" si="38"/>
        <v>4.7179757511860834E-2</v>
      </c>
      <c r="J107" s="43">
        <f t="shared" si="38"/>
        <v>4.7443331576172906E-3</v>
      </c>
      <c r="K107" s="43">
        <f t="shared" si="38"/>
        <v>2.8993147074327886E-3</v>
      </c>
      <c r="L107" s="43">
        <f t="shared" si="38"/>
        <v>4.4807590933052185E-3</v>
      </c>
      <c r="M107" s="43">
        <f t="shared" si="38"/>
        <v>0.42593568792830783</v>
      </c>
      <c r="N107" s="43">
        <f t="shared" si="38"/>
        <v>5.2714812862414342E-4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0.36914600550964188</v>
      </c>
      <c r="D108" s="44">
        <f t="shared" ref="D108:N108" si="39">D106/$O$106</f>
        <v>0.14692378328741965</v>
      </c>
      <c r="E108" s="44">
        <f t="shared" si="39"/>
        <v>6.7493112947658404E-2</v>
      </c>
      <c r="F108" s="44">
        <f t="shared" si="39"/>
        <v>0.30348943985307619</v>
      </c>
      <c r="G108" s="44">
        <f t="shared" si="39"/>
        <v>8.2644628099173556E-3</v>
      </c>
      <c r="H108" s="44">
        <f t="shared" si="39"/>
        <v>4.591368227731864E-4</v>
      </c>
      <c r="I108" s="44">
        <f t="shared" si="39"/>
        <v>8.2185491276400374E-2</v>
      </c>
      <c r="J108" s="44">
        <f t="shared" si="39"/>
        <v>8.2644628099173556E-3</v>
      </c>
      <c r="K108" s="44">
        <f t="shared" si="39"/>
        <v>5.0505050505050509E-3</v>
      </c>
      <c r="L108" s="44">
        <f t="shared" si="39"/>
        <v>7.8053259871441686E-3</v>
      </c>
      <c r="M108" s="44"/>
      <c r="N108" s="44">
        <f t="shared" si="39"/>
        <v>9.1827364554637281E-4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40" zoomScale="60" workbookViewId="0">
      <selection activeCell="G23" sqref="G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'2.11 MUKONO-KALAGI-24h'!D5</f>
        <v>2.11.2019</v>
      </c>
      <c r="E5" s="3"/>
      <c r="F5" s="41" t="s">
        <v>1</v>
      </c>
      <c r="G5" s="55" t="str">
        <f>'2.11 MUKONO-KALAGI-24h'!G5:H5</f>
        <v>KABEMBE</v>
      </c>
      <c r="H5" s="56"/>
      <c r="I5" s="14"/>
      <c r="J5" s="2" t="s">
        <v>5</v>
      </c>
      <c r="K5" s="55" t="s">
        <v>174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KALAGI-MUKONO'!D6:E6</f>
        <v>KALAGI</v>
      </c>
      <c r="E6" s="56"/>
      <c r="F6" s="2" t="s">
        <v>2</v>
      </c>
      <c r="G6" s="55" t="str">
        <f>'29.10 KALAGI-MUKONO'!G6:H6</f>
        <v>MUKONO</v>
      </c>
      <c r="H6" s="56"/>
      <c r="J6" s="2" t="s">
        <v>21</v>
      </c>
      <c r="K6" s="55" t="str">
        <f>'2.11 MUKONO-KALAGI-24h'!K6:L6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1</v>
      </c>
      <c r="E10" s="50">
        <v>1</v>
      </c>
      <c r="F10" s="50">
        <v>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73" si="0">SUM(C10:L10,N10)</f>
        <v>8</v>
      </c>
      <c r="P10" s="15">
        <f t="shared" ref="P10:P73" si="1">SUM(C10:N10)</f>
        <v>16</v>
      </c>
      <c r="R10" s="1" t="s">
        <v>6</v>
      </c>
      <c r="S10" s="17">
        <f t="shared" ref="S10:AF10" si="2">SUM(C10:C13)</f>
        <v>15</v>
      </c>
      <c r="T10" s="17">
        <f t="shared" si="2"/>
        <v>9</v>
      </c>
      <c r="U10" s="17">
        <f t="shared" si="2"/>
        <v>4</v>
      </c>
      <c r="V10" s="17">
        <f t="shared" si="2"/>
        <v>34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85</v>
      </c>
      <c r="AD10" s="17">
        <f t="shared" si="2"/>
        <v>1</v>
      </c>
      <c r="AE10" s="31">
        <f t="shared" si="2"/>
        <v>71</v>
      </c>
      <c r="AF10" s="31">
        <f t="shared" si="2"/>
        <v>156</v>
      </c>
    </row>
    <row r="11" spans="2:32" s="6" customFormat="1" ht="23.1" customHeight="1" x14ac:dyDescent="0.25">
      <c r="B11" s="45" t="s">
        <v>38</v>
      </c>
      <c r="C11" s="50">
        <v>3</v>
      </c>
      <c r="D11" s="50">
        <v>4</v>
      </c>
      <c r="E11" s="50">
        <v>1</v>
      </c>
      <c r="F11" s="50">
        <v>8</v>
      </c>
      <c r="G11" s="50">
        <v>1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32</v>
      </c>
      <c r="N11" s="50">
        <v>0</v>
      </c>
      <c r="O11" s="15">
        <f t="shared" si="0"/>
        <v>21</v>
      </c>
      <c r="P11" s="15">
        <f t="shared" si="1"/>
        <v>53</v>
      </c>
      <c r="R11" s="1" t="s">
        <v>7</v>
      </c>
      <c r="S11" s="17">
        <f t="shared" ref="S11:AF11" si="3">SUM(C14:C17)</f>
        <v>28</v>
      </c>
      <c r="T11" s="17">
        <f t="shared" si="3"/>
        <v>12</v>
      </c>
      <c r="U11" s="17">
        <f t="shared" si="3"/>
        <v>4</v>
      </c>
      <c r="V11" s="17">
        <f t="shared" si="3"/>
        <v>30</v>
      </c>
      <c r="W11" s="17">
        <f t="shared" si="3"/>
        <v>2</v>
      </c>
      <c r="X11" s="17">
        <f t="shared" si="3"/>
        <v>0</v>
      </c>
      <c r="Y11" s="17">
        <f t="shared" si="3"/>
        <v>10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107</v>
      </c>
      <c r="AD11" s="17">
        <f t="shared" si="3"/>
        <v>0</v>
      </c>
      <c r="AE11" s="31">
        <f t="shared" si="3"/>
        <v>89</v>
      </c>
      <c r="AF11" s="31">
        <f t="shared" si="3"/>
        <v>196</v>
      </c>
    </row>
    <row r="12" spans="2:32" ht="23.1" customHeight="1" x14ac:dyDescent="0.25">
      <c r="B12" s="45" t="s">
        <v>39</v>
      </c>
      <c r="C12" s="50">
        <v>5</v>
      </c>
      <c r="D12" s="50">
        <v>1</v>
      </c>
      <c r="E12" s="50">
        <v>1</v>
      </c>
      <c r="F12" s="50">
        <v>10</v>
      </c>
      <c r="G12" s="50">
        <v>1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17</v>
      </c>
      <c r="N12" s="50">
        <v>1</v>
      </c>
      <c r="O12" s="15">
        <f t="shared" si="0"/>
        <v>21</v>
      </c>
      <c r="P12" s="15">
        <f t="shared" si="1"/>
        <v>38</v>
      </c>
      <c r="R12" s="1" t="s">
        <v>8</v>
      </c>
      <c r="S12" s="17">
        <f t="shared" ref="S12:AF12" si="4">SUM(C18:C21)</f>
        <v>31</v>
      </c>
      <c r="T12" s="17">
        <f t="shared" si="4"/>
        <v>4</v>
      </c>
      <c r="U12" s="17">
        <f t="shared" si="4"/>
        <v>5</v>
      </c>
      <c r="V12" s="17">
        <f t="shared" si="4"/>
        <v>32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102</v>
      </c>
      <c r="AD12" s="17">
        <f t="shared" si="4"/>
        <v>0</v>
      </c>
      <c r="AE12" s="31">
        <f t="shared" si="4"/>
        <v>78</v>
      </c>
      <c r="AF12" s="31">
        <f t="shared" si="4"/>
        <v>180</v>
      </c>
    </row>
    <row r="13" spans="2:32" ht="23.1" customHeight="1" x14ac:dyDescent="0.25">
      <c r="B13" s="45" t="s">
        <v>40</v>
      </c>
      <c r="C13" s="50">
        <v>6</v>
      </c>
      <c r="D13" s="50">
        <v>3</v>
      </c>
      <c r="E13" s="50">
        <v>1</v>
      </c>
      <c r="F13" s="50">
        <v>11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28</v>
      </c>
      <c r="N13" s="50">
        <v>0</v>
      </c>
      <c r="O13" s="15">
        <f t="shared" si="0"/>
        <v>21</v>
      </c>
      <c r="P13" s="15">
        <f t="shared" si="1"/>
        <v>49</v>
      </c>
      <c r="R13" s="1" t="s">
        <v>9</v>
      </c>
      <c r="S13" s="17">
        <f t="shared" ref="S13:AF13" si="5">SUM(C22:C25)</f>
        <v>35</v>
      </c>
      <c r="T13" s="17">
        <f t="shared" si="5"/>
        <v>16</v>
      </c>
      <c r="U13" s="17">
        <f t="shared" si="5"/>
        <v>7</v>
      </c>
      <c r="V13" s="17">
        <f t="shared" si="5"/>
        <v>30</v>
      </c>
      <c r="W13" s="17">
        <f t="shared" si="5"/>
        <v>0</v>
      </c>
      <c r="X13" s="17">
        <f t="shared" si="5"/>
        <v>1</v>
      </c>
      <c r="Y13" s="17">
        <f t="shared" si="5"/>
        <v>6</v>
      </c>
      <c r="Z13" s="17">
        <f t="shared" si="5"/>
        <v>3</v>
      </c>
      <c r="AA13" s="17">
        <f t="shared" si="5"/>
        <v>0</v>
      </c>
      <c r="AB13" s="17">
        <f t="shared" si="5"/>
        <v>1</v>
      </c>
      <c r="AC13" s="17">
        <f t="shared" si="5"/>
        <v>121</v>
      </c>
      <c r="AD13" s="17">
        <f t="shared" si="5"/>
        <v>0</v>
      </c>
      <c r="AE13" s="31">
        <f t="shared" si="5"/>
        <v>99</v>
      </c>
      <c r="AF13" s="31">
        <f t="shared" si="5"/>
        <v>220</v>
      </c>
    </row>
    <row r="14" spans="2:32" ht="23.1" customHeight="1" x14ac:dyDescent="0.25">
      <c r="B14" s="45" t="s">
        <v>41</v>
      </c>
      <c r="C14" s="50">
        <v>6</v>
      </c>
      <c r="D14" s="50">
        <v>6</v>
      </c>
      <c r="E14" s="50">
        <v>2</v>
      </c>
      <c r="F14" s="50">
        <v>7</v>
      </c>
      <c r="G14" s="50">
        <v>1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23</v>
      </c>
      <c r="N14" s="50">
        <v>0</v>
      </c>
      <c r="O14" s="15">
        <f t="shared" si="0"/>
        <v>22</v>
      </c>
      <c r="P14" s="15">
        <f t="shared" si="1"/>
        <v>45</v>
      </c>
      <c r="R14" s="1" t="s">
        <v>10</v>
      </c>
      <c r="S14" s="17">
        <f t="shared" ref="S14:AF14" si="6">SUM(C26:C29)</f>
        <v>37</v>
      </c>
      <c r="T14" s="17">
        <f t="shared" si="6"/>
        <v>12</v>
      </c>
      <c r="U14" s="17">
        <f t="shared" si="6"/>
        <v>6</v>
      </c>
      <c r="V14" s="17">
        <f t="shared" si="6"/>
        <v>29</v>
      </c>
      <c r="W14" s="17">
        <f t="shared" si="6"/>
        <v>1</v>
      </c>
      <c r="X14" s="17">
        <f t="shared" si="6"/>
        <v>0</v>
      </c>
      <c r="Y14" s="17">
        <f t="shared" si="6"/>
        <v>6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81</v>
      </c>
      <c r="AD14" s="17">
        <f t="shared" si="6"/>
        <v>0</v>
      </c>
      <c r="AE14" s="31">
        <f t="shared" si="6"/>
        <v>94</v>
      </c>
      <c r="AF14" s="31">
        <f t="shared" si="6"/>
        <v>175</v>
      </c>
    </row>
    <row r="15" spans="2:32" ht="23.1" customHeight="1" x14ac:dyDescent="0.25">
      <c r="B15" s="45" t="s">
        <v>42</v>
      </c>
      <c r="C15" s="50">
        <v>4</v>
      </c>
      <c r="D15" s="50">
        <v>2</v>
      </c>
      <c r="E15" s="50">
        <v>0</v>
      </c>
      <c r="F15" s="50">
        <v>5</v>
      </c>
      <c r="G15" s="50">
        <v>0</v>
      </c>
      <c r="H15" s="50">
        <v>0</v>
      </c>
      <c r="I15" s="50">
        <v>8</v>
      </c>
      <c r="J15" s="50">
        <v>1</v>
      </c>
      <c r="K15" s="50">
        <v>0</v>
      </c>
      <c r="L15" s="50">
        <v>0</v>
      </c>
      <c r="M15" s="50">
        <v>31</v>
      </c>
      <c r="N15" s="50">
        <v>0</v>
      </c>
      <c r="O15" s="15">
        <f t="shared" si="0"/>
        <v>20</v>
      </c>
      <c r="P15" s="15">
        <f t="shared" si="1"/>
        <v>51</v>
      </c>
      <c r="R15" s="1" t="s">
        <v>11</v>
      </c>
      <c r="S15" s="17">
        <f t="shared" ref="S15:AF15" si="7">SUM(C30:C33)</f>
        <v>48</v>
      </c>
      <c r="T15" s="17">
        <f t="shared" si="7"/>
        <v>24</v>
      </c>
      <c r="U15" s="17">
        <f t="shared" si="7"/>
        <v>3</v>
      </c>
      <c r="V15" s="17">
        <f t="shared" si="7"/>
        <v>36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1</v>
      </c>
      <c r="AB15" s="17">
        <f t="shared" si="7"/>
        <v>1</v>
      </c>
      <c r="AC15" s="17">
        <f t="shared" si="7"/>
        <v>79</v>
      </c>
      <c r="AD15" s="17">
        <f t="shared" si="7"/>
        <v>0</v>
      </c>
      <c r="AE15" s="31">
        <f t="shared" si="7"/>
        <v>117</v>
      </c>
      <c r="AF15" s="31">
        <f t="shared" si="7"/>
        <v>196</v>
      </c>
    </row>
    <row r="16" spans="2:32" ht="23.1" customHeight="1" x14ac:dyDescent="0.25">
      <c r="B16" s="45" t="s">
        <v>43</v>
      </c>
      <c r="C16" s="50">
        <v>7</v>
      </c>
      <c r="D16" s="50">
        <v>2</v>
      </c>
      <c r="E16" s="50">
        <v>1</v>
      </c>
      <c r="F16" s="50">
        <v>10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26</v>
      </c>
      <c r="N16" s="50">
        <v>0</v>
      </c>
      <c r="O16" s="15">
        <f t="shared" si="0"/>
        <v>21</v>
      </c>
      <c r="P16" s="15">
        <f t="shared" si="1"/>
        <v>47</v>
      </c>
      <c r="R16" s="1" t="s">
        <v>12</v>
      </c>
      <c r="S16" s="17">
        <f t="shared" ref="S16:AF16" si="8">SUM(C34:C37)</f>
        <v>48</v>
      </c>
      <c r="T16" s="17">
        <f t="shared" si="8"/>
        <v>36</v>
      </c>
      <c r="U16" s="17">
        <f t="shared" si="8"/>
        <v>6</v>
      </c>
      <c r="V16" s="17">
        <f t="shared" si="8"/>
        <v>26</v>
      </c>
      <c r="W16" s="17">
        <f t="shared" si="8"/>
        <v>1</v>
      </c>
      <c r="X16" s="17">
        <f t="shared" si="8"/>
        <v>0</v>
      </c>
      <c r="Y16" s="17">
        <f t="shared" si="8"/>
        <v>11</v>
      </c>
      <c r="Z16" s="17">
        <f t="shared" si="8"/>
        <v>3</v>
      </c>
      <c r="AA16" s="17">
        <f t="shared" si="8"/>
        <v>1</v>
      </c>
      <c r="AB16" s="17">
        <f t="shared" si="8"/>
        <v>1</v>
      </c>
      <c r="AC16" s="17">
        <f t="shared" si="8"/>
        <v>71</v>
      </c>
      <c r="AD16" s="17">
        <f t="shared" si="8"/>
        <v>0</v>
      </c>
      <c r="AE16" s="31">
        <f t="shared" si="8"/>
        <v>133</v>
      </c>
      <c r="AF16" s="31">
        <f t="shared" si="8"/>
        <v>204</v>
      </c>
    </row>
    <row r="17" spans="2:32" ht="23.1" customHeight="1" x14ac:dyDescent="0.25">
      <c r="B17" s="45" t="s">
        <v>44</v>
      </c>
      <c r="C17" s="50">
        <v>11</v>
      </c>
      <c r="D17" s="50">
        <v>2</v>
      </c>
      <c r="E17" s="50">
        <v>1</v>
      </c>
      <c r="F17" s="50">
        <v>8</v>
      </c>
      <c r="G17" s="50">
        <v>0</v>
      </c>
      <c r="H17" s="50">
        <v>0</v>
      </c>
      <c r="I17" s="50">
        <v>2</v>
      </c>
      <c r="J17" s="50">
        <v>2</v>
      </c>
      <c r="K17" s="50">
        <v>0</v>
      </c>
      <c r="L17" s="50">
        <v>0</v>
      </c>
      <c r="M17" s="50">
        <v>27</v>
      </c>
      <c r="N17" s="50">
        <v>0</v>
      </c>
      <c r="O17" s="15">
        <f t="shared" si="0"/>
        <v>26</v>
      </c>
      <c r="P17" s="15">
        <f t="shared" si="1"/>
        <v>53</v>
      </c>
      <c r="R17" s="1" t="s">
        <v>13</v>
      </c>
      <c r="S17" s="17">
        <f t="shared" ref="S17:AF17" si="9">SUM(C38:C41)</f>
        <v>59</v>
      </c>
      <c r="T17" s="17">
        <f t="shared" si="9"/>
        <v>19</v>
      </c>
      <c r="U17" s="17">
        <f t="shared" si="9"/>
        <v>8</v>
      </c>
      <c r="V17" s="17">
        <f t="shared" si="9"/>
        <v>29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3</v>
      </c>
      <c r="AA17" s="17">
        <f t="shared" si="9"/>
        <v>1</v>
      </c>
      <c r="AB17" s="17">
        <f t="shared" si="9"/>
        <v>4</v>
      </c>
      <c r="AC17" s="17">
        <f t="shared" si="9"/>
        <v>126</v>
      </c>
      <c r="AD17" s="17">
        <f t="shared" si="9"/>
        <v>0</v>
      </c>
      <c r="AE17" s="31">
        <f t="shared" si="9"/>
        <v>130</v>
      </c>
      <c r="AF17" s="31">
        <f t="shared" si="9"/>
        <v>256</v>
      </c>
    </row>
    <row r="18" spans="2:32" ht="23.1" customHeight="1" x14ac:dyDescent="0.25">
      <c r="B18" s="45" t="s">
        <v>45</v>
      </c>
      <c r="C18" s="50">
        <v>10</v>
      </c>
      <c r="D18" s="50">
        <v>0</v>
      </c>
      <c r="E18" s="50">
        <v>2</v>
      </c>
      <c r="F18" s="50">
        <v>9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27</v>
      </c>
      <c r="N18" s="50">
        <v>0</v>
      </c>
      <c r="O18" s="15">
        <f t="shared" si="0"/>
        <v>22</v>
      </c>
      <c r="P18" s="15">
        <f t="shared" si="1"/>
        <v>49</v>
      </c>
      <c r="R18" s="1" t="s">
        <v>14</v>
      </c>
      <c r="S18" s="17">
        <f t="shared" ref="S18:AF18" si="10">SUM(C42:C45)</f>
        <v>70</v>
      </c>
      <c r="T18" s="17">
        <f t="shared" si="10"/>
        <v>31</v>
      </c>
      <c r="U18" s="17">
        <f t="shared" si="10"/>
        <v>8</v>
      </c>
      <c r="V18" s="17">
        <f t="shared" si="10"/>
        <v>41</v>
      </c>
      <c r="W18" s="17">
        <f t="shared" si="10"/>
        <v>1</v>
      </c>
      <c r="X18" s="17">
        <f t="shared" si="10"/>
        <v>0</v>
      </c>
      <c r="Y18" s="17">
        <f t="shared" si="10"/>
        <v>14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81</v>
      </c>
      <c r="AD18" s="17">
        <f t="shared" si="10"/>
        <v>0</v>
      </c>
      <c r="AE18" s="31">
        <f t="shared" si="10"/>
        <v>167</v>
      </c>
      <c r="AF18" s="31">
        <f t="shared" si="10"/>
        <v>248</v>
      </c>
    </row>
    <row r="19" spans="2:32" ht="23.1" customHeight="1" x14ac:dyDescent="0.25">
      <c r="B19" s="45" t="s">
        <v>46</v>
      </c>
      <c r="C19" s="50">
        <v>11</v>
      </c>
      <c r="D19" s="50">
        <v>1</v>
      </c>
      <c r="E19" s="50">
        <v>0</v>
      </c>
      <c r="F19" s="50">
        <v>8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38</v>
      </c>
      <c r="N19" s="50">
        <v>0</v>
      </c>
      <c r="O19" s="15">
        <f t="shared" si="0"/>
        <v>22</v>
      </c>
      <c r="P19" s="15">
        <f t="shared" si="1"/>
        <v>60</v>
      </c>
      <c r="R19" s="1" t="s">
        <v>15</v>
      </c>
      <c r="S19" s="17">
        <f t="shared" ref="S19:AF19" si="11">SUM(C46:C49)</f>
        <v>47</v>
      </c>
      <c r="T19" s="17">
        <f t="shared" si="11"/>
        <v>19</v>
      </c>
      <c r="U19" s="17">
        <f t="shared" si="11"/>
        <v>6</v>
      </c>
      <c r="V19" s="17">
        <f t="shared" si="11"/>
        <v>35</v>
      </c>
      <c r="W19" s="17">
        <f t="shared" si="11"/>
        <v>2</v>
      </c>
      <c r="X19" s="17">
        <f t="shared" si="11"/>
        <v>0</v>
      </c>
      <c r="Y19" s="17">
        <f t="shared" si="11"/>
        <v>7</v>
      </c>
      <c r="Z19" s="17">
        <f t="shared" si="11"/>
        <v>5</v>
      </c>
      <c r="AA19" s="17">
        <f t="shared" si="11"/>
        <v>1</v>
      </c>
      <c r="AB19" s="17">
        <f t="shared" si="11"/>
        <v>1</v>
      </c>
      <c r="AC19" s="17">
        <f t="shared" si="11"/>
        <v>114</v>
      </c>
      <c r="AD19" s="17">
        <f t="shared" si="11"/>
        <v>0</v>
      </c>
      <c r="AE19" s="31">
        <f t="shared" si="11"/>
        <v>123</v>
      </c>
      <c r="AF19" s="31">
        <f t="shared" si="11"/>
        <v>237</v>
      </c>
    </row>
    <row r="20" spans="2:32" ht="23.1" customHeight="1" x14ac:dyDescent="0.25">
      <c r="B20" s="45" t="s">
        <v>47</v>
      </c>
      <c r="C20" s="50">
        <v>3</v>
      </c>
      <c r="D20" s="50">
        <v>1</v>
      </c>
      <c r="E20" s="50">
        <v>0</v>
      </c>
      <c r="F20" s="50">
        <v>7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19</v>
      </c>
      <c r="N20" s="50">
        <v>0</v>
      </c>
      <c r="O20" s="15">
        <f t="shared" si="0"/>
        <v>12</v>
      </c>
      <c r="P20" s="15">
        <f t="shared" si="1"/>
        <v>31</v>
      </c>
      <c r="R20" s="1" t="s">
        <v>16</v>
      </c>
      <c r="S20" s="17">
        <f t="shared" ref="S20:AF20" si="12">SUM(C50:C53)</f>
        <v>47</v>
      </c>
      <c r="T20" s="17">
        <f t="shared" si="12"/>
        <v>21</v>
      </c>
      <c r="U20" s="17">
        <f t="shared" si="12"/>
        <v>10</v>
      </c>
      <c r="V20" s="17">
        <f t="shared" si="12"/>
        <v>38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4</v>
      </c>
      <c r="AA20" s="17">
        <f t="shared" si="12"/>
        <v>2</v>
      </c>
      <c r="AB20" s="17">
        <f t="shared" si="12"/>
        <v>2</v>
      </c>
      <c r="AC20" s="17">
        <f t="shared" si="12"/>
        <v>137</v>
      </c>
      <c r="AD20" s="17">
        <f t="shared" si="12"/>
        <v>0</v>
      </c>
      <c r="AE20" s="31">
        <f t="shared" si="12"/>
        <v>135</v>
      </c>
      <c r="AF20" s="31">
        <f t="shared" si="12"/>
        <v>272</v>
      </c>
    </row>
    <row r="21" spans="2:32" ht="23.1" customHeight="1" x14ac:dyDescent="0.25">
      <c r="B21" s="45" t="s">
        <v>48</v>
      </c>
      <c r="C21" s="50">
        <v>7</v>
      </c>
      <c r="D21" s="50">
        <v>2</v>
      </c>
      <c r="E21" s="50">
        <v>3</v>
      </c>
      <c r="F21" s="50">
        <v>8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18</v>
      </c>
      <c r="N21" s="50">
        <v>0</v>
      </c>
      <c r="O21" s="15">
        <f t="shared" si="0"/>
        <v>22</v>
      </c>
      <c r="P21" s="15">
        <f t="shared" si="1"/>
        <v>40</v>
      </c>
      <c r="R21" s="36" t="s">
        <v>20</v>
      </c>
      <c r="S21" s="34">
        <f t="shared" ref="S21:AF21" si="13">SUM(C54:C57)</f>
        <v>47</v>
      </c>
      <c r="T21" s="17">
        <f t="shared" si="13"/>
        <v>15</v>
      </c>
      <c r="U21" s="17">
        <f t="shared" si="13"/>
        <v>10</v>
      </c>
      <c r="V21" s="17">
        <f t="shared" si="13"/>
        <v>35</v>
      </c>
      <c r="W21" s="17">
        <f t="shared" si="13"/>
        <v>2</v>
      </c>
      <c r="X21" s="17">
        <f t="shared" si="13"/>
        <v>0</v>
      </c>
      <c r="Y21" s="17">
        <f t="shared" si="13"/>
        <v>12</v>
      </c>
      <c r="Z21" s="17">
        <f t="shared" si="13"/>
        <v>2</v>
      </c>
      <c r="AA21" s="17">
        <f t="shared" si="13"/>
        <v>6</v>
      </c>
      <c r="AB21" s="17">
        <f t="shared" si="13"/>
        <v>1</v>
      </c>
      <c r="AC21" s="17">
        <f t="shared" si="13"/>
        <v>105</v>
      </c>
      <c r="AD21" s="17">
        <f t="shared" si="13"/>
        <v>0</v>
      </c>
      <c r="AE21" s="31">
        <f t="shared" si="13"/>
        <v>130</v>
      </c>
      <c r="AF21" s="31">
        <f t="shared" si="13"/>
        <v>235</v>
      </c>
    </row>
    <row r="22" spans="2:32" ht="23.1" customHeight="1" x14ac:dyDescent="0.25">
      <c r="B22" s="45" t="s">
        <v>49</v>
      </c>
      <c r="C22" s="50">
        <v>4</v>
      </c>
      <c r="D22" s="50">
        <v>4</v>
      </c>
      <c r="E22" s="50">
        <v>1</v>
      </c>
      <c r="F22" s="50">
        <v>8</v>
      </c>
      <c r="G22" s="50">
        <v>0</v>
      </c>
      <c r="H22" s="50">
        <v>1</v>
      </c>
      <c r="I22" s="50">
        <v>4</v>
      </c>
      <c r="J22" s="50">
        <v>1</v>
      </c>
      <c r="K22" s="50">
        <v>0</v>
      </c>
      <c r="L22" s="50">
        <v>0</v>
      </c>
      <c r="M22" s="50">
        <v>28</v>
      </c>
      <c r="N22" s="50">
        <v>0</v>
      </c>
      <c r="O22" s="15">
        <f t="shared" si="0"/>
        <v>23</v>
      </c>
      <c r="P22" s="15">
        <f t="shared" si="1"/>
        <v>51</v>
      </c>
      <c r="R22" s="36" t="s">
        <v>146</v>
      </c>
      <c r="S22" s="34">
        <f>SUM(C58:C61)</f>
        <v>34</v>
      </c>
      <c r="T22" s="34">
        <f t="shared" ref="T22:AF22" si="14">SUM(D58:D61)</f>
        <v>15</v>
      </c>
      <c r="U22" s="34">
        <f t="shared" si="14"/>
        <v>4</v>
      </c>
      <c r="V22" s="34">
        <f t="shared" si="14"/>
        <v>47</v>
      </c>
      <c r="W22" s="34">
        <f t="shared" si="14"/>
        <v>1</v>
      </c>
      <c r="X22" s="34">
        <f t="shared" si="14"/>
        <v>0</v>
      </c>
      <c r="Y22" s="34">
        <f t="shared" si="14"/>
        <v>14</v>
      </c>
      <c r="Z22" s="34">
        <f t="shared" si="14"/>
        <v>2</v>
      </c>
      <c r="AA22" s="34">
        <f t="shared" si="14"/>
        <v>0</v>
      </c>
      <c r="AB22" s="34">
        <f t="shared" si="14"/>
        <v>1</v>
      </c>
      <c r="AC22" s="34">
        <f t="shared" si="14"/>
        <v>104</v>
      </c>
      <c r="AD22" s="34">
        <f t="shared" si="14"/>
        <v>1</v>
      </c>
      <c r="AE22" s="31">
        <f t="shared" si="14"/>
        <v>119</v>
      </c>
      <c r="AF22" s="31">
        <f t="shared" si="14"/>
        <v>223</v>
      </c>
    </row>
    <row r="23" spans="2:32" ht="23.1" customHeight="1" x14ac:dyDescent="0.25">
      <c r="B23" s="45" t="s">
        <v>50</v>
      </c>
      <c r="C23" s="50">
        <v>12</v>
      </c>
      <c r="D23" s="50">
        <v>5</v>
      </c>
      <c r="E23" s="50">
        <v>3</v>
      </c>
      <c r="F23" s="50">
        <v>8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35</v>
      </c>
      <c r="N23" s="50">
        <v>0</v>
      </c>
      <c r="O23" s="15">
        <f t="shared" si="0"/>
        <v>29</v>
      </c>
      <c r="P23" s="15">
        <f t="shared" si="1"/>
        <v>64</v>
      </c>
      <c r="R23" s="36" t="s">
        <v>147</v>
      </c>
      <c r="S23" s="34">
        <f>SUM(C62:C65)</f>
        <v>39</v>
      </c>
      <c r="T23" s="34">
        <f t="shared" ref="T23:AF23" si="15">SUM(D62:D65)</f>
        <v>7</v>
      </c>
      <c r="U23" s="34">
        <f t="shared" si="15"/>
        <v>3</v>
      </c>
      <c r="V23" s="34">
        <f t="shared" si="15"/>
        <v>35</v>
      </c>
      <c r="W23" s="34">
        <f t="shared" si="15"/>
        <v>0</v>
      </c>
      <c r="X23" s="34">
        <f t="shared" si="15"/>
        <v>0</v>
      </c>
      <c r="Y23" s="34">
        <f t="shared" si="15"/>
        <v>16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77</v>
      </c>
      <c r="AD23" s="34">
        <f t="shared" si="15"/>
        <v>0</v>
      </c>
      <c r="AE23" s="31">
        <f t="shared" si="15"/>
        <v>100</v>
      </c>
      <c r="AF23" s="31">
        <f t="shared" si="15"/>
        <v>177</v>
      </c>
    </row>
    <row r="24" spans="2:32" ht="23.1" customHeight="1" x14ac:dyDescent="0.25">
      <c r="B24" s="45" t="s">
        <v>51</v>
      </c>
      <c r="C24" s="50">
        <v>9</v>
      </c>
      <c r="D24" s="50">
        <v>2</v>
      </c>
      <c r="E24" s="50">
        <v>3</v>
      </c>
      <c r="F24" s="50">
        <v>6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28</v>
      </c>
      <c r="N24" s="50">
        <v>0</v>
      </c>
      <c r="O24" s="15">
        <f t="shared" si="0"/>
        <v>22</v>
      </c>
      <c r="P24" s="15">
        <f t="shared" si="1"/>
        <v>50</v>
      </c>
      <c r="R24" s="36" t="s">
        <v>148</v>
      </c>
      <c r="S24" s="34">
        <f>SUM(C66:C69)</f>
        <v>33</v>
      </c>
      <c r="T24" s="34">
        <f t="shared" ref="T24:AF24" si="16">SUM(D66:D69)</f>
        <v>6</v>
      </c>
      <c r="U24" s="34">
        <f t="shared" si="16"/>
        <v>4</v>
      </c>
      <c r="V24" s="34">
        <f t="shared" si="16"/>
        <v>23</v>
      </c>
      <c r="W24" s="34">
        <f t="shared" si="16"/>
        <v>0</v>
      </c>
      <c r="X24" s="34">
        <f t="shared" si="16"/>
        <v>0</v>
      </c>
      <c r="Y24" s="34">
        <f t="shared" si="16"/>
        <v>9</v>
      </c>
      <c r="Z24" s="34">
        <f t="shared" si="16"/>
        <v>2</v>
      </c>
      <c r="AA24" s="34">
        <f t="shared" si="16"/>
        <v>1</v>
      </c>
      <c r="AB24" s="34">
        <f t="shared" si="16"/>
        <v>0</v>
      </c>
      <c r="AC24" s="34">
        <f t="shared" si="16"/>
        <v>58</v>
      </c>
      <c r="AD24" s="34">
        <f t="shared" si="16"/>
        <v>0</v>
      </c>
      <c r="AE24" s="31">
        <f t="shared" si="16"/>
        <v>78</v>
      </c>
      <c r="AF24" s="31">
        <f t="shared" si="16"/>
        <v>136</v>
      </c>
    </row>
    <row r="25" spans="2:32" ht="23.1" customHeight="1" x14ac:dyDescent="0.25">
      <c r="B25" s="45" t="s">
        <v>52</v>
      </c>
      <c r="C25" s="50">
        <v>10</v>
      </c>
      <c r="D25" s="50">
        <v>5</v>
      </c>
      <c r="E25" s="50">
        <v>0</v>
      </c>
      <c r="F25" s="50">
        <v>8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1</v>
      </c>
      <c r="M25" s="50">
        <v>30</v>
      </c>
      <c r="N25" s="50">
        <v>0</v>
      </c>
      <c r="O25" s="15">
        <f t="shared" si="0"/>
        <v>25</v>
      </c>
      <c r="P25" s="15">
        <f t="shared" si="1"/>
        <v>55</v>
      </c>
      <c r="R25" s="36" t="s">
        <v>149</v>
      </c>
      <c r="S25" s="34">
        <f>SUM(C70:C73)</f>
        <v>27</v>
      </c>
      <c r="T25" s="34">
        <f t="shared" ref="T25:AF25" si="17">SUM(D70:D73)</f>
        <v>8</v>
      </c>
      <c r="U25" s="34">
        <f t="shared" si="17"/>
        <v>6</v>
      </c>
      <c r="V25" s="34">
        <f t="shared" si="17"/>
        <v>24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1</v>
      </c>
      <c r="AA25" s="34">
        <f t="shared" si="17"/>
        <v>1</v>
      </c>
      <c r="AB25" s="34">
        <f t="shared" si="17"/>
        <v>0</v>
      </c>
      <c r="AC25" s="34">
        <f t="shared" si="17"/>
        <v>37</v>
      </c>
      <c r="AD25" s="34">
        <f t="shared" si="17"/>
        <v>0</v>
      </c>
      <c r="AE25" s="31">
        <f t="shared" si="17"/>
        <v>70</v>
      </c>
      <c r="AF25" s="31">
        <f t="shared" si="17"/>
        <v>107</v>
      </c>
    </row>
    <row r="26" spans="2:32" ht="23.1" customHeight="1" x14ac:dyDescent="0.25">
      <c r="B26" s="45" t="s">
        <v>53</v>
      </c>
      <c r="C26" s="50">
        <v>5</v>
      </c>
      <c r="D26" s="50">
        <v>2</v>
      </c>
      <c r="E26" s="50">
        <v>2</v>
      </c>
      <c r="F26" s="50">
        <v>4</v>
      </c>
      <c r="G26" s="50">
        <v>1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29</v>
      </c>
      <c r="N26" s="50">
        <v>0</v>
      </c>
      <c r="O26" s="15">
        <f t="shared" si="0"/>
        <v>17</v>
      </c>
      <c r="P26" s="15">
        <f t="shared" si="1"/>
        <v>46</v>
      </c>
      <c r="R26" s="36" t="s">
        <v>150</v>
      </c>
      <c r="S26" s="34">
        <f>SUM(C74:C77)</f>
        <v>11</v>
      </c>
      <c r="T26" s="34">
        <f t="shared" ref="T26:AF26" si="18">SUM(D74:D77)</f>
        <v>2</v>
      </c>
      <c r="U26" s="34">
        <f t="shared" si="18"/>
        <v>1</v>
      </c>
      <c r="V26" s="34">
        <f t="shared" si="18"/>
        <v>5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1</v>
      </c>
      <c r="AA26" s="34">
        <f t="shared" si="18"/>
        <v>1</v>
      </c>
      <c r="AB26" s="34">
        <f t="shared" si="18"/>
        <v>0</v>
      </c>
      <c r="AC26" s="34">
        <f t="shared" si="18"/>
        <v>16</v>
      </c>
      <c r="AD26" s="34">
        <f t="shared" si="18"/>
        <v>0</v>
      </c>
      <c r="AE26" s="31">
        <f t="shared" si="18"/>
        <v>22</v>
      </c>
      <c r="AF26" s="31">
        <f t="shared" si="18"/>
        <v>38</v>
      </c>
    </row>
    <row r="27" spans="2:32" ht="23.1" customHeight="1" x14ac:dyDescent="0.25">
      <c r="B27" s="45" t="s">
        <v>54</v>
      </c>
      <c r="C27" s="50">
        <v>5</v>
      </c>
      <c r="D27" s="50">
        <v>3</v>
      </c>
      <c r="E27" s="50">
        <v>4</v>
      </c>
      <c r="F27" s="50">
        <v>8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17</v>
      </c>
      <c r="N27" s="50">
        <v>0</v>
      </c>
      <c r="O27" s="15">
        <f t="shared" si="0"/>
        <v>20</v>
      </c>
      <c r="P27" s="15">
        <f t="shared" si="1"/>
        <v>37</v>
      </c>
      <c r="R27" s="36" t="s">
        <v>151</v>
      </c>
      <c r="S27" s="34">
        <f>SUM(C78:C81)</f>
        <v>8</v>
      </c>
      <c r="T27" s="34">
        <f t="shared" ref="T27:AF27" si="19">SUM(D78:D81)</f>
        <v>3</v>
      </c>
      <c r="U27" s="34">
        <f t="shared" si="19"/>
        <v>0</v>
      </c>
      <c r="V27" s="34">
        <f t="shared" si="19"/>
        <v>2</v>
      </c>
      <c r="W27" s="34">
        <f t="shared" si="19"/>
        <v>0</v>
      </c>
      <c r="X27" s="34">
        <f t="shared" si="19"/>
        <v>1</v>
      </c>
      <c r="Y27" s="34">
        <f t="shared" si="19"/>
        <v>3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16</v>
      </c>
      <c r="AD27" s="34">
        <f t="shared" si="19"/>
        <v>0</v>
      </c>
      <c r="AE27" s="31">
        <f t="shared" si="19"/>
        <v>20</v>
      </c>
      <c r="AF27" s="31">
        <f t="shared" si="19"/>
        <v>36</v>
      </c>
    </row>
    <row r="28" spans="2:32" ht="23.1" customHeight="1" x14ac:dyDescent="0.25">
      <c r="B28" s="45" t="s">
        <v>55</v>
      </c>
      <c r="C28" s="50">
        <v>16</v>
      </c>
      <c r="D28" s="50">
        <v>2</v>
      </c>
      <c r="E28" s="50">
        <v>0</v>
      </c>
      <c r="F28" s="50">
        <v>8</v>
      </c>
      <c r="G28" s="50">
        <v>0</v>
      </c>
      <c r="H28" s="50">
        <v>0</v>
      </c>
      <c r="I28" s="50">
        <v>4</v>
      </c>
      <c r="J28" s="50">
        <v>1</v>
      </c>
      <c r="K28" s="50">
        <v>0</v>
      </c>
      <c r="L28" s="50">
        <v>0</v>
      </c>
      <c r="M28" s="50">
        <v>15</v>
      </c>
      <c r="N28" s="50">
        <v>0</v>
      </c>
      <c r="O28" s="15">
        <f t="shared" si="0"/>
        <v>31</v>
      </c>
      <c r="P28" s="15">
        <f t="shared" si="1"/>
        <v>46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</v>
      </c>
      <c r="AD28" s="34">
        <f t="shared" si="20"/>
        <v>0</v>
      </c>
      <c r="AE28" s="31">
        <f t="shared" si="20"/>
        <v>3</v>
      </c>
      <c r="AF28" s="31">
        <f t="shared" si="20"/>
        <v>7</v>
      </c>
    </row>
    <row r="29" spans="2:32" ht="23.1" customHeight="1" x14ac:dyDescent="0.25">
      <c r="B29" s="45" t="s">
        <v>56</v>
      </c>
      <c r="C29" s="50">
        <v>11</v>
      </c>
      <c r="D29" s="50">
        <v>5</v>
      </c>
      <c r="E29" s="50">
        <v>0</v>
      </c>
      <c r="F29" s="50">
        <v>9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20</v>
      </c>
      <c r="N29" s="50">
        <v>0</v>
      </c>
      <c r="O29" s="15">
        <f t="shared" si="0"/>
        <v>26</v>
      </c>
      <c r="P29" s="15">
        <f t="shared" si="1"/>
        <v>46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1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3</v>
      </c>
      <c r="AF29" s="31">
        <f t="shared" si="21"/>
        <v>3</v>
      </c>
    </row>
    <row r="30" spans="2:32" ht="23.1" customHeight="1" x14ac:dyDescent="0.25">
      <c r="B30" s="45" t="s">
        <v>57</v>
      </c>
      <c r="C30" s="50">
        <v>13</v>
      </c>
      <c r="D30" s="50">
        <v>1</v>
      </c>
      <c r="E30" s="50">
        <v>0</v>
      </c>
      <c r="F30" s="50">
        <v>11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1</v>
      </c>
      <c r="M30" s="50">
        <v>20</v>
      </c>
      <c r="N30" s="50">
        <v>0</v>
      </c>
      <c r="O30" s="15">
        <f t="shared" si="0"/>
        <v>28</v>
      </c>
      <c r="P30" s="15">
        <f t="shared" si="1"/>
        <v>48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6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6</v>
      </c>
      <c r="AA30" s="34">
        <f t="shared" si="22"/>
        <v>0</v>
      </c>
      <c r="AB30" s="34">
        <f t="shared" si="22"/>
        <v>0</v>
      </c>
      <c r="AC30" s="34">
        <f t="shared" si="22"/>
        <v>4</v>
      </c>
      <c r="AD30" s="34">
        <f t="shared" si="22"/>
        <v>0</v>
      </c>
      <c r="AE30" s="31">
        <f t="shared" si="22"/>
        <v>13</v>
      </c>
      <c r="AF30" s="31">
        <f t="shared" si="22"/>
        <v>17</v>
      </c>
    </row>
    <row r="31" spans="2:32" ht="23.1" customHeight="1" x14ac:dyDescent="0.25">
      <c r="B31" s="46" t="s">
        <v>58</v>
      </c>
      <c r="C31" s="50">
        <v>7</v>
      </c>
      <c r="D31" s="50">
        <v>8</v>
      </c>
      <c r="E31" s="50">
        <v>1</v>
      </c>
      <c r="F31" s="50">
        <v>9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25</v>
      </c>
      <c r="N31" s="50">
        <v>0</v>
      </c>
      <c r="O31" s="15">
        <f t="shared" si="0"/>
        <v>26</v>
      </c>
      <c r="P31" s="15">
        <f t="shared" si="1"/>
        <v>51</v>
      </c>
      <c r="R31" s="36" t="s">
        <v>155</v>
      </c>
      <c r="S31" s="34">
        <f>SUM(C94:C97)</f>
        <v>3</v>
      </c>
      <c r="T31" s="34">
        <f t="shared" ref="T31:AF31" si="23">SUM(D94:D97)</f>
        <v>2</v>
      </c>
      <c r="U31" s="34">
        <f t="shared" si="23"/>
        <v>4</v>
      </c>
      <c r="V31" s="34">
        <f t="shared" si="23"/>
        <v>17</v>
      </c>
      <c r="W31" s="34">
        <f t="shared" si="23"/>
        <v>0</v>
      </c>
      <c r="X31" s="34">
        <f t="shared" si="23"/>
        <v>0</v>
      </c>
      <c r="Y31" s="34">
        <f t="shared" si="23"/>
        <v>6</v>
      </c>
      <c r="Z31" s="34">
        <f t="shared" si="23"/>
        <v>3</v>
      </c>
      <c r="AA31" s="34">
        <f t="shared" si="23"/>
        <v>2</v>
      </c>
      <c r="AB31" s="34">
        <f t="shared" si="23"/>
        <v>0</v>
      </c>
      <c r="AC31" s="34">
        <f t="shared" si="23"/>
        <v>5</v>
      </c>
      <c r="AD31" s="34">
        <f t="shared" si="23"/>
        <v>0</v>
      </c>
      <c r="AE31" s="31">
        <f t="shared" si="23"/>
        <v>37</v>
      </c>
      <c r="AF31" s="31">
        <f t="shared" si="23"/>
        <v>42</v>
      </c>
    </row>
    <row r="32" spans="2:32" ht="23.1" customHeight="1" x14ac:dyDescent="0.25">
      <c r="B32" s="46" t="s">
        <v>59</v>
      </c>
      <c r="C32" s="50">
        <v>15</v>
      </c>
      <c r="D32" s="50">
        <v>8</v>
      </c>
      <c r="E32" s="50">
        <v>0</v>
      </c>
      <c r="F32" s="50">
        <v>7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30</v>
      </c>
      <c r="P32" s="15">
        <f t="shared" si="1"/>
        <v>48</v>
      </c>
      <c r="R32" s="33" t="s">
        <v>156</v>
      </c>
      <c r="S32" s="34">
        <f>SUM(C98:C101)</f>
        <v>26</v>
      </c>
      <c r="T32" s="34">
        <f t="shared" ref="T32:AF32" si="24">SUM(D98:D101)</f>
        <v>4</v>
      </c>
      <c r="U32" s="34">
        <f t="shared" si="24"/>
        <v>8</v>
      </c>
      <c r="V32" s="34">
        <f t="shared" si="24"/>
        <v>28</v>
      </c>
      <c r="W32" s="34">
        <f t="shared" si="24"/>
        <v>0</v>
      </c>
      <c r="X32" s="34">
        <f t="shared" si="24"/>
        <v>4</v>
      </c>
      <c r="Y32" s="34">
        <f t="shared" si="24"/>
        <v>6</v>
      </c>
      <c r="Z32" s="34">
        <f t="shared" si="24"/>
        <v>0</v>
      </c>
      <c r="AA32" s="34">
        <f t="shared" si="24"/>
        <v>0</v>
      </c>
      <c r="AB32" s="34">
        <f t="shared" si="24"/>
        <v>5</v>
      </c>
      <c r="AC32" s="34">
        <f t="shared" si="24"/>
        <v>17</v>
      </c>
      <c r="AD32" s="34">
        <f t="shared" si="24"/>
        <v>0</v>
      </c>
      <c r="AE32" s="31">
        <f t="shared" si="24"/>
        <v>81</v>
      </c>
      <c r="AF32" s="31">
        <f t="shared" si="24"/>
        <v>98</v>
      </c>
    </row>
    <row r="33" spans="2:32" ht="23.1" customHeight="1" x14ac:dyDescent="0.25">
      <c r="B33" s="45" t="s">
        <v>60</v>
      </c>
      <c r="C33" s="50">
        <v>13</v>
      </c>
      <c r="D33" s="50">
        <v>7</v>
      </c>
      <c r="E33" s="50">
        <v>2</v>
      </c>
      <c r="F33" s="50">
        <v>9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16</v>
      </c>
      <c r="N33" s="50">
        <v>0</v>
      </c>
      <c r="O33" s="15">
        <f t="shared" si="0"/>
        <v>33</v>
      </c>
      <c r="P33" s="15">
        <f t="shared" si="1"/>
        <v>49</v>
      </c>
      <c r="R33" s="33" t="s">
        <v>157</v>
      </c>
      <c r="S33" s="34">
        <f>SUM(C102:C105)</f>
        <v>20</v>
      </c>
      <c r="T33" s="34">
        <f t="shared" ref="T33:AF33" si="25">SUM(D102:D105)</f>
        <v>6</v>
      </c>
      <c r="U33" s="34">
        <f t="shared" si="25"/>
        <v>6</v>
      </c>
      <c r="V33" s="34">
        <f t="shared" si="25"/>
        <v>41</v>
      </c>
      <c r="W33" s="34">
        <f t="shared" si="25"/>
        <v>6</v>
      </c>
      <c r="X33" s="34">
        <f t="shared" si="25"/>
        <v>0</v>
      </c>
      <c r="Y33" s="34">
        <f t="shared" si="25"/>
        <v>15</v>
      </c>
      <c r="Z33" s="34">
        <f t="shared" si="25"/>
        <v>3</v>
      </c>
      <c r="AA33" s="34">
        <f t="shared" si="25"/>
        <v>0</v>
      </c>
      <c r="AB33" s="34">
        <f t="shared" si="25"/>
        <v>2</v>
      </c>
      <c r="AC33" s="34">
        <f t="shared" si="25"/>
        <v>52</v>
      </c>
      <c r="AD33" s="34">
        <f t="shared" si="25"/>
        <v>0</v>
      </c>
      <c r="AE33" s="31">
        <f t="shared" si="25"/>
        <v>99</v>
      </c>
      <c r="AF33" s="31">
        <f t="shared" si="25"/>
        <v>151</v>
      </c>
    </row>
    <row r="34" spans="2:32" ht="23.1" customHeight="1" x14ac:dyDescent="0.25">
      <c r="B34" s="46" t="s">
        <v>61</v>
      </c>
      <c r="C34" s="50">
        <v>12</v>
      </c>
      <c r="D34" s="50">
        <v>11</v>
      </c>
      <c r="E34" s="50">
        <v>0</v>
      </c>
      <c r="F34" s="50">
        <v>6</v>
      </c>
      <c r="G34" s="50">
        <v>1</v>
      </c>
      <c r="H34" s="50">
        <v>0</v>
      </c>
      <c r="I34" s="50">
        <v>3</v>
      </c>
      <c r="J34" s="50">
        <v>2</v>
      </c>
      <c r="K34" s="50">
        <v>1</v>
      </c>
      <c r="L34" s="50">
        <v>0</v>
      </c>
      <c r="M34" s="50">
        <v>14</v>
      </c>
      <c r="N34" s="50">
        <v>0</v>
      </c>
      <c r="O34" s="15">
        <f t="shared" si="0"/>
        <v>36</v>
      </c>
      <c r="P34" s="15">
        <f t="shared" si="1"/>
        <v>50</v>
      </c>
      <c r="R34" s="38" t="s">
        <v>90</v>
      </c>
      <c r="S34" s="39">
        <f t="shared" ref="S34:AF34" si="26">MAX(S10:S12)</f>
        <v>31</v>
      </c>
      <c r="T34" s="39">
        <f t="shared" si="26"/>
        <v>12</v>
      </c>
      <c r="U34" s="39">
        <f t="shared" si="26"/>
        <v>5</v>
      </c>
      <c r="V34" s="39">
        <f t="shared" si="26"/>
        <v>34</v>
      </c>
      <c r="W34" s="39">
        <f t="shared" si="26"/>
        <v>2</v>
      </c>
      <c r="X34" s="39">
        <f t="shared" si="26"/>
        <v>0</v>
      </c>
      <c r="Y34" s="39">
        <f t="shared" si="26"/>
        <v>10</v>
      </c>
      <c r="Z34" s="39">
        <f t="shared" si="26"/>
        <v>3</v>
      </c>
      <c r="AA34" s="39">
        <f t="shared" si="26"/>
        <v>0</v>
      </c>
      <c r="AB34" s="39">
        <f t="shared" si="26"/>
        <v>0</v>
      </c>
      <c r="AC34" s="39">
        <f t="shared" si="26"/>
        <v>107</v>
      </c>
      <c r="AD34" s="39">
        <f t="shared" si="26"/>
        <v>1</v>
      </c>
      <c r="AE34" s="40">
        <f t="shared" si="26"/>
        <v>89</v>
      </c>
      <c r="AF34" s="40">
        <f t="shared" si="26"/>
        <v>196</v>
      </c>
    </row>
    <row r="35" spans="2:32" ht="23.1" customHeight="1" x14ac:dyDescent="0.25">
      <c r="B35" s="46" t="s">
        <v>62</v>
      </c>
      <c r="C35" s="50">
        <v>5</v>
      </c>
      <c r="D35" s="50">
        <v>11</v>
      </c>
      <c r="E35" s="50">
        <v>1</v>
      </c>
      <c r="F35" s="50">
        <v>6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26</v>
      </c>
      <c r="P35" s="15">
        <f t="shared" si="1"/>
        <v>41</v>
      </c>
      <c r="R35" s="38" t="s">
        <v>91</v>
      </c>
      <c r="S35" s="39">
        <f t="shared" ref="S35:AF35" si="27">MAX(S13:S18)</f>
        <v>70</v>
      </c>
      <c r="T35" s="39">
        <f t="shared" si="27"/>
        <v>36</v>
      </c>
      <c r="U35" s="39">
        <f t="shared" si="27"/>
        <v>8</v>
      </c>
      <c r="V35" s="39">
        <f t="shared" si="27"/>
        <v>41</v>
      </c>
      <c r="W35" s="39">
        <f t="shared" si="27"/>
        <v>1</v>
      </c>
      <c r="X35" s="39">
        <f t="shared" si="27"/>
        <v>1</v>
      </c>
      <c r="Y35" s="39">
        <f t="shared" si="27"/>
        <v>14</v>
      </c>
      <c r="Z35" s="39">
        <f t="shared" si="27"/>
        <v>3</v>
      </c>
      <c r="AA35" s="39">
        <f t="shared" si="27"/>
        <v>1</v>
      </c>
      <c r="AB35" s="39">
        <f t="shared" si="27"/>
        <v>4</v>
      </c>
      <c r="AC35" s="39">
        <f t="shared" si="27"/>
        <v>126</v>
      </c>
      <c r="AD35" s="39">
        <f t="shared" si="27"/>
        <v>0</v>
      </c>
      <c r="AE35" s="40">
        <f t="shared" si="27"/>
        <v>167</v>
      </c>
      <c r="AF35" s="40">
        <f t="shared" si="27"/>
        <v>256</v>
      </c>
    </row>
    <row r="36" spans="2:32" ht="23.1" customHeight="1" x14ac:dyDescent="0.25">
      <c r="B36" s="46" t="s">
        <v>63</v>
      </c>
      <c r="C36" s="50">
        <v>14</v>
      </c>
      <c r="D36" s="50">
        <v>10</v>
      </c>
      <c r="E36" s="50">
        <v>5</v>
      </c>
      <c r="F36" s="50">
        <v>7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17</v>
      </c>
      <c r="N36" s="50">
        <v>0</v>
      </c>
      <c r="O36" s="15">
        <f t="shared" si="0"/>
        <v>40</v>
      </c>
      <c r="P36" s="15">
        <f t="shared" si="1"/>
        <v>57</v>
      </c>
      <c r="R36" s="38" t="s">
        <v>92</v>
      </c>
      <c r="S36" s="39">
        <f t="shared" ref="S36:AF36" si="28">MAX(S19:S21)</f>
        <v>47</v>
      </c>
      <c r="T36" s="39">
        <f t="shared" si="28"/>
        <v>21</v>
      </c>
      <c r="U36" s="39">
        <f t="shared" si="28"/>
        <v>10</v>
      </c>
      <c r="V36" s="39">
        <f t="shared" si="28"/>
        <v>38</v>
      </c>
      <c r="W36" s="39">
        <f t="shared" si="28"/>
        <v>2</v>
      </c>
      <c r="X36" s="39">
        <f t="shared" si="28"/>
        <v>0</v>
      </c>
      <c r="Y36" s="39">
        <f t="shared" si="28"/>
        <v>12</v>
      </c>
      <c r="Z36" s="39">
        <f t="shared" si="28"/>
        <v>5</v>
      </c>
      <c r="AA36" s="39">
        <f t="shared" si="28"/>
        <v>6</v>
      </c>
      <c r="AB36" s="39">
        <f t="shared" si="28"/>
        <v>2</v>
      </c>
      <c r="AC36" s="39">
        <f t="shared" si="28"/>
        <v>137</v>
      </c>
      <c r="AD36" s="39">
        <f t="shared" si="28"/>
        <v>0</v>
      </c>
      <c r="AE36" s="40">
        <f t="shared" si="28"/>
        <v>135</v>
      </c>
      <c r="AF36" s="40">
        <f t="shared" si="28"/>
        <v>272</v>
      </c>
    </row>
    <row r="37" spans="2:32" ht="23.1" customHeight="1" x14ac:dyDescent="0.25">
      <c r="B37" s="45" t="s">
        <v>64</v>
      </c>
      <c r="C37" s="50">
        <v>17</v>
      </c>
      <c r="D37" s="50">
        <v>4</v>
      </c>
      <c r="E37" s="50">
        <v>0</v>
      </c>
      <c r="F37" s="50">
        <v>7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1</v>
      </c>
      <c r="M37" s="50">
        <v>25</v>
      </c>
      <c r="N37" s="50">
        <v>0</v>
      </c>
      <c r="O37" s="15">
        <f t="shared" si="0"/>
        <v>31</v>
      </c>
      <c r="P37" s="15">
        <f t="shared" si="1"/>
        <v>56</v>
      </c>
      <c r="R37" s="37" t="s">
        <v>85</v>
      </c>
      <c r="S37" s="35">
        <f t="shared" ref="S37:AF37" si="29">SUM(S10:S12)</f>
        <v>74</v>
      </c>
      <c r="T37" s="16">
        <f t="shared" si="29"/>
        <v>25</v>
      </c>
      <c r="U37" s="16">
        <f t="shared" si="29"/>
        <v>13</v>
      </c>
      <c r="V37" s="16">
        <f t="shared" si="29"/>
        <v>96</v>
      </c>
      <c r="W37" s="16">
        <f t="shared" si="29"/>
        <v>4</v>
      </c>
      <c r="X37" s="16">
        <f t="shared" si="29"/>
        <v>0</v>
      </c>
      <c r="Y37" s="16">
        <f t="shared" si="29"/>
        <v>19</v>
      </c>
      <c r="Z37" s="16">
        <f t="shared" si="29"/>
        <v>6</v>
      </c>
      <c r="AA37" s="16">
        <f t="shared" si="29"/>
        <v>0</v>
      </c>
      <c r="AB37" s="16">
        <f t="shared" si="29"/>
        <v>0</v>
      </c>
      <c r="AC37" s="16">
        <f t="shared" si="29"/>
        <v>294</v>
      </c>
      <c r="AD37" s="16">
        <f t="shared" si="29"/>
        <v>1</v>
      </c>
      <c r="AE37" s="32">
        <f t="shared" si="29"/>
        <v>238</v>
      </c>
      <c r="AF37" s="32">
        <f t="shared" si="29"/>
        <v>532</v>
      </c>
    </row>
    <row r="38" spans="2:32" ht="23.1" customHeight="1" x14ac:dyDescent="0.25">
      <c r="B38" s="46" t="s">
        <v>65</v>
      </c>
      <c r="C38" s="50">
        <v>13</v>
      </c>
      <c r="D38" s="50">
        <v>1</v>
      </c>
      <c r="E38" s="50">
        <v>2</v>
      </c>
      <c r="F38" s="50">
        <v>4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3</v>
      </c>
      <c r="M38" s="50">
        <v>13</v>
      </c>
      <c r="N38" s="50">
        <v>0</v>
      </c>
      <c r="O38" s="15">
        <f t="shared" si="0"/>
        <v>25</v>
      </c>
      <c r="P38" s="15">
        <f t="shared" si="1"/>
        <v>38</v>
      </c>
      <c r="R38" s="28" t="s">
        <v>86</v>
      </c>
      <c r="S38" s="16">
        <f t="shared" ref="S38:AF38" si="30">SUM(S13:S18)</f>
        <v>297</v>
      </c>
      <c r="T38" s="16">
        <f t="shared" si="30"/>
        <v>138</v>
      </c>
      <c r="U38" s="16">
        <f t="shared" si="30"/>
        <v>38</v>
      </c>
      <c r="V38" s="16">
        <f t="shared" si="30"/>
        <v>191</v>
      </c>
      <c r="W38" s="16">
        <f t="shared" si="30"/>
        <v>3</v>
      </c>
      <c r="X38" s="16">
        <f t="shared" si="30"/>
        <v>1</v>
      </c>
      <c r="Y38" s="16">
        <f t="shared" si="30"/>
        <v>48</v>
      </c>
      <c r="Z38" s="16">
        <f t="shared" si="30"/>
        <v>14</v>
      </c>
      <c r="AA38" s="16">
        <f t="shared" si="30"/>
        <v>3</v>
      </c>
      <c r="AB38" s="16">
        <f t="shared" si="30"/>
        <v>7</v>
      </c>
      <c r="AC38" s="16">
        <f t="shared" si="30"/>
        <v>559</v>
      </c>
      <c r="AD38" s="16">
        <f t="shared" si="30"/>
        <v>0</v>
      </c>
      <c r="AE38" s="32">
        <f t="shared" si="30"/>
        <v>740</v>
      </c>
      <c r="AF38" s="32">
        <f t="shared" si="30"/>
        <v>1299</v>
      </c>
    </row>
    <row r="39" spans="2:32" ht="23.1" customHeight="1" x14ac:dyDescent="0.25">
      <c r="B39" s="46" t="s">
        <v>66</v>
      </c>
      <c r="C39" s="50">
        <v>16</v>
      </c>
      <c r="D39" s="50">
        <v>6</v>
      </c>
      <c r="E39" s="50">
        <v>0</v>
      </c>
      <c r="F39" s="50">
        <v>10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1</v>
      </c>
      <c r="M39" s="50">
        <v>65</v>
      </c>
      <c r="N39" s="50">
        <v>0</v>
      </c>
      <c r="O39" s="15">
        <f t="shared" si="0"/>
        <v>35</v>
      </c>
      <c r="P39" s="15">
        <f t="shared" si="1"/>
        <v>100</v>
      </c>
      <c r="R39" s="29" t="s">
        <v>87</v>
      </c>
      <c r="S39" s="16">
        <f t="shared" ref="S39:AF39" si="31">SUM(S19:S21)</f>
        <v>141</v>
      </c>
      <c r="T39" s="16">
        <f t="shared" si="31"/>
        <v>55</v>
      </c>
      <c r="U39" s="16">
        <f t="shared" si="31"/>
        <v>26</v>
      </c>
      <c r="V39" s="16">
        <f t="shared" si="31"/>
        <v>108</v>
      </c>
      <c r="W39" s="16">
        <f t="shared" si="31"/>
        <v>4</v>
      </c>
      <c r="X39" s="16">
        <f t="shared" si="31"/>
        <v>0</v>
      </c>
      <c r="Y39" s="16">
        <f t="shared" si="31"/>
        <v>30</v>
      </c>
      <c r="Z39" s="16">
        <f t="shared" si="31"/>
        <v>11</v>
      </c>
      <c r="AA39" s="16">
        <f t="shared" si="31"/>
        <v>9</v>
      </c>
      <c r="AB39" s="16">
        <f t="shared" si="31"/>
        <v>4</v>
      </c>
      <c r="AC39" s="16">
        <f t="shared" si="31"/>
        <v>356</v>
      </c>
      <c r="AD39" s="16">
        <f t="shared" si="31"/>
        <v>0</v>
      </c>
      <c r="AE39" s="32">
        <f t="shared" si="31"/>
        <v>388</v>
      </c>
      <c r="AF39" s="32">
        <f t="shared" si="31"/>
        <v>744</v>
      </c>
    </row>
    <row r="40" spans="2:32" ht="23.1" customHeight="1" x14ac:dyDescent="0.25">
      <c r="B40" s="46" t="s">
        <v>67</v>
      </c>
      <c r="C40" s="50">
        <v>15</v>
      </c>
      <c r="D40" s="50">
        <v>5</v>
      </c>
      <c r="E40" s="50">
        <v>4</v>
      </c>
      <c r="F40" s="50">
        <v>10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38</v>
      </c>
      <c r="P40" s="15">
        <f t="shared" si="1"/>
        <v>74</v>
      </c>
      <c r="R40" s="5" t="s">
        <v>17</v>
      </c>
      <c r="S40" s="16">
        <f t="shared" ref="S40:AF40" si="32">SUM(S10:S21)</f>
        <v>512</v>
      </c>
      <c r="T40" s="16">
        <f t="shared" si="32"/>
        <v>218</v>
      </c>
      <c r="U40" s="16">
        <f t="shared" si="32"/>
        <v>77</v>
      </c>
      <c r="V40" s="16">
        <f t="shared" si="32"/>
        <v>395</v>
      </c>
      <c r="W40" s="16">
        <f t="shared" si="32"/>
        <v>11</v>
      </c>
      <c r="X40" s="16">
        <f t="shared" si="32"/>
        <v>1</v>
      </c>
      <c r="Y40" s="16">
        <f t="shared" si="32"/>
        <v>97</v>
      </c>
      <c r="Z40" s="16">
        <f t="shared" si="32"/>
        <v>31</v>
      </c>
      <c r="AA40" s="16">
        <f t="shared" si="32"/>
        <v>12</v>
      </c>
      <c r="AB40" s="16">
        <f t="shared" si="32"/>
        <v>11</v>
      </c>
      <c r="AC40" s="16">
        <f t="shared" si="32"/>
        <v>1209</v>
      </c>
      <c r="AD40" s="16">
        <f t="shared" si="32"/>
        <v>1</v>
      </c>
      <c r="AE40" s="32">
        <f t="shared" si="32"/>
        <v>1366</v>
      </c>
      <c r="AF40" s="32">
        <f t="shared" si="32"/>
        <v>2575</v>
      </c>
    </row>
    <row r="41" spans="2:32" ht="23.1" customHeight="1" x14ac:dyDescent="0.25">
      <c r="B41" s="45" t="s">
        <v>68</v>
      </c>
      <c r="C41" s="50">
        <v>15</v>
      </c>
      <c r="D41" s="50">
        <v>7</v>
      </c>
      <c r="E41" s="50">
        <v>2</v>
      </c>
      <c r="F41" s="50">
        <v>5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32</v>
      </c>
      <c r="P41" s="15">
        <f t="shared" si="1"/>
        <v>44</v>
      </c>
      <c r="R41" s="5" t="s">
        <v>159</v>
      </c>
      <c r="S41" s="16">
        <f>SUM(S10:S33)</f>
        <v>714</v>
      </c>
      <c r="T41" s="16">
        <f t="shared" ref="T41:AF41" si="33">SUM(T10:T33)</f>
        <v>271</v>
      </c>
      <c r="U41" s="16">
        <f t="shared" si="33"/>
        <v>113</v>
      </c>
      <c r="V41" s="16">
        <f t="shared" si="33"/>
        <v>623</v>
      </c>
      <c r="W41" s="16">
        <f t="shared" si="33"/>
        <v>18</v>
      </c>
      <c r="X41" s="16">
        <f t="shared" si="33"/>
        <v>7</v>
      </c>
      <c r="Y41" s="16">
        <f t="shared" si="33"/>
        <v>175</v>
      </c>
      <c r="Z41" s="16">
        <f t="shared" si="33"/>
        <v>52</v>
      </c>
      <c r="AA41" s="16">
        <f t="shared" si="33"/>
        <v>17</v>
      </c>
      <c r="AB41" s="16">
        <f t="shared" si="33"/>
        <v>19</v>
      </c>
      <c r="AC41" s="16">
        <f t="shared" si="33"/>
        <v>1599</v>
      </c>
      <c r="AD41" s="16">
        <f t="shared" si="33"/>
        <v>2</v>
      </c>
      <c r="AE41" s="32">
        <f t="shared" si="33"/>
        <v>2011</v>
      </c>
      <c r="AF41" s="32">
        <f t="shared" si="33"/>
        <v>3610</v>
      </c>
    </row>
    <row r="42" spans="2:32" ht="23.1" customHeight="1" x14ac:dyDescent="0.25">
      <c r="B42" s="46" t="s">
        <v>69</v>
      </c>
      <c r="C42" s="50">
        <v>12</v>
      </c>
      <c r="D42" s="50">
        <v>7</v>
      </c>
      <c r="E42" s="50">
        <v>4</v>
      </c>
      <c r="F42" s="50">
        <v>9</v>
      </c>
      <c r="G42" s="50">
        <v>1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38</v>
      </c>
      <c r="P42" s="15">
        <f t="shared" si="1"/>
        <v>48</v>
      </c>
      <c r="R42" s="5" t="s">
        <v>160</v>
      </c>
      <c r="S42" s="48">
        <f>S41/S40</f>
        <v>1.39453125</v>
      </c>
      <c r="T42" s="48">
        <f t="shared" ref="T42:AF42" si="34">T41/T40</f>
        <v>1.2431192660550459</v>
      </c>
      <c r="U42" s="48">
        <f t="shared" si="34"/>
        <v>1.4675324675324675</v>
      </c>
      <c r="V42" s="48">
        <f t="shared" si="34"/>
        <v>1.5772151898734177</v>
      </c>
      <c r="W42" s="48">
        <f t="shared" si="34"/>
        <v>1.6363636363636365</v>
      </c>
      <c r="X42" s="48">
        <f t="shared" si="34"/>
        <v>7</v>
      </c>
      <c r="Y42" s="48">
        <f t="shared" si="34"/>
        <v>1.8041237113402062</v>
      </c>
      <c r="Z42" s="48">
        <f t="shared" si="34"/>
        <v>1.6774193548387097</v>
      </c>
      <c r="AA42" s="48">
        <f t="shared" si="34"/>
        <v>1.4166666666666667</v>
      </c>
      <c r="AB42" s="48">
        <f t="shared" si="34"/>
        <v>1.7272727272727273</v>
      </c>
      <c r="AC42" s="48">
        <f t="shared" si="34"/>
        <v>1.3225806451612903</v>
      </c>
      <c r="AD42" s="48">
        <f t="shared" si="34"/>
        <v>2</v>
      </c>
      <c r="AE42" s="48">
        <f t="shared" si="34"/>
        <v>1.472181551976574</v>
      </c>
      <c r="AF42" s="48">
        <f t="shared" si="34"/>
        <v>1.4019417475728155</v>
      </c>
    </row>
    <row r="43" spans="2:32" ht="23.1" customHeight="1" x14ac:dyDescent="0.25">
      <c r="B43" s="45" t="s">
        <v>70</v>
      </c>
      <c r="C43" s="50">
        <v>21</v>
      </c>
      <c r="D43" s="50">
        <v>6</v>
      </c>
      <c r="E43" s="50">
        <v>0</v>
      </c>
      <c r="F43" s="50">
        <v>8</v>
      </c>
      <c r="G43" s="50">
        <v>0</v>
      </c>
      <c r="H43" s="50">
        <v>0</v>
      </c>
      <c r="I43" s="50">
        <v>5</v>
      </c>
      <c r="J43" s="50">
        <v>0</v>
      </c>
      <c r="K43" s="50">
        <v>0</v>
      </c>
      <c r="L43" s="50">
        <v>0</v>
      </c>
      <c r="M43" s="50">
        <v>26</v>
      </c>
      <c r="N43" s="50">
        <v>0</v>
      </c>
      <c r="O43" s="15">
        <f t="shared" si="0"/>
        <v>40</v>
      </c>
      <c r="P43" s="15">
        <f t="shared" si="1"/>
        <v>66</v>
      </c>
    </row>
    <row r="44" spans="2:32" ht="23.1" customHeight="1" x14ac:dyDescent="0.25">
      <c r="B44" s="47" t="s">
        <v>71</v>
      </c>
      <c r="C44" s="50">
        <v>18</v>
      </c>
      <c r="D44" s="50">
        <v>8</v>
      </c>
      <c r="E44" s="50">
        <v>3</v>
      </c>
      <c r="F44" s="50">
        <v>12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24</v>
      </c>
      <c r="N44" s="50">
        <v>0</v>
      </c>
      <c r="O44" s="15">
        <f t="shared" si="0"/>
        <v>43</v>
      </c>
      <c r="P44" s="15">
        <f t="shared" si="1"/>
        <v>67</v>
      </c>
    </row>
    <row r="45" spans="2:32" ht="23.1" customHeight="1" x14ac:dyDescent="0.25">
      <c r="B45" s="45" t="s">
        <v>72</v>
      </c>
      <c r="C45" s="50">
        <v>19</v>
      </c>
      <c r="D45" s="50">
        <v>10</v>
      </c>
      <c r="E45" s="50">
        <v>1</v>
      </c>
      <c r="F45" s="50">
        <v>12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46</v>
      </c>
      <c r="P45" s="15">
        <f t="shared" si="1"/>
        <v>67</v>
      </c>
    </row>
    <row r="46" spans="2:32" ht="23.1" customHeight="1" x14ac:dyDescent="0.25">
      <c r="B46" s="46" t="s">
        <v>73</v>
      </c>
      <c r="C46" s="50">
        <v>9</v>
      </c>
      <c r="D46" s="50">
        <v>3</v>
      </c>
      <c r="E46" s="50">
        <v>2</v>
      </c>
      <c r="F46" s="50">
        <v>8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0</v>
      </c>
      <c r="M46" s="50">
        <v>23</v>
      </c>
      <c r="N46" s="50">
        <v>0</v>
      </c>
      <c r="O46" s="15">
        <f t="shared" si="0"/>
        <v>26</v>
      </c>
      <c r="P46" s="15">
        <f t="shared" si="1"/>
        <v>49</v>
      </c>
      <c r="R46" s="8"/>
      <c r="T46"/>
    </row>
    <row r="47" spans="2:32" ht="23.1" customHeight="1" x14ac:dyDescent="0.25">
      <c r="B47" s="46" t="s">
        <v>74</v>
      </c>
      <c r="C47" s="50">
        <v>13</v>
      </c>
      <c r="D47" s="50">
        <v>4</v>
      </c>
      <c r="E47" s="50">
        <v>3</v>
      </c>
      <c r="F47" s="50">
        <v>12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1</v>
      </c>
      <c r="M47" s="50">
        <v>27</v>
      </c>
      <c r="N47" s="50">
        <v>0</v>
      </c>
      <c r="O47" s="15">
        <f t="shared" si="0"/>
        <v>36</v>
      </c>
      <c r="P47" s="15">
        <f t="shared" si="1"/>
        <v>63</v>
      </c>
      <c r="R47" s="8"/>
      <c r="T47"/>
    </row>
    <row r="48" spans="2:32" ht="23.1" customHeight="1" x14ac:dyDescent="0.25">
      <c r="B48" s="46" t="s">
        <v>75</v>
      </c>
      <c r="C48" s="50">
        <v>14</v>
      </c>
      <c r="D48" s="50">
        <v>3</v>
      </c>
      <c r="E48" s="50">
        <v>1</v>
      </c>
      <c r="F48" s="50">
        <v>7</v>
      </c>
      <c r="G48" s="50">
        <v>0</v>
      </c>
      <c r="H48" s="50">
        <v>0</v>
      </c>
      <c r="I48" s="50">
        <v>2</v>
      </c>
      <c r="J48" s="50">
        <v>1</v>
      </c>
      <c r="K48" s="50">
        <v>1</v>
      </c>
      <c r="L48" s="50">
        <v>0</v>
      </c>
      <c r="M48" s="50">
        <v>31</v>
      </c>
      <c r="N48" s="50">
        <v>0</v>
      </c>
      <c r="O48" s="15">
        <f t="shared" si="0"/>
        <v>29</v>
      </c>
      <c r="P48" s="15">
        <f t="shared" si="1"/>
        <v>60</v>
      </c>
      <c r="R48" s="8"/>
      <c r="T48"/>
    </row>
    <row r="49" spans="2:20" ht="23.1" customHeight="1" x14ac:dyDescent="0.25">
      <c r="B49" s="45" t="s">
        <v>76</v>
      </c>
      <c r="C49" s="50">
        <v>11</v>
      </c>
      <c r="D49" s="50">
        <v>9</v>
      </c>
      <c r="E49" s="50">
        <v>0</v>
      </c>
      <c r="F49" s="50">
        <v>8</v>
      </c>
      <c r="G49" s="50">
        <v>2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33</v>
      </c>
      <c r="N49" s="50">
        <v>0</v>
      </c>
      <c r="O49" s="15">
        <f t="shared" si="0"/>
        <v>32</v>
      </c>
      <c r="P49" s="15">
        <f t="shared" si="1"/>
        <v>65</v>
      </c>
      <c r="R49" s="8"/>
      <c r="T49"/>
    </row>
    <row r="50" spans="2:20" ht="23.1" customHeight="1" x14ac:dyDescent="0.25">
      <c r="B50" s="46" t="s">
        <v>77</v>
      </c>
      <c r="C50" s="50">
        <v>13</v>
      </c>
      <c r="D50" s="50">
        <v>4</v>
      </c>
      <c r="E50" s="50">
        <v>3</v>
      </c>
      <c r="F50" s="50">
        <v>7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1</v>
      </c>
      <c r="M50" s="50">
        <v>33</v>
      </c>
      <c r="N50" s="50">
        <v>0</v>
      </c>
      <c r="O50" s="15">
        <f t="shared" si="0"/>
        <v>32</v>
      </c>
      <c r="P50" s="15">
        <f t="shared" si="1"/>
        <v>65</v>
      </c>
      <c r="R50" s="8"/>
      <c r="T50"/>
    </row>
    <row r="51" spans="2:20" ht="23.1" customHeight="1" x14ac:dyDescent="0.25">
      <c r="B51" s="46" t="s">
        <v>78</v>
      </c>
      <c r="C51" s="50">
        <v>12</v>
      </c>
      <c r="D51" s="50">
        <v>7</v>
      </c>
      <c r="E51" s="50">
        <v>1</v>
      </c>
      <c r="F51" s="50">
        <v>11</v>
      </c>
      <c r="G51" s="50">
        <v>0</v>
      </c>
      <c r="H51" s="50">
        <v>0</v>
      </c>
      <c r="I51" s="50">
        <v>3</v>
      </c>
      <c r="J51" s="50">
        <v>1</v>
      </c>
      <c r="K51" s="50">
        <v>1</v>
      </c>
      <c r="L51" s="50">
        <v>1</v>
      </c>
      <c r="M51" s="50">
        <v>40</v>
      </c>
      <c r="N51" s="50">
        <v>0</v>
      </c>
      <c r="O51" s="15">
        <f t="shared" si="0"/>
        <v>37</v>
      </c>
      <c r="P51" s="15">
        <f t="shared" si="1"/>
        <v>77</v>
      </c>
      <c r="R51" s="8"/>
      <c r="T51"/>
    </row>
    <row r="52" spans="2:20" ht="23.1" customHeight="1" x14ac:dyDescent="0.25">
      <c r="B52" s="46" t="s">
        <v>79</v>
      </c>
      <c r="C52" s="50">
        <v>13</v>
      </c>
      <c r="D52" s="50">
        <v>2</v>
      </c>
      <c r="E52" s="50">
        <v>2</v>
      </c>
      <c r="F52" s="50">
        <v>9</v>
      </c>
      <c r="G52" s="50">
        <v>0</v>
      </c>
      <c r="H52" s="50">
        <v>0</v>
      </c>
      <c r="I52" s="50">
        <v>2</v>
      </c>
      <c r="J52" s="50">
        <v>1</v>
      </c>
      <c r="K52" s="50">
        <v>1</v>
      </c>
      <c r="L52" s="50">
        <v>0</v>
      </c>
      <c r="M52" s="50">
        <v>29</v>
      </c>
      <c r="N52" s="50">
        <v>0</v>
      </c>
      <c r="O52" s="15">
        <f t="shared" si="0"/>
        <v>30</v>
      </c>
      <c r="P52" s="15">
        <f t="shared" si="1"/>
        <v>59</v>
      </c>
      <c r="R52" s="8"/>
      <c r="T52"/>
    </row>
    <row r="53" spans="2:20" ht="23.1" customHeight="1" x14ac:dyDescent="0.25">
      <c r="B53" s="45" t="s">
        <v>80</v>
      </c>
      <c r="C53" s="50">
        <v>9</v>
      </c>
      <c r="D53" s="50">
        <v>8</v>
      </c>
      <c r="E53" s="50">
        <v>4</v>
      </c>
      <c r="F53" s="50">
        <v>11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35</v>
      </c>
      <c r="N53" s="50">
        <v>0</v>
      </c>
      <c r="O53" s="15">
        <f t="shared" si="0"/>
        <v>36</v>
      </c>
      <c r="P53" s="15">
        <f t="shared" si="1"/>
        <v>71</v>
      </c>
      <c r="R53" s="8"/>
      <c r="T53"/>
    </row>
    <row r="54" spans="2:20" ht="23.1" customHeight="1" x14ac:dyDescent="0.25">
      <c r="B54" s="45" t="s">
        <v>81</v>
      </c>
      <c r="C54" s="50">
        <v>11</v>
      </c>
      <c r="D54" s="50">
        <v>3</v>
      </c>
      <c r="E54" s="50">
        <v>2</v>
      </c>
      <c r="F54" s="50">
        <v>8</v>
      </c>
      <c r="G54" s="50">
        <v>0</v>
      </c>
      <c r="H54" s="50">
        <v>0</v>
      </c>
      <c r="I54" s="50">
        <v>2</v>
      </c>
      <c r="J54" s="50">
        <v>2</v>
      </c>
      <c r="K54" s="50">
        <v>2</v>
      </c>
      <c r="L54" s="50">
        <v>0</v>
      </c>
      <c r="M54" s="50">
        <v>24</v>
      </c>
      <c r="N54" s="50">
        <v>0</v>
      </c>
      <c r="O54" s="15">
        <f t="shared" si="0"/>
        <v>30</v>
      </c>
      <c r="P54" s="15">
        <f t="shared" si="1"/>
        <v>54</v>
      </c>
      <c r="R54" s="8"/>
      <c r="T54"/>
    </row>
    <row r="55" spans="2:20" ht="23.1" customHeight="1" x14ac:dyDescent="0.25">
      <c r="B55" s="45" t="s">
        <v>82</v>
      </c>
      <c r="C55" s="50">
        <v>12</v>
      </c>
      <c r="D55" s="50">
        <v>5</v>
      </c>
      <c r="E55" s="50">
        <v>3</v>
      </c>
      <c r="F55" s="50">
        <v>10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17</v>
      </c>
      <c r="N55" s="50">
        <v>0</v>
      </c>
      <c r="O55" s="15">
        <f t="shared" si="0"/>
        <v>34</v>
      </c>
      <c r="P55" s="15">
        <f t="shared" si="1"/>
        <v>51</v>
      </c>
      <c r="R55" s="8"/>
      <c r="T55"/>
    </row>
    <row r="56" spans="2:20" ht="23.1" customHeight="1" x14ac:dyDescent="0.25">
      <c r="B56" s="45" t="s">
        <v>83</v>
      </c>
      <c r="C56" s="50">
        <v>9</v>
      </c>
      <c r="D56" s="50">
        <v>3</v>
      </c>
      <c r="E56" s="50">
        <v>2</v>
      </c>
      <c r="F56" s="50">
        <v>9</v>
      </c>
      <c r="G56" s="50">
        <v>0</v>
      </c>
      <c r="H56" s="50">
        <v>0</v>
      </c>
      <c r="I56" s="50">
        <v>2</v>
      </c>
      <c r="J56" s="50">
        <v>0</v>
      </c>
      <c r="K56" s="50">
        <v>1</v>
      </c>
      <c r="L56" s="50">
        <v>1</v>
      </c>
      <c r="M56" s="50">
        <v>29</v>
      </c>
      <c r="N56" s="50">
        <v>0</v>
      </c>
      <c r="O56" s="15">
        <f t="shared" si="0"/>
        <v>27</v>
      </c>
      <c r="P56" s="15">
        <f t="shared" si="1"/>
        <v>56</v>
      </c>
      <c r="R56" s="8"/>
      <c r="T56"/>
    </row>
    <row r="57" spans="2:20" ht="23.1" customHeight="1" x14ac:dyDescent="0.25">
      <c r="B57" s="45" t="s">
        <v>84</v>
      </c>
      <c r="C57" s="50">
        <v>15</v>
      </c>
      <c r="D57" s="50">
        <v>4</v>
      </c>
      <c r="E57" s="50">
        <v>3</v>
      </c>
      <c r="F57" s="50">
        <v>8</v>
      </c>
      <c r="G57" s="50">
        <v>2</v>
      </c>
      <c r="H57" s="50">
        <v>0</v>
      </c>
      <c r="I57" s="50">
        <v>4</v>
      </c>
      <c r="J57" s="50">
        <v>0</v>
      </c>
      <c r="K57" s="50">
        <v>3</v>
      </c>
      <c r="L57" s="50">
        <v>0</v>
      </c>
      <c r="M57" s="50">
        <v>35</v>
      </c>
      <c r="N57" s="50">
        <v>0</v>
      </c>
      <c r="O57" s="15">
        <f t="shared" si="0"/>
        <v>39</v>
      </c>
      <c r="P57" s="15">
        <f t="shared" si="1"/>
        <v>74</v>
      </c>
      <c r="R57" s="8"/>
      <c r="T57"/>
    </row>
    <row r="58" spans="2:20" ht="23.1" customHeight="1" x14ac:dyDescent="0.25">
      <c r="B58" s="45" t="s">
        <v>99</v>
      </c>
      <c r="C58" s="50">
        <v>6</v>
      </c>
      <c r="D58" s="50">
        <v>6</v>
      </c>
      <c r="E58" s="50">
        <v>1</v>
      </c>
      <c r="F58" s="50">
        <v>10</v>
      </c>
      <c r="G58" s="50">
        <v>1</v>
      </c>
      <c r="H58" s="50">
        <v>0</v>
      </c>
      <c r="I58" s="50">
        <v>2</v>
      </c>
      <c r="J58" s="50">
        <v>0</v>
      </c>
      <c r="K58" s="50">
        <v>0</v>
      </c>
      <c r="L58" s="50">
        <v>1</v>
      </c>
      <c r="M58" s="50">
        <v>20</v>
      </c>
      <c r="N58" s="50">
        <v>0</v>
      </c>
      <c r="O58" s="15">
        <f t="shared" si="0"/>
        <v>27</v>
      </c>
      <c r="P58" s="15">
        <f t="shared" si="1"/>
        <v>47</v>
      </c>
      <c r="R58" s="8"/>
      <c r="T58"/>
    </row>
    <row r="59" spans="2:20" ht="23.1" customHeight="1" x14ac:dyDescent="0.25">
      <c r="B59" s="45" t="s">
        <v>100</v>
      </c>
      <c r="C59" s="50">
        <v>13</v>
      </c>
      <c r="D59" s="50">
        <v>6</v>
      </c>
      <c r="E59" s="50">
        <v>0</v>
      </c>
      <c r="F59" s="50">
        <v>15</v>
      </c>
      <c r="G59" s="50">
        <v>0</v>
      </c>
      <c r="H59" s="50">
        <v>0</v>
      </c>
      <c r="I59" s="50">
        <v>3</v>
      </c>
      <c r="J59" s="50">
        <v>2</v>
      </c>
      <c r="K59" s="50">
        <v>0</v>
      </c>
      <c r="L59" s="50">
        <v>0</v>
      </c>
      <c r="M59" s="50">
        <v>23</v>
      </c>
      <c r="N59" s="50">
        <v>0</v>
      </c>
      <c r="O59" s="15">
        <f t="shared" si="0"/>
        <v>39</v>
      </c>
      <c r="P59" s="15">
        <f t="shared" si="1"/>
        <v>62</v>
      </c>
      <c r="R59" s="8"/>
      <c r="T59"/>
    </row>
    <row r="60" spans="2:20" ht="23.1" customHeight="1" x14ac:dyDescent="0.25">
      <c r="B60" s="45" t="s">
        <v>101</v>
      </c>
      <c r="C60" s="50">
        <v>6</v>
      </c>
      <c r="D60" s="50">
        <v>2</v>
      </c>
      <c r="E60" s="50">
        <v>2</v>
      </c>
      <c r="F60" s="50">
        <v>13</v>
      </c>
      <c r="G60" s="50">
        <v>0</v>
      </c>
      <c r="H60" s="50">
        <v>0</v>
      </c>
      <c r="I60" s="50">
        <v>5</v>
      </c>
      <c r="J60" s="50">
        <v>0</v>
      </c>
      <c r="K60" s="50">
        <v>0</v>
      </c>
      <c r="L60" s="50">
        <v>0</v>
      </c>
      <c r="M60" s="50">
        <v>36</v>
      </c>
      <c r="N60" s="50">
        <v>1</v>
      </c>
      <c r="O60" s="15">
        <f t="shared" si="0"/>
        <v>29</v>
      </c>
      <c r="P60" s="15">
        <f t="shared" si="1"/>
        <v>65</v>
      </c>
      <c r="R60" s="8"/>
      <c r="T60"/>
    </row>
    <row r="61" spans="2:20" ht="23.1" customHeight="1" x14ac:dyDescent="0.25">
      <c r="B61" s="45" t="s">
        <v>102</v>
      </c>
      <c r="C61" s="50">
        <v>9</v>
      </c>
      <c r="D61" s="50">
        <v>1</v>
      </c>
      <c r="E61" s="50">
        <v>1</v>
      </c>
      <c r="F61" s="50">
        <v>9</v>
      </c>
      <c r="G61" s="50">
        <v>0</v>
      </c>
      <c r="H61" s="50">
        <v>0</v>
      </c>
      <c r="I61" s="50">
        <v>4</v>
      </c>
      <c r="J61" s="50">
        <v>0</v>
      </c>
      <c r="K61" s="50">
        <v>0</v>
      </c>
      <c r="L61" s="50">
        <v>0</v>
      </c>
      <c r="M61" s="50">
        <v>25</v>
      </c>
      <c r="N61" s="50">
        <v>0</v>
      </c>
      <c r="O61" s="15">
        <f t="shared" si="0"/>
        <v>24</v>
      </c>
      <c r="P61" s="15">
        <f t="shared" si="1"/>
        <v>49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2</v>
      </c>
      <c r="E62" s="50">
        <v>0</v>
      </c>
      <c r="F62" s="50">
        <v>9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16</v>
      </c>
      <c r="N62" s="50">
        <v>0</v>
      </c>
      <c r="O62" s="15">
        <f t="shared" si="0"/>
        <v>19</v>
      </c>
      <c r="P62" s="15">
        <f t="shared" si="1"/>
        <v>35</v>
      </c>
      <c r="R62" s="8"/>
      <c r="T62"/>
    </row>
    <row r="63" spans="2:20" ht="23.1" customHeight="1" x14ac:dyDescent="0.25">
      <c r="B63" s="45" t="s">
        <v>108</v>
      </c>
      <c r="C63" s="50">
        <v>15</v>
      </c>
      <c r="D63" s="50">
        <v>3</v>
      </c>
      <c r="E63" s="50">
        <v>0</v>
      </c>
      <c r="F63" s="50">
        <v>8</v>
      </c>
      <c r="G63" s="50">
        <v>0</v>
      </c>
      <c r="H63" s="50">
        <v>0</v>
      </c>
      <c r="I63" s="50">
        <v>4</v>
      </c>
      <c r="J63" s="50">
        <v>0</v>
      </c>
      <c r="K63" s="50">
        <v>0</v>
      </c>
      <c r="L63" s="50">
        <v>0</v>
      </c>
      <c r="M63" s="50">
        <v>24</v>
      </c>
      <c r="N63" s="50">
        <v>0</v>
      </c>
      <c r="O63" s="15">
        <f t="shared" si="0"/>
        <v>30</v>
      </c>
      <c r="P63" s="15">
        <f t="shared" si="1"/>
        <v>54</v>
      </c>
      <c r="R63" s="8"/>
      <c r="T63"/>
    </row>
    <row r="64" spans="2:20" ht="23.1" customHeight="1" x14ac:dyDescent="0.25">
      <c r="B64" s="45" t="s">
        <v>109</v>
      </c>
      <c r="C64" s="50">
        <v>10</v>
      </c>
      <c r="D64" s="50">
        <v>2</v>
      </c>
      <c r="E64" s="50">
        <v>2</v>
      </c>
      <c r="F64" s="50">
        <v>8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16</v>
      </c>
      <c r="N64" s="50">
        <v>0</v>
      </c>
      <c r="O64" s="15">
        <f t="shared" si="0"/>
        <v>25</v>
      </c>
      <c r="P64" s="15">
        <f t="shared" si="1"/>
        <v>41</v>
      </c>
      <c r="R64" s="8"/>
      <c r="T64"/>
    </row>
    <row r="65" spans="2:20" ht="23.1" customHeight="1" x14ac:dyDescent="0.25">
      <c r="B65" s="45" t="s">
        <v>158</v>
      </c>
      <c r="C65" s="50">
        <v>9</v>
      </c>
      <c r="D65" s="50">
        <v>0</v>
      </c>
      <c r="E65" s="50">
        <v>1</v>
      </c>
      <c r="F65" s="50">
        <v>10</v>
      </c>
      <c r="G65" s="50">
        <v>0</v>
      </c>
      <c r="H65" s="50">
        <v>0</v>
      </c>
      <c r="I65" s="50">
        <v>6</v>
      </c>
      <c r="J65" s="50">
        <v>0</v>
      </c>
      <c r="K65" s="50">
        <v>0</v>
      </c>
      <c r="L65" s="50">
        <v>0</v>
      </c>
      <c r="M65" s="50">
        <v>21</v>
      </c>
      <c r="N65" s="50">
        <v>0</v>
      </c>
      <c r="O65" s="15">
        <f t="shared" si="0"/>
        <v>26</v>
      </c>
      <c r="P65" s="15">
        <f t="shared" si="1"/>
        <v>47</v>
      </c>
      <c r="R65" s="8"/>
      <c r="T65"/>
    </row>
    <row r="66" spans="2:20" ht="23.1" customHeight="1" x14ac:dyDescent="0.25">
      <c r="B66" s="45" t="s">
        <v>103</v>
      </c>
      <c r="C66" s="50">
        <v>7</v>
      </c>
      <c r="D66" s="50">
        <v>2</v>
      </c>
      <c r="E66" s="50">
        <v>1</v>
      </c>
      <c r="F66" s="50">
        <v>6</v>
      </c>
      <c r="G66" s="50">
        <v>0</v>
      </c>
      <c r="H66" s="50">
        <v>0</v>
      </c>
      <c r="I66" s="50">
        <v>4</v>
      </c>
      <c r="J66" s="50">
        <v>1</v>
      </c>
      <c r="K66" s="50">
        <v>0</v>
      </c>
      <c r="L66" s="50">
        <v>0</v>
      </c>
      <c r="M66" s="50">
        <v>21</v>
      </c>
      <c r="N66" s="50">
        <v>0</v>
      </c>
      <c r="O66" s="15">
        <f t="shared" si="0"/>
        <v>21</v>
      </c>
      <c r="P66" s="15">
        <f t="shared" si="1"/>
        <v>42</v>
      </c>
      <c r="R66" s="8"/>
      <c r="T66"/>
    </row>
    <row r="67" spans="2:20" ht="23.1" customHeight="1" x14ac:dyDescent="0.25">
      <c r="B67" s="45" t="s">
        <v>104</v>
      </c>
      <c r="C67" s="50">
        <v>11</v>
      </c>
      <c r="D67" s="50">
        <v>3</v>
      </c>
      <c r="E67" s="50">
        <v>1</v>
      </c>
      <c r="F67" s="50">
        <v>8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15</v>
      </c>
      <c r="N67" s="50">
        <v>0</v>
      </c>
      <c r="O67" s="15">
        <f t="shared" si="0"/>
        <v>25</v>
      </c>
      <c r="P67" s="15">
        <f t="shared" si="1"/>
        <v>40</v>
      </c>
      <c r="R67" s="8"/>
      <c r="T67"/>
    </row>
    <row r="68" spans="2:20" ht="23.1" customHeight="1" x14ac:dyDescent="0.25">
      <c r="B68" s="45" t="s">
        <v>105</v>
      </c>
      <c r="C68" s="50">
        <v>9</v>
      </c>
      <c r="D68" s="50">
        <v>0</v>
      </c>
      <c r="E68" s="50">
        <v>1</v>
      </c>
      <c r="F68" s="50">
        <v>4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9</v>
      </c>
      <c r="N68" s="50">
        <v>0</v>
      </c>
      <c r="O68" s="15">
        <f t="shared" si="0"/>
        <v>16</v>
      </c>
      <c r="P68" s="15">
        <f t="shared" si="1"/>
        <v>25</v>
      </c>
      <c r="R68" s="8"/>
      <c r="T68"/>
    </row>
    <row r="69" spans="2:20" ht="23.1" customHeight="1" x14ac:dyDescent="0.25">
      <c r="B69" s="45" t="s">
        <v>106</v>
      </c>
      <c r="C69" s="50">
        <v>6</v>
      </c>
      <c r="D69" s="50">
        <v>1</v>
      </c>
      <c r="E69" s="50">
        <v>1</v>
      </c>
      <c r="F69" s="50">
        <v>5</v>
      </c>
      <c r="G69" s="50">
        <v>0</v>
      </c>
      <c r="H69" s="50">
        <v>0</v>
      </c>
      <c r="I69" s="50">
        <v>1</v>
      </c>
      <c r="J69" s="50">
        <v>1</v>
      </c>
      <c r="K69" s="50">
        <v>1</v>
      </c>
      <c r="L69" s="50">
        <v>0</v>
      </c>
      <c r="M69" s="50">
        <v>13</v>
      </c>
      <c r="N69" s="50">
        <v>0</v>
      </c>
      <c r="O69" s="15">
        <f t="shared" si="0"/>
        <v>16</v>
      </c>
      <c r="P69" s="15">
        <f t="shared" si="1"/>
        <v>29</v>
      </c>
      <c r="R69" s="8"/>
      <c r="T69"/>
    </row>
    <row r="70" spans="2:20" ht="23.1" customHeight="1" x14ac:dyDescent="0.25">
      <c r="B70" s="45" t="s">
        <v>110</v>
      </c>
      <c r="C70" s="50">
        <v>9</v>
      </c>
      <c r="D70" s="50">
        <v>1</v>
      </c>
      <c r="E70" s="50">
        <v>2</v>
      </c>
      <c r="F70" s="50">
        <v>9</v>
      </c>
      <c r="G70" s="50">
        <v>0</v>
      </c>
      <c r="H70" s="50">
        <v>0</v>
      </c>
      <c r="I70" s="50">
        <v>0</v>
      </c>
      <c r="J70" s="50">
        <v>0</v>
      </c>
      <c r="K70" s="50">
        <v>1</v>
      </c>
      <c r="L70" s="50">
        <v>0</v>
      </c>
      <c r="M70" s="50">
        <v>10</v>
      </c>
      <c r="N70" s="50">
        <v>0</v>
      </c>
      <c r="O70" s="15">
        <f t="shared" si="0"/>
        <v>22</v>
      </c>
      <c r="P70" s="15">
        <f t="shared" si="1"/>
        <v>32</v>
      </c>
      <c r="R70" s="8"/>
      <c r="T70"/>
    </row>
    <row r="71" spans="2:20" ht="23.1" customHeight="1" x14ac:dyDescent="0.25">
      <c r="B71" s="45" t="s">
        <v>111</v>
      </c>
      <c r="C71" s="50">
        <v>9</v>
      </c>
      <c r="D71" s="50">
        <v>5</v>
      </c>
      <c r="E71" s="50">
        <v>1</v>
      </c>
      <c r="F71" s="50">
        <v>6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10</v>
      </c>
      <c r="N71" s="50">
        <v>0</v>
      </c>
      <c r="O71" s="15">
        <f t="shared" si="0"/>
        <v>21</v>
      </c>
      <c r="P71" s="15">
        <f t="shared" si="1"/>
        <v>31</v>
      </c>
      <c r="R71" s="8"/>
      <c r="T71"/>
    </row>
    <row r="72" spans="2:20" ht="23.1" customHeight="1" x14ac:dyDescent="0.25">
      <c r="B72" s="45" t="s">
        <v>112</v>
      </c>
      <c r="C72" s="50">
        <v>6</v>
      </c>
      <c r="D72" s="50">
        <v>1</v>
      </c>
      <c r="E72" s="50">
        <v>3</v>
      </c>
      <c r="F72" s="50">
        <v>5</v>
      </c>
      <c r="G72" s="50">
        <v>0</v>
      </c>
      <c r="H72" s="50">
        <v>0</v>
      </c>
      <c r="I72" s="50">
        <v>2</v>
      </c>
      <c r="J72" s="50">
        <v>1</v>
      </c>
      <c r="K72" s="50">
        <v>0</v>
      </c>
      <c r="L72" s="50">
        <v>0</v>
      </c>
      <c r="M72" s="50">
        <v>10</v>
      </c>
      <c r="N72" s="50">
        <v>0</v>
      </c>
      <c r="O72" s="15">
        <f t="shared" si="0"/>
        <v>18</v>
      </c>
      <c r="P72" s="15">
        <f t="shared" si="1"/>
        <v>28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1</v>
      </c>
      <c r="E73" s="50">
        <v>0</v>
      </c>
      <c r="F73" s="50">
        <v>4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7</v>
      </c>
      <c r="N73" s="50">
        <v>0</v>
      </c>
      <c r="O73" s="15">
        <f t="shared" si="0"/>
        <v>9</v>
      </c>
      <c r="P73" s="15">
        <f t="shared" si="1"/>
        <v>16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9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12</v>
      </c>
      <c r="R74" s="8"/>
      <c r="T74"/>
    </row>
    <row r="75" spans="2:20" ht="23.1" customHeight="1" x14ac:dyDescent="0.25">
      <c r="B75" s="45" t="s">
        <v>115</v>
      </c>
      <c r="C75" s="50">
        <v>7</v>
      </c>
      <c r="D75" s="50">
        <v>2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1</v>
      </c>
      <c r="L75" s="50">
        <v>0</v>
      </c>
      <c r="M75" s="50">
        <v>4</v>
      </c>
      <c r="N75" s="50">
        <v>0</v>
      </c>
      <c r="O75" s="15">
        <f t="shared" si="35"/>
        <v>11</v>
      </c>
      <c r="P75" s="15">
        <f t="shared" si="36"/>
        <v>15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3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5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3</v>
      </c>
      <c r="P77" s="15">
        <f t="shared" si="36"/>
        <v>5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1</v>
      </c>
      <c r="G78" s="50">
        <v>0</v>
      </c>
      <c r="H78" s="50">
        <v>1</v>
      </c>
      <c r="I78" s="50">
        <v>0</v>
      </c>
      <c r="J78" s="50">
        <v>0</v>
      </c>
      <c r="K78" s="50">
        <v>0</v>
      </c>
      <c r="L78" s="50">
        <v>0</v>
      </c>
      <c r="M78" s="50">
        <v>8</v>
      </c>
      <c r="N78" s="50">
        <v>0</v>
      </c>
      <c r="O78" s="15">
        <f t="shared" si="35"/>
        <v>4</v>
      </c>
      <c r="P78" s="15">
        <f t="shared" si="36"/>
        <v>12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5</v>
      </c>
      <c r="P79" s="15">
        <f t="shared" si="36"/>
        <v>7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3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7</v>
      </c>
      <c r="P80" s="15">
        <f t="shared" si="36"/>
        <v>10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3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4</v>
      </c>
      <c r="P81" s="15">
        <f t="shared" si="36"/>
        <v>7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5">
        <f t="shared" si="35"/>
        <v>0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2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1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2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3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2</v>
      </c>
      <c r="G91" s="50">
        <v>0</v>
      </c>
      <c r="H91" s="50">
        <v>0</v>
      </c>
      <c r="I91" s="50">
        <v>0</v>
      </c>
      <c r="J91" s="50">
        <v>3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6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3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3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2</v>
      </c>
      <c r="E94" s="50">
        <v>0</v>
      </c>
      <c r="F94" s="50">
        <v>2</v>
      </c>
      <c r="G94" s="50">
        <v>0</v>
      </c>
      <c r="H94" s="50">
        <v>0</v>
      </c>
      <c r="I94" s="50">
        <v>3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8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4</v>
      </c>
      <c r="G95" s="50">
        <v>0</v>
      </c>
      <c r="H95" s="50">
        <v>0</v>
      </c>
      <c r="I95" s="50">
        <v>0</v>
      </c>
      <c r="J95" s="50">
        <v>1</v>
      </c>
      <c r="K95" s="50">
        <v>2</v>
      </c>
      <c r="L95" s="50">
        <v>0</v>
      </c>
      <c r="M95" s="50">
        <v>0</v>
      </c>
      <c r="N95" s="50">
        <v>0</v>
      </c>
      <c r="O95" s="15">
        <f t="shared" si="35"/>
        <v>7</v>
      </c>
      <c r="P95" s="15">
        <f t="shared" si="36"/>
        <v>7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2</v>
      </c>
      <c r="F96" s="50">
        <v>8</v>
      </c>
      <c r="G96" s="50">
        <v>0</v>
      </c>
      <c r="H96" s="50">
        <v>0</v>
      </c>
      <c r="I96" s="50">
        <v>3</v>
      </c>
      <c r="J96" s="50">
        <v>0</v>
      </c>
      <c r="K96" s="50">
        <v>0</v>
      </c>
      <c r="L96" s="50">
        <v>0</v>
      </c>
      <c r="M96" s="50">
        <v>5</v>
      </c>
      <c r="N96" s="50">
        <v>0</v>
      </c>
      <c r="O96" s="15">
        <f t="shared" si="35"/>
        <v>15</v>
      </c>
      <c r="P96" s="15">
        <f t="shared" si="36"/>
        <v>20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2</v>
      </c>
      <c r="F97" s="50">
        <v>3</v>
      </c>
      <c r="G97" s="50">
        <v>0</v>
      </c>
      <c r="H97" s="50">
        <v>0</v>
      </c>
      <c r="I97" s="50">
        <v>0</v>
      </c>
      <c r="J97" s="50">
        <v>2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7</v>
      </c>
      <c r="P97" s="15">
        <f t="shared" si="36"/>
        <v>7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2</v>
      </c>
      <c r="E98" s="50">
        <v>1</v>
      </c>
      <c r="F98" s="50">
        <v>9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17</v>
      </c>
      <c r="P98" s="15">
        <f t="shared" si="36"/>
        <v>20</v>
      </c>
      <c r="R98" s="8"/>
      <c r="T98"/>
    </row>
    <row r="99" spans="2:20" ht="23.1" customHeight="1" x14ac:dyDescent="0.25">
      <c r="B99" s="45" t="s">
        <v>139</v>
      </c>
      <c r="C99" s="50">
        <v>10</v>
      </c>
      <c r="D99" s="50">
        <v>0</v>
      </c>
      <c r="E99" s="50">
        <v>0</v>
      </c>
      <c r="F99" s="50">
        <v>10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9</v>
      </c>
      <c r="N99" s="50">
        <v>0</v>
      </c>
      <c r="O99" s="15">
        <f t="shared" si="35"/>
        <v>20</v>
      </c>
      <c r="P99" s="15">
        <f t="shared" si="36"/>
        <v>29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2</v>
      </c>
      <c r="E100" s="50">
        <v>7</v>
      </c>
      <c r="F100" s="50">
        <v>0</v>
      </c>
      <c r="G100" s="50">
        <v>0</v>
      </c>
      <c r="H100" s="50">
        <v>4</v>
      </c>
      <c r="I100" s="50">
        <v>0</v>
      </c>
      <c r="J100" s="50">
        <v>0</v>
      </c>
      <c r="K100" s="50">
        <v>0</v>
      </c>
      <c r="L100" s="50">
        <v>5</v>
      </c>
      <c r="M100" s="50">
        <v>0</v>
      </c>
      <c r="N100" s="50">
        <v>0</v>
      </c>
      <c r="O100" s="15">
        <f t="shared" si="35"/>
        <v>22</v>
      </c>
      <c r="P100" s="15">
        <f t="shared" si="36"/>
        <v>22</v>
      </c>
      <c r="R100" s="8"/>
      <c r="T100"/>
    </row>
    <row r="101" spans="2:20" ht="23.1" customHeight="1" x14ac:dyDescent="0.25">
      <c r="B101" s="45" t="s">
        <v>141</v>
      </c>
      <c r="C101" s="50">
        <v>8</v>
      </c>
      <c r="D101" s="50">
        <v>0</v>
      </c>
      <c r="E101" s="50">
        <v>0</v>
      </c>
      <c r="F101" s="50">
        <v>9</v>
      </c>
      <c r="G101" s="50">
        <v>0</v>
      </c>
      <c r="H101" s="50">
        <v>0</v>
      </c>
      <c r="I101" s="50">
        <v>5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5">
        <f t="shared" si="35"/>
        <v>22</v>
      </c>
      <c r="P101" s="15">
        <f t="shared" si="36"/>
        <v>27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0</v>
      </c>
      <c r="E102" s="50">
        <v>2</v>
      </c>
      <c r="F102" s="50">
        <v>7</v>
      </c>
      <c r="G102" s="50">
        <v>2</v>
      </c>
      <c r="H102" s="50">
        <v>0</v>
      </c>
      <c r="I102" s="50">
        <v>4</v>
      </c>
      <c r="J102" s="50">
        <v>3</v>
      </c>
      <c r="K102" s="50">
        <v>0</v>
      </c>
      <c r="L102" s="50">
        <v>0</v>
      </c>
      <c r="M102" s="50">
        <v>7</v>
      </c>
      <c r="N102" s="50">
        <v>0</v>
      </c>
      <c r="O102" s="15">
        <f t="shared" si="35"/>
        <v>23</v>
      </c>
      <c r="P102" s="15">
        <f t="shared" si="36"/>
        <v>30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2</v>
      </c>
      <c r="E103" s="50">
        <v>0</v>
      </c>
      <c r="F103" s="50">
        <v>12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2</v>
      </c>
      <c r="M103" s="50">
        <v>15</v>
      </c>
      <c r="N103" s="50">
        <v>0</v>
      </c>
      <c r="O103" s="15">
        <f t="shared" si="35"/>
        <v>21</v>
      </c>
      <c r="P103" s="15">
        <f t="shared" si="36"/>
        <v>36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2</v>
      </c>
      <c r="E104" s="50">
        <v>3</v>
      </c>
      <c r="F104" s="50">
        <v>12</v>
      </c>
      <c r="G104" s="50">
        <v>2</v>
      </c>
      <c r="H104" s="50">
        <v>0</v>
      </c>
      <c r="I104" s="50">
        <v>5</v>
      </c>
      <c r="J104" s="50">
        <v>0</v>
      </c>
      <c r="K104" s="50">
        <v>0</v>
      </c>
      <c r="L104" s="50">
        <v>0</v>
      </c>
      <c r="M104" s="50">
        <v>17</v>
      </c>
      <c r="N104" s="50">
        <v>0</v>
      </c>
      <c r="O104" s="15">
        <f t="shared" si="35"/>
        <v>27</v>
      </c>
      <c r="P104" s="15">
        <f t="shared" si="36"/>
        <v>44</v>
      </c>
      <c r="R104" s="8"/>
      <c r="T104"/>
    </row>
    <row r="105" spans="2:20" ht="23.1" customHeight="1" x14ac:dyDescent="0.25">
      <c r="B105" s="45" t="s">
        <v>145</v>
      </c>
      <c r="C105" s="50">
        <v>9</v>
      </c>
      <c r="D105" s="50">
        <v>2</v>
      </c>
      <c r="E105" s="50">
        <v>1</v>
      </c>
      <c r="F105" s="50">
        <v>10</v>
      </c>
      <c r="G105" s="50">
        <v>2</v>
      </c>
      <c r="H105" s="50">
        <v>0</v>
      </c>
      <c r="I105" s="50">
        <v>4</v>
      </c>
      <c r="J105" s="50">
        <v>0</v>
      </c>
      <c r="K105" s="50">
        <v>0</v>
      </c>
      <c r="L105" s="50">
        <v>0</v>
      </c>
      <c r="M105" s="50">
        <v>13</v>
      </c>
      <c r="N105" s="50">
        <v>0</v>
      </c>
      <c r="O105" s="15">
        <f t="shared" si="35"/>
        <v>28</v>
      </c>
      <c r="P105" s="15">
        <f t="shared" si="36"/>
        <v>41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714</v>
      </c>
      <c r="D106" s="16">
        <f t="shared" ref="D106:P106" si="37">SUM(D10:D105)</f>
        <v>271</v>
      </c>
      <c r="E106" s="16">
        <f t="shared" si="37"/>
        <v>113</v>
      </c>
      <c r="F106" s="16">
        <f t="shared" si="37"/>
        <v>623</v>
      </c>
      <c r="G106" s="16">
        <f t="shared" si="37"/>
        <v>18</v>
      </c>
      <c r="H106" s="16">
        <f t="shared" si="37"/>
        <v>7</v>
      </c>
      <c r="I106" s="16">
        <f t="shared" si="37"/>
        <v>175</v>
      </c>
      <c r="J106" s="16">
        <f t="shared" si="37"/>
        <v>52</v>
      </c>
      <c r="K106" s="16">
        <f t="shared" si="37"/>
        <v>17</v>
      </c>
      <c r="L106" s="16">
        <f t="shared" si="37"/>
        <v>19</v>
      </c>
      <c r="M106" s="16">
        <f t="shared" si="37"/>
        <v>1599</v>
      </c>
      <c r="N106" s="16">
        <f t="shared" si="37"/>
        <v>2</v>
      </c>
      <c r="O106" s="16">
        <f t="shared" si="37"/>
        <v>2011</v>
      </c>
      <c r="P106" s="16">
        <f t="shared" si="37"/>
        <v>3610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0.19778393351800555</v>
      </c>
      <c r="D107" s="43">
        <f t="shared" si="38"/>
        <v>7.5069252077562321E-2</v>
      </c>
      <c r="E107" s="43">
        <f t="shared" si="38"/>
        <v>3.1301939058171746E-2</v>
      </c>
      <c r="F107" s="43">
        <f t="shared" si="38"/>
        <v>0.17257617728531857</v>
      </c>
      <c r="G107" s="43">
        <f t="shared" si="38"/>
        <v>4.9861495844875344E-3</v>
      </c>
      <c r="H107" s="43">
        <f t="shared" si="38"/>
        <v>1.9390581717451524E-3</v>
      </c>
      <c r="I107" s="43">
        <f t="shared" si="38"/>
        <v>4.8476454293628811E-2</v>
      </c>
      <c r="J107" s="43">
        <f t="shared" si="38"/>
        <v>1.4404432132963989E-2</v>
      </c>
      <c r="K107" s="43">
        <f t="shared" si="38"/>
        <v>4.7091412742382268E-3</v>
      </c>
      <c r="L107" s="43">
        <f t="shared" si="38"/>
        <v>5.263157894736842E-3</v>
      </c>
      <c r="M107" s="43">
        <f t="shared" si="38"/>
        <v>0.44293628808864266</v>
      </c>
      <c r="N107" s="43">
        <f t="shared" si="38"/>
        <v>5.54016620498615E-4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0.3550472401790154</v>
      </c>
      <c r="D108" s="44">
        <f t="shared" ref="D108:N108" si="39">D106/$O$106</f>
        <v>0.13475882645450024</v>
      </c>
      <c r="E108" s="44">
        <f t="shared" si="39"/>
        <v>5.6190949776230729E-2</v>
      </c>
      <c r="F108" s="44">
        <f t="shared" si="39"/>
        <v>0.30979612133267032</v>
      </c>
      <c r="G108" s="44">
        <f t="shared" si="39"/>
        <v>8.950770760815515E-3</v>
      </c>
      <c r="H108" s="44">
        <f t="shared" si="39"/>
        <v>3.4808552958727002E-3</v>
      </c>
      <c r="I108" s="44">
        <f t="shared" si="39"/>
        <v>8.7021382396817504E-2</v>
      </c>
      <c r="J108" s="44">
        <f t="shared" si="39"/>
        <v>2.5857782197911485E-2</v>
      </c>
      <c r="K108" s="44">
        <f t="shared" si="39"/>
        <v>8.4535057185479868E-3</v>
      </c>
      <c r="L108" s="44">
        <f t="shared" si="39"/>
        <v>9.4480358030830432E-3</v>
      </c>
      <c r="M108" s="44"/>
      <c r="N108" s="44">
        <f t="shared" si="39"/>
        <v>9.945300845350571E-4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175</v>
      </c>
      <c r="E5" s="3"/>
      <c r="F5" s="41" t="s">
        <v>1</v>
      </c>
      <c r="G5" s="55" t="str">
        <f>'1.11 KALAGI-MUKONO'!G5:H5</f>
        <v>KABEMBE</v>
      </c>
      <c r="H5" s="56"/>
      <c r="I5" s="14"/>
      <c r="J5" s="2" t="s">
        <v>5</v>
      </c>
      <c r="K5" s="55" t="s">
        <v>163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MUKONO-KALAGI'!D6:E6</f>
        <v>MUKONO</v>
      </c>
      <c r="E6" s="56"/>
      <c r="F6" s="2" t="s">
        <v>2</v>
      </c>
      <c r="G6" s="55" t="str">
        <f>'29.10 MUKONO-KALAGI'!G6:H6</f>
        <v>KALAGI</v>
      </c>
      <c r="H6" s="56"/>
      <c r="J6" s="2" t="s">
        <v>21</v>
      </c>
      <c r="K6" s="55" t="str">
        <f>'1.11 KALAGI-MUKONO'!K6:L6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7</v>
      </c>
      <c r="G10" s="50">
        <v>1</v>
      </c>
      <c r="H10" s="50">
        <v>0</v>
      </c>
      <c r="I10" s="50">
        <v>5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20</v>
      </c>
      <c r="R10" s="1" t="s">
        <v>6</v>
      </c>
      <c r="S10" s="17">
        <f t="shared" ref="S10:AF10" si="2">SUM(C10:C13)</f>
        <v>13</v>
      </c>
      <c r="T10" s="17">
        <f t="shared" si="2"/>
        <v>2</v>
      </c>
      <c r="U10" s="17">
        <f t="shared" si="2"/>
        <v>1</v>
      </c>
      <c r="V10" s="17">
        <f t="shared" si="2"/>
        <v>30</v>
      </c>
      <c r="W10" s="17">
        <f t="shared" si="2"/>
        <v>1</v>
      </c>
      <c r="X10" s="17">
        <f t="shared" si="2"/>
        <v>0</v>
      </c>
      <c r="Y10" s="17">
        <f t="shared" si="2"/>
        <v>11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39</v>
      </c>
      <c r="AD10" s="17">
        <f t="shared" si="2"/>
        <v>0</v>
      </c>
      <c r="AE10" s="31">
        <f t="shared" si="2"/>
        <v>58</v>
      </c>
      <c r="AF10" s="31">
        <f t="shared" si="2"/>
        <v>97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9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10</v>
      </c>
      <c r="P11" s="15">
        <f t="shared" si="1"/>
        <v>21</v>
      </c>
      <c r="R11" s="1" t="s">
        <v>7</v>
      </c>
      <c r="S11" s="17">
        <f t="shared" ref="S11:AF11" si="3">SUM(C14:C17)</f>
        <v>27</v>
      </c>
      <c r="T11" s="17">
        <f t="shared" si="3"/>
        <v>5</v>
      </c>
      <c r="U11" s="17">
        <f t="shared" si="3"/>
        <v>8</v>
      </c>
      <c r="V11" s="17">
        <f t="shared" si="3"/>
        <v>30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63</v>
      </c>
      <c r="AD11" s="17">
        <f t="shared" si="3"/>
        <v>0</v>
      </c>
      <c r="AE11" s="31">
        <f t="shared" si="3"/>
        <v>79</v>
      </c>
      <c r="AF11" s="31">
        <f t="shared" si="3"/>
        <v>142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1</v>
      </c>
      <c r="F12" s="50">
        <v>9</v>
      </c>
      <c r="G12" s="50">
        <v>0</v>
      </c>
      <c r="H12" s="50">
        <v>0</v>
      </c>
      <c r="I12" s="50">
        <v>6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20</v>
      </c>
      <c r="P12" s="15">
        <f t="shared" si="1"/>
        <v>33</v>
      </c>
      <c r="R12" s="1" t="s">
        <v>8</v>
      </c>
      <c r="S12" s="17">
        <f t="shared" ref="S12:AF12" si="4">SUM(C18:C21)</f>
        <v>43</v>
      </c>
      <c r="T12" s="17">
        <f t="shared" si="4"/>
        <v>7</v>
      </c>
      <c r="U12" s="17">
        <f t="shared" si="4"/>
        <v>6</v>
      </c>
      <c r="V12" s="17">
        <f t="shared" si="4"/>
        <v>35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73</v>
      </c>
      <c r="AD12" s="17">
        <f t="shared" si="4"/>
        <v>0</v>
      </c>
      <c r="AE12" s="31">
        <f t="shared" si="4"/>
        <v>107</v>
      </c>
      <c r="AF12" s="31">
        <f t="shared" si="4"/>
        <v>180</v>
      </c>
    </row>
    <row r="13" spans="2:32" ht="23.1" customHeight="1" x14ac:dyDescent="0.25">
      <c r="B13" s="23" t="s">
        <v>40</v>
      </c>
      <c r="C13" s="50">
        <v>6</v>
      </c>
      <c r="D13" s="50">
        <v>1</v>
      </c>
      <c r="E13" s="50">
        <v>0</v>
      </c>
      <c r="F13" s="50">
        <v>5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12</v>
      </c>
      <c r="P13" s="15">
        <f t="shared" si="1"/>
        <v>23</v>
      </c>
      <c r="R13" s="1" t="s">
        <v>9</v>
      </c>
      <c r="S13" s="17">
        <f t="shared" ref="S13:AF13" si="5">SUM(C22:C25)</f>
        <v>41</v>
      </c>
      <c r="T13" s="17">
        <f t="shared" si="5"/>
        <v>16</v>
      </c>
      <c r="U13" s="17">
        <f t="shared" si="5"/>
        <v>8</v>
      </c>
      <c r="V13" s="17">
        <f t="shared" si="5"/>
        <v>45</v>
      </c>
      <c r="W13" s="17">
        <f t="shared" si="5"/>
        <v>0</v>
      </c>
      <c r="X13" s="17">
        <f t="shared" si="5"/>
        <v>0</v>
      </c>
      <c r="Y13" s="17">
        <f t="shared" si="5"/>
        <v>14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106</v>
      </c>
      <c r="AD13" s="17">
        <f t="shared" si="5"/>
        <v>0</v>
      </c>
      <c r="AE13" s="31">
        <f t="shared" si="5"/>
        <v>125</v>
      </c>
      <c r="AF13" s="31">
        <f t="shared" si="5"/>
        <v>231</v>
      </c>
    </row>
    <row r="14" spans="2:32" ht="23.1" customHeight="1" x14ac:dyDescent="0.25">
      <c r="B14" s="23" t="s">
        <v>41</v>
      </c>
      <c r="C14" s="50">
        <v>10</v>
      </c>
      <c r="D14" s="50">
        <v>1</v>
      </c>
      <c r="E14" s="50">
        <v>1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16</v>
      </c>
      <c r="P14" s="15">
        <f t="shared" si="1"/>
        <v>26</v>
      </c>
      <c r="R14" s="1" t="s">
        <v>10</v>
      </c>
      <c r="S14" s="17">
        <f t="shared" ref="S14:AF14" si="6">SUM(C26:C29)</f>
        <v>50</v>
      </c>
      <c r="T14" s="17">
        <f t="shared" si="6"/>
        <v>14</v>
      </c>
      <c r="U14" s="17">
        <f t="shared" si="6"/>
        <v>6</v>
      </c>
      <c r="V14" s="17">
        <f t="shared" si="6"/>
        <v>46</v>
      </c>
      <c r="W14" s="17">
        <f t="shared" si="6"/>
        <v>1</v>
      </c>
      <c r="X14" s="17">
        <f t="shared" si="6"/>
        <v>1</v>
      </c>
      <c r="Y14" s="17">
        <f t="shared" si="6"/>
        <v>14</v>
      </c>
      <c r="Z14" s="17">
        <f t="shared" si="6"/>
        <v>1</v>
      </c>
      <c r="AA14" s="17">
        <f t="shared" si="6"/>
        <v>0</v>
      </c>
      <c r="AB14" s="17">
        <f t="shared" si="6"/>
        <v>2</v>
      </c>
      <c r="AC14" s="17">
        <f t="shared" si="6"/>
        <v>95</v>
      </c>
      <c r="AD14" s="17">
        <f t="shared" si="6"/>
        <v>0</v>
      </c>
      <c r="AE14" s="31">
        <f t="shared" si="6"/>
        <v>135</v>
      </c>
      <c r="AF14" s="31">
        <f t="shared" si="6"/>
        <v>230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5</v>
      </c>
      <c r="F15" s="50">
        <v>9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20</v>
      </c>
      <c r="N15" s="50">
        <v>0</v>
      </c>
      <c r="O15" s="15">
        <f t="shared" si="0"/>
        <v>21</v>
      </c>
      <c r="P15" s="15">
        <f t="shared" si="1"/>
        <v>41</v>
      </c>
      <c r="R15" s="1" t="s">
        <v>11</v>
      </c>
      <c r="S15" s="17">
        <f t="shared" ref="S15:AF15" si="7">SUM(C30:C33)</f>
        <v>64</v>
      </c>
      <c r="T15" s="17">
        <f t="shared" si="7"/>
        <v>19</v>
      </c>
      <c r="U15" s="17">
        <f t="shared" si="7"/>
        <v>5</v>
      </c>
      <c r="V15" s="17">
        <f t="shared" si="7"/>
        <v>42</v>
      </c>
      <c r="W15" s="17">
        <f t="shared" si="7"/>
        <v>0</v>
      </c>
      <c r="X15" s="17">
        <f t="shared" si="7"/>
        <v>1</v>
      </c>
      <c r="Y15" s="17">
        <f t="shared" si="7"/>
        <v>14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101</v>
      </c>
      <c r="AD15" s="17">
        <f t="shared" si="7"/>
        <v>0</v>
      </c>
      <c r="AE15" s="31">
        <f t="shared" si="7"/>
        <v>147</v>
      </c>
      <c r="AF15" s="31">
        <f t="shared" si="7"/>
        <v>248</v>
      </c>
    </row>
    <row r="16" spans="2:32" ht="23.1" customHeight="1" x14ac:dyDescent="0.25">
      <c r="B16" s="23" t="s">
        <v>43</v>
      </c>
      <c r="C16" s="50">
        <v>4</v>
      </c>
      <c r="D16" s="50">
        <v>2</v>
      </c>
      <c r="E16" s="50">
        <v>0</v>
      </c>
      <c r="F16" s="50">
        <v>10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1</v>
      </c>
      <c r="M16" s="50">
        <v>17</v>
      </c>
      <c r="N16" s="50">
        <v>0</v>
      </c>
      <c r="O16" s="15">
        <f t="shared" si="0"/>
        <v>20</v>
      </c>
      <c r="P16" s="15">
        <f t="shared" si="1"/>
        <v>37</v>
      </c>
      <c r="R16" s="1" t="s">
        <v>12</v>
      </c>
      <c r="S16" s="17">
        <f t="shared" ref="S16:AF16" si="8">SUM(C34:C37)</f>
        <v>65</v>
      </c>
      <c r="T16" s="17">
        <f t="shared" si="8"/>
        <v>7</v>
      </c>
      <c r="U16" s="17">
        <f t="shared" si="8"/>
        <v>6</v>
      </c>
      <c r="V16" s="17">
        <f t="shared" si="8"/>
        <v>54</v>
      </c>
      <c r="W16" s="17">
        <f t="shared" si="8"/>
        <v>1</v>
      </c>
      <c r="X16" s="17">
        <f t="shared" si="8"/>
        <v>1</v>
      </c>
      <c r="Y16" s="17">
        <f t="shared" si="8"/>
        <v>16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102</v>
      </c>
      <c r="AD16" s="17">
        <f t="shared" si="8"/>
        <v>0</v>
      </c>
      <c r="AE16" s="31">
        <f t="shared" si="8"/>
        <v>151</v>
      </c>
      <c r="AF16" s="31">
        <f t="shared" si="8"/>
        <v>253</v>
      </c>
    </row>
    <row r="17" spans="2:32" ht="23.1" customHeight="1" x14ac:dyDescent="0.25">
      <c r="B17" s="23" t="s">
        <v>44</v>
      </c>
      <c r="C17" s="50">
        <v>7</v>
      </c>
      <c r="D17" s="50">
        <v>2</v>
      </c>
      <c r="E17" s="50">
        <v>2</v>
      </c>
      <c r="F17" s="50">
        <v>8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16</v>
      </c>
      <c r="N17" s="50">
        <v>0</v>
      </c>
      <c r="O17" s="15">
        <f t="shared" si="0"/>
        <v>22</v>
      </c>
      <c r="P17" s="15">
        <f t="shared" si="1"/>
        <v>38</v>
      </c>
      <c r="R17" s="1" t="s">
        <v>13</v>
      </c>
      <c r="S17" s="17">
        <f t="shared" ref="S17:AF17" si="9">SUM(C38:C41)</f>
        <v>66</v>
      </c>
      <c r="T17" s="17">
        <f t="shared" si="9"/>
        <v>15</v>
      </c>
      <c r="U17" s="17">
        <f t="shared" si="9"/>
        <v>4</v>
      </c>
      <c r="V17" s="17">
        <f t="shared" si="9"/>
        <v>51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95</v>
      </c>
      <c r="AD17" s="17">
        <f t="shared" si="9"/>
        <v>0</v>
      </c>
      <c r="AE17" s="31">
        <f t="shared" si="9"/>
        <v>143</v>
      </c>
      <c r="AF17" s="31">
        <f t="shared" si="9"/>
        <v>238</v>
      </c>
    </row>
    <row r="18" spans="2:32" ht="23.1" customHeight="1" x14ac:dyDescent="0.25">
      <c r="B18" s="23" t="s">
        <v>45</v>
      </c>
      <c r="C18" s="50">
        <v>15</v>
      </c>
      <c r="D18" s="50">
        <v>2</v>
      </c>
      <c r="E18" s="50">
        <v>1</v>
      </c>
      <c r="F18" s="50">
        <v>4</v>
      </c>
      <c r="G18" s="50">
        <v>0</v>
      </c>
      <c r="H18" s="50">
        <v>0</v>
      </c>
      <c r="I18" s="50">
        <v>4</v>
      </c>
      <c r="J18" s="50">
        <v>0</v>
      </c>
      <c r="K18" s="50">
        <v>0</v>
      </c>
      <c r="L18" s="50">
        <v>1</v>
      </c>
      <c r="M18" s="50">
        <v>11</v>
      </c>
      <c r="N18" s="50">
        <v>0</v>
      </c>
      <c r="O18" s="15">
        <f t="shared" si="0"/>
        <v>27</v>
      </c>
      <c r="P18" s="15">
        <f t="shared" si="1"/>
        <v>38</v>
      </c>
      <c r="R18" s="1" t="s">
        <v>14</v>
      </c>
      <c r="S18" s="17">
        <f t="shared" ref="S18:AF18" si="10">SUM(C42:C45)</f>
        <v>55</v>
      </c>
      <c r="T18" s="17">
        <f t="shared" si="10"/>
        <v>18</v>
      </c>
      <c r="U18" s="17">
        <f t="shared" si="10"/>
        <v>8</v>
      </c>
      <c r="V18" s="17">
        <f t="shared" si="10"/>
        <v>46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81</v>
      </c>
      <c r="AD18" s="17">
        <f t="shared" si="10"/>
        <v>1</v>
      </c>
      <c r="AE18" s="31">
        <f t="shared" si="10"/>
        <v>141</v>
      </c>
      <c r="AF18" s="31">
        <f t="shared" si="10"/>
        <v>222</v>
      </c>
    </row>
    <row r="19" spans="2:32" ht="23.1" customHeight="1" x14ac:dyDescent="0.25">
      <c r="B19" s="23" t="s">
        <v>46</v>
      </c>
      <c r="C19" s="50">
        <v>11</v>
      </c>
      <c r="D19" s="50">
        <v>2</v>
      </c>
      <c r="E19" s="50">
        <v>1</v>
      </c>
      <c r="F19" s="50">
        <v>12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19</v>
      </c>
      <c r="N19" s="50">
        <v>0</v>
      </c>
      <c r="O19" s="15">
        <f t="shared" si="0"/>
        <v>30</v>
      </c>
      <c r="P19" s="15">
        <f t="shared" si="1"/>
        <v>49</v>
      </c>
      <c r="R19" s="1" t="s">
        <v>15</v>
      </c>
      <c r="S19" s="17">
        <f t="shared" ref="S19:AF19" si="11">SUM(C46:C49)</f>
        <v>46</v>
      </c>
      <c r="T19" s="17">
        <f t="shared" si="11"/>
        <v>15</v>
      </c>
      <c r="U19" s="17">
        <f t="shared" si="11"/>
        <v>14</v>
      </c>
      <c r="V19" s="17">
        <f t="shared" si="11"/>
        <v>64</v>
      </c>
      <c r="W19" s="17">
        <f t="shared" si="11"/>
        <v>4</v>
      </c>
      <c r="X19" s="17">
        <f t="shared" si="11"/>
        <v>0</v>
      </c>
      <c r="Y19" s="17">
        <f t="shared" si="11"/>
        <v>7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91</v>
      </c>
      <c r="AD19" s="17">
        <f t="shared" si="11"/>
        <v>0</v>
      </c>
      <c r="AE19" s="31">
        <f t="shared" si="11"/>
        <v>150</v>
      </c>
      <c r="AF19" s="31">
        <f t="shared" si="11"/>
        <v>241</v>
      </c>
    </row>
    <row r="20" spans="2:32" ht="23.1" customHeight="1" x14ac:dyDescent="0.25">
      <c r="B20" s="23" t="s">
        <v>47</v>
      </c>
      <c r="C20" s="50">
        <v>6</v>
      </c>
      <c r="D20" s="50">
        <v>1</v>
      </c>
      <c r="E20" s="50">
        <v>2</v>
      </c>
      <c r="F20" s="50">
        <v>9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22</v>
      </c>
      <c r="N20" s="50">
        <v>0</v>
      </c>
      <c r="O20" s="15">
        <f t="shared" si="0"/>
        <v>21</v>
      </c>
      <c r="P20" s="15">
        <f t="shared" si="1"/>
        <v>43</v>
      </c>
      <c r="R20" s="1" t="s">
        <v>16</v>
      </c>
      <c r="S20" s="17">
        <f t="shared" ref="S20:AF20" si="12">SUM(C50:C53)</f>
        <v>65</v>
      </c>
      <c r="T20" s="17">
        <f t="shared" si="12"/>
        <v>12</v>
      </c>
      <c r="U20" s="17">
        <f t="shared" si="12"/>
        <v>14</v>
      </c>
      <c r="V20" s="17">
        <f t="shared" si="12"/>
        <v>46</v>
      </c>
      <c r="W20" s="17">
        <f t="shared" si="12"/>
        <v>1</v>
      </c>
      <c r="X20" s="17">
        <f t="shared" si="12"/>
        <v>2</v>
      </c>
      <c r="Y20" s="17">
        <f t="shared" si="12"/>
        <v>10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90</v>
      </c>
      <c r="AD20" s="17">
        <f t="shared" si="12"/>
        <v>0</v>
      </c>
      <c r="AE20" s="31">
        <f t="shared" si="12"/>
        <v>150</v>
      </c>
      <c r="AF20" s="31">
        <f t="shared" si="12"/>
        <v>240</v>
      </c>
    </row>
    <row r="21" spans="2:32" ht="23.1" customHeight="1" x14ac:dyDescent="0.25">
      <c r="B21" s="23" t="s">
        <v>48</v>
      </c>
      <c r="C21" s="50">
        <v>11</v>
      </c>
      <c r="D21" s="50">
        <v>2</v>
      </c>
      <c r="E21" s="50">
        <v>2</v>
      </c>
      <c r="F21" s="50">
        <v>10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21</v>
      </c>
      <c r="N21" s="50">
        <v>0</v>
      </c>
      <c r="O21" s="15">
        <f t="shared" si="0"/>
        <v>29</v>
      </c>
      <c r="P21" s="15">
        <f t="shared" si="1"/>
        <v>50</v>
      </c>
      <c r="R21" s="36" t="s">
        <v>20</v>
      </c>
      <c r="S21" s="34">
        <f t="shared" ref="S21:AF21" si="13">SUM(C54:C57)</f>
        <v>46</v>
      </c>
      <c r="T21" s="17">
        <f t="shared" si="13"/>
        <v>11</v>
      </c>
      <c r="U21" s="17">
        <f t="shared" si="13"/>
        <v>9</v>
      </c>
      <c r="V21" s="17">
        <f t="shared" si="13"/>
        <v>40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91</v>
      </c>
      <c r="AD21" s="17">
        <f t="shared" si="13"/>
        <v>0</v>
      </c>
      <c r="AE21" s="31">
        <f t="shared" si="13"/>
        <v>113</v>
      </c>
      <c r="AF21" s="31">
        <f t="shared" si="13"/>
        <v>204</v>
      </c>
    </row>
    <row r="22" spans="2:32" ht="23.1" customHeight="1" x14ac:dyDescent="0.25">
      <c r="B22" s="23" t="s">
        <v>49</v>
      </c>
      <c r="C22" s="50">
        <v>4</v>
      </c>
      <c r="D22" s="50">
        <v>3</v>
      </c>
      <c r="E22" s="50">
        <v>4</v>
      </c>
      <c r="F22" s="50">
        <v>13</v>
      </c>
      <c r="G22" s="50">
        <v>0</v>
      </c>
      <c r="H22" s="50">
        <v>0</v>
      </c>
      <c r="I22" s="50">
        <v>7</v>
      </c>
      <c r="J22" s="50">
        <v>0</v>
      </c>
      <c r="K22" s="50">
        <v>0</v>
      </c>
      <c r="L22" s="50">
        <v>1</v>
      </c>
      <c r="M22" s="50">
        <v>24</v>
      </c>
      <c r="N22" s="50">
        <v>0</v>
      </c>
      <c r="O22" s="15">
        <f t="shared" si="0"/>
        <v>32</v>
      </c>
      <c r="P22" s="15">
        <f t="shared" si="1"/>
        <v>56</v>
      </c>
      <c r="R22" s="38" t="s">
        <v>90</v>
      </c>
      <c r="S22" s="39">
        <f>MAX(S10:S12)</f>
        <v>43</v>
      </c>
      <c r="T22" s="39">
        <f t="shared" ref="T22:AF22" si="14">MAX(T10:T12)</f>
        <v>7</v>
      </c>
      <c r="U22" s="39">
        <f t="shared" si="14"/>
        <v>8</v>
      </c>
      <c r="V22" s="39">
        <f t="shared" si="14"/>
        <v>35</v>
      </c>
      <c r="W22" s="39">
        <f t="shared" si="14"/>
        <v>1</v>
      </c>
      <c r="X22" s="39">
        <f t="shared" si="14"/>
        <v>0</v>
      </c>
      <c r="Y22" s="39">
        <f t="shared" si="14"/>
        <v>15</v>
      </c>
      <c r="Z22" s="39">
        <f t="shared" si="14"/>
        <v>0</v>
      </c>
      <c r="AA22" s="39">
        <f t="shared" si="14"/>
        <v>0</v>
      </c>
      <c r="AB22" s="39">
        <f t="shared" si="14"/>
        <v>1</v>
      </c>
      <c r="AC22" s="39">
        <f t="shared" si="14"/>
        <v>73</v>
      </c>
      <c r="AD22" s="39">
        <f t="shared" si="14"/>
        <v>0</v>
      </c>
      <c r="AE22" s="40">
        <f t="shared" si="14"/>
        <v>107</v>
      </c>
      <c r="AF22" s="40">
        <f t="shared" si="14"/>
        <v>180</v>
      </c>
    </row>
    <row r="23" spans="2:32" ht="23.1" customHeight="1" x14ac:dyDescent="0.25">
      <c r="B23" s="23" t="s">
        <v>50</v>
      </c>
      <c r="C23" s="50">
        <v>11</v>
      </c>
      <c r="D23" s="50">
        <v>4</v>
      </c>
      <c r="E23" s="50">
        <v>0</v>
      </c>
      <c r="F23" s="50">
        <v>14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17</v>
      </c>
      <c r="N23" s="50">
        <v>0</v>
      </c>
      <c r="O23" s="15">
        <f t="shared" si="0"/>
        <v>34</v>
      </c>
      <c r="P23" s="15">
        <f t="shared" si="1"/>
        <v>51</v>
      </c>
      <c r="R23" s="38" t="s">
        <v>91</v>
      </c>
      <c r="S23" s="39">
        <f>MAX(S13:S18)</f>
        <v>66</v>
      </c>
      <c r="T23" s="39">
        <f t="shared" ref="T23:AF23" si="15">MAX(T13:T18)</f>
        <v>19</v>
      </c>
      <c r="U23" s="39">
        <f t="shared" si="15"/>
        <v>8</v>
      </c>
      <c r="V23" s="39">
        <f t="shared" si="15"/>
        <v>54</v>
      </c>
      <c r="W23" s="39">
        <f t="shared" si="15"/>
        <v>1</v>
      </c>
      <c r="X23" s="39">
        <f t="shared" si="15"/>
        <v>1</v>
      </c>
      <c r="Y23" s="39">
        <f t="shared" si="15"/>
        <v>16</v>
      </c>
      <c r="Z23" s="39">
        <f t="shared" si="15"/>
        <v>1</v>
      </c>
      <c r="AA23" s="39">
        <f t="shared" si="15"/>
        <v>0</v>
      </c>
      <c r="AB23" s="39">
        <f t="shared" si="15"/>
        <v>2</v>
      </c>
      <c r="AC23" s="39">
        <f t="shared" si="15"/>
        <v>106</v>
      </c>
      <c r="AD23" s="39">
        <f t="shared" si="15"/>
        <v>1</v>
      </c>
      <c r="AE23" s="40">
        <f t="shared" si="15"/>
        <v>151</v>
      </c>
      <c r="AF23" s="40">
        <f t="shared" si="15"/>
        <v>253</v>
      </c>
    </row>
    <row r="24" spans="2:32" ht="23.1" customHeight="1" x14ac:dyDescent="0.25">
      <c r="B24" s="23" t="s">
        <v>51</v>
      </c>
      <c r="C24" s="50">
        <v>12</v>
      </c>
      <c r="D24" s="50">
        <v>4</v>
      </c>
      <c r="E24" s="50">
        <v>3</v>
      </c>
      <c r="F24" s="50">
        <v>6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38</v>
      </c>
      <c r="N24" s="50">
        <v>0</v>
      </c>
      <c r="O24" s="15">
        <f t="shared" si="0"/>
        <v>25</v>
      </c>
      <c r="P24" s="15">
        <f t="shared" si="1"/>
        <v>63</v>
      </c>
      <c r="R24" s="38" t="s">
        <v>92</v>
      </c>
      <c r="S24" s="39">
        <f>MAX(S19:S21)</f>
        <v>65</v>
      </c>
      <c r="T24" s="39">
        <f t="shared" ref="T24:AF24" si="16">MAX(T19:T21)</f>
        <v>15</v>
      </c>
      <c r="U24" s="39">
        <f t="shared" si="16"/>
        <v>14</v>
      </c>
      <c r="V24" s="39">
        <f t="shared" si="16"/>
        <v>64</v>
      </c>
      <c r="W24" s="39">
        <f t="shared" si="16"/>
        <v>4</v>
      </c>
      <c r="X24" s="39">
        <f t="shared" si="16"/>
        <v>2</v>
      </c>
      <c r="Y24" s="39">
        <f t="shared" si="16"/>
        <v>10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91</v>
      </c>
      <c r="AD24" s="39">
        <f t="shared" si="16"/>
        <v>0</v>
      </c>
      <c r="AE24" s="40">
        <f t="shared" si="16"/>
        <v>150</v>
      </c>
      <c r="AF24" s="40">
        <f t="shared" si="16"/>
        <v>241</v>
      </c>
    </row>
    <row r="25" spans="2:32" ht="23.1" customHeight="1" x14ac:dyDescent="0.25">
      <c r="B25" s="23" t="s">
        <v>52</v>
      </c>
      <c r="C25" s="50">
        <v>14</v>
      </c>
      <c r="D25" s="50">
        <v>5</v>
      </c>
      <c r="E25" s="50">
        <v>1</v>
      </c>
      <c r="F25" s="50">
        <v>12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27</v>
      </c>
      <c r="N25" s="50">
        <v>0</v>
      </c>
      <c r="O25" s="15">
        <f t="shared" si="0"/>
        <v>34</v>
      </c>
      <c r="P25" s="15">
        <f t="shared" si="1"/>
        <v>61</v>
      </c>
      <c r="R25" s="37" t="s">
        <v>85</v>
      </c>
      <c r="S25" s="35">
        <f t="shared" ref="S25:AF25" si="17">SUM(S10:S12)</f>
        <v>83</v>
      </c>
      <c r="T25" s="16">
        <f t="shared" si="17"/>
        <v>14</v>
      </c>
      <c r="U25" s="16">
        <f t="shared" si="17"/>
        <v>15</v>
      </c>
      <c r="V25" s="16">
        <f t="shared" si="17"/>
        <v>95</v>
      </c>
      <c r="W25" s="16">
        <f t="shared" si="17"/>
        <v>1</v>
      </c>
      <c r="X25" s="16">
        <f t="shared" si="17"/>
        <v>0</v>
      </c>
      <c r="Y25" s="16">
        <f t="shared" si="17"/>
        <v>34</v>
      </c>
      <c r="Z25" s="16">
        <f t="shared" si="17"/>
        <v>0</v>
      </c>
      <c r="AA25" s="16">
        <f t="shared" si="17"/>
        <v>0</v>
      </c>
      <c r="AB25" s="16">
        <f t="shared" si="17"/>
        <v>2</v>
      </c>
      <c r="AC25" s="16">
        <f t="shared" si="17"/>
        <v>175</v>
      </c>
      <c r="AD25" s="16">
        <f t="shared" si="17"/>
        <v>0</v>
      </c>
      <c r="AE25" s="32">
        <f t="shared" si="17"/>
        <v>244</v>
      </c>
      <c r="AF25" s="32">
        <f t="shared" si="17"/>
        <v>419</v>
      </c>
    </row>
    <row r="26" spans="2:32" ht="23.1" customHeight="1" x14ac:dyDescent="0.25">
      <c r="B26" s="23" t="s">
        <v>53</v>
      </c>
      <c r="C26" s="50">
        <v>13</v>
      </c>
      <c r="D26" s="50">
        <v>3</v>
      </c>
      <c r="E26" s="50">
        <v>0</v>
      </c>
      <c r="F26" s="50">
        <v>14</v>
      </c>
      <c r="G26" s="50">
        <v>0</v>
      </c>
      <c r="H26" s="50">
        <v>1</v>
      </c>
      <c r="I26" s="50">
        <v>4</v>
      </c>
      <c r="J26" s="50">
        <v>0</v>
      </c>
      <c r="K26" s="50">
        <v>0</v>
      </c>
      <c r="L26" s="50">
        <v>1</v>
      </c>
      <c r="M26" s="50">
        <v>37</v>
      </c>
      <c r="N26" s="50">
        <v>0</v>
      </c>
      <c r="O26" s="15">
        <f t="shared" si="0"/>
        <v>36</v>
      </c>
      <c r="P26" s="15">
        <f t="shared" si="1"/>
        <v>73</v>
      </c>
      <c r="R26" s="28" t="s">
        <v>86</v>
      </c>
      <c r="S26" s="16">
        <f t="shared" ref="S26:AF26" si="18">SUM(S13:S18)</f>
        <v>341</v>
      </c>
      <c r="T26" s="16">
        <f t="shared" si="18"/>
        <v>89</v>
      </c>
      <c r="U26" s="16">
        <f t="shared" si="18"/>
        <v>37</v>
      </c>
      <c r="V26" s="16">
        <f t="shared" si="18"/>
        <v>284</v>
      </c>
      <c r="W26" s="16">
        <f t="shared" si="18"/>
        <v>2</v>
      </c>
      <c r="X26" s="16">
        <f t="shared" si="18"/>
        <v>3</v>
      </c>
      <c r="Y26" s="16">
        <f t="shared" si="18"/>
        <v>77</v>
      </c>
      <c r="Z26" s="16">
        <f t="shared" si="18"/>
        <v>2</v>
      </c>
      <c r="AA26" s="16">
        <f t="shared" si="18"/>
        <v>0</v>
      </c>
      <c r="AB26" s="16">
        <f t="shared" si="18"/>
        <v>6</v>
      </c>
      <c r="AC26" s="16">
        <f t="shared" si="18"/>
        <v>580</v>
      </c>
      <c r="AD26" s="16">
        <f t="shared" si="18"/>
        <v>1</v>
      </c>
      <c r="AE26" s="32">
        <f t="shared" si="18"/>
        <v>842</v>
      </c>
      <c r="AF26" s="32">
        <f t="shared" si="18"/>
        <v>1422</v>
      </c>
    </row>
    <row r="27" spans="2:32" ht="23.1" customHeight="1" x14ac:dyDescent="0.25">
      <c r="B27" s="23" t="s">
        <v>54</v>
      </c>
      <c r="C27" s="50">
        <v>5</v>
      </c>
      <c r="D27" s="50">
        <v>3</v>
      </c>
      <c r="E27" s="50">
        <v>3</v>
      </c>
      <c r="F27" s="50">
        <v>11</v>
      </c>
      <c r="G27" s="50">
        <v>1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26</v>
      </c>
      <c r="P27" s="15">
        <f t="shared" si="1"/>
        <v>38</v>
      </c>
      <c r="R27" s="29" t="s">
        <v>87</v>
      </c>
      <c r="S27" s="16">
        <f t="shared" ref="S27:AF27" si="19">SUM(S19:S21)</f>
        <v>157</v>
      </c>
      <c r="T27" s="16">
        <f t="shared" si="19"/>
        <v>38</v>
      </c>
      <c r="U27" s="16">
        <f t="shared" si="19"/>
        <v>37</v>
      </c>
      <c r="V27" s="16">
        <f t="shared" si="19"/>
        <v>150</v>
      </c>
      <c r="W27" s="16">
        <f t="shared" si="19"/>
        <v>5</v>
      </c>
      <c r="X27" s="16">
        <f t="shared" si="19"/>
        <v>2</v>
      </c>
      <c r="Y27" s="16">
        <f t="shared" si="19"/>
        <v>24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272</v>
      </c>
      <c r="AD27" s="16">
        <f t="shared" si="19"/>
        <v>0</v>
      </c>
      <c r="AE27" s="32">
        <f t="shared" si="19"/>
        <v>413</v>
      </c>
      <c r="AF27" s="32">
        <f t="shared" si="19"/>
        <v>685</v>
      </c>
    </row>
    <row r="28" spans="2:32" ht="23.1" customHeight="1" x14ac:dyDescent="0.25">
      <c r="B28" s="23" t="s">
        <v>55</v>
      </c>
      <c r="C28" s="50">
        <v>12</v>
      </c>
      <c r="D28" s="50">
        <v>5</v>
      </c>
      <c r="E28" s="50">
        <v>3</v>
      </c>
      <c r="F28" s="50">
        <v>12</v>
      </c>
      <c r="G28" s="50">
        <v>0</v>
      </c>
      <c r="H28" s="50">
        <v>0</v>
      </c>
      <c r="I28" s="50">
        <v>4</v>
      </c>
      <c r="J28" s="50">
        <v>0</v>
      </c>
      <c r="K28" s="50">
        <v>0</v>
      </c>
      <c r="L28" s="50">
        <v>0</v>
      </c>
      <c r="M28" s="50">
        <v>27</v>
      </c>
      <c r="N28" s="50">
        <v>0</v>
      </c>
      <c r="O28" s="15">
        <f t="shared" si="0"/>
        <v>36</v>
      </c>
      <c r="P28" s="15">
        <f t="shared" si="1"/>
        <v>63</v>
      </c>
      <c r="R28" s="5" t="s">
        <v>17</v>
      </c>
      <c r="S28" s="16">
        <f t="shared" ref="S28:AF28" si="20">SUM(S10:S21)</f>
        <v>581</v>
      </c>
      <c r="T28" s="16">
        <f t="shared" si="20"/>
        <v>141</v>
      </c>
      <c r="U28" s="16">
        <f t="shared" si="20"/>
        <v>89</v>
      </c>
      <c r="V28" s="16">
        <f t="shared" si="20"/>
        <v>529</v>
      </c>
      <c r="W28" s="16">
        <f t="shared" si="20"/>
        <v>8</v>
      </c>
      <c r="X28" s="16">
        <f t="shared" si="20"/>
        <v>5</v>
      </c>
      <c r="Y28" s="16">
        <f t="shared" si="20"/>
        <v>135</v>
      </c>
      <c r="Z28" s="16">
        <f t="shared" si="20"/>
        <v>2</v>
      </c>
      <c r="AA28" s="16">
        <f t="shared" si="20"/>
        <v>0</v>
      </c>
      <c r="AB28" s="16">
        <f t="shared" si="20"/>
        <v>8</v>
      </c>
      <c r="AC28" s="16">
        <f t="shared" si="20"/>
        <v>1027</v>
      </c>
      <c r="AD28" s="16">
        <f t="shared" si="20"/>
        <v>1</v>
      </c>
      <c r="AE28" s="32">
        <f t="shared" si="20"/>
        <v>1499</v>
      </c>
      <c r="AF28" s="32">
        <f t="shared" si="20"/>
        <v>2526</v>
      </c>
    </row>
    <row r="29" spans="2:32" ht="23.1" customHeight="1" x14ac:dyDescent="0.25">
      <c r="B29" s="23" t="s">
        <v>56</v>
      </c>
      <c r="C29" s="50">
        <v>20</v>
      </c>
      <c r="D29" s="50">
        <v>3</v>
      </c>
      <c r="E29" s="50">
        <v>0</v>
      </c>
      <c r="F29" s="50">
        <v>9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1</v>
      </c>
      <c r="M29" s="50">
        <v>19</v>
      </c>
      <c r="N29" s="50">
        <v>0</v>
      </c>
      <c r="O29" s="15">
        <f t="shared" si="0"/>
        <v>37</v>
      </c>
      <c r="P29" s="15">
        <f t="shared" si="1"/>
        <v>56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3</v>
      </c>
      <c r="E30" s="50">
        <v>2</v>
      </c>
      <c r="F30" s="50">
        <v>8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2</v>
      </c>
      <c r="M30" s="50">
        <v>23</v>
      </c>
      <c r="N30" s="50">
        <v>0</v>
      </c>
      <c r="O30" s="15">
        <f t="shared" si="0"/>
        <v>38</v>
      </c>
      <c r="P30" s="15">
        <f t="shared" si="1"/>
        <v>61</v>
      </c>
    </row>
    <row r="31" spans="2:32" ht="23.1" customHeight="1" x14ac:dyDescent="0.25">
      <c r="B31" s="24" t="s">
        <v>58</v>
      </c>
      <c r="C31" s="50">
        <v>11</v>
      </c>
      <c r="D31" s="50">
        <v>7</v>
      </c>
      <c r="E31" s="50">
        <v>0</v>
      </c>
      <c r="F31" s="50">
        <v>13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30</v>
      </c>
      <c r="N31" s="50">
        <v>0</v>
      </c>
      <c r="O31" s="15">
        <f t="shared" si="0"/>
        <v>35</v>
      </c>
      <c r="P31" s="15">
        <f t="shared" si="1"/>
        <v>65</v>
      </c>
    </row>
    <row r="32" spans="2:32" ht="23.1" customHeight="1" x14ac:dyDescent="0.25">
      <c r="B32" s="24" t="s">
        <v>59</v>
      </c>
      <c r="C32" s="50">
        <v>13</v>
      </c>
      <c r="D32" s="50">
        <v>2</v>
      </c>
      <c r="E32" s="50">
        <v>2</v>
      </c>
      <c r="F32" s="50">
        <v>10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21</v>
      </c>
      <c r="N32" s="50">
        <v>0</v>
      </c>
      <c r="O32" s="15">
        <f t="shared" si="0"/>
        <v>31</v>
      </c>
      <c r="P32" s="15">
        <f t="shared" si="1"/>
        <v>52</v>
      </c>
    </row>
    <row r="33" spans="2:20" ht="23.1" customHeight="1" x14ac:dyDescent="0.25">
      <c r="B33" s="23" t="s">
        <v>60</v>
      </c>
      <c r="C33" s="50">
        <v>19</v>
      </c>
      <c r="D33" s="50">
        <v>7</v>
      </c>
      <c r="E33" s="50">
        <v>1</v>
      </c>
      <c r="F33" s="50">
        <v>11</v>
      </c>
      <c r="G33" s="50">
        <v>0</v>
      </c>
      <c r="H33" s="50">
        <v>0</v>
      </c>
      <c r="I33" s="50">
        <v>5</v>
      </c>
      <c r="J33" s="50">
        <v>0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43</v>
      </c>
      <c r="P33" s="15">
        <f t="shared" si="1"/>
        <v>70</v>
      </c>
    </row>
    <row r="34" spans="2:20" ht="23.1" customHeight="1" x14ac:dyDescent="0.25">
      <c r="B34" s="24" t="s">
        <v>61</v>
      </c>
      <c r="C34" s="50">
        <v>13</v>
      </c>
      <c r="D34" s="50">
        <v>1</v>
      </c>
      <c r="E34" s="50">
        <v>1</v>
      </c>
      <c r="F34" s="50">
        <v>14</v>
      </c>
      <c r="G34" s="50">
        <v>0</v>
      </c>
      <c r="H34" s="50">
        <v>1</v>
      </c>
      <c r="I34" s="50">
        <v>4</v>
      </c>
      <c r="J34" s="50">
        <v>0</v>
      </c>
      <c r="K34" s="50">
        <v>0</v>
      </c>
      <c r="L34" s="50">
        <v>0</v>
      </c>
      <c r="M34" s="50">
        <v>22</v>
      </c>
      <c r="N34" s="50">
        <v>0</v>
      </c>
      <c r="O34" s="15">
        <f t="shared" si="0"/>
        <v>34</v>
      </c>
      <c r="P34" s="15">
        <f t="shared" si="1"/>
        <v>56</v>
      </c>
    </row>
    <row r="35" spans="2:20" ht="23.1" customHeight="1" x14ac:dyDescent="0.25">
      <c r="B35" s="24" t="s">
        <v>62</v>
      </c>
      <c r="C35" s="50">
        <v>15</v>
      </c>
      <c r="D35" s="50">
        <v>0</v>
      </c>
      <c r="E35" s="50">
        <v>3</v>
      </c>
      <c r="F35" s="50">
        <v>10</v>
      </c>
      <c r="G35" s="50">
        <v>1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32</v>
      </c>
      <c r="P35" s="15">
        <f t="shared" si="1"/>
        <v>57</v>
      </c>
    </row>
    <row r="36" spans="2:20" ht="23.1" customHeight="1" x14ac:dyDescent="0.25">
      <c r="B36" s="24" t="s">
        <v>63</v>
      </c>
      <c r="C36" s="50">
        <v>20</v>
      </c>
      <c r="D36" s="50">
        <v>4</v>
      </c>
      <c r="E36" s="50">
        <v>1</v>
      </c>
      <c r="F36" s="50">
        <v>16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30</v>
      </c>
      <c r="N36" s="50">
        <v>0</v>
      </c>
      <c r="O36" s="15">
        <f t="shared" si="0"/>
        <v>46</v>
      </c>
      <c r="P36" s="15">
        <f t="shared" si="1"/>
        <v>76</v>
      </c>
    </row>
    <row r="37" spans="2:20" ht="23.1" customHeight="1" x14ac:dyDescent="0.25">
      <c r="B37" s="23" t="s">
        <v>64</v>
      </c>
      <c r="C37" s="50">
        <v>17</v>
      </c>
      <c r="D37" s="50">
        <v>2</v>
      </c>
      <c r="E37" s="50">
        <v>1</v>
      </c>
      <c r="F37" s="50">
        <v>14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39</v>
      </c>
      <c r="P37" s="15">
        <f t="shared" si="1"/>
        <v>64</v>
      </c>
    </row>
    <row r="38" spans="2:20" ht="23.1" customHeight="1" x14ac:dyDescent="0.25">
      <c r="B38" s="24" t="s">
        <v>65</v>
      </c>
      <c r="C38" s="50">
        <v>17</v>
      </c>
      <c r="D38" s="50">
        <v>1</v>
      </c>
      <c r="E38" s="50">
        <v>1</v>
      </c>
      <c r="F38" s="50">
        <v>10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22</v>
      </c>
      <c r="N38" s="50">
        <v>0</v>
      </c>
      <c r="O38" s="15">
        <f t="shared" si="0"/>
        <v>31</v>
      </c>
      <c r="P38" s="15">
        <f t="shared" si="1"/>
        <v>53</v>
      </c>
    </row>
    <row r="39" spans="2:20" ht="23.1" customHeight="1" x14ac:dyDescent="0.25">
      <c r="B39" s="24" t="s">
        <v>66</v>
      </c>
      <c r="C39" s="50">
        <v>27</v>
      </c>
      <c r="D39" s="50">
        <v>3</v>
      </c>
      <c r="E39" s="50">
        <v>1</v>
      </c>
      <c r="F39" s="50">
        <v>20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25</v>
      </c>
      <c r="N39" s="50">
        <v>0</v>
      </c>
      <c r="O39" s="15">
        <f t="shared" si="0"/>
        <v>52</v>
      </c>
      <c r="P39" s="15">
        <f t="shared" si="1"/>
        <v>77</v>
      </c>
    </row>
    <row r="40" spans="2:20" ht="23.1" customHeight="1" x14ac:dyDescent="0.25">
      <c r="B40" s="24" t="s">
        <v>67</v>
      </c>
      <c r="C40" s="50">
        <v>11</v>
      </c>
      <c r="D40" s="50">
        <v>7</v>
      </c>
      <c r="E40" s="50">
        <v>0</v>
      </c>
      <c r="F40" s="50">
        <v>11</v>
      </c>
      <c r="G40" s="50">
        <v>0</v>
      </c>
      <c r="H40" s="50">
        <v>0</v>
      </c>
      <c r="I40" s="50">
        <v>4</v>
      </c>
      <c r="J40" s="50">
        <v>0</v>
      </c>
      <c r="K40" s="50">
        <v>0</v>
      </c>
      <c r="L40" s="50">
        <v>0</v>
      </c>
      <c r="M40" s="50">
        <v>28</v>
      </c>
      <c r="N40" s="50">
        <v>0</v>
      </c>
      <c r="O40" s="15">
        <f t="shared" si="0"/>
        <v>33</v>
      </c>
      <c r="P40" s="15">
        <f t="shared" si="1"/>
        <v>61</v>
      </c>
    </row>
    <row r="41" spans="2:20" ht="23.1" customHeight="1" x14ac:dyDescent="0.25">
      <c r="B41" s="23" t="s">
        <v>68</v>
      </c>
      <c r="C41" s="50">
        <v>11</v>
      </c>
      <c r="D41" s="50">
        <v>4</v>
      </c>
      <c r="E41" s="50">
        <v>2</v>
      </c>
      <c r="F41" s="50">
        <v>10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27</v>
      </c>
      <c r="P41" s="15">
        <f t="shared" si="1"/>
        <v>47</v>
      </c>
    </row>
    <row r="42" spans="2:20" ht="23.1" customHeight="1" x14ac:dyDescent="0.25">
      <c r="B42" s="24" t="s">
        <v>69</v>
      </c>
      <c r="C42" s="50">
        <v>12</v>
      </c>
      <c r="D42" s="50">
        <v>0</v>
      </c>
      <c r="E42" s="50">
        <v>1</v>
      </c>
      <c r="F42" s="50">
        <v>10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1</v>
      </c>
      <c r="M42" s="50">
        <v>22</v>
      </c>
      <c r="N42" s="50">
        <v>1</v>
      </c>
      <c r="O42" s="15">
        <f t="shared" si="0"/>
        <v>29</v>
      </c>
      <c r="P42" s="15">
        <f t="shared" si="1"/>
        <v>51</v>
      </c>
    </row>
    <row r="43" spans="2:20" ht="23.1" customHeight="1" x14ac:dyDescent="0.25">
      <c r="B43" s="23" t="s">
        <v>70</v>
      </c>
      <c r="C43" s="50">
        <v>17</v>
      </c>
      <c r="D43" s="50">
        <v>6</v>
      </c>
      <c r="E43" s="50">
        <v>2</v>
      </c>
      <c r="F43" s="50">
        <v>13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20</v>
      </c>
      <c r="N43" s="50">
        <v>0</v>
      </c>
      <c r="O43" s="15">
        <f t="shared" si="0"/>
        <v>41</v>
      </c>
      <c r="P43" s="15">
        <f t="shared" si="1"/>
        <v>61</v>
      </c>
    </row>
    <row r="44" spans="2:20" ht="23.1" customHeight="1" x14ac:dyDescent="0.25">
      <c r="B44" s="25" t="s">
        <v>71</v>
      </c>
      <c r="C44" s="50">
        <v>9</v>
      </c>
      <c r="D44" s="50">
        <v>8</v>
      </c>
      <c r="E44" s="50">
        <v>1</v>
      </c>
      <c r="F44" s="50">
        <v>15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35</v>
      </c>
      <c r="P44" s="15">
        <f t="shared" si="1"/>
        <v>50</v>
      </c>
    </row>
    <row r="45" spans="2:20" ht="23.1" customHeight="1" x14ac:dyDescent="0.25">
      <c r="B45" s="23" t="s">
        <v>72</v>
      </c>
      <c r="C45" s="50">
        <v>17</v>
      </c>
      <c r="D45" s="50">
        <v>4</v>
      </c>
      <c r="E45" s="50">
        <v>4</v>
      </c>
      <c r="F45" s="50">
        <v>8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24</v>
      </c>
      <c r="N45" s="50">
        <v>0</v>
      </c>
      <c r="O45" s="15">
        <f t="shared" si="0"/>
        <v>36</v>
      </c>
      <c r="P45" s="15">
        <f t="shared" si="1"/>
        <v>60</v>
      </c>
    </row>
    <row r="46" spans="2:20" ht="23.1" customHeight="1" x14ac:dyDescent="0.25">
      <c r="B46" s="24" t="s">
        <v>73</v>
      </c>
      <c r="C46" s="50">
        <v>11</v>
      </c>
      <c r="D46" s="50">
        <v>4</v>
      </c>
      <c r="E46" s="50">
        <v>3</v>
      </c>
      <c r="F46" s="50">
        <v>11</v>
      </c>
      <c r="G46" s="50">
        <v>2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25</v>
      </c>
      <c r="N46" s="50">
        <v>0</v>
      </c>
      <c r="O46" s="15">
        <f t="shared" si="0"/>
        <v>32</v>
      </c>
      <c r="P46" s="15">
        <f t="shared" si="1"/>
        <v>57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4</v>
      </c>
      <c r="E47" s="50">
        <v>3</v>
      </c>
      <c r="F47" s="50">
        <v>17</v>
      </c>
      <c r="G47" s="50">
        <v>1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22</v>
      </c>
      <c r="N47" s="50">
        <v>0</v>
      </c>
      <c r="O47" s="15">
        <f t="shared" si="0"/>
        <v>42</v>
      </c>
      <c r="P47" s="15">
        <f t="shared" si="1"/>
        <v>64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4</v>
      </c>
      <c r="E48" s="50">
        <v>2</v>
      </c>
      <c r="F48" s="50">
        <v>17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24</v>
      </c>
      <c r="N48" s="50">
        <v>0</v>
      </c>
      <c r="O48" s="15">
        <f t="shared" si="0"/>
        <v>37</v>
      </c>
      <c r="P48" s="15">
        <f t="shared" si="1"/>
        <v>61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3</v>
      </c>
      <c r="E49" s="50">
        <v>6</v>
      </c>
      <c r="F49" s="50">
        <v>19</v>
      </c>
      <c r="G49" s="50">
        <v>1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20</v>
      </c>
      <c r="N49" s="50">
        <v>0</v>
      </c>
      <c r="O49" s="15">
        <f t="shared" si="0"/>
        <v>39</v>
      </c>
      <c r="P49" s="15">
        <f t="shared" si="1"/>
        <v>59</v>
      </c>
      <c r="R49" s="8"/>
      <c r="T49"/>
    </row>
    <row r="50" spans="2:20" ht="23.1" customHeight="1" x14ac:dyDescent="0.25">
      <c r="B50" s="24" t="s">
        <v>77</v>
      </c>
      <c r="C50" s="50">
        <v>16</v>
      </c>
      <c r="D50" s="50">
        <v>0</v>
      </c>
      <c r="E50" s="50">
        <v>5</v>
      </c>
      <c r="F50" s="50">
        <v>10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18</v>
      </c>
      <c r="N50" s="50">
        <v>0</v>
      </c>
      <c r="O50" s="15">
        <f t="shared" si="0"/>
        <v>32</v>
      </c>
      <c r="P50" s="15">
        <f t="shared" si="1"/>
        <v>50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5</v>
      </c>
      <c r="E51" s="50">
        <v>2</v>
      </c>
      <c r="F51" s="50">
        <v>10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30</v>
      </c>
      <c r="N51" s="50">
        <v>0</v>
      </c>
      <c r="O51" s="15">
        <f t="shared" si="0"/>
        <v>35</v>
      </c>
      <c r="P51" s="15">
        <f t="shared" si="1"/>
        <v>65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2</v>
      </c>
      <c r="E52" s="50">
        <v>1</v>
      </c>
      <c r="F52" s="50">
        <v>15</v>
      </c>
      <c r="G52" s="50">
        <v>1</v>
      </c>
      <c r="H52" s="50">
        <v>2</v>
      </c>
      <c r="I52" s="50">
        <v>6</v>
      </c>
      <c r="J52" s="50">
        <v>0</v>
      </c>
      <c r="K52" s="50">
        <v>0</v>
      </c>
      <c r="L52" s="50">
        <v>0</v>
      </c>
      <c r="M52" s="50">
        <v>22</v>
      </c>
      <c r="N52" s="50">
        <v>0</v>
      </c>
      <c r="O52" s="15">
        <f t="shared" si="0"/>
        <v>43</v>
      </c>
      <c r="P52" s="15">
        <f t="shared" si="1"/>
        <v>65</v>
      </c>
      <c r="R52" s="8"/>
      <c r="T52"/>
    </row>
    <row r="53" spans="2:20" ht="23.1" customHeight="1" x14ac:dyDescent="0.25">
      <c r="B53" s="23" t="s">
        <v>80</v>
      </c>
      <c r="C53" s="50">
        <v>17</v>
      </c>
      <c r="D53" s="50">
        <v>5</v>
      </c>
      <c r="E53" s="50">
        <v>6</v>
      </c>
      <c r="F53" s="50">
        <v>11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20</v>
      </c>
      <c r="N53" s="50">
        <v>0</v>
      </c>
      <c r="O53" s="15">
        <f t="shared" si="0"/>
        <v>40</v>
      </c>
      <c r="P53" s="15">
        <f t="shared" si="1"/>
        <v>60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6</v>
      </c>
      <c r="E54" s="50">
        <v>5</v>
      </c>
      <c r="F54" s="50">
        <v>10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17</v>
      </c>
      <c r="N54" s="50">
        <v>0</v>
      </c>
      <c r="O54" s="15">
        <f t="shared" si="0"/>
        <v>31</v>
      </c>
      <c r="P54" s="15">
        <f t="shared" si="1"/>
        <v>48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2</v>
      </c>
      <c r="E55" s="50">
        <v>1</v>
      </c>
      <c r="F55" s="50">
        <v>9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34</v>
      </c>
      <c r="N55" s="50">
        <v>0</v>
      </c>
      <c r="O55" s="15">
        <f t="shared" si="0"/>
        <v>27</v>
      </c>
      <c r="P55" s="15">
        <f t="shared" si="1"/>
        <v>61</v>
      </c>
      <c r="R55" s="8"/>
      <c r="T55"/>
    </row>
    <row r="56" spans="2:20" ht="23.1" customHeight="1" x14ac:dyDescent="0.25">
      <c r="B56" s="23" t="s">
        <v>83</v>
      </c>
      <c r="C56" s="50">
        <v>17</v>
      </c>
      <c r="D56" s="50">
        <v>3</v>
      </c>
      <c r="E56" s="50">
        <v>1</v>
      </c>
      <c r="F56" s="50">
        <v>12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16</v>
      </c>
      <c r="N56" s="50">
        <v>0</v>
      </c>
      <c r="O56" s="15">
        <f t="shared" si="0"/>
        <v>37</v>
      </c>
      <c r="P56" s="15">
        <f t="shared" si="1"/>
        <v>53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2</v>
      </c>
      <c r="F57" s="50">
        <v>9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24</v>
      </c>
      <c r="N57" s="50">
        <v>0</v>
      </c>
      <c r="O57" s="15">
        <f t="shared" si="0"/>
        <v>18</v>
      </c>
      <c r="P57" s="15">
        <f t="shared" si="1"/>
        <v>42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581</v>
      </c>
      <c r="D58" s="16">
        <f t="shared" si="21"/>
        <v>141</v>
      </c>
      <c r="E58" s="16">
        <f t="shared" si="21"/>
        <v>89</v>
      </c>
      <c r="F58" s="16">
        <f t="shared" si="21"/>
        <v>529</v>
      </c>
      <c r="G58" s="16">
        <f t="shared" si="21"/>
        <v>8</v>
      </c>
      <c r="H58" s="16">
        <f t="shared" si="21"/>
        <v>5</v>
      </c>
      <c r="I58" s="16">
        <f t="shared" si="21"/>
        <v>135</v>
      </c>
      <c r="J58" s="16">
        <f t="shared" si="21"/>
        <v>2</v>
      </c>
      <c r="K58" s="16">
        <f t="shared" si="21"/>
        <v>0</v>
      </c>
      <c r="L58" s="16">
        <f t="shared" si="21"/>
        <v>8</v>
      </c>
      <c r="M58" s="16">
        <f t="shared" si="21"/>
        <v>1027</v>
      </c>
      <c r="N58" s="16">
        <f t="shared" si="21"/>
        <v>1</v>
      </c>
      <c r="O58" s="16">
        <f t="shared" si="21"/>
        <v>1499</v>
      </c>
      <c r="P58" s="16">
        <f t="shared" si="21"/>
        <v>2526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0.23000791765637371</v>
      </c>
      <c r="D59" s="43">
        <f t="shared" si="22"/>
        <v>5.5819477434679333E-2</v>
      </c>
      <c r="E59" s="43">
        <f t="shared" si="22"/>
        <v>3.5233570863024546E-2</v>
      </c>
      <c r="F59" s="43">
        <f t="shared" si="22"/>
        <v>0.20942201108471892</v>
      </c>
      <c r="G59" s="43">
        <f t="shared" si="22"/>
        <v>3.1670625494853522E-3</v>
      </c>
      <c r="H59" s="43">
        <f t="shared" si="22"/>
        <v>1.979414093428345E-3</v>
      </c>
      <c r="I59" s="43">
        <f t="shared" si="22"/>
        <v>5.3444180522565318E-2</v>
      </c>
      <c r="J59" s="43">
        <f t="shared" si="22"/>
        <v>7.9176563737133805E-4</v>
      </c>
      <c r="K59" s="43">
        <f t="shared" si="22"/>
        <v>0</v>
      </c>
      <c r="L59" s="43">
        <f t="shared" si="22"/>
        <v>3.1670625494853522E-3</v>
      </c>
      <c r="M59" s="43">
        <f t="shared" si="22"/>
        <v>0.40657165479018209</v>
      </c>
      <c r="N59" s="43">
        <f t="shared" si="22"/>
        <v>3.9588281868566902E-4</v>
      </c>
      <c r="R59" s="8"/>
      <c r="T59"/>
    </row>
    <row r="60" spans="2:20" ht="23.1" customHeight="1" x14ac:dyDescent="0.25">
      <c r="B60" s="42" t="s">
        <v>94</v>
      </c>
      <c r="C60" s="44">
        <f>C58/$O$58</f>
        <v>0.38759172781854567</v>
      </c>
      <c r="D60" s="44">
        <f t="shared" ref="D60:N60" si="23">D58/$O$58</f>
        <v>9.4062708472314877E-2</v>
      </c>
      <c r="E60" s="44">
        <f t="shared" si="23"/>
        <v>5.9372915276851235E-2</v>
      </c>
      <c r="F60" s="44">
        <f t="shared" si="23"/>
        <v>0.35290193462308206</v>
      </c>
      <c r="G60" s="44">
        <f t="shared" si="23"/>
        <v>5.3368912608405599E-3</v>
      </c>
      <c r="H60" s="44">
        <f t="shared" si="23"/>
        <v>3.3355570380253501E-3</v>
      </c>
      <c r="I60" s="44">
        <f t="shared" si="23"/>
        <v>9.0060040026684454E-2</v>
      </c>
      <c r="J60" s="44">
        <f t="shared" si="23"/>
        <v>1.33422281521014E-3</v>
      </c>
      <c r="K60" s="44">
        <f t="shared" si="23"/>
        <v>0</v>
      </c>
      <c r="L60" s="44">
        <f t="shared" si="23"/>
        <v>5.3368912608405599E-3</v>
      </c>
      <c r="M60" s="44"/>
      <c r="N60" s="44">
        <f t="shared" si="23"/>
        <v>6.6711140760506999E-4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topLeftCell="B1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KALAGI-MUKONO'!C3:G3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'3.11 MUKONO-KALAGI'!D5</f>
        <v>3.11.2019</v>
      </c>
      <c r="E5" s="3"/>
      <c r="F5" s="41" t="s">
        <v>1</v>
      </c>
      <c r="G5" s="55" t="str">
        <f>'3.11 MUKONO-KALAGI'!G5:H5</f>
        <v>KABEMBE</v>
      </c>
      <c r="H5" s="56"/>
      <c r="I5" s="14"/>
      <c r="J5" s="2" t="s">
        <v>5</v>
      </c>
      <c r="K5" s="55" t="s">
        <v>164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KALAGI-MUKONO'!D6:E6</f>
        <v>KALAGI</v>
      </c>
      <c r="E6" s="56"/>
      <c r="F6" s="2" t="s">
        <v>2</v>
      </c>
      <c r="G6" s="55" t="str">
        <f>'29.10 KALAGI-MUKONO'!G6:H6</f>
        <v>MUKONO</v>
      </c>
      <c r="H6" s="56"/>
      <c r="J6" s="2" t="s">
        <v>21</v>
      </c>
      <c r="K6" s="55" t="str">
        <f>'3.11 MUKONO-KALAGI'!K6:L6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0</v>
      </c>
      <c r="E10" s="50">
        <v>4</v>
      </c>
      <c r="F10" s="50">
        <v>8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57" si="0">SUM(C10:L10,N10)</f>
        <v>21</v>
      </c>
      <c r="P10" s="15">
        <f t="shared" ref="P10:P57" si="1">SUM(C10:N10)</f>
        <v>36</v>
      </c>
      <c r="R10" s="1" t="s">
        <v>6</v>
      </c>
      <c r="S10" s="17">
        <f t="shared" ref="S10:AF10" si="2">SUM(C10:C13)</f>
        <v>18</v>
      </c>
      <c r="T10" s="17">
        <f t="shared" si="2"/>
        <v>0</v>
      </c>
      <c r="U10" s="17">
        <f t="shared" si="2"/>
        <v>8</v>
      </c>
      <c r="V10" s="17">
        <f t="shared" si="2"/>
        <v>42</v>
      </c>
      <c r="W10" s="17">
        <f t="shared" si="2"/>
        <v>1</v>
      </c>
      <c r="X10" s="17">
        <f t="shared" si="2"/>
        <v>0</v>
      </c>
      <c r="Y10" s="17">
        <f t="shared" si="2"/>
        <v>8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71</v>
      </c>
      <c r="AD10" s="17">
        <f t="shared" si="2"/>
        <v>0</v>
      </c>
      <c r="AE10" s="31">
        <f t="shared" si="2"/>
        <v>78</v>
      </c>
      <c r="AF10" s="31">
        <f t="shared" si="2"/>
        <v>149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14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19</v>
      </c>
      <c r="P11" s="15">
        <f t="shared" si="1"/>
        <v>40</v>
      </c>
      <c r="R11" s="1" t="s">
        <v>7</v>
      </c>
      <c r="S11" s="17">
        <f t="shared" ref="S11:AF11" si="3">SUM(C14:C17)</f>
        <v>11</v>
      </c>
      <c r="T11" s="17">
        <f t="shared" si="3"/>
        <v>2</v>
      </c>
      <c r="U11" s="17">
        <f t="shared" si="3"/>
        <v>2</v>
      </c>
      <c r="V11" s="17">
        <f t="shared" si="3"/>
        <v>35</v>
      </c>
      <c r="W11" s="17">
        <f t="shared" si="3"/>
        <v>1</v>
      </c>
      <c r="X11" s="17">
        <f t="shared" si="3"/>
        <v>1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96</v>
      </c>
      <c r="AD11" s="17">
        <f t="shared" si="3"/>
        <v>1</v>
      </c>
      <c r="AE11" s="31">
        <f t="shared" si="3"/>
        <v>58</v>
      </c>
      <c r="AF11" s="31">
        <f t="shared" si="3"/>
        <v>154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2</v>
      </c>
      <c r="F12" s="50">
        <v>11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0</v>
      </c>
      <c r="M12" s="50">
        <v>14</v>
      </c>
      <c r="N12" s="50">
        <v>0</v>
      </c>
      <c r="O12" s="15">
        <f t="shared" si="0"/>
        <v>23</v>
      </c>
      <c r="P12" s="15">
        <f t="shared" si="1"/>
        <v>37</v>
      </c>
      <c r="R12" s="1" t="s">
        <v>8</v>
      </c>
      <c r="S12" s="17">
        <f t="shared" ref="S12:AF12" si="4">SUM(C18:C21)</f>
        <v>24</v>
      </c>
      <c r="T12" s="17">
        <f t="shared" si="4"/>
        <v>2</v>
      </c>
      <c r="U12" s="17">
        <f t="shared" si="4"/>
        <v>6</v>
      </c>
      <c r="V12" s="17">
        <f t="shared" si="4"/>
        <v>31</v>
      </c>
      <c r="W12" s="17">
        <f t="shared" si="4"/>
        <v>2</v>
      </c>
      <c r="X12" s="17">
        <f t="shared" si="4"/>
        <v>0</v>
      </c>
      <c r="Y12" s="17">
        <f t="shared" si="4"/>
        <v>7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104</v>
      </c>
      <c r="AD12" s="17">
        <f t="shared" si="4"/>
        <v>0</v>
      </c>
      <c r="AE12" s="31">
        <f t="shared" si="4"/>
        <v>75</v>
      </c>
      <c r="AF12" s="31">
        <f t="shared" si="4"/>
        <v>179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2</v>
      </c>
      <c r="F13" s="50">
        <v>9</v>
      </c>
      <c r="G13" s="50">
        <v>1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21</v>
      </c>
      <c r="N13" s="50">
        <v>0</v>
      </c>
      <c r="O13" s="15">
        <f t="shared" si="0"/>
        <v>15</v>
      </c>
      <c r="P13" s="15">
        <f t="shared" si="1"/>
        <v>36</v>
      </c>
      <c r="R13" s="1" t="s">
        <v>9</v>
      </c>
      <c r="S13" s="17">
        <f t="shared" ref="S13:AF13" si="5">SUM(C22:C25)</f>
        <v>38</v>
      </c>
      <c r="T13" s="17">
        <f t="shared" si="5"/>
        <v>4</v>
      </c>
      <c r="U13" s="17">
        <f t="shared" si="5"/>
        <v>6</v>
      </c>
      <c r="V13" s="17">
        <f t="shared" si="5"/>
        <v>30</v>
      </c>
      <c r="W13" s="17">
        <f t="shared" si="5"/>
        <v>2</v>
      </c>
      <c r="X13" s="17">
        <f t="shared" si="5"/>
        <v>0</v>
      </c>
      <c r="Y13" s="17">
        <f t="shared" si="5"/>
        <v>12</v>
      </c>
      <c r="Z13" s="17">
        <f t="shared" si="5"/>
        <v>0</v>
      </c>
      <c r="AA13" s="17">
        <f t="shared" si="5"/>
        <v>3</v>
      </c>
      <c r="AB13" s="17">
        <f t="shared" si="5"/>
        <v>0</v>
      </c>
      <c r="AC13" s="17">
        <f t="shared" si="5"/>
        <v>110</v>
      </c>
      <c r="AD13" s="17">
        <f t="shared" si="5"/>
        <v>0</v>
      </c>
      <c r="AE13" s="31">
        <f t="shared" si="5"/>
        <v>95</v>
      </c>
      <c r="AF13" s="31">
        <f t="shared" si="5"/>
        <v>205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0</v>
      </c>
      <c r="F14" s="50">
        <v>8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16</v>
      </c>
      <c r="N14" s="50">
        <v>0</v>
      </c>
      <c r="O14" s="15">
        <f t="shared" si="0"/>
        <v>12</v>
      </c>
      <c r="P14" s="15">
        <f t="shared" si="1"/>
        <v>28</v>
      </c>
      <c r="R14" s="1" t="s">
        <v>10</v>
      </c>
      <c r="S14" s="17">
        <f t="shared" ref="S14:AF14" si="6">SUM(C26:C29)</f>
        <v>33</v>
      </c>
      <c r="T14" s="17">
        <f t="shared" si="6"/>
        <v>7</v>
      </c>
      <c r="U14" s="17">
        <f t="shared" si="6"/>
        <v>7</v>
      </c>
      <c r="V14" s="17">
        <f t="shared" si="6"/>
        <v>42</v>
      </c>
      <c r="W14" s="17">
        <f t="shared" si="6"/>
        <v>1</v>
      </c>
      <c r="X14" s="17">
        <f t="shared" si="6"/>
        <v>0</v>
      </c>
      <c r="Y14" s="17">
        <f t="shared" si="6"/>
        <v>10</v>
      </c>
      <c r="Z14" s="17">
        <f t="shared" si="6"/>
        <v>0</v>
      </c>
      <c r="AA14" s="17">
        <f t="shared" si="6"/>
        <v>1</v>
      </c>
      <c r="AB14" s="17">
        <f t="shared" si="6"/>
        <v>1</v>
      </c>
      <c r="AC14" s="17">
        <f t="shared" si="6"/>
        <v>87</v>
      </c>
      <c r="AD14" s="17">
        <f t="shared" si="6"/>
        <v>0</v>
      </c>
      <c r="AE14" s="31">
        <f t="shared" si="6"/>
        <v>102</v>
      </c>
      <c r="AF14" s="31">
        <f t="shared" si="6"/>
        <v>189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1</v>
      </c>
      <c r="F15" s="50">
        <v>8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28</v>
      </c>
      <c r="N15" s="50">
        <v>1</v>
      </c>
      <c r="O15" s="15">
        <f t="shared" si="0"/>
        <v>13</v>
      </c>
      <c r="P15" s="15">
        <f t="shared" si="1"/>
        <v>41</v>
      </c>
      <c r="R15" s="1" t="s">
        <v>11</v>
      </c>
      <c r="S15" s="17">
        <f t="shared" ref="S15:AF15" si="7">SUM(C30:C33)</f>
        <v>45</v>
      </c>
      <c r="T15" s="17">
        <f t="shared" si="7"/>
        <v>5</v>
      </c>
      <c r="U15" s="17">
        <f t="shared" si="7"/>
        <v>7</v>
      </c>
      <c r="V15" s="17">
        <f t="shared" si="7"/>
        <v>42</v>
      </c>
      <c r="W15" s="17">
        <f t="shared" si="7"/>
        <v>2</v>
      </c>
      <c r="X15" s="17">
        <f t="shared" si="7"/>
        <v>0</v>
      </c>
      <c r="Y15" s="17">
        <f t="shared" si="7"/>
        <v>7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99</v>
      </c>
      <c r="AD15" s="17">
        <f t="shared" si="7"/>
        <v>0</v>
      </c>
      <c r="AE15" s="31">
        <f t="shared" si="7"/>
        <v>109</v>
      </c>
      <c r="AF15" s="31">
        <f t="shared" si="7"/>
        <v>208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0</v>
      </c>
      <c r="F16" s="50">
        <v>13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26</v>
      </c>
      <c r="N16" s="50">
        <v>0</v>
      </c>
      <c r="O16" s="15">
        <f t="shared" si="0"/>
        <v>20</v>
      </c>
      <c r="P16" s="15">
        <f t="shared" si="1"/>
        <v>46</v>
      </c>
      <c r="R16" s="1" t="s">
        <v>12</v>
      </c>
      <c r="S16" s="17">
        <f t="shared" ref="S16:AF16" si="8">SUM(C34:C37)</f>
        <v>43</v>
      </c>
      <c r="T16" s="17">
        <f t="shared" si="8"/>
        <v>4</v>
      </c>
      <c r="U16" s="17">
        <f t="shared" si="8"/>
        <v>10</v>
      </c>
      <c r="V16" s="17">
        <f t="shared" si="8"/>
        <v>33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76</v>
      </c>
      <c r="AD16" s="17">
        <f t="shared" si="8"/>
        <v>0</v>
      </c>
      <c r="AE16" s="31">
        <f t="shared" si="8"/>
        <v>102</v>
      </c>
      <c r="AF16" s="31">
        <f t="shared" si="8"/>
        <v>178</v>
      </c>
    </row>
    <row r="17" spans="2:32" ht="23.1" customHeight="1" x14ac:dyDescent="0.25">
      <c r="B17" s="23" t="s">
        <v>44</v>
      </c>
      <c r="C17" s="50">
        <v>3</v>
      </c>
      <c r="D17" s="50">
        <v>1</v>
      </c>
      <c r="E17" s="50">
        <v>1</v>
      </c>
      <c r="F17" s="50">
        <v>6</v>
      </c>
      <c r="G17" s="50">
        <v>1</v>
      </c>
      <c r="H17" s="50">
        <v>1</v>
      </c>
      <c r="I17" s="50">
        <v>0</v>
      </c>
      <c r="J17" s="50">
        <v>0</v>
      </c>
      <c r="K17" s="50">
        <v>0</v>
      </c>
      <c r="L17" s="50">
        <v>0</v>
      </c>
      <c r="M17" s="50">
        <v>26</v>
      </c>
      <c r="N17" s="50">
        <v>0</v>
      </c>
      <c r="O17" s="15">
        <f t="shared" si="0"/>
        <v>13</v>
      </c>
      <c r="P17" s="15">
        <f t="shared" si="1"/>
        <v>39</v>
      </c>
      <c r="R17" s="1" t="s">
        <v>13</v>
      </c>
      <c r="S17" s="17">
        <f t="shared" ref="S17:AF17" si="9">SUM(C38:C41)</f>
        <v>61</v>
      </c>
      <c r="T17" s="17">
        <f t="shared" si="9"/>
        <v>9</v>
      </c>
      <c r="U17" s="17">
        <f t="shared" si="9"/>
        <v>8</v>
      </c>
      <c r="V17" s="17">
        <f t="shared" si="9"/>
        <v>31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1</v>
      </c>
      <c r="AA17" s="17">
        <f t="shared" si="9"/>
        <v>2</v>
      </c>
      <c r="AB17" s="17">
        <f t="shared" si="9"/>
        <v>0</v>
      </c>
      <c r="AC17" s="17">
        <f t="shared" si="9"/>
        <v>85</v>
      </c>
      <c r="AD17" s="17">
        <f t="shared" si="9"/>
        <v>0</v>
      </c>
      <c r="AE17" s="31">
        <f t="shared" si="9"/>
        <v>125</v>
      </c>
      <c r="AF17" s="31">
        <f t="shared" si="9"/>
        <v>210</v>
      </c>
    </row>
    <row r="18" spans="2:32" ht="23.1" customHeight="1" x14ac:dyDescent="0.25">
      <c r="B18" s="23" t="s">
        <v>45</v>
      </c>
      <c r="C18" s="50">
        <v>10</v>
      </c>
      <c r="D18" s="50">
        <v>1</v>
      </c>
      <c r="E18" s="50">
        <v>0</v>
      </c>
      <c r="F18" s="50">
        <v>10</v>
      </c>
      <c r="G18" s="50">
        <v>1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33</v>
      </c>
      <c r="N18" s="50">
        <v>0</v>
      </c>
      <c r="O18" s="15">
        <f t="shared" si="0"/>
        <v>25</v>
      </c>
      <c r="P18" s="15">
        <f t="shared" si="1"/>
        <v>58</v>
      </c>
      <c r="R18" s="1" t="s">
        <v>14</v>
      </c>
      <c r="S18" s="17">
        <f t="shared" ref="S18:AF18" si="10">SUM(C42:C45)</f>
        <v>69</v>
      </c>
      <c r="T18" s="17">
        <f t="shared" si="10"/>
        <v>16</v>
      </c>
      <c r="U18" s="17">
        <f t="shared" si="10"/>
        <v>9</v>
      </c>
      <c r="V18" s="17">
        <f t="shared" si="10"/>
        <v>41</v>
      </c>
      <c r="W18" s="17">
        <f t="shared" si="10"/>
        <v>1</v>
      </c>
      <c r="X18" s="17">
        <f t="shared" si="10"/>
        <v>0</v>
      </c>
      <c r="Y18" s="17">
        <f t="shared" si="10"/>
        <v>7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133</v>
      </c>
      <c r="AD18" s="17">
        <f t="shared" si="10"/>
        <v>0</v>
      </c>
      <c r="AE18" s="31">
        <f t="shared" si="10"/>
        <v>144</v>
      </c>
      <c r="AF18" s="31">
        <f t="shared" si="10"/>
        <v>277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5</v>
      </c>
      <c r="F19" s="50">
        <v>6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24</v>
      </c>
      <c r="N19" s="50">
        <v>0</v>
      </c>
      <c r="O19" s="15">
        <f t="shared" si="0"/>
        <v>18</v>
      </c>
      <c r="P19" s="15">
        <f t="shared" si="1"/>
        <v>42</v>
      </c>
      <c r="R19" s="1" t="s">
        <v>15</v>
      </c>
      <c r="S19" s="17">
        <f t="shared" ref="S19:AF19" si="11">SUM(C46:C49)</f>
        <v>63</v>
      </c>
      <c r="T19" s="17">
        <f t="shared" si="11"/>
        <v>12</v>
      </c>
      <c r="U19" s="17">
        <f t="shared" si="11"/>
        <v>11</v>
      </c>
      <c r="V19" s="17">
        <f t="shared" si="11"/>
        <v>39</v>
      </c>
      <c r="W19" s="17">
        <f t="shared" si="11"/>
        <v>1</v>
      </c>
      <c r="X19" s="17">
        <f t="shared" si="11"/>
        <v>3</v>
      </c>
      <c r="Y19" s="17">
        <f t="shared" si="11"/>
        <v>9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152</v>
      </c>
      <c r="AD19" s="17">
        <f t="shared" si="11"/>
        <v>0</v>
      </c>
      <c r="AE19" s="31">
        <f t="shared" si="11"/>
        <v>142</v>
      </c>
      <c r="AF19" s="31">
        <f t="shared" si="11"/>
        <v>294</v>
      </c>
    </row>
    <row r="20" spans="2:32" ht="23.1" customHeight="1" x14ac:dyDescent="0.25">
      <c r="B20" s="23" t="s">
        <v>47</v>
      </c>
      <c r="C20" s="50">
        <v>4</v>
      </c>
      <c r="D20" s="50">
        <v>1</v>
      </c>
      <c r="E20" s="50">
        <v>1</v>
      </c>
      <c r="F20" s="50">
        <v>8</v>
      </c>
      <c r="G20" s="50">
        <v>1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27</v>
      </c>
      <c r="N20" s="50">
        <v>0</v>
      </c>
      <c r="O20" s="15">
        <f t="shared" si="0"/>
        <v>18</v>
      </c>
      <c r="P20" s="15">
        <f t="shared" si="1"/>
        <v>45</v>
      </c>
      <c r="R20" s="1" t="s">
        <v>16</v>
      </c>
      <c r="S20" s="17">
        <f t="shared" ref="S20:AF20" si="12">SUM(C50:C53)</f>
        <v>75</v>
      </c>
      <c r="T20" s="17">
        <f t="shared" si="12"/>
        <v>15</v>
      </c>
      <c r="U20" s="17">
        <f t="shared" si="12"/>
        <v>3</v>
      </c>
      <c r="V20" s="17">
        <f t="shared" si="12"/>
        <v>52</v>
      </c>
      <c r="W20" s="17">
        <f t="shared" si="12"/>
        <v>1</v>
      </c>
      <c r="X20" s="17">
        <f t="shared" si="12"/>
        <v>0</v>
      </c>
      <c r="Y20" s="17">
        <f t="shared" si="12"/>
        <v>10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107</v>
      </c>
      <c r="AD20" s="17">
        <f t="shared" si="12"/>
        <v>0</v>
      </c>
      <c r="AE20" s="31">
        <f t="shared" si="12"/>
        <v>158</v>
      </c>
      <c r="AF20" s="31">
        <f t="shared" si="12"/>
        <v>265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0</v>
      </c>
      <c r="F21" s="50">
        <v>7</v>
      </c>
      <c r="G21" s="50">
        <v>0</v>
      </c>
      <c r="H21" s="50">
        <v>0</v>
      </c>
      <c r="I21" s="50">
        <v>1</v>
      </c>
      <c r="J21" s="50">
        <v>0</v>
      </c>
      <c r="K21" s="50">
        <v>1</v>
      </c>
      <c r="L21" s="50">
        <v>0</v>
      </c>
      <c r="M21" s="50">
        <v>20</v>
      </c>
      <c r="N21" s="50">
        <v>0</v>
      </c>
      <c r="O21" s="15">
        <f t="shared" si="0"/>
        <v>14</v>
      </c>
      <c r="P21" s="15">
        <f t="shared" si="1"/>
        <v>34</v>
      </c>
      <c r="R21" s="36" t="s">
        <v>20</v>
      </c>
      <c r="S21" s="34">
        <f t="shared" ref="S21:AF21" si="13">SUM(C54:C57)</f>
        <v>62</v>
      </c>
      <c r="T21" s="17">
        <f t="shared" si="13"/>
        <v>6</v>
      </c>
      <c r="U21" s="17">
        <f t="shared" si="13"/>
        <v>9</v>
      </c>
      <c r="V21" s="17">
        <f t="shared" si="13"/>
        <v>58</v>
      </c>
      <c r="W21" s="17">
        <f t="shared" si="13"/>
        <v>2</v>
      </c>
      <c r="X21" s="17">
        <f t="shared" si="13"/>
        <v>0</v>
      </c>
      <c r="Y21" s="17">
        <f t="shared" si="13"/>
        <v>11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119</v>
      </c>
      <c r="AD21" s="17">
        <f t="shared" si="13"/>
        <v>0</v>
      </c>
      <c r="AE21" s="31">
        <f t="shared" si="13"/>
        <v>151</v>
      </c>
      <c r="AF21" s="31">
        <f t="shared" si="13"/>
        <v>270</v>
      </c>
    </row>
    <row r="22" spans="2:32" ht="23.1" customHeight="1" x14ac:dyDescent="0.25">
      <c r="B22" s="23" t="s">
        <v>49</v>
      </c>
      <c r="C22" s="50">
        <v>9</v>
      </c>
      <c r="D22" s="50">
        <v>0</v>
      </c>
      <c r="E22" s="50">
        <v>3</v>
      </c>
      <c r="F22" s="50">
        <v>5</v>
      </c>
      <c r="G22" s="50">
        <v>2</v>
      </c>
      <c r="H22" s="50">
        <v>0</v>
      </c>
      <c r="I22" s="50">
        <v>4</v>
      </c>
      <c r="J22" s="50">
        <v>0</v>
      </c>
      <c r="K22" s="50">
        <v>1</v>
      </c>
      <c r="L22" s="50">
        <v>0</v>
      </c>
      <c r="M22" s="50">
        <v>32</v>
      </c>
      <c r="N22" s="50">
        <v>0</v>
      </c>
      <c r="O22" s="15">
        <f t="shared" si="0"/>
        <v>24</v>
      </c>
      <c r="P22" s="15">
        <f t="shared" si="1"/>
        <v>56</v>
      </c>
      <c r="R22" s="38" t="s">
        <v>90</v>
      </c>
      <c r="S22" s="39">
        <f>MAX(S10:S12)</f>
        <v>24</v>
      </c>
      <c r="T22" s="39">
        <f t="shared" ref="T22:AF22" si="14">MAX(T10:T12)</f>
        <v>2</v>
      </c>
      <c r="U22" s="39">
        <f t="shared" si="14"/>
        <v>8</v>
      </c>
      <c r="V22" s="39">
        <f t="shared" si="14"/>
        <v>42</v>
      </c>
      <c r="W22" s="39">
        <f t="shared" si="14"/>
        <v>2</v>
      </c>
      <c r="X22" s="39">
        <f t="shared" si="14"/>
        <v>1</v>
      </c>
      <c r="Y22" s="39">
        <f t="shared" si="14"/>
        <v>8</v>
      </c>
      <c r="Z22" s="39">
        <f t="shared" si="14"/>
        <v>1</v>
      </c>
      <c r="AA22" s="39">
        <f t="shared" si="14"/>
        <v>2</v>
      </c>
      <c r="AB22" s="39">
        <f t="shared" si="14"/>
        <v>0</v>
      </c>
      <c r="AC22" s="39">
        <f t="shared" si="14"/>
        <v>104</v>
      </c>
      <c r="AD22" s="39">
        <f t="shared" si="14"/>
        <v>1</v>
      </c>
      <c r="AE22" s="40">
        <f t="shared" si="14"/>
        <v>78</v>
      </c>
      <c r="AF22" s="40">
        <f t="shared" si="14"/>
        <v>179</v>
      </c>
    </row>
    <row r="23" spans="2:32" ht="23.1" customHeight="1" x14ac:dyDescent="0.25">
      <c r="B23" s="23" t="s">
        <v>50</v>
      </c>
      <c r="C23" s="50">
        <v>12</v>
      </c>
      <c r="D23" s="50">
        <v>1</v>
      </c>
      <c r="E23" s="50">
        <v>2</v>
      </c>
      <c r="F23" s="50">
        <v>6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31</v>
      </c>
      <c r="N23" s="50">
        <v>0</v>
      </c>
      <c r="O23" s="15">
        <f t="shared" si="0"/>
        <v>24</v>
      </c>
      <c r="P23" s="15">
        <f t="shared" si="1"/>
        <v>55</v>
      </c>
      <c r="R23" s="38" t="s">
        <v>91</v>
      </c>
      <c r="S23" s="39">
        <f>MAX(S13:S18)</f>
        <v>69</v>
      </c>
      <c r="T23" s="39">
        <f t="shared" ref="T23:AF23" si="15">MAX(T13:T18)</f>
        <v>16</v>
      </c>
      <c r="U23" s="39">
        <f t="shared" si="15"/>
        <v>10</v>
      </c>
      <c r="V23" s="39">
        <f t="shared" si="15"/>
        <v>42</v>
      </c>
      <c r="W23" s="39">
        <f t="shared" si="15"/>
        <v>2</v>
      </c>
      <c r="X23" s="39">
        <f t="shared" si="15"/>
        <v>0</v>
      </c>
      <c r="Y23" s="39">
        <f t="shared" si="15"/>
        <v>13</v>
      </c>
      <c r="Z23" s="39">
        <f t="shared" si="15"/>
        <v>1</v>
      </c>
      <c r="AA23" s="39">
        <f t="shared" si="15"/>
        <v>3</v>
      </c>
      <c r="AB23" s="39">
        <f t="shared" si="15"/>
        <v>1</v>
      </c>
      <c r="AC23" s="39">
        <f t="shared" si="15"/>
        <v>133</v>
      </c>
      <c r="AD23" s="39">
        <f t="shared" si="15"/>
        <v>0</v>
      </c>
      <c r="AE23" s="40">
        <f t="shared" si="15"/>
        <v>144</v>
      </c>
      <c r="AF23" s="40">
        <f t="shared" si="15"/>
        <v>277</v>
      </c>
    </row>
    <row r="24" spans="2:32" ht="23.1" customHeight="1" x14ac:dyDescent="0.25">
      <c r="B24" s="23" t="s">
        <v>51</v>
      </c>
      <c r="C24" s="50">
        <v>9</v>
      </c>
      <c r="D24" s="50">
        <v>2</v>
      </c>
      <c r="E24" s="50">
        <v>1</v>
      </c>
      <c r="F24" s="50">
        <v>8</v>
      </c>
      <c r="G24" s="50">
        <v>0</v>
      </c>
      <c r="H24" s="50">
        <v>0</v>
      </c>
      <c r="I24" s="50">
        <v>2</v>
      </c>
      <c r="J24" s="50">
        <v>0</v>
      </c>
      <c r="K24" s="50">
        <v>1</v>
      </c>
      <c r="L24" s="50">
        <v>0</v>
      </c>
      <c r="M24" s="50">
        <v>23</v>
      </c>
      <c r="N24" s="50">
        <v>0</v>
      </c>
      <c r="O24" s="15">
        <f t="shared" si="0"/>
        <v>23</v>
      </c>
      <c r="P24" s="15">
        <f t="shared" si="1"/>
        <v>46</v>
      </c>
      <c r="R24" s="38" t="s">
        <v>92</v>
      </c>
      <c r="S24" s="39">
        <f>MAX(S19:S21)</f>
        <v>75</v>
      </c>
      <c r="T24" s="39">
        <f t="shared" ref="T24:AF24" si="16">MAX(T19:T21)</f>
        <v>15</v>
      </c>
      <c r="U24" s="39">
        <f t="shared" si="16"/>
        <v>11</v>
      </c>
      <c r="V24" s="39">
        <f t="shared" si="16"/>
        <v>58</v>
      </c>
      <c r="W24" s="39">
        <f t="shared" si="16"/>
        <v>2</v>
      </c>
      <c r="X24" s="39">
        <f t="shared" si="16"/>
        <v>3</v>
      </c>
      <c r="Y24" s="39">
        <f t="shared" si="16"/>
        <v>11</v>
      </c>
      <c r="Z24" s="39">
        <f t="shared" si="16"/>
        <v>4</v>
      </c>
      <c r="AA24" s="39">
        <f t="shared" si="16"/>
        <v>2</v>
      </c>
      <c r="AB24" s="39">
        <f t="shared" si="16"/>
        <v>0</v>
      </c>
      <c r="AC24" s="39">
        <f t="shared" si="16"/>
        <v>152</v>
      </c>
      <c r="AD24" s="39">
        <f t="shared" si="16"/>
        <v>0</v>
      </c>
      <c r="AE24" s="40">
        <f t="shared" si="16"/>
        <v>158</v>
      </c>
      <c r="AF24" s="40">
        <f t="shared" si="16"/>
        <v>294</v>
      </c>
    </row>
    <row r="25" spans="2:32" ht="23.1" customHeight="1" x14ac:dyDescent="0.25">
      <c r="B25" s="23" t="s">
        <v>52</v>
      </c>
      <c r="C25" s="50">
        <v>8</v>
      </c>
      <c r="D25" s="50">
        <v>1</v>
      </c>
      <c r="E25" s="50">
        <v>0</v>
      </c>
      <c r="F25" s="50">
        <v>11</v>
      </c>
      <c r="G25" s="50">
        <v>0</v>
      </c>
      <c r="H25" s="50">
        <v>0</v>
      </c>
      <c r="I25" s="50">
        <v>3</v>
      </c>
      <c r="J25" s="50">
        <v>0</v>
      </c>
      <c r="K25" s="50">
        <v>1</v>
      </c>
      <c r="L25" s="50">
        <v>0</v>
      </c>
      <c r="M25" s="50">
        <v>24</v>
      </c>
      <c r="N25" s="50">
        <v>0</v>
      </c>
      <c r="O25" s="15">
        <f t="shared" si="0"/>
        <v>24</v>
      </c>
      <c r="P25" s="15">
        <f t="shared" si="1"/>
        <v>48</v>
      </c>
      <c r="R25" s="37" t="s">
        <v>85</v>
      </c>
      <c r="S25" s="35">
        <f t="shared" ref="S25:AF25" si="17">SUM(S10:S12)</f>
        <v>53</v>
      </c>
      <c r="T25" s="16">
        <f t="shared" si="17"/>
        <v>4</v>
      </c>
      <c r="U25" s="16">
        <f t="shared" si="17"/>
        <v>16</v>
      </c>
      <c r="V25" s="16">
        <f t="shared" si="17"/>
        <v>108</v>
      </c>
      <c r="W25" s="16">
        <f t="shared" si="17"/>
        <v>4</v>
      </c>
      <c r="X25" s="16">
        <f t="shared" si="17"/>
        <v>1</v>
      </c>
      <c r="Y25" s="16">
        <f t="shared" si="17"/>
        <v>20</v>
      </c>
      <c r="Z25" s="16">
        <f t="shared" si="17"/>
        <v>2</v>
      </c>
      <c r="AA25" s="16">
        <f t="shared" si="17"/>
        <v>2</v>
      </c>
      <c r="AB25" s="16">
        <f t="shared" si="17"/>
        <v>0</v>
      </c>
      <c r="AC25" s="16">
        <f t="shared" si="17"/>
        <v>271</v>
      </c>
      <c r="AD25" s="16">
        <f t="shared" si="17"/>
        <v>1</v>
      </c>
      <c r="AE25" s="32">
        <f t="shared" si="17"/>
        <v>211</v>
      </c>
      <c r="AF25" s="32">
        <f t="shared" si="17"/>
        <v>482</v>
      </c>
    </row>
    <row r="26" spans="2:32" ht="23.1" customHeight="1" x14ac:dyDescent="0.25">
      <c r="B26" s="23" t="s">
        <v>53</v>
      </c>
      <c r="C26" s="50">
        <v>9</v>
      </c>
      <c r="D26" s="50">
        <v>2</v>
      </c>
      <c r="E26" s="50">
        <v>1</v>
      </c>
      <c r="F26" s="50">
        <v>8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18</v>
      </c>
      <c r="N26" s="50">
        <v>0</v>
      </c>
      <c r="O26" s="15">
        <f t="shared" si="0"/>
        <v>23</v>
      </c>
      <c r="P26" s="15">
        <f t="shared" si="1"/>
        <v>41</v>
      </c>
      <c r="R26" s="28" t="s">
        <v>86</v>
      </c>
      <c r="S26" s="16">
        <f t="shared" ref="S26:AF26" si="18">SUM(S13:S18)</f>
        <v>289</v>
      </c>
      <c r="T26" s="16">
        <f t="shared" si="18"/>
        <v>45</v>
      </c>
      <c r="U26" s="16">
        <f t="shared" si="18"/>
        <v>47</v>
      </c>
      <c r="V26" s="16">
        <f t="shared" si="18"/>
        <v>219</v>
      </c>
      <c r="W26" s="16">
        <f t="shared" si="18"/>
        <v>6</v>
      </c>
      <c r="X26" s="16">
        <f t="shared" si="18"/>
        <v>0</v>
      </c>
      <c r="Y26" s="16">
        <f t="shared" si="18"/>
        <v>59</v>
      </c>
      <c r="Z26" s="16">
        <f t="shared" si="18"/>
        <v>3</v>
      </c>
      <c r="AA26" s="16">
        <f t="shared" si="18"/>
        <v>8</v>
      </c>
      <c r="AB26" s="16">
        <f t="shared" si="18"/>
        <v>1</v>
      </c>
      <c r="AC26" s="16">
        <f t="shared" si="18"/>
        <v>590</v>
      </c>
      <c r="AD26" s="16">
        <f t="shared" si="18"/>
        <v>0</v>
      </c>
      <c r="AE26" s="32">
        <f t="shared" si="18"/>
        <v>677</v>
      </c>
      <c r="AF26" s="32">
        <f t="shared" si="18"/>
        <v>1267</v>
      </c>
    </row>
    <row r="27" spans="2:32" ht="23.1" customHeight="1" x14ac:dyDescent="0.25">
      <c r="B27" s="23" t="s">
        <v>54</v>
      </c>
      <c r="C27" s="50">
        <v>7</v>
      </c>
      <c r="D27" s="50">
        <v>2</v>
      </c>
      <c r="E27" s="50">
        <v>1</v>
      </c>
      <c r="F27" s="50">
        <v>11</v>
      </c>
      <c r="G27" s="50">
        <v>0</v>
      </c>
      <c r="H27" s="50">
        <v>0</v>
      </c>
      <c r="I27" s="50">
        <v>3</v>
      </c>
      <c r="J27" s="50">
        <v>0</v>
      </c>
      <c r="K27" s="50">
        <v>1</v>
      </c>
      <c r="L27" s="50">
        <v>1</v>
      </c>
      <c r="M27" s="50">
        <v>24</v>
      </c>
      <c r="N27" s="50">
        <v>0</v>
      </c>
      <c r="O27" s="15">
        <f t="shared" si="0"/>
        <v>26</v>
      </c>
      <c r="P27" s="15">
        <f t="shared" si="1"/>
        <v>50</v>
      </c>
      <c r="R27" s="29" t="s">
        <v>87</v>
      </c>
      <c r="S27" s="16">
        <f t="shared" ref="S27:AF27" si="19">SUM(S19:S21)</f>
        <v>200</v>
      </c>
      <c r="T27" s="16">
        <f t="shared" si="19"/>
        <v>33</v>
      </c>
      <c r="U27" s="16">
        <f t="shared" si="19"/>
        <v>23</v>
      </c>
      <c r="V27" s="16">
        <f t="shared" si="19"/>
        <v>149</v>
      </c>
      <c r="W27" s="16">
        <f t="shared" si="19"/>
        <v>4</v>
      </c>
      <c r="X27" s="16">
        <f t="shared" si="19"/>
        <v>3</v>
      </c>
      <c r="Y27" s="16">
        <f t="shared" si="19"/>
        <v>30</v>
      </c>
      <c r="Z27" s="16">
        <f t="shared" si="19"/>
        <v>6</v>
      </c>
      <c r="AA27" s="16">
        <f t="shared" si="19"/>
        <v>3</v>
      </c>
      <c r="AB27" s="16">
        <f t="shared" si="19"/>
        <v>0</v>
      </c>
      <c r="AC27" s="16">
        <f t="shared" si="19"/>
        <v>378</v>
      </c>
      <c r="AD27" s="16">
        <f t="shared" si="19"/>
        <v>0</v>
      </c>
      <c r="AE27" s="32">
        <f t="shared" si="19"/>
        <v>451</v>
      </c>
      <c r="AF27" s="32">
        <f t="shared" si="19"/>
        <v>829</v>
      </c>
    </row>
    <row r="28" spans="2:32" ht="23.1" customHeight="1" x14ac:dyDescent="0.25">
      <c r="B28" s="23" t="s">
        <v>55</v>
      </c>
      <c r="C28" s="50">
        <v>11</v>
      </c>
      <c r="D28" s="50">
        <v>3</v>
      </c>
      <c r="E28" s="50">
        <v>2</v>
      </c>
      <c r="F28" s="50">
        <v>9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28</v>
      </c>
      <c r="P28" s="15">
        <f t="shared" si="1"/>
        <v>46</v>
      </c>
      <c r="R28" s="5" t="s">
        <v>17</v>
      </c>
      <c r="S28" s="16">
        <f t="shared" ref="S28:AF28" si="20">SUM(S10:S21)</f>
        <v>542</v>
      </c>
      <c r="T28" s="16">
        <f t="shared" si="20"/>
        <v>82</v>
      </c>
      <c r="U28" s="16">
        <f t="shared" si="20"/>
        <v>86</v>
      </c>
      <c r="V28" s="16">
        <f t="shared" si="20"/>
        <v>476</v>
      </c>
      <c r="W28" s="16">
        <f t="shared" si="20"/>
        <v>14</v>
      </c>
      <c r="X28" s="16">
        <f t="shared" si="20"/>
        <v>4</v>
      </c>
      <c r="Y28" s="16">
        <f t="shared" si="20"/>
        <v>109</v>
      </c>
      <c r="Z28" s="16">
        <f t="shared" si="20"/>
        <v>11</v>
      </c>
      <c r="AA28" s="16">
        <f t="shared" si="20"/>
        <v>13</v>
      </c>
      <c r="AB28" s="16">
        <f t="shared" si="20"/>
        <v>1</v>
      </c>
      <c r="AC28" s="16">
        <f t="shared" si="20"/>
        <v>1239</v>
      </c>
      <c r="AD28" s="16">
        <f t="shared" si="20"/>
        <v>1</v>
      </c>
      <c r="AE28" s="32">
        <f t="shared" si="20"/>
        <v>1339</v>
      </c>
      <c r="AF28" s="32">
        <f t="shared" si="20"/>
        <v>2578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3</v>
      </c>
      <c r="F29" s="50">
        <v>14</v>
      </c>
      <c r="G29" s="50">
        <v>1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27</v>
      </c>
      <c r="N29" s="50">
        <v>0</v>
      </c>
      <c r="O29" s="15">
        <f t="shared" si="0"/>
        <v>25</v>
      </c>
      <c r="P29" s="15">
        <f t="shared" si="1"/>
        <v>52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0</v>
      </c>
      <c r="E30" s="50">
        <v>2</v>
      </c>
      <c r="F30" s="50">
        <v>12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0</v>
      </c>
      <c r="M30" s="50">
        <v>27</v>
      </c>
      <c r="N30" s="50">
        <v>0</v>
      </c>
      <c r="O30" s="15">
        <f t="shared" si="0"/>
        <v>29</v>
      </c>
      <c r="P30" s="15">
        <f t="shared" si="1"/>
        <v>56</v>
      </c>
    </row>
    <row r="31" spans="2:32" ht="23.1" customHeight="1" x14ac:dyDescent="0.25">
      <c r="B31" s="24" t="s">
        <v>58</v>
      </c>
      <c r="C31" s="50">
        <v>7</v>
      </c>
      <c r="D31" s="50">
        <v>3</v>
      </c>
      <c r="E31" s="50">
        <v>0</v>
      </c>
      <c r="F31" s="50">
        <v>10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23</v>
      </c>
      <c r="N31" s="50">
        <v>0</v>
      </c>
      <c r="O31" s="15">
        <f t="shared" si="0"/>
        <v>22</v>
      </c>
      <c r="P31" s="15">
        <f t="shared" si="1"/>
        <v>45</v>
      </c>
    </row>
    <row r="32" spans="2:32" ht="23.1" customHeight="1" x14ac:dyDescent="0.25">
      <c r="B32" s="24" t="s">
        <v>59</v>
      </c>
      <c r="C32" s="50">
        <v>12</v>
      </c>
      <c r="D32" s="50">
        <v>1</v>
      </c>
      <c r="E32" s="50">
        <v>2</v>
      </c>
      <c r="F32" s="50">
        <v>11</v>
      </c>
      <c r="G32" s="50">
        <v>1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29</v>
      </c>
      <c r="N32" s="50">
        <v>0</v>
      </c>
      <c r="O32" s="15">
        <f t="shared" si="0"/>
        <v>29</v>
      </c>
      <c r="P32" s="15">
        <f t="shared" si="1"/>
        <v>58</v>
      </c>
    </row>
    <row r="33" spans="2:22" ht="23.1" customHeight="1" x14ac:dyDescent="0.25">
      <c r="B33" s="23" t="s">
        <v>60</v>
      </c>
      <c r="C33" s="50">
        <v>13</v>
      </c>
      <c r="D33" s="50">
        <v>1</v>
      </c>
      <c r="E33" s="50">
        <v>3</v>
      </c>
      <c r="F33" s="50">
        <v>9</v>
      </c>
      <c r="G33" s="50">
        <v>1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20</v>
      </c>
      <c r="N33" s="50">
        <v>0</v>
      </c>
      <c r="O33" s="15">
        <f t="shared" si="0"/>
        <v>29</v>
      </c>
      <c r="P33" s="15">
        <f t="shared" si="1"/>
        <v>49</v>
      </c>
    </row>
    <row r="34" spans="2:22" ht="23.1" customHeight="1" x14ac:dyDescent="0.25">
      <c r="B34" s="24" t="s">
        <v>61</v>
      </c>
      <c r="C34" s="50">
        <v>15</v>
      </c>
      <c r="D34" s="50">
        <v>2</v>
      </c>
      <c r="E34" s="50">
        <v>4</v>
      </c>
      <c r="F34" s="50">
        <v>8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31</v>
      </c>
      <c r="P34" s="15">
        <f t="shared" si="1"/>
        <v>39</v>
      </c>
    </row>
    <row r="35" spans="2:22" ht="23.1" customHeight="1" x14ac:dyDescent="0.25">
      <c r="B35" s="24" t="s">
        <v>62</v>
      </c>
      <c r="C35" s="50">
        <v>11</v>
      </c>
      <c r="D35" s="50">
        <v>1</v>
      </c>
      <c r="E35" s="50">
        <v>2</v>
      </c>
      <c r="F35" s="50">
        <v>10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25</v>
      </c>
      <c r="P35" s="15">
        <f t="shared" si="1"/>
        <v>36</v>
      </c>
    </row>
    <row r="36" spans="2:22" ht="23.1" customHeight="1" x14ac:dyDescent="0.25">
      <c r="B36" s="24" t="s">
        <v>63</v>
      </c>
      <c r="C36" s="50">
        <v>7</v>
      </c>
      <c r="D36" s="50">
        <v>0</v>
      </c>
      <c r="E36" s="50">
        <v>2</v>
      </c>
      <c r="F36" s="50">
        <v>5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25</v>
      </c>
      <c r="N36" s="50">
        <v>0</v>
      </c>
      <c r="O36" s="15">
        <f t="shared" si="0"/>
        <v>17</v>
      </c>
      <c r="P36" s="15">
        <f t="shared" si="1"/>
        <v>42</v>
      </c>
    </row>
    <row r="37" spans="2:22" ht="23.1" customHeight="1" x14ac:dyDescent="0.25">
      <c r="B37" s="23" t="s">
        <v>64</v>
      </c>
      <c r="C37" s="50">
        <v>10</v>
      </c>
      <c r="D37" s="50">
        <v>1</v>
      </c>
      <c r="E37" s="50">
        <v>2</v>
      </c>
      <c r="F37" s="50">
        <v>10</v>
      </c>
      <c r="G37" s="50">
        <v>0</v>
      </c>
      <c r="H37" s="50">
        <v>0</v>
      </c>
      <c r="I37" s="50">
        <v>4</v>
      </c>
      <c r="J37" s="50">
        <v>1</v>
      </c>
      <c r="K37" s="50">
        <v>1</v>
      </c>
      <c r="L37" s="50">
        <v>0</v>
      </c>
      <c r="M37" s="50">
        <v>32</v>
      </c>
      <c r="N37" s="50">
        <v>0</v>
      </c>
      <c r="O37" s="15">
        <f t="shared" si="0"/>
        <v>29</v>
      </c>
      <c r="P37" s="15">
        <f t="shared" si="1"/>
        <v>61</v>
      </c>
    </row>
    <row r="38" spans="2:22" ht="23.1" customHeight="1" x14ac:dyDescent="0.25">
      <c r="B38" s="24" t="s">
        <v>65</v>
      </c>
      <c r="C38" s="50">
        <v>19</v>
      </c>
      <c r="D38" s="50">
        <v>3</v>
      </c>
      <c r="E38" s="50">
        <v>2</v>
      </c>
      <c r="F38" s="50">
        <v>9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22</v>
      </c>
      <c r="N38" s="50">
        <v>0</v>
      </c>
      <c r="O38" s="15">
        <f t="shared" si="0"/>
        <v>35</v>
      </c>
      <c r="P38" s="15">
        <f t="shared" si="1"/>
        <v>57</v>
      </c>
    </row>
    <row r="39" spans="2:22" ht="23.1" customHeight="1" x14ac:dyDescent="0.25">
      <c r="B39" s="24" t="s">
        <v>66</v>
      </c>
      <c r="C39" s="50">
        <v>10</v>
      </c>
      <c r="D39" s="50">
        <v>1</v>
      </c>
      <c r="E39" s="50">
        <v>1</v>
      </c>
      <c r="F39" s="50">
        <v>8</v>
      </c>
      <c r="G39" s="50">
        <v>0</v>
      </c>
      <c r="H39" s="50">
        <v>0</v>
      </c>
      <c r="I39" s="50">
        <v>5</v>
      </c>
      <c r="J39" s="50">
        <v>0</v>
      </c>
      <c r="K39" s="50">
        <v>1</v>
      </c>
      <c r="L39" s="50">
        <v>0</v>
      </c>
      <c r="M39" s="50">
        <v>23</v>
      </c>
      <c r="N39" s="50">
        <v>0</v>
      </c>
      <c r="O39" s="15">
        <f t="shared" si="0"/>
        <v>26</v>
      </c>
      <c r="P39" s="15">
        <f t="shared" si="1"/>
        <v>49</v>
      </c>
    </row>
    <row r="40" spans="2:22" ht="23.1" customHeight="1" x14ac:dyDescent="0.25">
      <c r="B40" s="24" t="s">
        <v>67</v>
      </c>
      <c r="C40" s="50">
        <v>13</v>
      </c>
      <c r="D40" s="50">
        <v>1</v>
      </c>
      <c r="E40" s="50">
        <v>1</v>
      </c>
      <c r="F40" s="50">
        <v>9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24</v>
      </c>
      <c r="N40" s="50">
        <v>0</v>
      </c>
      <c r="O40" s="15">
        <f t="shared" si="0"/>
        <v>26</v>
      </c>
      <c r="P40" s="15">
        <f t="shared" si="1"/>
        <v>50</v>
      </c>
    </row>
    <row r="41" spans="2:22" ht="23.1" customHeight="1" x14ac:dyDescent="0.25">
      <c r="B41" s="23" t="s">
        <v>68</v>
      </c>
      <c r="C41" s="50">
        <v>19</v>
      </c>
      <c r="D41" s="50">
        <v>4</v>
      </c>
      <c r="E41" s="50">
        <v>4</v>
      </c>
      <c r="F41" s="50">
        <v>5</v>
      </c>
      <c r="G41" s="50">
        <v>0</v>
      </c>
      <c r="H41" s="50">
        <v>0</v>
      </c>
      <c r="I41" s="50">
        <v>5</v>
      </c>
      <c r="J41" s="50">
        <v>1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38</v>
      </c>
      <c r="P41" s="15">
        <f t="shared" si="1"/>
        <v>54</v>
      </c>
    </row>
    <row r="42" spans="2:22" ht="23.1" customHeight="1" x14ac:dyDescent="0.25">
      <c r="B42" s="24" t="s">
        <v>69</v>
      </c>
      <c r="C42" s="50">
        <v>14</v>
      </c>
      <c r="D42" s="50">
        <v>2</v>
      </c>
      <c r="E42" s="50">
        <v>0</v>
      </c>
      <c r="F42" s="50">
        <v>9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26</v>
      </c>
      <c r="N42" s="50">
        <v>0</v>
      </c>
      <c r="O42" s="15">
        <f t="shared" si="0"/>
        <v>28</v>
      </c>
      <c r="P42" s="15">
        <f t="shared" si="1"/>
        <v>54</v>
      </c>
    </row>
    <row r="43" spans="2:22" ht="23.1" customHeight="1" x14ac:dyDescent="0.25">
      <c r="B43" s="23" t="s">
        <v>70</v>
      </c>
      <c r="C43" s="50">
        <v>16</v>
      </c>
      <c r="D43" s="50">
        <v>6</v>
      </c>
      <c r="E43" s="50">
        <v>3</v>
      </c>
      <c r="F43" s="50">
        <v>8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42</v>
      </c>
      <c r="N43" s="50">
        <v>0</v>
      </c>
      <c r="O43" s="15">
        <f t="shared" si="0"/>
        <v>35</v>
      </c>
      <c r="P43" s="15">
        <f t="shared" si="1"/>
        <v>77</v>
      </c>
    </row>
    <row r="44" spans="2:22" ht="23.1" customHeight="1" x14ac:dyDescent="0.25">
      <c r="B44" s="25" t="s">
        <v>71</v>
      </c>
      <c r="C44" s="50">
        <v>22</v>
      </c>
      <c r="D44" s="50">
        <v>5</v>
      </c>
      <c r="E44" s="50">
        <v>4</v>
      </c>
      <c r="F44" s="50">
        <v>13</v>
      </c>
      <c r="G44" s="50">
        <v>1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30</v>
      </c>
      <c r="N44" s="50">
        <v>0</v>
      </c>
      <c r="O44" s="15">
        <f t="shared" si="0"/>
        <v>46</v>
      </c>
      <c r="P44" s="15">
        <f t="shared" si="1"/>
        <v>76</v>
      </c>
    </row>
    <row r="45" spans="2:22" ht="23.1" customHeight="1" x14ac:dyDescent="0.25">
      <c r="B45" s="23" t="s">
        <v>72</v>
      </c>
      <c r="C45" s="50">
        <v>17</v>
      </c>
      <c r="D45" s="50">
        <v>3</v>
      </c>
      <c r="E45" s="50">
        <v>2</v>
      </c>
      <c r="F45" s="50">
        <v>11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35</v>
      </c>
      <c r="N45" s="50">
        <v>0</v>
      </c>
      <c r="O45" s="15">
        <f t="shared" si="0"/>
        <v>35</v>
      </c>
      <c r="P45" s="15">
        <f t="shared" si="1"/>
        <v>70</v>
      </c>
      <c r="Q45" s="52"/>
      <c r="R45" s="53">
        <v>3</v>
      </c>
      <c r="S45" s="8">
        <v>2</v>
      </c>
      <c r="T45" s="8">
        <v>1</v>
      </c>
      <c r="U45">
        <v>0</v>
      </c>
      <c r="V45">
        <v>0</v>
      </c>
    </row>
    <row r="46" spans="2:22" ht="23.1" customHeight="1" x14ac:dyDescent="0.25">
      <c r="B46" s="24" t="s">
        <v>73</v>
      </c>
      <c r="C46" s="50">
        <v>22</v>
      </c>
      <c r="D46" s="50">
        <v>4</v>
      </c>
      <c r="E46" s="50">
        <v>1</v>
      </c>
      <c r="F46" s="50">
        <v>9</v>
      </c>
      <c r="G46" s="50">
        <v>1</v>
      </c>
      <c r="H46" s="50">
        <v>3</v>
      </c>
      <c r="I46" s="50">
        <v>2</v>
      </c>
      <c r="J46" s="50">
        <v>1</v>
      </c>
      <c r="K46" s="50">
        <v>0</v>
      </c>
      <c r="L46" s="50">
        <v>0</v>
      </c>
      <c r="M46" s="50">
        <v>50</v>
      </c>
      <c r="N46" s="50">
        <v>0</v>
      </c>
      <c r="O46" s="15">
        <f t="shared" si="0"/>
        <v>43</v>
      </c>
      <c r="P46" s="15">
        <f t="shared" si="1"/>
        <v>93</v>
      </c>
      <c r="R46" s="8"/>
      <c r="T46"/>
    </row>
    <row r="47" spans="2:22" ht="23.1" customHeight="1" x14ac:dyDescent="0.25">
      <c r="B47" s="24" t="s">
        <v>74</v>
      </c>
      <c r="C47" s="50">
        <v>19</v>
      </c>
      <c r="D47" s="50">
        <v>2</v>
      </c>
      <c r="E47" s="50">
        <v>5</v>
      </c>
      <c r="F47" s="50">
        <v>7</v>
      </c>
      <c r="G47" s="50">
        <v>0</v>
      </c>
      <c r="H47" s="50">
        <v>0</v>
      </c>
      <c r="I47" s="50">
        <v>3</v>
      </c>
      <c r="J47" s="50">
        <v>2</v>
      </c>
      <c r="K47" s="50">
        <v>0</v>
      </c>
      <c r="L47" s="50">
        <v>0</v>
      </c>
      <c r="M47" s="50">
        <v>41</v>
      </c>
      <c r="N47" s="50">
        <v>0</v>
      </c>
      <c r="O47" s="15">
        <f t="shared" si="0"/>
        <v>38</v>
      </c>
      <c r="P47" s="15">
        <f t="shared" si="1"/>
        <v>79</v>
      </c>
      <c r="R47" s="8"/>
      <c r="T47"/>
    </row>
    <row r="48" spans="2:22" ht="23.1" customHeight="1" x14ac:dyDescent="0.25">
      <c r="B48" s="24" t="s">
        <v>75</v>
      </c>
      <c r="C48" s="50">
        <v>12</v>
      </c>
      <c r="D48" s="50">
        <v>2</v>
      </c>
      <c r="E48" s="50">
        <v>3</v>
      </c>
      <c r="F48" s="50">
        <v>15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25</v>
      </c>
      <c r="N48" s="50">
        <v>0</v>
      </c>
      <c r="O48" s="15">
        <f t="shared" si="0"/>
        <v>34</v>
      </c>
      <c r="P48" s="15">
        <f t="shared" si="1"/>
        <v>59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4</v>
      </c>
      <c r="E49" s="50">
        <v>2</v>
      </c>
      <c r="F49" s="50">
        <v>8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36</v>
      </c>
      <c r="N49" s="50">
        <v>0</v>
      </c>
      <c r="O49" s="15">
        <f t="shared" si="0"/>
        <v>27</v>
      </c>
      <c r="P49" s="15">
        <f t="shared" si="1"/>
        <v>63</v>
      </c>
      <c r="R49" s="8"/>
      <c r="T49"/>
    </row>
    <row r="50" spans="2:20" ht="23.1" customHeight="1" x14ac:dyDescent="0.25">
      <c r="B50" s="24" t="s">
        <v>77</v>
      </c>
      <c r="C50" s="50">
        <v>18</v>
      </c>
      <c r="D50" s="50">
        <v>5</v>
      </c>
      <c r="E50" s="50">
        <v>1</v>
      </c>
      <c r="F50" s="50">
        <v>16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44</v>
      </c>
      <c r="P50" s="15">
        <f t="shared" si="1"/>
        <v>84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5</v>
      </c>
      <c r="E51" s="50">
        <v>0</v>
      </c>
      <c r="F51" s="50">
        <v>11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5">
        <f t="shared" si="0"/>
        <v>32</v>
      </c>
      <c r="P51" s="15">
        <f t="shared" si="1"/>
        <v>52</v>
      </c>
      <c r="R51" s="8"/>
      <c r="T51"/>
    </row>
    <row r="52" spans="2:20" ht="23.1" customHeight="1" x14ac:dyDescent="0.25">
      <c r="B52" s="24" t="s">
        <v>79</v>
      </c>
      <c r="C52" s="50">
        <v>19</v>
      </c>
      <c r="D52" s="50">
        <v>3</v>
      </c>
      <c r="E52" s="50">
        <v>1</v>
      </c>
      <c r="F52" s="50">
        <v>10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28</v>
      </c>
      <c r="N52" s="50">
        <v>0</v>
      </c>
      <c r="O52" s="15">
        <f t="shared" si="0"/>
        <v>36</v>
      </c>
      <c r="P52" s="15">
        <f t="shared" si="1"/>
        <v>64</v>
      </c>
      <c r="R52" s="8"/>
      <c r="T52"/>
    </row>
    <row r="53" spans="2:20" ht="23.1" customHeight="1" x14ac:dyDescent="0.25">
      <c r="B53" s="23" t="s">
        <v>80</v>
      </c>
      <c r="C53" s="50">
        <v>24</v>
      </c>
      <c r="D53" s="50">
        <v>2</v>
      </c>
      <c r="E53" s="50">
        <v>1</v>
      </c>
      <c r="F53" s="50">
        <v>15</v>
      </c>
      <c r="G53" s="50">
        <v>1</v>
      </c>
      <c r="H53" s="50">
        <v>0</v>
      </c>
      <c r="I53" s="50">
        <v>2</v>
      </c>
      <c r="J53" s="50">
        <v>0</v>
      </c>
      <c r="K53" s="50">
        <v>1</v>
      </c>
      <c r="L53" s="50">
        <v>0</v>
      </c>
      <c r="M53" s="50">
        <v>19</v>
      </c>
      <c r="N53" s="50">
        <v>0</v>
      </c>
      <c r="O53" s="15">
        <f t="shared" si="0"/>
        <v>46</v>
      </c>
      <c r="P53" s="15">
        <f t="shared" si="1"/>
        <v>65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2</v>
      </c>
      <c r="E54" s="50">
        <v>1</v>
      </c>
      <c r="F54" s="50">
        <v>14</v>
      </c>
      <c r="G54" s="50">
        <v>1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35</v>
      </c>
      <c r="N54" s="50">
        <v>0</v>
      </c>
      <c r="O54" s="15">
        <f t="shared" si="0"/>
        <v>40</v>
      </c>
      <c r="P54" s="15">
        <f t="shared" si="1"/>
        <v>75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2</v>
      </c>
      <c r="E55" s="50">
        <v>3</v>
      </c>
      <c r="F55" s="50">
        <v>15</v>
      </c>
      <c r="G55" s="50">
        <v>0</v>
      </c>
      <c r="H55" s="50">
        <v>0</v>
      </c>
      <c r="I55" s="50">
        <v>4</v>
      </c>
      <c r="J55" s="50">
        <v>1</v>
      </c>
      <c r="K55" s="50">
        <v>1</v>
      </c>
      <c r="L55" s="50">
        <v>0</v>
      </c>
      <c r="M55" s="50">
        <v>28</v>
      </c>
      <c r="N55" s="50">
        <v>0</v>
      </c>
      <c r="O55" s="15">
        <f t="shared" si="0"/>
        <v>43</v>
      </c>
      <c r="P55" s="15">
        <f t="shared" si="1"/>
        <v>71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0</v>
      </c>
      <c r="E56" s="50">
        <v>3</v>
      </c>
      <c r="F56" s="50">
        <v>12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24</v>
      </c>
      <c r="N56" s="50">
        <v>0</v>
      </c>
      <c r="O56" s="15">
        <f t="shared" si="0"/>
        <v>29</v>
      </c>
      <c r="P56" s="15">
        <f t="shared" si="1"/>
        <v>53</v>
      </c>
      <c r="R56" s="8"/>
      <c r="T56"/>
    </row>
    <row r="57" spans="2:20" ht="23.1" customHeight="1" x14ac:dyDescent="0.25">
      <c r="B57" s="23" t="s">
        <v>84</v>
      </c>
      <c r="C57" s="50">
        <v>16</v>
      </c>
      <c r="D57" s="50">
        <v>2</v>
      </c>
      <c r="E57" s="50">
        <v>2</v>
      </c>
      <c r="F57" s="50">
        <v>17</v>
      </c>
      <c r="G57" s="50">
        <v>1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32</v>
      </c>
      <c r="N57" s="50">
        <v>0</v>
      </c>
      <c r="O57" s="15">
        <f t="shared" si="0"/>
        <v>39</v>
      </c>
      <c r="P57" s="15">
        <f t="shared" si="1"/>
        <v>71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542</v>
      </c>
      <c r="D58" s="16">
        <f t="shared" si="21"/>
        <v>82</v>
      </c>
      <c r="E58" s="16">
        <f t="shared" si="21"/>
        <v>86</v>
      </c>
      <c r="F58" s="16">
        <f t="shared" si="21"/>
        <v>476</v>
      </c>
      <c r="G58" s="16">
        <f t="shared" si="21"/>
        <v>14</v>
      </c>
      <c r="H58" s="16">
        <f t="shared" si="21"/>
        <v>4</v>
      </c>
      <c r="I58" s="16">
        <f t="shared" si="21"/>
        <v>109</v>
      </c>
      <c r="J58" s="16">
        <f t="shared" si="21"/>
        <v>11</v>
      </c>
      <c r="K58" s="16">
        <f t="shared" si="21"/>
        <v>13</v>
      </c>
      <c r="L58" s="16">
        <f t="shared" si="21"/>
        <v>1</v>
      </c>
      <c r="M58" s="16">
        <f t="shared" si="21"/>
        <v>1239</v>
      </c>
      <c r="N58" s="16">
        <f t="shared" si="21"/>
        <v>1</v>
      </c>
      <c r="O58" s="16">
        <f t="shared" si="21"/>
        <v>1339</v>
      </c>
      <c r="P58" s="16">
        <f t="shared" si="21"/>
        <v>2578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0.21024049650892165</v>
      </c>
      <c r="D59" s="43">
        <f t="shared" si="22"/>
        <v>3.1807602792862683E-2</v>
      </c>
      <c r="E59" s="43">
        <f t="shared" si="22"/>
        <v>3.335919317300233E-2</v>
      </c>
      <c r="F59" s="43">
        <f t="shared" si="22"/>
        <v>0.18463925523661753</v>
      </c>
      <c r="G59" s="43">
        <f t="shared" si="22"/>
        <v>5.4305663304887513E-3</v>
      </c>
      <c r="H59" s="43">
        <f t="shared" si="22"/>
        <v>1.5515903801396431E-3</v>
      </c>
      <c r="I59" s="43">
        <f t="shared" si="22"/>
        <v>4.2280837858805279E-2</v>
      </c>
      <c r="J59" s="43">
        <f t="shared" si="22"/>
        <v>4.2668735453840183E-3</v>
      </c>
      <c r="K59" s="43">
        <f t="shared" si="22"/>
        <v>5.0426687354538403E-3</v>
      </c>
      <c r="L59" s="43">
        <f t="shared" si="22"/>
        <v>3.8789759503491078E-4</v>
      </c>
      <c r="M59" s="43">
        <f t="shared" si="22"/>
        <v>0.48060512024825447</v>
      </c>
      <c r="N59" s="43">
        <f t="shared" si="22"/>
        <v>3.8789759503491078E-4</v>
      </c>
      <c r="R59" s="8"/>
      <c r="T59"/>
    </row>
    <row r="60" spans="2:20" ht="23.1" customHeight="1" x14ac:dyDescent="0.25">
      <c r="B60" s="42" t="s">
        <v>94</v>
      </c>
      <c r="C60" s="44">
        <f>C58/$O$58</f>
        <v>0.40477968633308437</v>
      </c>
      <c r="D60" s="44">
        <f t="shared" ref="D60:N60" si="23">D58/$O$58</f>
        <v>6.1239731142643763E-2</v>
      </c>
      <c r="E60" s="44">
        <f t="shared" si="23"/>
        <v>6.4227035100821506E-2</v>
      </c>
      <c r="F60" s="44">
        <f t="shared" si="23"/>
        <v>0.35548917102315158</v>
      </c>
      <c r="G60" s="44">
        <f t="shared" si="23"/>
        <v>1.0455563853622106E-2</v>
      </c>
      <c r="H60" s="44">
        <f t="shared" si="23"/>
        <v>2.9873039581777448E-3</v>
      </c>
      <c r="I60" s="44">
        <f t="shared" si="23"/>
        <v>8.1404032860343534E-2</v>
      </c>
      <c r="J60" s="44">
        <f t="shared" si="23"/>
        <v>8.215085884988798E-3</v>
      </c>
      <c r="K60" s="44">
        <f t="shared" si="23"/>
        <v>9.7087378640776691E-3</v>
      </c>
      <c r="L60" s="44">
        <f t="shared" si="23"/>
        <v>7.468259895444362E-4</v>
      </c>
      <c r="M60" s="44"/>
      <c r="N60" s="44">
        <f t="shared" si="23"/>
        <v>7.468259895444362E-4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F11" sqref="F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MUKONO-KALAGI'!C3:G3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176</v>
      </c>
      <c r="E5" s="3"/>
      <c r="F5" s="41" t="s">
        <v>1</v>
      </c>
      <c r="G5" s="55" t="str">
        <f>'2.11 KALAGI-MUKONO-24h'!G5:H5</f>
        <v>KABEMBE</v>
      </c>
      <c r="H5" s="56"/>
      <c r="I5" s="14"/>
      <c r="J5" s="2" t="s">
        <v>5</v>
      </c>
      <c r="K5" s="55" t="s">
        <v>163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MUKONO-KALAGI'!D6:E6</f>
        <v>MUKONO</v>
      </c>
      <c r="E6" s="56"/>
      <c r="F6" s="2" t="s">
        <v>2</v>
      </c>
      <c r="G6" s="55" t="str">
        <f>'29.10 MUKONO-KALAGI'!G6:H6</f>
        <v>KALAGI</v>
      </c>
      <c r="H6" s="56"/>
      <c r="J6" s="2" t="s">
        <v>21</v>
      </c>
      <c r="K6" s="55" t="str">
        <f>'2.11 KALAGI-MUKONO-24h'!K6:L6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2</v>
      </c>
      <c r="E10" s="50">
        <v>0</v>
      </c>
      <c r="F10" s="50">
        <v>4</v>
      </c>
      <c r="G10" s="50">
        <v>0</v>
      </c>
      <c r="H10" s="50">
        <v>0</v>
      </c>
      <c r="I10" s="50">
        <v>4</v>
      </c>
      <c r="J10" s="50">
        <v>0</v>
      </c>
      <c r="K10" s="50">
        <v>0</v>
      </c>
      <c r="L10" s="50">
        <v>0</v>
      </c>
      <c r="M10" s="50">
        <v>18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32</v>
      </c>
      <c r="R10" s="1" t="s">
        <v>6</v>
      </c>
      <c r="S10" s="17">
        <f t="shared" ref="S10:AF10" si="2">SUM(C10:C13)</f>
        <v>30</v>
      </c>
      <c r="T10" s="17">
        <f t="shared" si="2"/>
        <v>5</v>
      </c>
      <c r="U10" s="17">
        <f t="shared" si="2"/>
        <v>4</v>
      </c>
      <c r="V10" s="17">
        <f t="shared" si="2"/>
        <v>36</v>
      </c>
      <c r="W10" s="17">
        <f t="shared" si="2"/>
        <v>2</v>
      </c>
      <c r="X10" s="17">
        <f t="shared" si="2"/>
        <v>0</v>
      </c>
      <c r="Y10" s="17">
        <f t="shared" si="2"/>
        <v>14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69</v>
      </c>
      <c r="AD10" s="17">
        <f t="shared" si="2"/>
        <v>0</v>
      </c>
      <c r="AE10" s="31">
        <f t="shared" si="2"/>
        <v>91</v>
      </c>
      <c r="AF10" s="31">
        <f t="shared" si="2"/>
        <v>160</v>
      </c>
    </row>
    <row r="11" spans="2:32" s="6" customFormat="1" ht="23.1" customHeight="1" x14ac:dyDescent="0.25">
      <c r="B11" s="23" t="s">
        <v>38</v>
      </c>
      <c r="C11" s="50">
        <v>7</v>
      </c>
      <c r="D11" s="50">
        <v>0</v>
      </c>
      <c r="E11" s="50">
        <v>1</v>
      </c>
      <c r="F11" s="50">
        <v>12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14</v>
      </c>
      <c r="N11" s="50">
        <v>0</v>
      </c>
      <c r="O11" s="15">
        <f t="shared" si="0"/>
        <v>25</v>
      </c>
      <c r="P11" s="15">
        <f t="shared" si="1"/>
        <v>39</v>
      </c>
      <c r="R11" s="1" t="s">
        <v>7</v>
      </c>
      <c r="S11" s="17">
        <f t="shared" ref="S11:AF11" si="3">SUM(C14:C17)</f>
        <v>35</v>
      </c>
      <c r="T11" s="17">
        <f t="shared" si="3"/>
        <v>13</v>
      </c>
      <c r="U11" s="17">
        <f t="shared" si="3"/>
        <v>8</v>
      </c>
      <c r="V11" s="17">
        <f t="shared" si="3"/>
        <v>51</v>
      </c>
      <c r="W11" s="17">
        <f t="shared" si="3"/>
        <v>1</v>
      </c>
      <c r="X11" s="17">
        <f t="shared" si="3"/>
        <v>0</v>
      </c>
      <c r="Y11" s="17">
        <f t="shared" si="3"/>
        <v>16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86</v>
      </c>
      <c r="AD11" s="17">
        <f t="shared" si="3"/>
        <v>0</v>
      </c>
      <c r="AE11" s="31">
        <f t="shared" si="3"/>
        <v>126</v>
      </c>
      <c r="AF11" s="31">
        <f t="shared" si="3"/>
        <v>212</v>
      </c>
    </row>
    <row r="12" spans="2:32" ht="23.1" customHeight="1" x14ac:dyDescent="0.25">
      <c r="B12" s="23" t="s">
        <v>39</v>
      </c>
      <c r="C12" s="50">
        <v>4</v>
      </c>
      <c r="D12" s="50">
        <v>1</v>
      </c>
      <c r="E12" s="50">
        <v>2</v>
      </c>
      <c r="F12" s="50">
        <v>11</v>
      </c>
      <c r="G12" s="50">
        <v>2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17</v>
      </c>
      <c r="N12" s="50">
        <v>0</v>
      </c>
      <c r="O12" s="15">
        <f t="shared" si="0"/>
        <v>21</v>
      </c>
      <c r="P12" s="15">
        <f t="shared" si="1"/>
        <v>38</v>
      </c>
      <c r="R12" s="1" t="s">
        <v>8</v>
      </c>
      <c r="S12" s="17">
        <f t="shared" ref="S12:AF12" si="4">SUM(C18:C21)</f>
        <v>26</v>
      </c>
      <c r="T12" s="17">
        <f t="shared" si="4"/>
        <v>7</v>
      </c>
      <c r="U12" s="17">
        <f t="shared" si="4"/>
        <v>12</v>
      </c>
      <c r="V12" s="17">
        <f t="shared" si="4"/>
        <v>42</v>
      </c>
      <c r="W12" s="17">
        <f t="shared" si="4"/>
        <v>0</v>
      </c>
      <c r="X12" s="17">
        <f t="shared" si="4"/>
        <v>1</v>
      </c>
      <c r="Y12" s="17">
        <f t="shared" si="4"/>
        <v>16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91</v>
      </c>
      <c r="AD12" s="17">
        <f t="shared" si="4"/>
        <v>0</v>
      </c>
      <c r="AE12" s="31">
        <f t="shared" si="4"/>
        <v>106</v>
      </c>
      <c r="AF12" s="31">
        <f t="shared" si="4"/>
        <v>197</v>
      </c>
    </row>
    <row r="13" spans="2:32" ht="23.1" customHeight="1" x14ac:dyDescent="0.25">
      <c r="B13" s="23" t="s">
        <v>40</v>
      </c>
      <c r="C13" s="50">
        <v>15</v>
      </c>
      <c r="D13" s="50">
        <v>2</v>
      </c>
      <c r="E13" s="50">
        <v>1</v>
      </c>
      <c r="F13" s="50">
        <v>9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20</v>
      </c>
      <c r="N13" s="50">
        <v>0</v>
      </c>
      <c r="O13" s="15">
        <f t="shared" si="0"/>
        <v>31</v>
      </c>
      <c r="P13" s="15">
        <f t="shared" si="1"/>
        <v>51</v>
      </c>
      <c r="R13" s="1" t="s">
        <v>9</v>
      </c>
      <c r="S13" s="17">
        <f t="shared" ref="S13:AF13" si="5">SUM(C22:C25)</f>
        <v>21</v>
      </c>
      <c r="T13" s="17">
        <f t="shared" si="5"/>
        <v>9</v>
      </c>
      <c r="U13" s="17">
        <f t="shared" si="5"/>
        <v>7</v>
      </c>
      <c r="V13" s="17">
        <f t="shared" si="5"/>
        <v>47</v>
      </c>
      <c r="W13" s="17">
        <f t="shared" si="5"/>
        <v>0</v>
      </c>
      <c r="X13" s="17">
        <f t="shared" si="5"/>
        <v>0</v>
      </c>
      <c r="Y13" s="17">
        <f t="shared" si="5"/>
        <v>17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84</v>
      </c>
      <c r="AD13" s="17">
        <f t="shared" si="5"/>
        <v>0</v>
      </c>
      <c r="AE13" s="31">
        <f t="shared" si="5"/>
        <v>103</v>
      </c>
      <c r="AF13" s="31">
        <f t="shared" si="5"/>
        <v>187</v>
      </c>
    </row>
    <row r="14" spans="2:32" ht="23.1" customHeight="1" x14ac:dyDescent="0.25">
      <c r="B14" s="23" t="s">
        <v>41</v>
      </c>
      <c r="C14" s="50">
        <v>10</v>
      </c>
      <c r="D14" s="50">
        <v>1</v>
      </c>
      <c r="E14" s="50">
        <v>2</v>
      </c>
      <c r="F14" s="50">
        <v>15</v>
      </c>
      <c r="G14" s="50">
        <v>1</v>
      </c>
      <c r="H14" s="50">
        <v>0</v>
      </c>
      <c r="I14" s="50">
        <v>0</v>
      </c>
      <c r="J14" s="50">
        <v>0</v>
      </c>
      <c r="K14" s="50">
        <v>1</v>
      </c>
      <c r="L14" s="50">
        <v>1</v>
      </c>
      <c r="M14" s="50">
        <v>18</v>
      </c>
      <c r="N14" s="50">
        <v>0</v>
      </c>
      <c r="O14" s="15">
        <f t="shared" si="0"/>
        <v>31</v>
      </c>
      <c r="P14" s="15">
        <f t="shared" si="1"/>
        <v>49</v>
      </c>
      <c r="R14" s="1" t="s">
        <v>10</v>
      </c>
      <c r="S14" s="17">
        <f t="shared" ref="S14:AF14" si="6">SUM(C26:C29)</f>
        <v>33</v>
      </c>
      <c r="T14" s="17">
        <f t="shared" si="6"/>
        <v>12</v>
      </c>
      <c r="U14" s="17">
        <f t="shared" si="6"/>
        <v>11</v>
      </c>
      <c r="V14" s="17">
        <f t="shared" si="6"/>
        <v>41</v>
      </c>
      <c r="W14" s="17">
        <f t="shared" si="6"/>
        <v>1</v>
      </c>
      <c r="X14" s="17">
        <f t="shared" si="6"/>
        <v>0</v>
      </c>
      <c r="Y14" s="17">
        <f t="shared" si="6"/>
        <v>18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87</v>
      </c>
      <c r="AD14" s="17">
        <f t="shared" si="6"/>
        <v>0</v>
      </c>
      <c r="AE14" s="31">
        <f t="shared" si="6"/>
        <v>116</v>
      </c>
      <c r="AF14" s="31">
        <f t="shared" si="6"/>
        <v>203</v>
      </c>
    </row>
    <row r="15" spans="2:32" ht="23.1" customHeight="1" x14ac:dyDescent="0.25">
      <c r="B15" s="23" t="s">
        <v>42</v>
      </c>
      <c r="C15" s="50">
        <v>9</v>
      </c>
      <c r="D15" s="50">
        <v>3</v>
      </c>
      <c r="E15" s="50">
        <v>2</v>
      </c>
      <c r="F15" s="50">
        <v>16</v>
      </c>
      <c r="G15" s="50">
        <v>0</v>
      </c>
      <c r="H15" s="50">
        <v>0</v>
      </c>
      <c r="I15" s="50">
        <v>6</v>
      </c>
      <c r="J15" s="50">
        <v>0</v>
      </c>
      <c r="K15" s="50">
        <v>0</v>
      </c>
      <c r="L15" s="50">
        <v>0</v>
      </c>
      <c r="M15" s="50">
        <v>23</v>
      </c>
      <c r="N15" s="50">
        <v>0</v>
      </c>
      <c r="O15" s="15">
        <f t="shared" si="0"/>
        <v>36</v>
      </c>
      <c r="P15" s="15">
        <f t="shared" si="1"/>
        <v>59</v>
      </c>
      <c r="R15" s="1" t="s">
        <v>11</v>
      </c>
      <c r="S15" s="17">
        <f t="shared" ref="S15:AF15" si="7">SUM(C30:C33)</f>
        <v>27</v>
      </c>
      <c r="T15" s="17">
        <f t="shared" si="7"/>
        <v>18</v>
      </c>
      <c r="U15" s="17">
        <f t="shared" si="7"/>
        <v>8</v>
      </c>
      <c r="V15" s="17">
        <f t="shared" si="7"/>
        <v>41</v>
      </c>
      <c r="W15" s="17">
        <f t="shared" si="7"/>
        <v>0</v>
      </c>
      <c r="X15" s="17">
        <f t="shared" si="7"/>
        <v>0</v>
      </c>
      <c r="Y15" s="17">
        <f t="shared" si="7"/>
        <v>19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93</v>
      </c>
      <c r="AD15" s="17">
        <f t="shared" si="7"/>
        <v>0</v>
      </c>
      <c r="AE15" s="31">
        <f t="shared" si="7"/>
        <v>114</v>
      </c>
      <c r="AF15" s="31">
        <f t="shared" si="7"/>
        <v>207</v>
      </c>
    </row>
    <row r="16" spans="2:32" ht="23.1" customHeight="1" x14ac:dyDescent="0.25">
      <c r="B16" s="23" t="s">
        <v>43</v>
      </c>
      <c r="C16" s="50">
        <v>9</v>
      </c>
      <c r="D16" s="50">
        <v>2</v>
      </c>
      <c r="E16" s="50">
        <v>2</v>
      </c>
      <c r="F16" s="50">
        <v>6</v>
      </c>
      <c r="G16" s="50">
        <v>0</v>
      </c>
      <c r="H16" s="50">
        <v>0</v>
      </c>
      <c r="I16" s="50">
        <v>6</v>
      </c>
      <c r="J16" s="50">
        <v>0</v>
      </c>
      <c r="K16" s="50">
        <v>0</v>
      </c>
      <c r="L16" s="50">
        <v>0</v>
      </c>
      <c r="M16" s="50">
        <v>16</v>
      </c>
      <c r="N16" s="50">
        <v>0</v>
      </c>
      <c r="O16" s="15">
        <f t="shared" si="0"/>
        <v>25</v>
      </c>
      <c r="P16" s="15">
        <f t="shared" si="1"/>
        <v>41</v>
      </c>
      <c r="R16" s="1" t="s">
        <v>12</v>
      </c>
      <c r="S16" s="17">
        <f t="shared" ref="S16:AF16" si="8">SUM(C34:C37)</f>
        <v>28</v>
      </c>
      <c r="T16" s="17">
        <f t="shared" si="8"/>
        <v>7</v>
      </c>
      <c r="U16" s="17">
        <f t="shared" si="8"/>
        <v>10</v>
      </c>
      <c r="V16" s="17">
        <f t="shared" si="8"/>
        <v>43</v>
      </c>
      <c r="W16" s="17">
        <f t="shared" si="8"/>
        <v>0</v>
      </c>
      <c r="X16" s="17">
        <f t="shared" si="8"/>
        <v>0</v>
      </c>
      <c r="Y16" s="17">
        <f t="shared" si="8"/>
        <v>18</v>
      </c>
      <c r="Z16" s="17">
        <f t="shared" si="8"/>
        <v>3</v>
      </c>
      <c r="AA16" s="17">
        <f t="shared" si="8"/>
        <v>1</v>
      </c>
      <c r="AB16" s="17">
        <f t="shared" si="8"/>
        <v>1</v>
      </c>
      <c r="AC16" s="17">
        <f t="shared" si="8"/>
        <v>99</v>
      </c>
      <c r="AD16" s="17">
        <f t="shared" si="8"/>
        <v>0</v>
      </c>
      <c r="AE16" s="31">
        <f t="shared" si="8"/>
        <v>111</v>
      </c>
      <c r="AF16" s="31">
        <f t="shared" si="8"/>
        <v>210</v>
      </c>
    </row>
    <row r="17" spans="2:32" ht="23.1" customHeight="1" x14ac:dyDescent="0.25">
      <c r="B17" s="23" t="s">
        <v>44</v>
      </c>
      <c r="C17" s="50">
        <v>7</v>
      </c>
      <c r="D17" s="50">
        <v>7</v>
      </c>
      <c r="E17" s="50">
        <v>2</v>
      </c>
      <c r="F17" s="50">
        <v>14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29</v>
      </c>
      <c r="N17" s="50">
        <v>0</v>
      </c>
      <c r="O17" s="15">
        <f t="shared" si="0"/>
        <v>34</v>
      </c>
      <c r="P17" s="15">
        <f t="shared" si="1"/>
        <v>63</v>
      </c>
      <c r="R17" s="1" t="s">
        <v>13</v>
      </c>
      <c r="S17" s="17">
        <f t="shared" ref="S17:AF17" si="9">SUM(C38:C41)</f>
        <v>35</v>
      </c>
      <c r="T17" s="17">
        <f t="shared" si="9"/>
        <v>7</v>
      </c>
      <c r="U17" s="17">
        <f t="shared" si="9"/>
        <v>4</v>
      </c>
      <c r="V17" s="17">
        <f t="shared" si="9"/>
        <v>34</v>
      </c>
      <c r="W17" s="17">
        <f t="shared" si="9"/>
        <v>1</v>
      </c>
      <c r="X17" s="17">
        <f t="shared" si="9"/>
        <v>0</v>
      </c>
      <c r="Y17" s="17">
        <f t="shared" si="9"/>
        <v>21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92</v>
      </c>
      <c r="AD17" s="17">
        <f t="shared" si="9"/>
        <v>0</v>
      </c>
      <c r="AE17" s="31">
        <f t="shared" si="9"/>
        <v>104</v>
      </c>
      <c r="AF17" s="31">
        <f t="shared" si="9"/>
        <v>196</v>
      </c>
    </row>
    <row r="18" spans="2:32" ht="23.1" customHeight="1" x14ac:dyDescent="0.25">
      <c r="B18" s="23" t="s">
        <v>45</v>
      </c>
      <c r="C18" s="50">
        <v>7</v>
      </c>
      <c r="D18" s="50">
        <v>0</v>
      </c>
      <c r="E18" s="50">
        <v>4</v>
      </c>
      <c r="F18" s="50">
        <v>11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1</v>
      </c>
      <c r="M18" s="50">
        <v>25</v>
      </c>
      <c r="N18" s="50">
        <v>0</v>
      </c>
      <c r="O18" s="15">
        <f t="shared" si="0"/>
        <v>28</v>
      </c>
      <c r="P18" s="15">
        <f t="shared" si="1"/>
        <v>53</v>
      </c>
      <c r="R18" s="1" t="s">
        <v>14</v>
      </c>
      <c r="S18" s="17">
        <f t="shared" ref="S18:AF18" si="10">SUM(C42:C45)</f>
        <v>31</v>
      </c>
      <c r="T18" s="17">
        <f t="shared" si="10"/>
        <v>16</v>
      </c>
      <c r="U18" s="17">
        <f t="shared" si="10"/>
        <v>6</v>
      </c>
      <c r="V18" s="17">
        <f t="shared" si="10"/>
        <v>34</v>
      </c>
      <c r="W18" s="17">
        <f t="shared" si="10"/>
        <v>0</v>
      </c>
      <c r="X18" s="17">
        <f t="shared" si="10"/>
        <v>0</v>
      </c>
      <c r="Y18" s="17">
        <f t="shared" si="10"/>
        <v>20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84</v>
      </c>
      <c r="AD18" s="17">
        <f t="shared" si="10"/>
        <v>1</v>
      </c>
      <c r="AE18" s="31">
        <f t="shared" si="10"/>
        <v>109</v>
      </c>
      <c r="AF18" s="31">
        <f t="shared" si="10"/>
        <v>193</v>
      </c>
    </row>
    <row r="19" spans="2:32" ht="23.1" customHeight="1" x14ac:dyDescent="0.25">
      <c r="B19" s="23" t="s">
        <v>46</v>
      </c>
      <c r="C19" s="50">
        <v>9</v>
      </c>
      <c r="D19" s="50">
        <v>3</v>
      </c>
      <c r="E19" s="50">
        <v>2</v>
      </c>
      <c r="F19" s="50">
        <v>15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18</v>
      </c>
      <c r="N19" s="50">
        <v>0</v>
      </c>
      <c r="O19" s="15">
        <f t="shared" si="0"/>
        <v>32</v>
      </c>
      <c r="P19" s="15">
        <f t="shared" si="1"/>
        <v>50</v>
      </c>
      <c r="R19" s="1" t="s">
        <v>15</v>
      </c>
      <c r="S19" s="17">
        <f t="shared" ref="S19:AF19" si="11">SUM(C46:C49)</f>
        <v>33</v>
      </c>
      <c r="T19" s="17">
        <f t="shared" si="11"/>
        <v>9</v>
      </c>
      <c r="U19" s="17">
        <f t="shared" si="11"/>
        <v>12</v>
      </c>
      <c r="V19" s="17">
        <f t="shared" si="11"/>
        <v>36</v>
      </c>
      <c r="W19" s="17">
        <f t="shared" si="11"/>
        <v>1</v>
      </c>
      <c r="X19" s="17">
        <f t="shared" si="11"/>
        <v>0</v>
      </c>
      <c r="Y19" s="17">
        <f t="shared" si="11"/>
        <v>16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93</v>
      </c>
      <c r="AD19" s="17">
        <f t="shared" si="11"/>
        <v>0</v>
      </c>
      <c r="AE19" s="31">
        <f t="shared" si="11"/>
        <v>108</v>
      </c>
      <c r="AF19" s="31">
        <f t="shared" si="11"/>
        <v>201</v>
      </c>
    </row>
    <row r="20" spans="2:32" ht="23.1" customHeight="1" x14ac:dyDescent="0.25">
      <c r="B20" s="23" t="s">
        <v>47</v>
      </c>
      <c r="C20" s="50">
        <v>6</v>
      </c>
      <c r="D20" s="50">
        <v>0</v>
      </c>
      <c r="E20" s="50">
        <v>3</v>
      </c>
      <c r="F20" s="50">
        <v>8</v>
      </c>
      <c r="G20" s="50">
        <v>0</v>
      </c>
      <c r="H20" s="50">
        <v>1</v>
      </c>
      <c r="I20" s="50">
        <v>4</v>
      </c>
      <c r="J20" s="50">
        <v>0</v>
      </c>
      <c r="K20" s="50">
        <v>0</v>
      </c>
      <c r="L20" s="50">
        <v>0</v>
      </c>
      <c r="M20" s="50">
        <v>25</v>
      </c>
      <c r="N20" s="50">
        <v>0</v>
      </c>
      <c r="O20" s="15">
        <f t="shared" si="0"/>
        <v>22</v>
      </c>
      <c r="P20" s="15">
        <f t="shared" si="1"/>
        <v>47</v>
      </c>
      <c r="R20" s="1" t="s">
        <v>16</v>
      </c>
      <c r="S20" s="17">
        <f t="shared" ref="S20:AF20" si="12">SUM(C50:C53)</f>
        <v>32</v>
      </c>
      <c r="T20" s="17">
        <f t="shared" si="12"/>
        <v>14</v>
      </c>
      <c r="U20" s="17">
        <f t="shared" si="12"/>
        <v>11</v>
      </c>
      <c r="V20" s="17">
        <f t="shared" si="12"/>
        <v>47</v>
      </c>
      <c r="W20" s="17">
        <f t="shared" si="12"/>
        <v>1</v>
      </c>
      <c r="X20" s="17">
        <f t="shared" si="12"/>
        <v>0</v>
      </c>
      <c r="Y20" s="17">
        <f t="shared" si="12"/>
        <v>14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122</v>
      </c>
      <c r="AD20" s="17">
        <f t="shared" si="12"/>
        <v>0</v>
      </c>
      <c r="AE20" s="31">
        <f t="shared" si="12"/>
        <v>120</v>
      </c>
      <c r="AF20" s="31">
        <f t="shared" si="12"/>
        <v>242</v>
      </c>
    </row>
    <row r="21" spans="2:32" ht="23.1" customHeight="1" x14ac:dyDescent="0.25">
      <c r="B21" s="23" t="s">
        <v>48</v>
      </c>
      <c r="C21" s="50">
        <v>4</v>
      </c>
      <c r="D21" s="50">
        <v>4</v>
      </c>
      <c r="E21" s="50">
        <v>3</v>
      </c>
      <c r="F21" s="50">
        <v>8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0</v>
      </c>
      <c r="M21" s="50">
        <v>23</v>
      </c>
      <c r="N21" s="50">
        <v>0</v>
      </c>
      <c r="O21" s="15">
        <f t="shared" si="0"/>
        <v>24</v>
      </c>
      <c r="P21" s="15">
        <f t="shared" si="1"/>
        <v>47</v>
      </c>
      <c r="R21" s="36" t="s">
        <v>20</v>
      </c>
      <c r="S21" s="34">
        <f t="shared" ref="S21:AF21" si="13">SUM(C54:C57)</f>
        <v>32</v>
      </c>
      <c r="T21" s="17">
        <f t="shared" si="13"/>
        <v>8</v>
      </c>
      <c r="U21" s="17">
        <f t="shared" si="13"/>
        <v>8</v>
      </c>
      <c r="V21" s="17">
        <f t="shared" si="13"/>
        <v>44</v>
      </c>
      <c r="W21" s="17">
        <f t="shared" si="13"/>
        <v>1</v>
      </c>
      <c r="X21" s="17">
        <f t="shared" si="13"/>
        <v>0</v>
      </c>
      <c r="Y21" s="17">
        <f t="shared" si="13"/>
        <v>20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129</v>
      </c>
      <c r="AD21" s="17">
        <f t="shared" si="13"/>
        <v>0</v>
      </c>
      <c r="AE21" s="31">
        <f t="shared" si="13"/>
        <v>114</v>
      </c>
      <c r="AF21" s="31">
        <f t="shared" si="13"/>
        <v>243</v>
      </c>
    </row>
    <row r="22" spans="2:32" ht="23.1" customHeight="1" x14ac:dyDescent="0.25">
      <c r="B22" s="23" t="s">
        <v>49</v>
      </c>
      <c r="C22" s="50">
        <v>7</v>
      </c>
      <c r="D22" s="50">
        <v>0</v>
      </c>
      <c r="E22" s="50">
        <v>1</v>
      </c>
      <c r="F22" s="50">
        <v>14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16</v>
      </c>
      <c r="N22" s="50">
        <v>0</v>
      </c>
      <c r="O22" s="15">
        <f t="shared" si="0"/>
        <v>24</v>
      </c>
      <c r="P22" s="15">
        <f t="shared" si="1"/>
        <v>40</v>
      </c>
      <c r="R22" s="38" t="s">
        <v>90</v>
      </c>
      <c r="S22" s="39">
        <f>MAX(S10:S12)</f>
        <v>35</v>
      </c>
      <c r="T22" s="39">
        <f t="shared" ref="T22:AF22" si="14">MAX(T10:T12)</f>
        <v>13</v>
      </c>
      <c r="U22" s="39">
        <f t="shared" si="14"/>
        <v>12</v>
      </c>
      <c r="V22" s="39">
        <f t="shared" si="14"/>
        <v>51</v>
      </c>
      <c r="W22" s="39">
        <f t="shared" si="14"/>
        <v>2</v>
      </c>
      <c r="X22" s="39">
        <f t="shared" si="14"/>
        <v>1</v>
      </c>
      <c r="Y22" s="39">
        <f t="shared" si="14"/>
        <v>16</v>
      </c>
      <c r="Z22" s="39">
        <f t="shared" si="14"/>
        <v>0</v>
      </c>
      <c r="AA22" s="39">
        <f t="shared" si="14"/>
        <v>1</v>
      </c>
      <c r="AB22" s="39">
        <f t="shared" si="14"/>
        <v>2</v>
      </c>
      <c r="AC22" s="39">
        <f t="shared" si="14"/>
        <v>91</v>
      </c>
      <c r="AD22" s="39">
        <f t="shared" si="14"/>
        <v>0</v>
      </c>
      <c r="AE22" s="40">
        <f t="shared" si="14"/>
        <v>126</v>
      </c>
      <c r="AF22" s="40">
        <f t="shared" si="14"/>
        <v>212</v>
      </c>
    </row>
    <row r="23" spans="2:32" ht="23.1" customHeight="1" x14ac:dyDescent="0.25">
      <c r="B23" s="23" t="s">
        <v>50</v>
      </c>
      <c r="C23" s="50">
        <v>5</v>
      </c>
      <c r="D23" s="50">
        <v>4</v>
      </c>
      <c r="E23" s="50">
        <v>2</v>
      </c>
      <c r="F23" s="50">
        <v>13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26</v>
      </c>
      <c r="N23" s="50">
        <v>0</v>
      </c>
      <c r="O23" s="15">
        <f t="shared" si="0"/>
        <v>27</v>
      </c>
      <c r="P23" s="15">
        <f t="shared" si="1"/>
        <v>53</v>
      </c>
      <c r="R23" s="38" t="s">
        <v>91</v>
      </c>
      <c r="S23" s="39">
        <f>MAX(S13:S18)</f>
        <v>35</v>
      </c>
      <c r="T23" s="39">
        <f t="shared" ref="T23:AF23" si="15">MAX(T13:T18)</f>
        <v>18</v>
      </c>
      <c r="U23" s="39">
        <f t="shared" si="15"/>
        <v>11</v>
      </c>
      <c r="V23" s="39">
        <f t="shared" si="15"/>
        <v>47</v>
      </c>
      <c r="W23" s="39">
        <f t="shared" si="15"/>
        <v>1</v>
      </c>
      <c r="X23" s="39">
        <f t="shared" si="15"/>
        <v>0</v>
      </c>
      <c r="Y23" s="39">
        <f t="shared" si="15"/>
        <v>21</v>
      </c>
      <c r="Z23" s="39">
        <f t="shared" si="15"/>
        <v>3</v>
      </c>
      <c r="AA23" s="39">
        <f t="shared" si="15"/>
        <v>1</v>
      </c>
      <c r="AB23" s="39">
        <f t="shared" si="15"/>
        <v>2</v>
      </c>
      <c r="AC23" s="39">
        <f t="shared" si="15"/>
        <v>99</v>
      </c>
      <c r="AD23" s="39">
        <f t="shared" si="15"/>
        <v>1</v>
      </c>
      <c r="AE23" s="40">
        <f t="shared" si="15"/>
        <v>116</v>
      </c>
      <c r="AF23" s="40">
        <f t="shared" si="15"/>
        <v>210</v>
      </c>
    </row>
    <row r="24" spans="2:32" ht="23.1" customHeight="1" x14ac:dyDescent="0.25">
      <c r="B24" s="23" t="s">
        <v>51</v>
      </c>
      <c r="C24" s="50">
        <v>4</v>
      </c>
      <c r="D24" s="50">
        <v>4</v>
      </c>
      <c r="E24" s="50">
        <v>2</v>
      </c>
      <c r="F24" s="50">
        <v>8</v>
      </c>
      <c r="G24" s="50">
        <v>0</v>
      </c>
      <c r="H24" s="50">
        <v>0</v>
      </c>
      <c r="I24" s="50">
        <v>8</v>
      </c>
      <c r="J24" s="50">
        <v>0</v>
      </c>
      <c r="K24" s="50">
        <v>0</v>
      </c>
      <c r="L24" s="50">
        <v>2</v>
      </c>
      <c r="M24" s="50">
        <v>27</v>
      </c>
      <c r="N24" s="50">
        <v>0</v>
      </c>
      <c r="O24" s="15">
        <f t="shared" si="0"/>
        <v>28</v>
      </c>
      <c r="P24" s="15">
        <f t="shared" si="1"/>
        <v>55</v>
      </c>
      <c r="R24" s="38" t="s">
        <v>92</v>
      </c>
      <c r="S24" s="39">
        <f>MAX(S19:S21)</f>
        <v>33</v>
      </c>
      <c r="T24" s="39">
        <f t="shared" ref="T24:AF24" si="16">MAX(T19:T21)</f>
        <v>14</v>
      </c>
      <c r="U24" s="39">
        <f t="shared" si="16"/>
        <v>12</v>
      </c>
      <c r="V24" s="39">
        <f t="shared" si="16"/>
        <v>47</v>
      </c>
      <c r="W24" s="39">
        <f t="shared" si="16"/>
        <v>1</v>
      </c>
      <c r="X24" s="39">
        <f t="shared" si="16"/>
        <v>0</v>
      </c>
      <c r="Y24" s="39">
        <f t="shared" si="16"/>
        <v>20</v>
      </c>
      <c r="Z24" s="39">
        <f t="shared" si="16"/>
        <v>1</v>
      </c>
      <c r="AA24" s="39">
        <f t="shared" si="16"/>
        <v>0</v>
      </c>
      <c r="AB24" s="39">
        <f t="shared" si="16"/>
        <v>1</v>
      </c>
      <c r="AC24" s="39">
        <f t="shared" si="16"/>
        <v>129</v>
      </c>
      <c r="AD24" s="39">
        <f t="shared" si="16"/>
        <v>0</v>
      </c>
      <c r="AE24" s="40">
        <f t="shared" si="16"/>
        <v>120</v>
      </c>
      <c r="AF24" s="40">
        <f t="shared" si="16"/>
        <v>243</v>
      </c>
    </row>
    <row r="25" spans="2:32" ht="23.1" customHeight="1" x14ac:dyDescent="0.25">
      <c r="B25" s="23" t="s">
        <v>52</v>
      </c>
      <c r="C25" s="50">
        <v>5</v>
      </c>
      <c r="D25" s="50">
        <v>1</v>
      </c>
      <c r="E25" s="50">
        <v>2</v>
      </c>
      <c r="F25" s="50">
        <v>12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24</v>
      </c>
      <c r="P25" s="15">
        <f t="shared" si="1"/>
        <v>39</v>
      </c>
      <c r="R25" s="37" t="s">
        <v>85</v>
      </c>
      <c r="S25" s="35">
        <f t="shared" ref="S25:AF25" si="17">SUM(S10:S12)</f>
        <v>91</v>
      </c>
      <c r="T25" s="16">
        <f t="shared" si="17"/>
        <v>25</v>
      </c>
      <c r="U25" s="16">
        <f t="shared" si="17"/>
        <v>24</v>
      </c>
      <c r="V25" s="16">
        <f t="shared" si="17"/>
        <v>129</v>
      </c>
      <c r="W25" s="16">
        <f t="shared" si="17"/>
        <v>3</v>
      </c>
      <c r="X25" s="16">
        <f t="shared" si="17"/>
        <v>1</v>
      </c>
      <c r="Y25" s="16">
        <f t="shared" si="17"/>
        <v>46</v>
      </c>
      <c r="Z25" s="16">
        <f t="shared" si="17"/>
        <v>0</v>
      </c>
      <c r="AA25" s="16">
        <f t="shared" si="17"/>
        <v>1</v>
      </c>
      <c r="AB25" s="16">
        <f t="shared" si="17"/>
        <v>3</v>
      </c>
      <c r="AC25" s="16">
        <f t="shared" si="17"/>
        <v>246</v>
      </c>
      <c r="AD25" s="16">
        <f t="shared" si="17"/>
        <v>0</v>
      </c>
      <c r="AE25" s="32">
        <f t="shared" si="17"/>
        <v>323</v>
      </c>
      <c r="AF25" s="32">
        <f t="shared" si="17"/>
        <v>569</v>
      </c>
    </row>
    <row r="26" spans="2:32" ht="23.1" customHeight="1" x14ac:dyDescent="0.25">
      <c r="B26" s="23" t="s">
        <v>53</v>
      </c>
      <c r="C26" s="50">
        <v>10</v>
      </c>
      <c r="D26" s="50">
        <v>3</v>
      </c>
      <c r="E26" s="50">
        <v>3</v>
      </c>
      <c r="F26" s="50">
        <v>10</v>
      </c>
      <c r="G26" s="50">
        <v>1</v>
      </c>
      <c r="H26" s="50">
        <v>0</v>
      </c>
      <c r="I26" s="50">
        <v>8</v>
      </c>
      <c r="J26" s="50">
        <v>0</v>
      </c>
      <c r="K26" s="50">
        <v>0</v>
      </c>
      <c r="L26" s="50">
        <v>0</v>
      </c>
      <c r="M26" s="50">
        <v>26</v>
      </c>
      <c r="N26" s="50">
        <v>0</v>
      </c>
      <c r="O26" s="15">
        <f t="shared" si="0"/>
        <v>35</v>
      </c>
      <c r="P26" s="15">
        <f t="shared" si="1"/>
        <v>61</v>
      </c>
      <c r="R26" s="28" t="s">
        <v>86</v>
      </c>
      <c r="S26" s="16">
        <f t="shared" ref="S26:AF26" si="18">SUM(S13:S18)</f>
        <v>175</v>
      </c>
      <c r="T26" s="16">
        <f t="shared" si="18"/>
        <v>69</v>
      </c>
      <c r="U26" s="16">
        <f t="shared" si="18"/>
        <v>46</v>
      </c>
      <c r="V26" s="16">
        <f t="shared" si="18"/>
        <v>240</v>
      </c>
      <c r="W26" s="16">
        <f t="shared" si="18"/>
        <v>2</v>
      </c>
      <c r="X26" s="16">
        <f t="shared" si="18"/>
        <v>0</v>
      </c>
      <c r="Y26" s="16">
        <f t="shared" si="18"/>
        <v>113</v>
      </c>
      <c r="Z26" s="16">
        <f t="shared" si="18"/>
        <v>4</v>
      </c>
      <c r="AA26" s="16">
        <f t="shared" si="18"/>
        <v>2</v>
      </c>
      <c r="AB26" s="16">
        <f t="shared" si="18"/>
        <v>5</v>
      </c>
      <c r="AC26" s="16">
        <f t="shared" si="18"/>
        <v>539</v>
      </c>
      <c r="AD26" s="16">
        <f t="shared" si="18"/>
        <v>1</v>
      </c>
      <c r="AE26" s="32">
        <f t="shared" si="18"/>
        <v>657</v>
      </c>
      <c r="AF26" s="32">
        <f t="shared" si="18"/>
        <v>1196</v>
      </c>
    </row>
    <row r="27" spans="2:32" ht="23.1" customHeight="1" x14ac:dyDescent="0.25">
      <c r="B27" s="23" t="s">
        <v>54</v>
      </c>
      <c r="C27" s="50">
        <v>10</v>
      </c>
      <c r="D27" s="50">
        <v>3</v>
      </c>
      <c r="E27" s="50">
        <v>2</v>
      </c>
      <c r="F27" s="50">
        <v>12</v>
      </c>
      <c r="G27" s="50">
        <v>0</v>
      </c>
      <c r="H27" s="50">
        <v>0</v>
      </c>
      <c r="I27" s="50">
        <v>5</v>
      </c>
      <c r="J27" s="50">
        <v>0</v>
      </c>
      <c r="K27" s="50">
        <v>0</v>
      </c>
      <c r="L27" s="50">
        <v>0</v>
      </c>
      <c r="M27" s="50">
        <v>20</v>
      </c>
      <c r="N27" s="50">
        <v>0</v>
      </c>
      <c r="O27" s="15">
        <f t="shared" si="0"/>
        <v>32</v>
      </c>
      <c r="P27" s="15">
        <f t="shared" si="1"/>
        <v>52</v>
      </c>
      <c r="R27" s="29" t="s">
        <v>87</v>
      </c>
      <c r="S27" s="16">
        <f t="shared" ref="S27:AF27" si="19">SUM(S19:S21)</f>
        <v>97</v>
      </c>
      <c r="T27" s="16">
        <f t="shared" si="19"/>
        <v>31</v>
      </c>
      <c r="U27" s="16">
        <f t="shared" si="19"/>
        <v>31</v>
      </c>
      <c r="V27" s="16">
        <f t="shared" si="19"/>
        <v>127</v>
      </c>
      <c r="W27" s="16">
        <f t="shared" si="19"/>
        <v>3</v>
      </c>
      <c r="X27" s="16">
        <f t="shared" si="19"/>
        <v>0</v>
      </c>
      <c r="Y27" s="16">
        <f t="shared" si="19"/>
        <v>50</v>
      </c>
      <c r="Z27" s="16">
        <f t="shared" si="19"/>
        <v>2</v>
      </c>
      <c r="AA27" s="16">
        <f t="shared" si="19"/>
        <v>0</v>
      </c>
      <c r="AB27" s="16">
        <f t="shared" si="19"/>
        <v>1</v>
      </c>
      <c r="AC27" s="16">
        <f t="shared" si="19"/>
        <v>344</v>
      </c>
      <c r="AD27" s="16">
        <f t="shared" si="19"/>
        <v>0</v>
      </c>
      <c r="AE27" s="32">
        <f t="shared" si="19"/>
        <v>342</v>
      </c>
      <c r="AF27" s="32">
        <f t="shared" si="19"/>
        <v>686</v>
      </c>
    </row>
    <row r="28" spans="2:32" ht="23.1" customHeight="1" x14ac:dyDescent="0.25">
      <c r="B28" s="23" t="s">
        <v>55</v>
      </c>
      <c r="C28" s="50">
        <v>4</v>
      </c>
      <c r="D28" s="50">
        <v>2</v>
      </c>
      <c r="E28" s="50">
        <v>1</v>
      </c>
      <c r="F28" s="50">
        <v>8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23</v>
      </c>
      <c r="N28" s="50">
        <v>0</v>
      </c>
      <c r="O28" s="15">
        <f t="shared" si="0"/>
        <v>17</v>
      </c>
      <c r="P28" s="15">
        <f t="shared" si="1"/>
        <v>40</v>
      </c>
      <c r="R28" s="5" t="s">
        <v>17</v>
      </c>
      <c r="S28" s="16">
        <f t="shared" ref="S28:AF28" si="20">SUM(S10:S21)</f>
        <v>363</v>
      </c>
      <c r="T28" s="16">
        <f t="shared" si="20"/>
        <v>125</v>
      </c>
      <c r="U28" s="16">
        <f t="shared" si="20"/>
        <v>101</v>
      </c>
      <c r="V28" s="16">
        <f t="shared" si="20"/>
        <v>496</v>
      </c>
      <c r="W28" s="16">
        <f t="shared" si="20"/>
        <v>8</v>
      </c>
      <c r="X28" s="16">
        <f t="shared" si="20"/>
        <v>1</v>
      </c>
      <c r="Y28" s="16">
        <f t="shared" si="20"/>
        <v>209</v>
      </c>
      <c r="Z28" s="16">
        <f t="shared" si="20"/>
        <v>6</v>
      </c>
      <c r="AA28" s="16">
        <f t="shared" si="20"/>
        <v>3</v>
      </c>
      <c r="AB28" s="16">
        <f t="shared" si="20"/>
        <v>9</v>
      </c>
      <c r="AC28" s="16">
        <f t="shared" si="20"/>
        <v>1129</v>
      </c>
      <c r="AD28" s="16">
        <f t="shared" si="20"/>
        <v>1</v>
      </c>
      <c r="AE28" s="32">
        <f t="shared" si="20"/>
        <v>1322</v>
      </c>
      <c r="AF28" s="32">
        <f t="shared" si="20"/>
        <v>2451</v>
      </c>
    </row>
    <row r="29" spans="2:32" ht="23.1" customHeight="1" x14ac:dyDescent="0.25">
      <c r="B29" s="23" t="s">
        <v>56</v>
      </c>
      <c r="C29" s="50">
        <v>9</v>
      </c>
      <c r="D29" s="50">
        <v>4</v>
      </c>
      <c r="E29" s="50">
        <v>5</v>
      </c>
      <c r="F29" s="50">
        <v>11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18</v>
      </c>
      <c r="N29" s="50">
        <v>0</v>
      </c>
      <c r="O29" s="15">
        <f t="shared" si="0"/>
        <v>32</v>
      </c>
      <c r="P29" s="15">
        <f t="shared" si="1"/>
        <v>50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11</v>
      </c>
      <c r="E30" s="50">
        <v>4</v>
      </c>
      <c r="F30" s="50">
        <v>10</v>
      </c>
      <c r="G30" s="50">
        <v>0</v>
      </c>
      <c r="H30" s="50">
        <v>0</v>
      </c>
      <c r="I30" s="50">
        <v>8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40</v>
      </c>
      <c r="P30" s="15">
        <f t="shared" si="1"/>
        <v>55</v>
      </c>
    </row>
    <row r="31" spans="2:32" ht="23.1" customHeight="1" x14ac:dyDescent="0.25">
      <c r="B31" s="24" t="s">
        <v>58</v>
      </c>
      <c r="C31" s="50">
        <v>10</v>
      </c>
      <c r="D31" s="50">
        <v>4</v>
      </c>
      <c r="E31" s="50">
        <v>1</v>
      </c>
      <c r="F31" s="50">
        <v>12</v>
      </c>
      <c r="G31" s="50">
        <v>0</v>
      </c>
      <c r="H31" s="50">
        <v>0</v>
      </c>
      <c r="I31" s="50">
        <v>6</v>
      </c>
      <c r="J31" s="50">
        <v>0</v>
      </c>
      <c r="K31" s="50">
        <v>0</v>
      </c>
      <c r="L31" s="50">
        <v>0</v>
      </c>
      <c r="M31" s="50">
        <v>22</v>
      </c>
      <c r="N31" s="50">
        <v>0</v>
      </c>
      <c r="O31" s="15">
        <f t="shared" si="0"/>
        <v>33</v>
      </c>
      <c r="P31" s="15">
        <f t="shared" si="1"/>
        <v>55</v>
      </c>
    </row>
    <row r="32" spans="2:32" ht="23.1" customHeight="1" x14ac:dyDescent="0.25">
      <c r="B32" s="24" t="s">
        <v>59</v>
      </c>
      <c r="C32" s="50">
        <v>5</v>
      </c>
      <c r="D32" s="50">
        <v>3</v>
      </c>
      <c r="E32" s="50">
        <v>3</v>
      </c>
      <c r="F32" s="50">
        <v>9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25</v>
      </c>
      <c r="N32" s="50">
        <v>0</v>
      </c>
      <c r="O32" s="15">
        <f t="shared" si="0"/>
        <v>22</v>
      </c>
      <c r="P32" s="15">
        <f t="shared" si="1"/>
        <v>47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0</v>
      </c>
      <c r="F33" s="50">
        <v>10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1</v>
      </c>
      <c r="M33" s="50">
        <v>31</v>
      </c>
      <c r="N33" s="50">
        <v>0</v>
      </c>
      <c r="O33" s="15">
        <f t="shared" si="0"/>
        <v>19</v>
      </c>
      <c r="P33" s="15">
        <f t="shared" si="1"/>
        <v>50</v>
      </c>
    </row>
    <row r="34" spans="2:20" ht="23.1" customHeight="1" x14ac:dyDescent="0.25">
      <c r="B34" s="24" t="s">
        <v>61</v>
      </c>
      <c r="C34" s="50">
        <v>8</v>
      </c>
      <c r="D34" s="50">
        <v>1</v>
      </c>
      <c r="E34" s="50">
        <v>3</v>
      </c>
      <c r="F34" s="50">
        <v>11</v>
      </c>
      <c r="G34" s="50">
        <v>0</v>
      </c>
      <c r="H34" s="50">
        <v>0</v>
      </c>
      <c r="I34" s="50">
        <v>8</v>
      </c>
      <c r="J34" s="50">
        <v>2</v>
      </c>
      <c r="K34" s="50">
        <v>0</v>
      </c>
      <c r="L34" s="50">
        <v>1</v>
      </c>
      <c r="M34" s="50">
        <v>29</v>
      </c>
      <c r="N34" s="50">
        <v>0</v>
      </c>
      <c r="O34" s="15">
        <f t="shared" si="0"/>
        <v>34</v>
      </c>
      <c r="P34" s="15">
        <f t="shared" si="1"/>
        <v>63</v>
      </c>
    </row>
    <row r="35" spans="2:20" ht="23.1" customHeight="1" x14ac:dyDescent="0.25">
      <c r="B35" s="24" t="s">
        <v>62</v>
      </c>
      <c r="C35" s="50">
        <v>7</v>
      </c>
      <c r="D35" s="50">
        <v>0</v>
      </c>
      <c r="E35" s="50">
        <v>3</v>
      </c>
      <c r="F35" s="50">
        <v>10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23</v>
      </c>
      <c r="P35" s="15">
        <f t="shared" si="1"/>
        <v>48</v>
      </c>
    </row>
    <row r="36" spans="2:20" ht="23.1" customHeight="1" x14ac:dyDescent="0.25">
      <c r="B36" s="24" t="s">
        <v>63</v>
      </c>
      <c r="C36" s="50">
        <v>7</v>
      </c>
      <c r="D36" s="50">
        <v>3</v>
      </c>
      <c r="E36" s="50">
        <v>1</v>
      </c>
      <c r="F36" s="50">
        <v>11</v>
      </c>
      <c r="G36" s="50">
        <v>0</v>
      </c>
      <c r="H36" s="50">
        <v>0</v>
      </c>
      <c r="I36" s="50">
        <v>4</v>
      </c>
      <c r="J36" s="50">
        <v>1</v>
      </c>
      <c r="K36" s="50">
        <v>1</v>
      </c>
      <c r="L36" s="50">
        <v>0</v>
      </c>
      <c r="M36" s="50">
        <v>20</v>
      </c>
      <c r="N36" s="50">
        <v>0</v>
      </c>
      <c r="O36" s="15">
        <f t="shared" si="0"/>
        <v>28</v>
      </c>
      <c r="P36" s="15">
        <f t="shared" si="1"/>
        <v>48</v>
      </c>
    </row>
    <row r="37" spans="2:20" ht="23.1" customHeight="1" x14ac:dyDescent="0.25">
      <c r="B37" s="23" t="s">
        <v>64</v>
      </c>
      <c r="C37" s="50">
        <v>6</v>
      </c>
      <c r="D37" s="50">
        <v>3</v>
      </c>
      <c r="E37" s="50">
        <v>3</v>
      </c>
      <c r="F37" s="50">
        <v>11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26</v>
      </c>
      <c r="P37" s="15">
        <f t="shared" si="1"/>
        <v>51</v>
      </c>
    </row>
    <row r="38" spans="2:20" ht="23.1" customHeight="1" x14ac:dyDescent="0.25">
      <c r="B38" s="24" t="s">
        <v>65</v>
      </c>
      <c r="C38" s="50">
        <v>7</v>
      </c>
      <c r="D38" s="50">
        <v>2</v>
      </c>
      <c r="E38" s="50">
        <v>1</v>
      </c>
      <c r="F38" s="50">
        <v>11</v>
      </c>
      <c r="G38" s="50">
        <v>0</v>
      </c>
      <c r="H38" s="50">
        <v>0</v>
      </c>
      <c r="I38" s="50">
        <v>5</v>
      </c>
      <c r="J38" s="50">
        <v>0</v>
      </c>
      <c r="K38" s="50">
        <v>1</v>
      </c>
      <c r="L38" s="50">
        <v>0</v>
      </c>
      <c r="M38" s="50">
        <v>21</v>
      </c>
      <c r="N38" s="50">
        <v>0</v>
      </c>
      <c r="O38" s="15">
        <f t="shared" si="0"/>
        <v>27</v>
      </c>
      <c r="P38" s="15">
        <f t="shared" si="1"/>
        <v>48</v>
      </c>
    </row>
    <row r="39" spans="2:20" ht="23.1" customHeight="1" x14ac:dyDescent="0.25">
      <c r="B39" s="24" t="s">
        <v>66</v>
      </c>
      <c r="C39" s="50">
        <v>7</v>
      </c>
      <c r="D39" s="50">
        <v>2</v>
      </c>
      <c r="E39" s="50">
        <v>2</v>
      </c>
      <c r="F39" s="50">
        <v>8</v>
      </c>
      <c r="G39" s="50">
        <v>0</v>
      </c>
      <c r="H39" s="50">
        <v>0</v>
      </c>
      <c r="I39" s="50">
        <v>4</v>
      </c>
      <c r="J39" s="50">
        <v>1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24</v>
      </c>
      <c r="P39" s="15">
        <f t="shared" si="1"/>
        <v>45</v>
      </c>
    </row>
    <row r="40" spans="2:20" ht="23.1" customHeight="1" x14ac:dyDescent="0.25">
      <c r="B40" s="24" t="s">
        <v>67</v>
      </c>
      <c r="C40" s="50">
        <v>9</v>
      </c>
      <c r="D40" s="50">
        <v>0</v>
      </c>
      <c r="E40" s="50">
        <v>0</v>
      </c>
      <c r="F40" s="50">
        <v>7</v>
      </c>
      <c r="G40" s="50">
        <v>1</v>
      </c>
      <c r="H40" s="50">
        <v>0</v>
      </c>
      <c r="I40" s="50">
        <v>5</v>
      </c>
      <c r="J40" s="50">
        <v>0</v>
      </c>
      <c r="K40" s="50">
        <v>0</v>
      </c>
      <c r="L40" s="50">
        <v>0</v>
      </c>
      <c r="M40" s="50">
        <v>26</v>
      </c>
      <c r="N40" s="50">
        <v>0</v>
      </c>
      <c r="O40" s="15">
        <f t="shared" si="0"/>
        <v>22</v>
      </c>
      <c r="P40" s="15">
        <f t="shared" si="1"/>
        <v>48</v>
      </c>
    </row>
    <row r="41" spans="2:20" ht="23.1" customHeight="1" x14ac:dyDescent="0.25">
      <c r="B41" s="23" t="s">
        <v>68</v>
      </c>
      <c r="C41" s="50">
        <v>12</v>
      </c>
      <c r="D41" s="50">
        <v>3</v>
      </c>
      <c r="E41" s="50">
        <v>1</v>
      </c>
      <c r="F41" s="50">
        <v>8</v>
      </c>
      <c r="G41" s="50">
        <v>0</v>
      </c>
      <c r="H41" s="50">
        <v>0</v>
      </c>
      <c r="I41" s="50">
        <v>7</v>
      </c>
      <c r="J41" s="50">
        <v>0</v>
      </c>
      <c r="K41" s="50">
        <v>0</v>
      </c>
      <c r="L41" s="50">
        <v>0</v>
      </c>
      <c r="M41" s="50">
        <v>24</v>
      </c>
      <c r="N41" s="50">
        <v>0</v>
      </c>
      <c r="O41" s="15">
        <f t="shared" si="0"/>
        <v>31</v>
      </c>
      <c r="P41" s="15">
        <f t="shared" si="1"/>
        <v>55</v>
      </c>
    </row>
    <row r="42" spans="2:20" ht="23.1" customHeight="1" x14ac:dyDescent="0.25">
      <c r="B42" s="24" t="s">
        <v>69</v>
      </c>
      <c r="C42" s="50">
        <v>7</v>
      </c>
      <c r="D42" s="50">
        <v>2</v>
      </c>
      <c r="E42" s="50">
        <v>1</v>
      </c>
      <c r="F42" s="50">
        <v>9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17</v>
      </c>
      <c r="N42" s="50">
        <v>0</v>
      </c>
      <c r="O42" s="15">
        <f t="shared" si="0"/>
        <v>25</v>
      </c>
      <c r="P42" s="15">
        <f t="shared" si="1"/>
        <v>42</v>
      </c>
    </row>
    <row r="43" spans="2:20" ht="23.1" customHeight="1" x14ac:dyDescent="0.25">
      <c r="B43" s="23" t="s">
        <v>70</v>
      </c>
      <c r="C43" s="50">
        <v>9</v>
      </c>
      <c r="D43" s="50">
        <v>10</v>
      </c>
      <c r="E43" s="50">
        <v>1</v>
      </c>
      <c r="F43" s="50">
        <v>8</v>
      </c>
      <c r="G43" s="50">
        <v>0</v>
      </c>
      <c r="H43" s="50">
        <v>0</v>
      </c>
      <c r="I43" s="50">
        <v>6</v>
      </c>
      <c r="J43" s="50">
        <v>0</v>
      </c>
      <c r="K43" s="50">
        <v>0</v>
      </c>
      <c r="L43" s="50">
        <v>0</v>
      </c>
      <c r="M43" s="50">
        <v>24</v>
      </c>
      <c r="N43" s="50">
        <v>1</v>
      </c>
      <c r="O43" s="15">
        <f t="shared" si="0"/>
        <v>35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11</v>
      </c>
      <c r="D44" s="50">
        <v>2</v>
      </c>
      <c r="E44" s="50">
        <v>2</v>
      </c>
      <c r="F44" s="50">
        <v>8</v>
      </c>
      <c r="G44" s="50">
        <v>0</v>
      </c>
      <c r="H44" s="50">
        <v>0</v>
      </c>
      <c r="I44" s="50">
        <v>4</v>
      </c>
      <c r="J44" s="50">
        <v>0</v>
      </c>
      <c r="K44" s="50">
        <v>0</v>
      </c>
      <c r="L44" s="50">
        <v>1</v>
      </c>
      <c r="M44" s="50">
        <v>26</v>
      </c>
      <c r="N44" s="50">
        <v>0</v>
      </c>
      <c r="O44" s="15">
        <f t="shared" si="0"/>
        <v>28</v>
      </c>
      <c r="P44" s="15">
        <f t="shared" si="1"/>
        <v>54</v>
      </c>
    </row>
    <row r="45" spans="2:20" ht="23.1" customHeight="1" x14ac:dyDescent="0.25">
      <c r="B45" s="23" t="s">
        <v>72</v>
      </c>
      <c r="C45" s="50">
        <v>4</v>
      </c>
      <c r="D45" s="50">
        <v>2</v>
      </c>
      <c r="E45" s="50">
        <v>2</v>
      </c>
      <c r="F45" s="50">
        <v>9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5">
        <f t="shared" si="0"/>
        <v>21</v>
      </c>
      <c r="P45" s="15">
        <f t="shared" si="1"/>
        <v>38</v>
      </c>
    </row>
    <row r="46" spans="2:20" ht="23.1" customHeight="1" x14ac:dyDescent="0.25">
      <c r="B46" s="24" t="s">
        <v>73</v>
      </c>
      <c r="C46" s="50">
        <v>2</v>
      </c>
      <c r="D46" s="50">
        <v>3</v>
      </c>
      <c r="E46" s="50">
        <v>6</v>
      </c>
      <c r="F46" s="50">
        <v>11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26</v>
      </c>
      <c r="P46" s="15">
        <f t="shared" si="1"/>
        <v>44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2</v>
      </c>
      <c r="E47" s="50">
        <v>2</v>
      </c>
      <c r="F47" s="50">
        <v>11</v>
      </c>
      <c r="G47" s="50">
        <v>1</v>
      </c>
      <c r="H47" s="50">
        <v>0</v>
      </c>
      <c r="I47" s="50">
        <v>6</v>
      </c>
      <c r="J47" s="50">
        <v>0</v>
      </c>
      <c r="K47" s="50">
        <v>0</v>
      </c>
      <c r="L47" s="50">
        <v>0</v>
      </c>
      <c r="M47" s="50">
        <v>30</v>
      </c>
      <c r="N47" s="50">
        <v>0</v>
      </c>
      <c r="O47" s="15">
        <f t="shared" si="0"/>
        <v>37</v>
      </c>
      <c r="P47" s="15">
        <f t="shared" si="1"/>
        <v>67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2</v>
      </c>
      <c r="E48" s="50">
        <v>2</v>
      </c>
      <c r="F48" s="50">
        <v>7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1</v>
      </c>
      <c r="M48" s="50">
        <v>23</v>
      </c>
      <c r="N48" s="50">
        <v>0</v>
      </c>
      <c r="O48" s="15">
        <f t="shared" si="0"/>
        <v>26</v>
      </c>
      <c r="P48" s="15">
        <f t="shared" si="1"/>
        <v>49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2</v>
      </c>
      <c r="E49" s="50">
        <v>2</v>
      </c>
      <c r="F49" s="50">
        <v>7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22</v>
      </c>
      <c r="N49" s="50">
        <v>0</v>
      </c>
      <c r="O49" s="15">
        <f t="shared" si="0"/>
        <v>19</v>
      </c>
      <c r="P49" s="15">
        <f t="shared" si="1"/>
        <v>41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2</v>
      </c>
      <c r="E50" s="50">
        <v>3</v>
      </c>
      <c r="F50" s="50">
        <v>12</v>
      </c>
      <c r="G50" s="50">
        <v>1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34</v>
      </c>
      <c r="N50" s="50">
        <v>0</v>
      </c>
      <c r="O50" s="15">
        <f t="shared" si="0"/>
        <v>35</v>
      </c>
      <c r="P50" s="15">
        <f t="shared" si="1"/>
        <v>69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4</v>
      </c>
      <c r="E51" s="50">
        <v>4</v>
      </c>
      <c r="F51" s="50">
        <v>12</v>
      </c>
      <c r="G51" s="50">
        <v>0</v>
      </c>
      <c r="H51" s="50">
        <v>0</v>
      </c>
      <c r="I51" s="50">
        <v>6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32</v>
      </c>
      <c r="P51" s="15">
        <f t="shared" si="1"/>
        <v>51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3</v>
      </c>
      <c r="E52" s="50">
        <v>3</v>
      </c>
      <c r="F52" s="50">
        <v>9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40</v>
      </c>
      <c r="N52" s="50">
        <v>0</v>
      </c>
      <c r="O52" s="15">
        <f t="shared" si="0"/>
        <v>22</v>
      </c>
      <c r="P52" s="15">
        <f t="shared" si="1"/>
        <v>62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5</v>
      </c>
      <c r="E53" s="50">
        <v>1</v>
      </c>
      <c r="F53" s="50">
        <v>14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29</v>
      </c>
      <c r="N53" s="50">
        <v>0</v>
      </c>
      <c r="O53" s="15">
        <f t="shared" si="0"/>
        <v>31</v>
      </c>
      <c r="P53" s="15">
        <f t="shared" si="1"/>
        <v>60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3</v>
      </c>
      <c r="E54" s="50">
        <v>4</v>
      </c>
      <c r="F54" s="50">
        <v>12</v>
      </c>
      <c r="G54" s="50">
        <v>0</v>
      </c>
      <c r="H54" s="50">
        <v>0</v>
      </c>
      <c r="I54" s="50">
        <v>7</v>
      </c>
      <c r="J54" s="50">
        <v>0</v>
      </c>
      <c r="K54" s="50">
        <v>0</v>
      </c>
      <c r="L54" s="50">
        <v>0</v>
      </c>
      <c r="M54" s="50">
        <v>31</v>
      </c>
      <c r="N54" s="50">
        <v>0</v>
      </c>
      <c r="O54" s="15">
        <f t="shared" si="0"/>
        <v>37</v>
      </c>
      <c r="P54" s="15">
        <f t="shared" si="1"/>
        <v>68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2</v>
      </c>
      <c r="E55" s="50">
        <v>2</v>
      </c>
      <c r="F55" s="50">
        <v>15</v>
      </c>
      <c r="G55" s="50">
        <v>1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29</v>
      </c>
      <c r="N55" s="50">
        <v>0</v>
      </c>
      <c r="O55" s="15">
        <f t="shared" si="0"/>
        <v>30</v>
      </c>
      <c r="P55" s="15">
        <f t="shared" si="1"/>
        <v>59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2</v>
      </c>
      <c r="E56" s="50">
        <v>2</v>
      </c>
      <c r="F56" s="50">
        <v>10</v>
      </c>
      <c r="G56" s="50">
        <v>0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37</v>
      </c>
      <c r="N56" s="50">
        <v>0</v>
      </c>
      <c r="O56" s="15">
        <f t="shared" si="0"/>
        <v>25</v>
      </c>
      <c r="P56" s="15">
        <f t="shared" si="1"/>
        <v>62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1</v>
      </c>
      <c r="E57" s="50">
        <v>0</v>
      </c>
      <c r="F57" s="50">
        <v>7</v>
      </c>
      <c r="G57" s="50">
        <v>0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32</v>
      </c>
      <c r="N57" s="50">
        <v>0</v>
      </c>
      <c r="O57" s="15">
        <f t="shared" si="0"/>
        <v>22</v>
      </c>
      <c r="P57" s="15">
        <f t="shared" si="1"/>
        <v>54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363</v>
      </c>
      <c r="D58" s="16">
        <f t="shared" si="21"/>
        <v>125</v>
      </c>
      <c r="E58" s="16">
        <f t="shared" si="21"/>
        <v>101</v>
      </c>
      <c r="F58" s="16">
        <f t="shared" si="21"/>
        <v>496</v>
      </c>
      <c r="G58" s="16">
        <f t="shared" si="21"/>
        <v>8</v>
      </c>
      <c r="H58" s="16">
        <f t="shared" si="21"/>
        <v>1</v>
      </c>
      <c r="I58" s="16">
        <f t="shared" si="21"/>
        <v>209</v>
      </c>
      <c r="J58" s="16">
        <f t="shared" si="21"/>
        <v>6</v>
      </c>
      <c r="K58" s="16">
        <f t="shared" si="21"/>
        <v>3</v>
      </c>
      <c r="L58" s="16">
        <f t="shared" si="21"/>
        <v>9</v>
      </c>
      <c r="M58" s="16">
        <f t="shared" si="21"/>
        <v>1129</v>
      </c>
      <c r="N58" s="16">
        <f t="shared" si="21"/>
        <v>1</v>
      </c>
      <c r="O58" s="16">
        <f t="shared" si="21"/>
        <v>1322</v>
      </c>
      <c r="P58" s="16">
        <f t="shared" si="21"/>
        <v>2451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0.14810281517747859</v>
      </c>
      <c r="D59" s="43">
        <f t="shared" si="22"/>
        <v>5.0999592003263976E-2</v>
      </c>
      <c r="E59" s="43">
        <f t="shared" si="22"/>
        <v>4.1207670338637294E-2</v>
      </c>
      <c r="F59" s="43">
        <f t="shared" si="22"/>
        <v>0.20236638106895144</v>
      </c>
      <c r="G59" s="43">
        <f t="shared" si="22"/>
        <v>3.2639738882088943E-3</v>
      </c>
      <c r="H59" s="43">
        <f t="shared" si="22"/>
        <v>4.0799673602611179E-4</v>
      </c>
      <c r="I59" s="43">
        <f t="shared" si="22"/>
        <v>8.5271317829457363E-2</v>
      </c>
      <c r="J59" s="43">
        <f t="shared" si="22"/>
        <v>2.4479804161566705E-3</v>
      </c>
      <c r="K59" s="43">
        <f t="shared" si="22"/>
        <v>1.2239902080783353E-3</v>
      </c>
      <c r="L59" s="43">
        <f t="shared" si="22"/>
        <v>3.6719706242350062E-3</v>
      </c>
      <c r="M59" s="43">
        <f t="shared" si="22"/>
        <v>0.46062831497348022</v>
      </c>
      <c r="N59" s="43">
        <f t="shared" si="22"/>
        <v>4.0799673602611179E-4</v>
      </c>
      <c r="R59" s="8"/>
      <c r="T59"/>
    </row>
    <row r="60" spans="2:20" ht="23.1" customHeight="1" x14ac:dyDescent="0.25">
      <c r="B60" s="42" t="s">
        <v>94</v>
      </c>
      <c r="C60" s="44">
        <f>C58/$O$58</f>
        <v>0.27458396369137672</v>
      </c>
      <c r="D60" s="44">
        <f t="shared" ref="D60:N60" si="23">D58/$O$58</f>
        <v>9.4553706505295002E-2</v>
      </c>
      <c r="E60" s="44">
        <f t="shared" si="23"/>
        <v>7.6399394856278363E-2</v>
      </c>
      <c r="F60" s="44">
        <f t="shared" si="23"/>
        <v>0.37518910741301059</v>
      </c>
      <c r="G60" s="44">
        <f t="shared" si="23"/>
        <v>6.0514372163388806E-3</v>
      </c>
      <c r="H60" s="44">
        <f t="shared" si="23"/>
        <v>7.5642965204236008E-4</v>
      </c>
      <c r="I60" s="44">
        <f t="shared" si="23"/>
        <v>0.15809379727685324</v>
      </c>
      <c r="J60" s="44">
        <f t="shared" si="23"/>
        <v>4.5385779122541605E-3</v>
      </c>
      <c r="K60" s="44">
        <f t="shared" si="23"/>
        <v>2.2692889561270802E-3</v>
      </c>
      <c r="L60" s="44">
        <f t="shared" si="23"/>
        <v>6.8078668683812403E-3</v>
      </c>
      <c r="M60" s="44"/>
      <c r="N60" s="44">
        <f t="shared" si="23"/>
        <v>7.5642965204236008E-4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'29.10 KALAGI-MUKONO'!C3:G3</f>
        <v>MCC - C2 - STN075- KALAGI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'4.11 MUKONO-KALAGI'!D5</f>
        <v>4.11.2019</v>
      </c>
      <c r="E5" s="3"/>
      <c r="F5" s="41" t="s">
        <v>1</v>
      </c>
      <c r="G5" s="55" t="str">
        <f>'4.11 MUKONO-KALAGI'!G5:H5</f>
        <v>KABEMBE</v>
      </c>
      <c r="H5" s="56"/>
      <c r="I5" s="14"/>
      <c r="J5" s="2" t="s">
        <v>5</v>
      </c>
      <c r="K5" s="55" t="s">
        <v>164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'29.10 KALAGI-MUKONO'!D6:E6</f>
        <v>KALAGI</v>
      </c>
      <c r="E6" s="56"/>
      <c r="F6" s="2" t="s">
        <v>2</v>
      </c>
      <c r="G6" s="55" t="str">
        <f>'29.10 KALAGI-MUKONO'!G6:H6</f>
        <v>MUKONO</v>
      </c>
      <c r="H6" s="56"/>
      <c r="J6" s="2" t="s">
        <v>21</v>
      </c>
      <c r="K6" s="55" t="str">
        <f>'4.11 MUKONO-KALAGI'!K6:L6</f>
        <v>BEATRICE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8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26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40</v>
      </c>
      <c r="R10" s="1" t="s">
        <v>6</v>
      </c>
      <c r="S10" s="17">
        <f t="shared" ref="S10:AF10" si="2">SUM(C10:C13)</f>
        <v>34</v>
      </c>
      <c r="T10" s="17">
        <f t="shared" si="2"/>
        <v>0</v>
      </c>
      <c r="U10" s="17">
        <f t="shared" si="2"/>
        <v>5</v>
      </c>
      <c r="V10" s="17">
        <f t="shared" si="2"/>
        <v>33</v>
      </c>
      <c r="W10" s="17">
        <f t="shared" si="2"/>
        <v>2</v>
      </c>
      <c r="X10" s="17">
        <f t="shared" si="2"/>
        <v>0</v>
      </c>
      <c r="Y10" s="17">
        <f t="shared" si="2"/>
        <v>15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132</v>
      </c>
      <c r="AD10" s="17">
        <f t="shared" si="2"/>
        <v>1</v>
      </c>
      <c r="AE10" s="31">
        <f t="shared" si="2"/>
        <v>91</v>
      </c>
      <c r="AF10" s="31">
        <f t="shared" si="2"/>
        <v>223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0</v>
      </c>
      <c r="E11" s="50">
        <v>2</v>
      </c>
      <c r="F11" s="50">
        <v>10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33</v>
      </c>
      <c r="N11" s="50">
        <v>0</v>
      </c>
      <c r="O11" s="15">
        <f t="shared" si="0"/>
        <v>26</v>
      </c>
      <c r="P11" s="15">
        <f t="shared" si="1"/>
        <v>59</v>
      </c>
      <c r="R11" s="1" t="s">
        <v>7</v>
      </c>
      <c r="S11" s="17">
        <f t="shared" ref="S11:AF11" si="3">SUM(C14:C17)</f>
        <v>32</v>
      </c>
      <c r="T11" s="17">
        <f t="shared" si="3"/>
        <v>6</v>
      </c>
      <c r="U11" s="17">
        <f t="shared" si="3"/>
        <v>0</v>
      </c>
      <c r="V11" s="17">
        <f t="shared" si="3"/>
        <v>51</v>
      </c>
      <c r="W11" s="17">
        <f t="shared" si="3"/>
        <v>0</v>
      </c>
      <c r="X11" s="17">
        <f t="shared" si="3"/>
        <v>0</v>
      </c>
      <c r="Y11" s="17">
        <f t="shared" si="3"/>
        <v>13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123</v>
      </c>
      <c r="AD11" s="17">
        <f t="shared" si="3"/>
        <v>0</v>
      </c>
      <c r="AE11" s="31">
        <f t="shared" si="3"/>
        <v>104</v>
      </c>
      <c r="AF11" s="31">
        <f t="shared" si="3"/>
        <v>227</v>
      </c>
    </row>
    <row r="12" spans="2:32" ht="23.1" customHeight="1" x14ac:dyDescent="0.25">
      <c r="B12" s="23" t="s">
        <v>39</v>
      </c>
      <c r="C12" s="50">
        <v>10</v>
      </c>
      <c r="D12" s="50">
        <v>0</v>
      </c>
      <c r="E12" s="50">
        <v>0</v>
      </c>
      <c r="F12" s="50">
        <v>5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42</v>
      </c>
      <c r="N12" s="50">
        <v>1</v>
      </c>
      <c r="O12" s="15">
        <f t="shared" si="0"/>
        <v>18</v>
      </c>
      <c r="P12" s="15">
        <f t="shared" si="1"/>
        <v>60</v>
      </c>
      <c r="R12" s="1" t="s">
        <v>8</v>
      </c>
      <c r="S12" s="17">
        <f t="shared" ref="S12:AF12" si="4">SUM(C18:C21)</f>
        <v>32</v>
      </c>
      <c r="T12" s="17">
        <f t="shared" si="4"/>
        <v>9</v>
      </c>
      <c r="U12" s="17">
        <f t="shared" si="4"/>
        <v>10</v>
      </c>
      <c r="V12" s="17">
        <f t="shared" si="4"/>
        <v>39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127</v>
      </c>
      <c r="AD12" s="17">
        <f t="shared" si="4"/>
        <v>0</v>
      </c>
      <c r="AE12" s="31">
        <f t="shared" si="4"/>
        <v>101</v>
      </c>
      <c r="AF12" s="31">
        <f t="shared" si="4"/>
        <v>228</v>
      </c>
    </row>
    <row r="13" spans="2:32" ht="23.1" customHeight="1" x14ac:dyDescent="0.25">
      <c r="B13" s="23" t="s">
        <v>40</v>
      </c>
      <c r="C13" s="50">
        <v>10</v>
      </c>
      <c r="D13" s="50">
        <v>0</v>
      </c>
      <c r="E13" s="50">
        <v>2</v>
      </c>
      <c r="F13" s="50">
        <v>10</v>
      </c>
      <c r="G13" s="50">
        <v>1</v>
      </c>
      <c r="H13" s="50">
        <v>0</v>
      </c>
      <c r="I13" s="50">
        <v>10</v>
      </c>
      <c r="J13" s="50">
        <v>0</v>
      </c>
      <c r="K13" s="50">
        <v>0</v>
      </c>
      <c r="L13" s="50">
        <v>0</v>
      </c>
      <c r="M13" s="50">
        <v>31</v>
      </c>
      <c r="N13" s="50">
        <v>0</v>
      </c>
      <c r="O13" s="15">
        <f t="shared" si="0"/>
        <v>33</v>
      </c>
      <c r="P13" s="15">
        <f t="shared" si="1"/>
        <v>64</v>
      </c>
      <c r="R13" s="1" t="s">
        <v>9</v>
      </c>
      <c r="S13" s="17">
        <f t="shared" ref="S13:AF13" si="5">SUM(C22:C25)</f>
        <v>21</v>
      </c>
      <c r="T13" s="17">
        <f t="shared" si="5"/>
        <v>6</v>
      </c>
      <c r="U13" s="17">
        <f t="shared" si="5"/>
        <v>6</v>
      </c>
      <c r="V13" s="17">
        <f t="shared" si="5"/>
        <v>33</v>
      </c>
      <c r="W13" s="17">
        <f t="shared" si="5"/>
        <v>2</v>
      </c>
      <c r="X13" s="17">
        <f t="shared" si="5"/>
        <v>0</v>
      </c>
      <c r="Y13" s="17">
        <f t="shared" si="5"/>
        <v>10</v>
      </c>
      <c r="Z13" s="17">
        <f t="shared" si="5"/>
        <v>5</v>
      </c>
      <c r="AA13" s="17">
        <f t="shared" si="5"/>
        <v>0</v>
      </c>
      <c r="AB13" s="17">
        <f t="shared" si="5"/>
        <v>1</v>
      </c>
      <c r="AC13" s="17">
        <f t="shared" si="5"/>
        <v>99</v>
      </c>
      <c r="AD13" s="17">
        <f t="shared" si="5"/>
        <v>0</v>
      </c>
      <c r="AE13" s="31">
        <f t="shared" si="5"/>
        <v>84</v>
      </c>
      <c r="AF13" s="31">
        <f t="shared" si="5"/>
        <v>183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14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27</v>
      </c>
      <c r="N14" s="50">
        <v>0</v>
      </c>
      <c r="O14" s="15">
        <f t="shared" si="0"/>
        <v>20</v>
      </c>
      <c r="P14" s="15">
        <f t="shared" si="1"/>
        <v>47</v>
      </c>
      <c r="R14" s="1" t="s">
        <v>10</v>
      </c>
      <c r="S14" s="17">
        <f t="shared" ref="S14:AF14" si="6">SUM(C26:C29)</f>
        <v>13</v>
      </c>
      <c r="T14" s="17">
        <f t="shared" si="6"/>
        <v>4</v>
      </c>
      <c r="U14" s="17">
        <f t="shared" si="6"/>
        <v>7</v>
      </c>
      <c r="V14" s="17">
        <f t="shared" si="6"/>
        <v>41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4</v>
      </c>
      <c r="AA14" s="17">
        <f t="shared" si="6"/>
        <v>2</v>
      </c>
      <c r="AB14" s="17">
        <f t="shared" si="6"/>
        <v>0</v>
      </c>
      <c r="AC14" s="17">
        <f t="shared" si="6"/>
        <v>97</v>
      </c>
      <c r="AD14" s="17">
        <f t="shared" si="6"/>
        <v>0</v>
      </c>
      <c r="AE14" s="31">
        <f t="shared" si="6"/>
        <v>85</v>
      </c>
      <c r="AF14" s="31">
        <f t="shared" si="6"/>
        <v>182</v>
      </c>
    </row>
    <row r="15" spans="2:32" ht="23.1" customHeight="1" x14ac:dyDescent="0.25">
      <c r="B15" s="23" t="s">
        <v>42</v>
      </c>
      <c r="C15" s="50">
        <v>10</v>
      </c>
      <c r="D15" s="50">
        <v>1</v>
      </c>
      <c r="E15" s="50">
        <v>0</v>
      </c>
      <c r="F15" s="50">
        <v>16</v>
      </c>
      <c r="G15" s="50">
        <v>0</v>
      </c>
      <c r="H15" s="50">
        <v>0</v>
      </c>
      <c r="I15" s="50">
        <v>5</v>
      </c>
      <c r="J15" s="50">
        <v>1</v>
      </c>
      <c r="K15" s="50">
        <v>0</v>
      </c>
      <c r="L15" s="50">
        <v>0</v>
      </c>
      <c r="M15" s="50">
        <v>33</v>
      </c>
      <c r="N15" s="50">
        <v>0</v>
      </c>
      <c r="O15" s="15">
        <f t="shared" si="0"/>
        <v>33</v>
      </c>
      <c r="P15" s="15">
        <f t="shared" si="1"/>
        <v>66</v>
      </c>
      <c r="R15" s="1" t="s">
        <v>11</v>
      </c>
      <c r="S15" s="17">
        <f t="shared" ref="S15:AF15" si="7">SUM(C30:C33)</f>
        <v>30</v>
      </c>
      <c r="T15" s="17">
        <f t="shared" si="7"/>
        <v>4</v>
      </c>
      <c r="U15" s="17">
        <f t="shared" si="7"/>
        <v>3</v>
      </c>
      <c r="V15" s="17">
        <f t="shared" si="7"/>
        <v>30</v>
      </c>
      <c r="W15" s="17">
        <f t="shared" si="7"/>
        <v>0</v>
      </c>
      <c r="X15" s="17">
        <f t="shared" si="7"/>
        <v>0</v>
      </c>
      <c r="Y15" s="17">
        <f t="shared" si="7"/>
        <v>17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69</v>
      </c>
      <c r="AD15" s="17">
        <f t="shared" si="7"/>
        <v>0</v>
      </c>
      <c r="AE15" s="31">
        <f t="shared" si="7"/>
        <v>85</v>
      </c>
      <c r="AF15" s="31">
        <f t="shared" si="7"/>
        <v>154</v>
      </c>
    </row>
    <row r="16" spans="2:32" ht="23.1" customHeight="1" x14ac:dyDescent="0.25">
      <c r="B16" s="23" t="s">
        <v>43</v>
      </c>
      <c r="C16" s="50">
        <v>9</v>
      </c>
      <c r="D16" s="50">
        <v>3</v>
      </c>
      <c r="E16" s="50">
        <v>0</v>
      </c>
      <c r="F16" s="50">
        <v>11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35</v>
      </c>
      <c r="N16" s="50">
        <v>0</v>
      </c>
      <c r="O16" s="15">
        <f t="shared" si="0"/>
        <v>23</v>
      </c>
      <c r="P16" s="15">
        <f t="shared" si="1"/>
        <v>58</v>
      </c>
      <c r="R16" s="1" t="s">
        <v>12</v>
      </c>
      <c r="S16" s="17">
        <f t="shared" ref="S16:AF16" si="8">SUM(C34:C37)</f>
        <v>29</v>
      </c>
      <c r="T16" s="17">
        <f t="shared" si="8"/>
        <v>5</v>
      </c>
      <c r="U16" s="17">
        <f t="shared" si="8"/>
        <v>11</v>
      </c>
      <c r="V16" s="17">
        <f t="shared" si="8"/>
        <v>29</v>
      </c>
      <c r="W16" s="17">
        <f t="shared" si="8"/>
        <v>1</v>
      </c>
      <c r="X16" s="17">
        <f t="shared" si="8"/>
        <v>0</v>
      </c>
      <c r="Y16" s="17">
        <f t="shared" si="8"/>
        <v>16</v>
      </c>
      <c r="Z16" s="17">
        <f t="shared" si="8"/>
        <v>0</v>
      </c>
      <c r="AA16" s="17">
        <f t="shared" si="8"/>
        <v>1</v>
      </c>
      <c r="AB16" s="17">
        <f t="shared" si="8"/>
        <v>1</v>
      </c>
      <c r="AC16" s="17">
        <f t="shared" si="8"/>
        <v>118</v>
      </c>
      <c r="AD16" s="17">
        <f t="shared" si="8"/>
        <v>0</v>
      </c>
      <c r="AE16" s="31">
        <f t="shared" si="8"/>
        <v>93</v>
      </c>
      <c r="AF16" s="31">
        <f t="shared" si="8"/>
        <v>211</v>
      </c>
    </row>
    <row r="17" spans="2:32" ht="23.1" customHeight="1" x14ac:dyDescent="0.25">
      <c r="B17" s="23" t="s">
        <v>44</v>
      </c>
      <c r="C17" s="50">
        <v>11</v>
      </c>
      <c r="D17" s="50">
        <v>2</v>
      </c>
      <c r="E17" s="50">
        <v>0</v>
      </c>
      <c r="F17" s="50">
        <v>10</v>
      </c>
      <c r="G17" s="50">
        <v>0</v>
      </c>
      <c r="H17" s="50">
        <v>0</v>
      </c>
      <c r="I17" s="50">
        <v>4</v>
      </c>
      <c r="J17" s="50">
        <v>1</v>
      </c>
      <c r="K17" s="50">
        <v>0</v>
      </c>
      <c r="L17" s="50">
        <v>0</v>
      </c>
      <c r="M17" s="50">
        <v>28</v>
      </c>
      <c r="N17" s="50">
        <v>0</v>
      </c>
      <c r="O17" s="15">
        <f t="shared" si="0"/>
        <v>28</v>
      </c>
      <c r="P17" s="15">
        <f t="shared" si="1"/>
        <v>56</v>
      </c>
      <c r="R17" s="1" t="s">
        <v>13</v>
      </c>
      <c r="S17" s="17">
        <f t="shared" ref="S17:AF17" si="9">SUM(C38:C41)</f>
        <v>28</v>
      </c>
      <c r="T17" s="17">
        <f t="shared" si="9"/>
        <v>5</v>
      </c>
      <c r="U17" s="17">
        <f t="shared" si="9"/>
        <v>6</v>
      </c>
      <c r="V17" s="17">
        <f t="shared" si="9"/>
        <v>37</v>
      </c>
      <c r="W17" s="17">
        <f t="shared" si="9"/>
        <v>0</v>
      </c>
      <c r="X17" s="17">
        <f t="shared" si="9"/>
        <v>0</v>
      </c>
      <c r="Y17" s="17">
        <f t="shared" si="9"/>
        <v>14</v>
      </c>
      <c r="Z17" s="17">
        <f t="shared" si="9"/>
        <v>0</v>
      </c>
      <c r="AA17" s="17">
        <f t="shared" si="9"/>
        <v>3</v>
      </c>
      <c r="AB17" s="17">
        <f t="shared" si="9"/>
        <v>0</v>
      </c>
      <c r="AC17" s="17">
        <f t="shared" si="9"/>
        <v>90</v>
      </c>
      <c r="AD17" s="17">
        <f t="shared" si="9"/>
        <v>0</v>
      </c>
      <c r="AE17" s="31">
        <f t="shared" si="9"/>
        <v>93</v>
      </c>
      <c r="AF17" s="31">
        <f t="shared" si="9"/>
        <v>183</v>
      </c>
    </row>
    <row r="18" spans="2:32" ht="23.1" customHeight="1" x14ac:dyDescent="0.25">
      <c r="B18" s="23" t="s">
        <v>45</v>
      </c>
      <c r="C18" s="50">
        <v>6</v>
      </c>
      <c r="D18" s="50">
        <v>0</v>
      </c>
      <c r="E18" s="50">
        <v>2</v>
      </c>
      <c r="F18" s="50">
        <v>10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21</v>
      </c>
      <c r="P18" s="15">
        <f t="shared" si="1"/>
        <v>66</v>
      </c>
      <c r="R18" s="1" t="s">
        <v>14</v>
      </c>
      <c r="S18" s="17">
        <f t="shared" ref="S18:AF18" si="10">SUM(C42:C45)</f>
        <v>37</v>
      </c>
      <c r="T18" s="17">
        <f t="shared" si="10"/>
        <v>15</v>
      </c>
      <c r="U18" s="17">
        <f t="shared" si="10"/>
        <v>8</v>
      </c>
      <c r="V18" s="17">
        <f t="shared" si="10"/>
        <v>46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106</v>
      </c>
      <c r="AD18" s="17">
        <f t="shared" si="10"/>
        <v>0</v>
      </c>
      <c r="AE18" s="31">
        <f t="shared" si="10"/>
        <v>119</v>
      </c>
      <c r="AF18" s="31">
        <f t="shared" si="10"/>
        <v>225</v>
      </c>
    </row>
    <row r="19" spans="2:32" ht="23.1" customHeight="1" x14ac:dyDescent="0.25">
      <c r="B19" s="23" t="s">
        <v>46</v>
      </c>
      <c r="C19" s="50">
        <v>15</v>
      </c>
      <c r="D19" s="50">
        <v>4</v>
      </c>
      <c r="E19" s="50">
        <v>1</v>
      </c>
      <c r="F19" s="50">
        <v>7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22</v>
      </c>
      <c r="N19" s="50">
        <v>0</v>
      </c>
      <c r="O19" s="15">
        <f t="shared" si="0"/>
        <v>28</v>
      </c>
      <c r="P19" s="15">
        <f t="shared" si="1"/>
        <v>50</v>
      </c>
      <c r="R19" s="1" t="s">
        <v>15</v>
      </c>
      <c r="S19" s="17">
        <f t="shared" ref="S19:AF19" si="11">SUM(C46:C49)</f>
        <v>28</v>
      </c>
      <c r="T19" s="17">
        <f t="shared" si="11"/>
        <v>7</v>
      </c>
      <c r="U19" s="17">
        <f t="shared" si="11"/>
        <v>8</v>
      </c>
      <c r="V19" s="17">
        <f t="shared" si="11"/>
        <v>35</v>
      </c>
      <c r="W19" s="17">
        <f t="shared" si="11"/>
        <v>2</v>
      </c>
      <c r="X19" s="17">
        <f t="shared" si="11"/>
        <v>0</v>
      </c>
      <c r="Y19" s="17">
        <f t="shared" si="11"/>
        <v>11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104</v>
      </c>
      <c r="AD19" s="17">
        <f t="shared" si="11"/>
        <v>0</v>
      </c>
      <c r="AE19" s="31">
        <f t="shared" si="11"/>
        <v>96</v>
      </c>
      <c r="AF19" s="31">
        <f t="shared" si="11"/>
        <v>200</v>
      </c>
    </row>
    <row r="20" spans="2:32" ht="23.1" customHeight="1" x14ac:dyDescent="0.25">
      <c r="B20" s="23" t="s">
        <v>47</v>
      </c>
      <c r="C20" s="50">
        <v>6</v>
      </c>
      <c r="D20" s="50">
        <v>4</v>
      </c>
      <c r="E20" s="50">
        <v>6</v>
      </c>
      <c r="F20" s="50">
        <v>10</v>
      </c>
      <c r="G20" s="50">
        <v>0</v>
      </c>
      <c r="H20" s="50">
        <v>0</v>
      </c>
      <c r="I20" s="50">
        <v>5</v>
      </c>
      <c r="J20" s="50">
        <v>0</v>
      </c>
      <c r="K20" s="50">
        <v>0</v>
      </c>
      <c r="L20" s="50">
        <v>0</v>
      </c>
      <c r="M20" s="50">
        <v>30</v>
      </c>
      <c r="N20" s="50">
        <v>0</v>
      </c>
      <c r="O20" s="15">
        <f t="shared" si="0"/>
        <v>31</v>
      </c>
      <c r="P20" s="15">
        <f t="shared" si="1"/>
        <v>61</v>
      </c>
      <c r="R20" s="1" t="s">
        <v>16</v>
      </c>
      <c r="S20" s="17">
        <f t="shared" ref="S20:AF20" si="12">SUM(C50:C53)</f>
        <v>39</v>
      </c>
      <c r="T20" s="17">
        <f t="shared" si="12"/>
        <v>6</v>
      </c>
      <c r="U20" s="17">
        <f t="shared" si="12"/>
        <v>14</v>
      </c>
      <c r="V20" s="17">
        <f t="shared" si="12"/>
        <v>44</v>
      </c>
      <c r="W20" s="17">
        <f t="shared" si="12"/>
        <v>4</v>
      </c>
      <c r="X20" s="17">
        <f t="shared" si="12"/>
        <v>0</v>
      </c>
      <c r="Y20" s="17">
        <f t="shared" si="12"/>
        <v>8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127</v>
      </c>
      <c r="AD20" s="17">
        <f t="shared" si="12"/>
        <v>0</v>
      </c>
      <c r="AE20" s="31">
        <f t="shared" si="12"/>
        <v>119</v>
      </c>
      <c r="AF20" s="31">
        <f t="shared" si="12"/>
        <v>246</v>
      </c>
    </row>
    <row r="21" spans="2:32" ht="23.1" customHeight="1" x14ac:dyDescent="0.25">
      <c r="B21" s="23" t="s">
        <v>48</v>
      </c>
      <c r="C21" s="50">
        <v>5</v>
      </c>
      <c r="D21" s="50">
        <v>1</v>
      </c>
      <c r="E21" s="50">
        <v>1</v>
      </c>
      <c r="F21" s="50">
        <v>12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21</v>
      </c>
      <c r="P21" s="15">
        <f t="shared" si="1"/>
        <v>51</v>
      </c>
      <c r="R21" s="36" t="s">
        <v>20</v>
      </c>
      <c r="S21" s="34">
        <f t="shared" ref="S21:AF21" si="13">SUM(C54:C57)</f>
        <v>44</v>
      </c>
      <c r="T21" s="17">
        <f t="shared" si="13"/>
        <v>8</v>
      </c>
      <c r="U21" s="17">
        <f t="shared" si="13"/>
        <v>15</v>
      </c>
      <c r="V21" s="17">
        <f t="shared" si="13"/>
        <v>51</v>
      </c>
      <c r="W21" s="17">
        <f t="shared" si="13"/>
        <v>0</v>
      </c>
      <c r="X21" s="17">
        <f t="shared" si="13"/>
        <v>0</v>
      </c>
      <c r="Y21" s="17">
        <f t="shared" si="13"/>
        <v>10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123</v>
      </c>
      <c r="AD21" s="17">
        <f t="shared" si="13"/>
        <v>0</v>
      </c>
      <c r="AE21" s="31">
        <f t="shared" si="13"/>
        <v>133</v>
      </c>
      <c r="AF21" s="31">
        <f t="shared" si="13"/>
        <v>256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0</v>
      </c>
      <c r="F22" s="50">
        <v>7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22</v>
      </c>
      <c r="N22" s="50">
        <v>0</v>
      </c>
      <c r="O22" s="15">
        <f t="shared" si="0"/>
        <v>13</v>
      </c>
      <c r="P22" s="15">
        <f t="shared" si="1"/>
        <v>35</v>
      </c>
      <c r="R22" s="38" t="s">
        <v>90</v>
      </c>
      <c r="S22" s="39">
        <f>MAX(S10:S12)</f>
        <v>34</v>
      </c>
      <c r="T22" s="39">
        <f t="shared" ref="T22:AF22" si="14">MAX(T10:T12)</f>
        <v>9</v>
      </c>
      <c r="U22" s="39">
        <f t="shared" si="14"/>
        <v>10</v>
      </c>
      <c r="V22" s="39">
        <f t="shared" si="14"/>
        <v>51</v>
      </c>
      <c r="W22" s="39">
        <f t="shared" si="14"/>
        <v>2</v>
      </c>
      <c r="X22" s="39">
        <f t="shared" si="14"/>
        <v>0</v>
      </c>
      <c r="Y22" s="39">
        <f t="shared" si="14"/>
        <v>15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132</v>
      </c>
      <c r="AD22" s="39">
        <f t="shared" si="14"/>
        <v>1</v>
      </c>
      <c r="AE22" s="40">
        <f t="shared" si="14"/>
        <v>104</v>
      </c>
      <c r="AF22" s="40">
        <f t="shared" si="14"/>
        <v>228</v>
      </c>
    </row>
    <row r="23" spans="2:32" ht="23.1" customHeight="1" x14ac:dyDescent="0.25">
      <c r="B23" s="23" t="s">
        <v>50</v>
      </c>
      <c r="C23" s="50">
        <v>5</v>
      </c>
      <c r="D23" s="50">
        <v>2</v>
      </c>
      <c r="E23" s="50">
        <v>4</v>
      </c>
      <c r="F23" s="50">
        <v>9</v>
      </c>
      <c r="G23" s="50">
        <v>0</v>
      </c>
      <c r="H23" s="50">
        <v>0</v>
      </c>
      <c r="I23" s="50">
        <v>4</v>
      </c>
      <c r="J23" s="50">
        <v>2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26</v>
      </c>
      <c r="P23" s="15">
        <f t="shared" si="1"/>
        <v>44</v>
      </c>
      <c r="R23" s="38" t="s">
        <v>91</v>
      </c>
      <c r="S23" s="39">
        <f>MAX(S13:S18)</f>
        <v>37</v>
      </c>
      <c r="T23" s="39">
        <f t="shared" ref="T23:AF23" si="15">MAX(T13:T18)</f>
        <v>15</v>
      </c>
      <c r="U23" s="39">
        <f t="shared" si="15"/>
        <v>11</v>
      </c>
      <c r="V23" s="39">
        <f t="shared" si="15"/>
        <v>46</v>
      </c>
      <c r="W23" s="39">
        <f t="shared" si="15"/>
        <v>2</v>
      </c>
      <c r="X23" s="39">
        <f t="shared" si="15"/>
        <v>0</v>
      </c>
      <c r="Y23" s="39">
        <f t="shared" si="15"/>
        <v>17</v>
      </c>
      <c r="Z23" s="39">
        <f t="shared" si="15"/>
        <v>5</v>
      </c>
      <c r="AA23" s="39">
        <f t="shared" si="15"/>
        <v>3</v>
      </c>
      <c r="AB23" s="39">
        <f t="shared" si="15"/>
        <v>1</v>
      </c>
      <c r="AC23" s="39">
        <f t="shared" si="15"/>
        <v>118</v>
      </c>
      <c r="AD23" s="39">
        <f t="shared" si="15"/>
        <v>0</v>
      </c>
      <c r="AE23" s="40">
        <f t="shared" si="15"/>
        <v>119</v>
      </c>
      <c r="AF23" s="40">
        <f t="shared" si="15"/>
        <v>225</v>
      </c>
    </row>
    <row r="24" spans="2:32" ht="23.1" customHeight="1" x14ac:dyDescent="0.25">
      <c r="B24" s="23" t="s">
        <v>51</v>
      </c>
      <c r="C24" s="50">
        <v>4</v>
      </c>
      <c r="D24" s="50">
        <v>2</v>
      </c>
      <c r="E24" s="50">
        <v>2</v>
      </c>
      <c r="F24" s="50">
        <v>7</v>
      </c>
      <c r="G24" s="50">
        <v>2</v>
      </c>
      <c r="H24" s="50">
        <v>0</v>
      </c>
      <c r="I24" s="50">
        <v>1</v>
      </c>
      <c r="J24" s="50">
        <v>1</v>
      </c>
      <c r="K24" s="50">
        <v>0</v>
      </c>
      <c r="L24" s="50">
        <v>1</v>
      </c>
      <c r="M24" s="50">
        <v>25</v>
      </c>
      <c r="N24" s="50">
        <v>0</v>
      </c>
      <c r="O24" s="15">
        <f t="shared" si="0"/>
        <v>20</v>
      </c>
      <c r="P24" s="15">
        <f t="shared" si="1"/>
        <v>45</v>
      </c>
      <c r="R24" s="38" t="s">
        <v>92</v>
      </c>
      <c r="S24" s="39">
        <f>MAX(S19:S21)</f>
        <v>44</v>
      </c>
      <c r="T24" s="39">
        <f t="shared" ref="T24:AF24" si="16">MAX(T19:T21)</f>
        <v>8</v>
      </c>
      <c r="U24" s="39">
        <f t="shared" si="16"/>
        <v>15</v>
      </c>
      <c r="V24" s="39">
        <f t="shared" si="16"/>
        <v>51</v>
      </c>
      <c r="W24" s="39">
        <f t="shared" si="16"/>
        <v>4</v>
      </c>
      <c r="X24" s="39">
        <f t="shared" si="16"/>
        <v>0</v>
      </c>
      <c r="Y24" s="39">
        <f t="shared" si="16"/>
        <v>11</v>
      </c>
      <c r="Z24" s="39">
        <f t="shared" si="16"/>
        <v>5</v>
      </c>
      <c r="AA24" s="39">
        <f t="shared" si="16"/>
        <v>2</v>
      </c>
      <c r="AB24" s="39">
        <f t="shared" si="16"/>
        <v>0</v>
      </c>
      <c r="AC24" s="39">
        <f t="shared" si="16"/>
        <v>127</v>
      </c>
      <c r="AD24" s="39">
        <f t="shared" si="16"/>
        <v>0</v>
      </c>
      <c r="AE24" s="40">
        <f t="shared" si="16"/>
        <v>133</v>
      </c>
      <c r="AF24" s="40">
        <f t="shared" si="16"/>
        <v>256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0</v>
      </c>
      <c r="F25" s="50">
        <v>10</v>
      </c>
      <c r="G25" s="50">
        <v>0</v>
      </c>
      <c r="H25" s="50">
        <v>0</v>
      </c>
      <c r="I25" s="50">
        <v>4</v>
      </c>
      <c r="J25" s="50">
        <v>1</v>
      </c>
      <c r="K25" s="50">
        <v>0</v>
      </c>
      <c r="L25" s="50">
        <v>0</v>
      </c>
      <c r="M25" s="50">
        <v>34</v>
      </c>
      <c r="N25" s="50">
        <v>0</v>
      </c>
      <c r="O25" s="15">
        <f t="shared" si="0"/>
        <v>25</v>
      </c>
      <c r="P25" s="15">
        <f t="shared" si="1"/>
        <v>59</v>
      </c>
      <c r="R25" s="37" t="s">
        <v>85</v>
      </c>
      <c r="S25" s="35">
        <f t="shared" ref="S25:AF25" si="17">SUM(S10:S12)</f>
        <v>98</v>
      </c>
      <c r="T25" s="16">
        <f t="shared" si="17"/>
        <v>15</v>
      </c>
      <c r="U25" s="16">
        <f t="shared" si="17"/>
        <v>15</v>
      </c>
      <c r="V25" s="16">
        <f t="shared" si="17"/>
        <v>123</v>
      </c>
      <c r="W25" s="16">
        <f t="shared" si="17"/>
        <v>2</v>
      </c>
      <c r="X25" s="16">
        <f t="shared" si="17"/>
        <v>0</v>
      </c>
      <c r="Y25" s="16">
        <f t="shared" si="17"/>
        <v>39</v>
      </c>
      <c r="Z25" s="16">
        <f t="shared" si="17"/>
        <v>3</v>
      </c>
      <c r="AA25" s="16">
        <f t="shared" si="17"/>
        <v>0</v>
      </c>
      <c r="AB25" s="16">
        <f t="shared" si="17"/>
        <v>0</v>
      </c>
      <c r="AC25" s="16">
        <f t="shared" si="17"/>
        <v>382</v>
      </c>
      <c r="AD25" s="16">
        <f t="shared" si="17"/>
        <v>1</v>
      </c>
      <c r="AE25" s="32">
        <f t="shared" si="17"/>
        <v>296</v>
      </c>
      <c r="AF25" s="32">
        <f t="shared" si="17"/>
        <v>678</v>
      </c>
    </row>
    <row r="26" spans="2:32" ht="23.1" customHeight="1" x14ac:dyDescent="0.25">
      <c r="B26" s="23" t="s">
        <v>53</v>
      </c>
      <c r="C26" s="50">
        <v>6</v>
      </c>
      <c r="D26" s="50">
        <v>1</v>
      </c>
      <c r="E26" s="50">
        <v>1</v>
      </c>
      <c r="F26" s="50">
        <v>8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23</v>
      </c>
      <c r="N26" s="50">
        <v>0</v>
      </c>
      <c r="O26" s="15">
        <f t="shared" si="0"/>
        <v>20</v>
      </c>
      <c r="P26" s="15">
        <f t="shared" si="1"/>
        <v>43</v>
      </c>
      <c r="R26" s="28" t="s">
        <v>86</v>
      </c>
      <c r="S26" s="16">
        <f t="shared" ref="S26:AF26" si="18">SUM(S13:S18)</f>
        <v>158</v>
      </c>
      <c r="T26" s="16">
        <f t="shared" si="18"/>
        <v>39</v>
      </c>
      <c r="U26" s="16">
        <f t="shared" si="18"/>
        <v>41</v>
      </c>
      <c r="V26" s="16">
        <f t="shared" si="18"/>
        <v>216</v>
      </c>
      <c r="W26" s="16">
        <f t="shared" si="18"/>
        <v>3</v>
      </c>
      <c r="X26" s="16">
        <f t="shared" si="18"/>
        <v>0</v>
      </c>
      <c r="Y26" s="16">
        <f t="shared" si="18"/>
        <v>79</v>
      </c>
      <c r="Z26" s="16">
        <f t="shared" si="18"/>
        <v>13</v>
      </c>
      <c r="AA26" s="16">
        <f t="shared" si="18"/>
        <v>8</v>
      </c>
      <c r="AB26" s="16">
        <f t="shared" si="18"/>
        <v>2</v>
      </c>
      <c r="AC26" s="16">
        <f t="shared" si="18"/>
        <v>579</v>
      </c>
      <c r="AD26" s="16">
        <f t="shared" si="18"/>
        <v>0</v>
      </c>
      <c r="AE26" s="32">
        <f t="shared" si="18"/>
        <v>559</v>
      </c>
      <c r="AF26" s="32">
        <f t="shared" si="18"/>
        <v>1138</v>
      </c>
    </row>
    <row r="27" spans="2:32" ht="23.1" customHeight="1" x14ac:dyDescent="0.25">
      <c r="B27" s="23" t="s">
        <v>54</v>
      </c>
      <c r="C27" s="50">
        <v>2</v>
      </c>
      <c r="D27" s="50">
        <v>1</v>
      </c>
      <c r="E27" s="50">
        <v>3</v>
      </c>
      <c r="F27" s="50">
        <v>14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23</v>
      </c>
      <c r="N27" s="50">
        <v>0</v>
      </c>
      <c r="O27" s="15">
        <f t="shared" si="0"/>
        <v>24</v>
      </c>
      <c r="P27" s="15">
        <f t="shared" si="1"/>
        <v>47</v>
      </c>
      <c r="R27" s="29" t="s">
        <v>87</v>
      </c>
      <c r="S27" s="16">
        <f t="shared" ref="S27:AF27" si="19">SUM(S19:S21)</f>
        <v>111</v>
      </c>
      <c r="T27" s="16">
        <f t="shared" si="19"/>
        <v>21</v>
      </c>
      <c r="U27" s="16">
        <f t="shared" si="19"/>
        <v>37</v>
      </c>
      <c r="V27" s="16">
        <f t="shared" si="19"/>
        <v>130</v>
      </c>
      <c r="W27" s="16">
        <f t="shared" si="19"/>
        <v>6</v>
      </c>
      <c r="X27" s="16">
        <f t="shared" si="19"/>
        <v>0</v>
      </c>
      <c r="Y27" s="16">
        <f t="shared" si="19"/>
        <v>29</v>
      </c>
      <c r="Z27" s="16">
        <f t="shared" si="19"/>
        <v>11</v>
      </c>
      <c r="AA27" s="16">
        <f t="shared" si="19"/>
        <v>3</v>
      </c>
      <c r="AB27" s="16">
        <f t="shared" si="19"/>
        <v>0</v>
      </c>
      <c r="AC27" s="16">
        <f t="shared" si="19"/>
        <v>354</v>
      </c>
      <c r="AD27" s="16">
        <f t="shared" si="19"/>
        <v>0</v>
      </c>
      <c r="AE27" s="32">
        <f t="shared" si="19"/>
        <v>348</v>
      </c>
      <c r="AF27" s="32">
        <f t="shared" si="19"/>
        <v>702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1</v>
      </c>
      <c r="F28" s="50">
        <v>10</v>
      </c>
      <c r="G28" s="50">
        <v>0</v>
      </c>
      <c r="H28" s="50">
        <v>0</v>
      </c>
      <c r="I28" s="50">
        <v>6</v>
      </c>
      <c r="J28" s="50">
        <v>2</v>
      </c>
      <c r="K28" s="50">
        <v>1</v>
      </c>
      <c r="L28" s="50">
        <v>0</v>
      </c>
      <c r="M28" s="50">
        <v>25</v>
      </c>
      <c r="N28" s="50">
        <v>0</v>
      </c>
      <c r="O28" s="15">
        <f t="shared" si="0"/>
        <v>25</v>
      </c>
      <c r="P28" s="15">
        <f t="shared" si="1"/>
        <v>50</v>
      </c>
      <c r="R28" s="5" t="s">
        <v>17</v>
      </c>
      <c r="S28" s="16">
        <f t="shared" ref="S28:AF28" si="20">SUM(S10:S21)</f>
        <v>367</v>
      </c>
      <c r="T28" s="16">
        <f t="shared" si="20"/>
        <v>75</v>
      </c>
      <c r="U28" s="16">
        <f t="shared" si="20"/>
        <v>93</v>
      </c>
      <c r="V28" s="16">
        <f t="shared" si="20"/>
        <v>469</v>
      </c>
      <c r="W28" s="16">
        <f t="shared" si="20"/>
        <v>11</v>
      </c>
      <c r="X28" s="16">
        <f t="shared" si="20"/>
        <v>0</v>
      </c>
      <c r="Y28" s="16">
        <f t="shared" si="20"/>
        <v>147</v>
      </c>
      <c r="Z28" s="16">
        <f t="shared" si="20"/>
        <v>27</v>
      </c>
      <c r="AA28" s="16">
        <f t="shared" si="20"/>
        <v>11</v>
      </c>
      <c r="AB28" s="16">
        <f t="shared" si="20"/>
        <v>2</v>
      </c>
      <c r="AC28" s="16">
        <f t="shared" si="20"/>
        <v>1315</v>
      </c>
      <c r="AD28" s="16">
        <f t="shared" si="20"/>
        <v>1</v>
      </c>
      <c r="AE28" s="32">
        <f t="shared" si="20"/>
        <v>1203</v>
      </c>
      <c r="AF28" s="32">
        <f t="shared" si="20"/>
        <v>2518</v>
      </c>
    </row>
    <row r="29" spans="2:32" ht="23.1" customHeight="1" x14ac:dyDescent="0.25">
      <c r="B29" s="23" t="s">
        <v>56</v>
      </c>
      <c r="C29" s="50">
        <v>1</v>
      </c>
      <c r="D29" s="50">
        <v>1</v>
      </c>
      <c r="E29" s="50">
        <v>2</v>
      </c>
      <c r="F29" s="50">
        <v>9</v>
      </c>
      <c r="G29" s="50">
        <v>0</v>
      </c>
      <c r="H29" s="50">
        <v>0</v>
      </c>
      <c r="I29" s="50">
        <v>0</v>
      </c>
      <c r="J29" s="50">
        <v>2</v>
      </c>
      <c r="K29" s="50">
        <v>1</v>
      </c>
      <c r="L29" s="50">
        <v>0</v>
      </c>
      <c r="M29" s="50">
        <v>26</v>
      </c>
      <c r="N29" s="50">
        <v>0</v>
      </c>
      <c r="O29" s="15">
        <f t="shared" si="0"/>
        <v>16</v>
      </c>
      <c r="P29" s="15">
        <f t="shared" si="1"/>
        <v>42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2</v>
      </c>
      <c r="E30" s="50">
        <v>1</v>
      </c>
      <c r="F30" s="50">
        <v>7</v>
      </c>
      <c r="G30" s="50">
        <v>0</v>
      </c>
      <c r="H30" s="50">
        <v>0</v>
      </c>
      <c r="I30" s="50">
        <v>7</v>
      </c>
      <c r="J30" s="50">
        <v>0</v>
      </c>
      <c r="K30" s="50">
        <v>1</v>
      </c>
      <c r="L30" s="50">
        <v>0</v>
      </c>
      <c r="M30" s="50">
        <v>21</v>
      </c>
      <c r="N30" s="50">
        <v>0</v>
      </c>
      <c r="O30" s="15">
        <f t="shared" si="0"/>
        <v>23</v>
      </c>
      <c r="P30" s="15">
        <f t="shared" si="1"/>
        <v>44</v>
      </c>
    </row>
    <row r="31" spans="2:32" ht="23.1" customHeight="1" x14ac:dyDescent="0.25">
      <c r="B31" s="24" t="s">
        <v>58</v>
      </c>
      <c r="C31" s="50">
        <v>6</v>
      </c>
      <c r="D31" s="50">
        <v>0</v>
      </c>
      <c r="E31" s="50">
        <v>1</v>
      </c>
      <c r="F31" s="50">
        <v>7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16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11</v>
      </c>
      <c r="D32" s="50">
        <v>1</v>
      </c>
      <c r="E32" s="50">
        <v>0</v>
      </c>
      <c r="F32" s="50">
        <v>10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26</v>
      </c>
      <c r="P32" s="15">
        <f t="shared" si="1"/>
        <v>41</v>
      </c>
    </row>
    <row r="33" spans="2:20" ht="23.1" customHeight="1" x14ac:dyDescent="0.25">
      <c r="B33" s="23" t="s">
        <v>60</v>
      </c>
      <c r="C33" s="50">
        <v>8</v>
      </c>
      <c r="D33" s="50">
        <v>1</v>
      </c>
      <c r="E33" s="50">
        <v>1</v>
      </c>
      <c r="F33" s="50">
        <v>6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0</v>
      </c>
      <c r="M33" s="50">
        <v>13</v>
      </c>
      <c r="N33" s="50">
        <v>0</v>
      </c>
      <c r="O33" s="15">
        <f t="shared" si="0"/>
        <v>20</v>
      </c>
      <c r="P33" s="15">
        <f t="shared" si="1"/>
        <v>33</v>
      </c>
    </row>
    <row r="34" spans="2:20" ht="23.1" customHeight="1" x14ac:dyDescent="0.25">
      <c r="B34" s="24" t="s">
        <v>61</v>
      </c>
      <c r="C34" s="50">
        <v>8</v>
      </c>
      <c r="D34" s="50">
        <v>3</v>
      </c>
      <c r="E34" s="50">
        <v>2</v>
      </c>
      <c r="F34" s="50">
        <v>5</v>
      </c>
      <c r="G34" s="50">
        <v>0</v>
      </c>
      <c r="H34" s="50">
        <v>0</v>
      </c>
      <c r="I34" s="50">
        <v>6</v>
      </c>
      <c r="J34" s="50">
        <v>0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24</v>
      </c>
      <c r="P34" s="15">
        <f t="shared" si="1"/>
        <v>54</v>
      </c>
    </row>
    <row r="35" spans="2:20" ht="23.1" customHeight="1" x14ac:dyDescent="0.25">
      <c r="B35" s="24" t="s">
        <v>62</v>
      </c>
      <c r="C35" s="50">
        <v>6</v>
      </c>
      <c r="D35" s="50">
        <v>0</v>
      </c>
      <c r="E35" s="50">
        <v>4</v>
      </c>
      <c r="F35" s="50">
        <v>11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28</v>
      </c>
      <c r="N35" s="50">
        <v>0</v>
      </c>
      <c r="O35" s="15">
        <f t="shared" si="0"/>
        <v>23</v>
      </c>
      <c r="P35" s="15">
        <f t="shared" si="1"/>
        <v>51</v>
      </c>
    </row>
    <row r="36" spans="2:20" ht="23.1" customHeight="1" x14ac:dyDescent="0.25">
      <c r="B36" s="24" t="s">
        <v>63</v>
      </c>
      <c r="C36" s="50">
        <v>8</v>
      </c>
      <c r="D36" s="50">
        <v>1</v>
      </c>
      <c r="E36" s="50">
        <v>0</v>
      </c>
      <c r="F36" s="50">
        <v>8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0</v>
      </c>
      <c r="M36" s="50">
        <v>32</v>
      </c>
      <c r="N36" s="50">
        <v>0</v>
      </c>
      <c r="O36" s="15">
        <f t="shared" si="0"/>
        <v>21</v>
      </c>
      <c r="P36" s="15">
        <f t="shared" si="1"/>
        <v>53</v>
      </c>
    </row>
    <row r="37" spans="2:20" ht="23.1" customHeight="1" x14ac:dyDescent="0.25">
      <c r="B37" s="23" t="s">
        <v>64</v>
      </c>
      <c r="C37" s="50">
        <v>7</v>
      </c>
      <c r="D37" s="50">
        <v>1</v>
      </c>
      <c r="E37" s="50">
        <v>5</v>
      </c>
      <c r="F37" s="50">
        <v>5</v>
      </c>
      <c r="G37" s="50">
        <v>1</v>
      </c>
      <c r="H37" s="50">
        <v>0</v>
      </c>
      <c r="I37" s="50">
        <v>4</v>
      </c>
      <c r="J37" s="50">
        <v>0</v>
      </c>
      <c r="K37" s="50">
        <v>1</v>
      </c>
      <c r="L37" s="50">
        <v>1</v>
      </c>
      <c r="M37" s="50">
        <v>28</v>
      </c>
      <c r="N37" s="50">
        <v>0</v>
      </c>
      <c r="O37" s="15">
        <f t="shared" si="0"/>
        <v>25</v>
      </c>
      <c r="P37" s="15">
        <f t="shared" si="1"/>
        <v>53</v>
      </c>
    </row>
    <row r="38" spans="2:20" ht="23.1" customHeight="1" x14ac:dyDescent="0.25">
      <c r="B38" s="24" t="s">
        <v>65</v>
      </c>
      <c r="C38" s="50">
        <v>9</v>
      </c>
      <c r="D38" s="50">
        <v>2</v>
      </c>
      <c r="E38" s="50">
        <v>1</v>
      </c>
      <c r="F38" s="50">
        <v>10</v>
      </c>
      <c r="G38" s="50">
        <v>0</v>
      </c>
      <c r="H38" s="50">
        <v>0</v>
      </c>
      <c r="I38" s="50">
        <v>6</v>
      </c>
      <c r="J38" s="50">
        <v>0</v>
      </c>
      <c r="K38" s="50">
        <v>1</v>
      </c>
      <c r="L38" s="50">
        <v>0</v>
      </c>
      <c r="M38" s="50">
        <v>16</v>
      </c>
      <c r="N38" s="50">
        <v>0</v>
      </c>
      <c r="O38" s="15">
        <f t="shared" si="0"/>
        <v>29</v>
      </c>
      <c r="P38" s="15">
        <f t="shared" si="1"/>
        <v>45</v>
      </c>
    </row>
    <row r="39" spans="2:20" ht="23.1" customHeight="1" x14ac:dyDescent="0.25">
      <c r="B39" s="24" t="s">
        <v>66</v>
      </c>
      <c r="C39" s="50">
        <v>10</v>
      </c>
      <c r="D39" s="50">
        <v>2</v>
      </c>
      <c r="E39" s="50">
        <v>1</v>
      </c>
      <c r="F39" s="50">
        <v>9</v>
      </c>
      <c r="G39" s="50">
        <v>0</v>
      </c>
      <c r="H39" s="50">
        <v>0</v>
      </c>
      <c r="I39" s="50">
        <v>6</v>
      </c>
      <c r="J39" s="50">
        <v>0</v>
      </c>
      <c r="K39" s="50">
        <v>1</v>
      </c>
      <c r="L39" s="50">
        <v>0</v>
      </c>
      <c r="M39" s="50">
        <v>17</v>
      </c>
      <c r="N39" s="50">
        <v>0</v>
      </c>
      <c r="O39" s="15">
        <f t="shared" si="0"/>
        <v>29</v>
      </c>
      <c r="P39" s="15">
        <f t="shared" si="1"/>
        <v>46</v>
      </c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2</v>
      </c>
      <c r="F40" s="50">
        <v>6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31</v>
      </c>
      <c r="N40" s="50">
        <v>0</v>
      </c>
      <c r="O40" s="15">
        <f t="shared" si="0"/>
        <v>14</v>
      </c>
      <c r="P40" s="15">
        <f t="shared" si="1"/>
        <v>45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2</v>
      </c>
      <c r="F41" s="50">
        <v>12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26</v>
      </c>
      <c r="N41" s="50">
        <v>0</v>
      </c>
      <c r="O41" s="15">
        <f t="shared" si="0"/>
        <v>21</v>
      </c>
      <c r="P41" s="15">
        <f t="shared" si="1"/>
        <v>47</v>
      </c>
    </row>
    <row r="42" spans="2:20" ht="23.1" customHeight="1" x14ac:dyDescent="0.25">
      <c r="B42" s="24" t="s">
        <v>69</v>
      </c>
      <c r="C42" s="50">
        <v>4</v>
      </c>
      <c r="D42" s="50">
        <v>6</v>
      </c>
      <c r="E42" s="50">
        <v>2</v>
      </c>
      <c r="F42" s="50">
        <v>14</v>
      </c>
      <c r="G42" s="50">
        <v>0</v>
      </c>
      <c r="H42" s="50">
        <v>0</v>
      </c>
      <c r="I42" s="50">
        <v>2</v>
      </c>
      <c r="J42" s="50">
        <v>0</v>
      </c>
      <c r="K42" s="50">
        <v>1</v>
      </c>
      <c r="L42" s="50">
        <v>0</v>
      </c>
      <c r="M42" s="50">
        <v>17</v>
      </c>
      <c r="N42" s="50">
        <v>0</v>
      </c>
      <c r="O42" s="15">
        <f t="shared" si="0"/>
        <v>29</v>
      </c>
      <c r="P42" s="15">
        <f t="shared" si="1"/>
        <v>46</v>
      </c>
    </row>
    <row r="43" spans="2:20" ht="23.1" customHeight="1" x14ac:dyDescent="0.25">
      <c r="B43" s="23" t="s">
        <v>70</v>
      </c>
      <c r="C43" s="50">
        <v>14</v>
      </c>
      <c r="D43" s="50">
        <v>6</v>
      </c>
      <c r="E43" s="50">
        <v>1</v>
      </c>
      <c r="F43" s="50">
        <v>12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0</v>
      </c>
      <c r="M43" s="50">
        <v>36</v>
      </c>
      <c r="N43" s="50">
        <v>0</v>
      </c>
      <c r="O43" s="15">
        <f t="shared" si="0"/>
        <v>36</v>
      </c>
      <c r="P43" s="15">
        <f t="shared" si="1"/>
        <v>72</v>
      </c>
    </row>
    <row r="44" spans="2:20" ht="23.1" customHeight="1" x14ac:dyDescent="0.25">
      <c r="B44" s="25" t="s">
        <v>71</v>
      </c>
      <c r="C44" s="50">
        <v>8</v>
      </c>
      <c r="D44" s="50">
        <v>2</v>
      </c>
      <c r="E44" s="50">
        <v>3</v>
      </c>
      <c r="F44" s="50">
        <v>9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0</v>
      </c>
      <c r="M44" s="50">
        <v>32</v>
      </c>
      <c r="N44" s="50">
        <v>0</v>
      </c>
      <c r="O44" s="15">
        <f t="shared" si="0"/>
        <v>27</v>
      </c>
      <c r="P44" s="15">
        <f t="shared" si="1"/>
        <v>59</v>
      </c>
    </row>
    <row r="45" spans="2:20" ht="23.1" customHeight="1" x14ac:dyDescent="0.25">
      <c r="B45" s="23" t="s">
        <v>72</v>
      </c>
      <c r="C45" s="50">
        <v>11</v>
      </c>
      <c r="D45" s="50">
        <v>1</v>
      </c>
      <c r="E45" s="50">
        <v>2</v>
      </c>
      <c r="F45" s="50">
        <v>11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27</v>
      </c>
      <c r="P45" s="15">
        <f t="shared" si="1"/>
        <v>48</v>
      </c>
    </row>
    <row r="46" spans="2:20" ht="23.1" customHeight="1" x14ac:dyDescent="0.25">
      <c r="B46" s="24" t="s">
        <v>73</v>
      </c>
      <c r="C46" s="50">
        <v>9</v>
      </c>
      <c r="D46" s="50">
        <v>3</v>
      </c>
      <c r="E46" s="50">
        <v>1</v>
      </c>
      <c r="F46" s="50">
        <v>10</v>
      </c>
      <c r="G46" s="50">
        <v>0</v>
      </c>
      <c r="H46" s="50">
        <v>0</v>
      </c>
      <c r="I46" s="50">
        <v>2</v>
      </c>
      <c r="J46" s="50">
        <v>0</v>
      </c>
      <c r="K46" s="50">
        <v>1</v>
      </c>
      <c r="L46" s="50">
        <v>0</v>
      </c>
      <c r="M46" s="50">
        <v>25</v>
      </c>
      <c r="N46" s="50">
        <v>0</v>
      </c>
      <c r="O46" s="15">
        <f t="shared" si="0"/>
        <v>26</v>
      </c>
      <c r="P46" s="15">
        <f t="shared" si="1"/>
        <v>51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2</v>
      </c>
      <c r="E47" s="50">
        <v>2</v>
      </c>
      <c r="F47" s="50">
        <v>8</v>
      </c>
      <c r="G47" s="50">
        <v>1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23</v>
      </c>
      <c r="P47" s="15">
        <f t="shared" si="1"/>
        <v>48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1</v>
      </c>
      <c r="E48" s="50">
        <v>2</v>
      </c>
      <c r="F48" s="50">
        <v>9</v>
      </c>
      <c r="G48" s="50">
        <v>1</v>
      </c>
      <c r="H48" s="50">
        <v>0</v>
      </c>
      <c r="I48" s="50">
        <v>3</v>
      </c>
      <c r="J48" s="50">
        <v>1</v>
      </c>
      <c r="K48" s="50">
        <v>1</v>
      </c>
      <c r="L48" s="50">
        <v>0</v>
      </c>
      <c r="M48" s="50">
        <v>27</v>
      </c>
      <c r="N48" s="50">
        <v>0</v>
      </c>
      <c r="O48" s="15">
        <f t="shared" si="0"/>
        <v>29</v>
      </c>
      <c r="P48" s="15">
        <f t="shared" si="1"/>
        <v>56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1</v>
      </c>
      <c r="E49" s="50">
        <v>3</v>
      </c>
      <c r="F49" s="50">
        <v>8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27</v>
      </c>
      <c r="N49" s="50">
        <v>0</v>
      </c>
      <c r="O49" s="15">
        <f t="shared" si="0"/>
        <v>18</v>
      </c>
      <c r="P49" s="15">
        <f t="shared" si="1"/>
        <v>45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2</v>
      </c>
      <c r="E50" s="50">
        <v>3</v>
      </c>
      <c r="F50" s="50">
        <v>12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27</v>
      </c>
      <c r="N50" s="50">
        <v>0</v>
      </c>
      <c r="O50" s="15">
        <f t="shared" si="0"/>
        <v>25</v>
      </c>
      <c r="P50" s="15">
        <f t="shared" si="1"/>
        <v>52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3</v>
      </c>
      <c r="E51" s="50">
        <v>4</v>
      </c>
      <c r="F51" s="50">
        <v>16</v>
      </c>
      <c r="G51" s="50">
        <v>2</v>
      </c>
      <c r="H51" s="50">
        <v>0</v>
      </c>
      <c r="I51" s="50">
        <v>3</v>
      </c>
      <c r="J51" s="50">
        <v>1</v>
      </c>
      <c r="K51" s="50">
        <v>0</v>
      </c>
      <c r="L51" s="50">
        <v>0</v>
      </c>
      <c r="M51" s="50">
        <v>40</v>
      </c>
      <c r="N51" s="50">
        <v>0</v>
      </c>
      <c r="O51" s="15">
        <f t="shared" si="0"/>
        <v>39</v>
      </c>
      <c r="P51" s="15">
        <f t="shared" si="1"/>
        <v>79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1</v>
      </c>
      <c r="E52" s="50">
        <v>3</v>
      </c>
      <c r="F52" s="50">
        <v>9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29</v>
      </c>
      <c r="N52" s="50">
        <v>0</v>
      </c>
      <c r="O52" s="15">
        <f t="shared" si="0"/>
        <v>26</v>
      </c>
      <c r="P52" s="15">
        <f t="shared" si="1"/>
        <v>55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0</v>
      </c>
      <c r="E53" s="50">
        <v>4</v>
      </c>
      <c r="F53" s="50">
        <v>7</v>
      </c>
      <c r="G53" s="50">
        <v>2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31</v>
      </c>
      <c r="N53" s="50">
        <v>0</v>
      </c>
      <c r="O53" s="15">
        <f t="shared" si="0"/>
        <v>29</v>
      </c>
      <c r="P53" s="15">
        <f t="shared" si="1"/>
        <v>60</v>
      </c>
      <c r="R53" s="8"/>
      <c r="T53"/>
    </row>
    <row r="54" spans="2:20" ht="23.1" customHeight="1" x14ac:dyDescent="0.25">
      <c r="B54" s="23" t="s">
        <v>81</v>
      </c>
      <c r="C54" s="50">
        <v>15</v>
      </c>
      <c r="D54" s="50">
        <v>0</v>
      </c>
      <c r="E54" s="50">
        <v>6</v>
      </c>
      <c r="F54" s="50">
        <v>16</v>
      </c>
      <c r="G54" s="50">
        <v>0</v>
      </c>
      <c r="H54" s="50">
        <v>0</v>
      </c>
      <c r="I54" s="50">
        <v>3</v>
      </c>
      <c r="J54" s="50">
        <v>3</v>
      </c>
      <c r="K54" s="50">
        <v>0</v>
      </c>
      <c r="L54" s="50">
        <v>0</v>
      </c>
      <c r="M54" s="50">
        <v>33</v>
      </c>
      <c r="N54" s="50">
        <v>0</v>
      </c>
      <c r="O54" s="15">
        <f t="shared" si="0"/>
        <v>43</v>
      </c>
      <c r="P54" s="15">
        <f t="shared" si="1"/>
        <v>76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1</v>
      </c>
      <c r="E55" s="50">
        <v>4</v>
      </c>
      <c r="F55" s="50">
        <v>9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27</v>
      </c>
      <c r="N55" s="50">
        <v>0</v>
      </c>
      <c r="O55" s="15">
        <f t="shared" si="0"/>
        <v>27</v>
      </c>
      <c r="P55" s="15">
        <f t="shared" si="1"/>
        <v>54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4</v>
      </c>
      <c r="E56" s="50">
        <v>2</v>
      </c>
      <c r="F56" s="50">
        <v>12</v>
      </c>
      <c r="G56" s="50">
        <v>0</v>
      </c>
      <c r="H56" s="50">
        <v>0</v>
      </c>
      <c r="I56" s="50">
        <v>3</v>
      </c>
      <c r="J56" s="50">
        <v>2</v>
      </c>
      <c r="K56" s="50">
        <v>0</v>
      </c>
      <c r="L56" s="50">
        <v>0</v>
      </c>
      <c r="M56" s="50">
        <v>26</v>
      </c>
      <c r="N56" s="50">
        <v>0</v>
      </c>
      <c r="O56" s="15">
        <f t="shared" si="0"/>
        <v>31</v>
      </c>
      <c r="P56" s="15">
        <f t="shared" si="1"/>
        <v>57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3</v>
      </c>
      <c r="E57" s="50">
        <v>3</v>
      </c>
      <c r="F57" s="50">
        <v>14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37</v>
      </c>
      <c r="N57" s="50">
        <v>0</v>
      </c>
      <c r="O57" s="15">
        <f t="shared" si="0"/>
        <v>32</v>
      </c>
      <c r="P57" s="15">
        <f t="shared" si="1"/>
        <v>69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367</v>
      </c>
      <c r="D58" s="16">
        <f t="shared" si="21"/>
        <v>75</v>
      </c>
      <c r="E58" s="16">
        <f t="shared" si="21"/>
        <v>93</v>
      </c>
      <c r="F58" s="16">
        <f t="shared" si="21"/>
        <v>469</v>
      </c>
      <c r="G58" s="16">
        <f t="shared" si="21"/>
        <v>11</v>
      </c>
      <c r="H58" s="16">
        <f t="shared" si="21"/>
        <v>0</v>
      </c>
      <c r="I58" s="16">
        <f t="shared" si="21"/>
        <v>147</v>
      </c>
      <c r="J58" s="16">
        <f t="shared" si="21"/>
        <v>27</v>
      </c>
      <c r="K58" s="16">
        <f t="shared" si="21"/>
        <v>11</v>
      </c>
      <c r="L58" s="16">
        <f t="shared" si="21"/>
        <v>2</v>
      </c>
      <c r="M58" s="16">
        <f t="shared" si="21"/>
        <v>1315</v>
      </c>
      <c r="N58" s="16">
        <f t="shared" si="21"/>
        <v>1</v>
      </c>
      <c r="O58" s="16">
        <f t="shared" si="21"/>
        <v>1203</v>
      </c>
      <c r="P58" s="16">
        <f t="shared" si="21"/>
        <v>2518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0.14575059571088164</v>
      </c>
      <c r="D59" s="43">
        <f t="shared" si="22"/>
        <v>2.9785544082605243E-2</v>
      </c>
      <c r="E59" s="43">
        <f t="shared" si="22"/>
        <v>3.6934074662430504E-2</v>
      </c>
      <c r="F59" s="43">
        <f t="shared" si="22"/>
        <v>0.18625893566322479</v>
      </c>
      <c r="G59" s="43">
        <f t="shared" si="22"/>
        <v>4.368546465448769E-3</v>
      </c>
      <c r="H59" s="43">
        <f t="shared" si="22"/>
        <v>0</v>
      </c>
      <c r="I59" s="43">
        <f t="shared" si="22"/>
        <v>5.8379666401906276E-2</v>
      </c>
      <c r="J59" s="43">
        <f t="shared" si="22"/>
        <v>1.0722795869737888E-2</v>
      </c>
      <c r="K59" s="43">
        <f t="shared" si="22"/>
        <v>4.368546465448769E-3</v>
      </c>
      <c r="L59" s="43">
        <f t="shared" si="22"/>
        <v>7.9428117553613975E-4</v>
      </c>
      <c r="M59" s="43">
        <f t="shared" si="22"/>
        <v>0.52223987291501195</v>
      </c>
      <c r="N59" s="43">
        <f t="shared" si="22"/>
        <v>3.9714058776806987E-4</v>
      </c>
      <c r="R59" s="8"/>
      <c r="T59"/>
    </row>
    <row r="60" spans="2:20" ht="23.1" customHeight="1" x14ac:dyDescent="0.25">
      <c r="B60" s="42" t="s">
        <v>94</v>
      </c>
      <c r="C60" s="44">
        <f>C58/$O$58</f>
        <v>0.30507065669160432</v>
      </c>
      <c r="D60" s="44">
        <f t="shared" ref="D60:N60" si="23">D58/$O$58</f>
        <v>6.2344139650872821E-2</v>
      </c>
      <c r="E60" s="44">
        <f t="shared" si="23"/>
        <v>7.7306733167082295E-2</v>
      </c>
      <c r="F60" s="44">
        <f t="shared" si="23"/>
        <v>0.38985868661679135</v>
      </c>
      <c r="G60" s="44">
        <f t="shared" si="23"/>
        <v>9.14380714879468E-3</v>
      </c>
      <c r="H60" s="44">
        <f t="shared" si="23"/>
        <v>0</v>
      </c>
      <c r="I60" s="44">
        <f t="shared" si="23"/>
        <v>0.12219451371571072</v>
      </c>
      <c r="J60" s="44">
        <f t="shared" si="23"/>
        <v>2.2443890274314215E-2</v>
      </c>
      <c r="K60" s="44">
        <f t="shared" si="23"/>
        <v>9.14380714879468E-3</v>
      </c>
      <c r="L60" s="44">
        <f t="shared" si="23"/>
        <v>1.6625103906899418E-3</v>
      </c>
      <c r="M60" s="44"/>
      <c r="N60" s="44">
        <f t="shared" si="23"/>
        <v>8.3125519534497092E-4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G76" zoomScale="60" workbookViewId="0">
      <selection activeCell="U79" sqref="U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1" t="str">
        <f>'4.11 KALAGI-MUKONO'!C3:G3</f>
        <v>MCC - C2 - STN075- KALAGI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4" t="s">
        <v>162</v>
      </c>
      <c r="E5" s="65"/>
      <c r="F5" s="41" t="s">
        <v>1</v>
      </c>
      <c r="G5" s="62" t="str">
        <f>'4.11 MUKONO-KALAGI'!G5:H5</f>
        <v>KABEMBE</v>
      </c>
      <c r="H5" s="63"/>
      <c r="I5" s="14"/>
      <c r="J5" s="2" t="s">
        <v>5</v>
      </c>
      <c r="K5" s="62" t="str">
        <f>'4.11 MUKONO-KALAGI'!K5:L5</f>
        <v>RACHEAL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'4.11 MUKONO-KALAGI'!D6:E6</f>
        <v>MUKONO</v>
      </c>
      <c r="E6" s="63"/>
      <c r="F6" s="2" t="s">
        <v>2</v>
      </c>
      <c r="G6" s="62" t="str">
        <f>'4.11 MUKONO-KALAGI'!G6:H6</f>
        <v>KALAGI</v>
      </c>
      <c r="H6" s="63"/>
      <c r="J6" s="2" t="s">
        <v>21</v>
      </c>
      <c r="K6" s="62" t="str">
        <f>'4.11 MUKONO-KALAGI'!K6:L6</f>
        <v>BEATRICE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AVERAGE('29.10 MUKONO-KALAGI'!C10,'30.10 MUKONO-KALAGI'!C10,'1.11 MUKONO-KALAGI'!C10,'3.11 MUKONO-KALAGI'!C10,'31.10 MUKONO-KALAGI-24h'!C10,'2.11 MUKONO-KALAGI-24h'!C10,'4.11 MUKONO-KALAGI'!C10)</f>
        <v>3.5714285714285716</v>
      </c>
      <c r="D10" s="49">
        <f>AVERAGE('29.10 MUKONO-KALAGI'!D10,'30.10 MUKONO-KALAGI'!D10,'1.11 MUKONO-KALAGI'!D10,'3.11 MUKONO-KALAGI'!D10,'31.10 MUKONO-KALAGI-24h'!D10,'2.11 MUKONO-KALAGI-24h'!D10,'4.11 MUKONO-KALAGI'!D10)</f>
        <v>1.4285714285714286</v>
      </c>
      <c r="E10" s="49">
        <f>AVERAGE('29.10 MUKONO-KALAGI'!E10,'30.10 MUKONO-KALAGI'!E10,'1.11 MUKONO-KALAGI'!E10,'3.11 MUKONO-KALAGI'!E10,'31.10 MUKONO-KALAGI-24h'!E10,'2.11 MUKONO-KALAGI-24h'!E10,'4.11 MUKONO-KALAGI'!E10)</f>
        <v>1</v>
      </c>
      <c r="F10" s="49">
        <f>AVERAGE('29.10 MUKONO-KALAGI'!F10,'30.10 MUKONO-KALAGI'!F10,'1.11 MUKONO-KALAGI'!F10,'3.11 MUKONO-KALAGI'!F10,'31.10 MUKONO-KALAGI-24h'!F10,'2.11 MUKONO-KALAGI-24h'!F10,'4.11 MUKONO-KALAGI'!F10)</f>
        <v>7.8571428571428568</v>
      </c>
      <c r="G10" s="49">
        <f>AVERAGE('29.10 MUKONO-KALAGI'!G10,'30.10 MUKONO-KALAGI'!G10,'1.11 MUKONO-KALAGI'!G10,'3.11 MUKONO-KALAGI'!G10,'31.10 MUKONO-KALAGI-24h'!G10,'2.11 MUKONO-KALAGI-24h'!G10,'4.11 MUKONO-KALAGI'!G10)</f>
        <v>0.42857142857142855</v>
      </c>
      <c r="H10" s="49">
        <f>AVERAGE('29.10 MUKONO-KALAGI'!H10,'30.10 MUKONO-KALAGI'!H10,'1.11 MUKONO-KALAGI'!H10,'3.11 MUKONO-KALAGI'!H10,'31.10 MUKONO-KALAGI-24h'!H10,'2.11 MUKONO-KALAGI-24h'!H10,'4.11 MUKONO-KALAGI'!H10)</f>
        <v>0.14285714285714285</v>
      </c>
      <c r="I10" s="49">
        <f>AVERAGE('29.10 MUKONO-KALAGI'!I10,'30.10 MUKONO-KALAGI'!I10,'1.11 MUKONO-KALAGI'!I10,'3.11 MUKONO-KALAGI'!I10,'31.10 MUKONO-KALAGI-24h'!I10,'2.11 MUKONO-KALAGI-24h'!I10,'4.11 MUKONO-KALAGI'!I10)</f>
        <v>2.5714285714285716</v>
      </c>
      <c r="J10" s="49">
        <f>AVERAGE('29.10 MUKONO-KALAGI'!J10,'30.10 MUKONO-KALAGI'!J10,'1.11 MUKONO-KALAGI'!J10,'3.11 MUKONO-KALAGI'!J10,'31.10 MUKONO-KALAGI-24h'!J10,'2.11 MUKONO-KALAGI-24h'!J10,'4.11 MUKONO-KALAGI'!J10)</f>
        <v>0.14285714285714285</v>
      </c>
      <c r="K10" s="49">
        <f>AVERAGE('29.10 MUKONO-KALAGI'!K10,'30.10 MUKONO-KALAGI'!K10,'1.11 MUKONO-KALAGI'!K10,'3.11 MUKONO-KALAGI'!K10,'31.10 MUKONO-KALAGI-24h'!K10,'2.11 MUKONO-KALAGI-24h'!K10,'4.11 MUKONO-KALAGI'!K10)</f>
        <v>0</v>
      </c>
      <c r="L10" s="49">
        <f>AVERAGE('29.10 MUKONO-KALAGI'!L10,'30.10 MUKONO-KALAGI'!L10,'1.11 MUKONO-KALAGI'!L10,'3.11 MUKONO-KALAGI'!L10,'31.10 MUKONO-KALAGI-24h'!L10,'2.11 MUKONO-KALAGI-24h'!L10,'4.11 MUKONO-KALAGI'!L10)</f>
        <v>0</v>
      </c>
      <c r="M10" s="49">
        <f>AVERAGE('29.10 MUKONO-KALAGI'!M10,'30.10 MUKONO-KALAGI'!M10,'1.11 MUKONO-KALAGI'!M10,'3.11 MUKONO-KALAGI'!M10,'31.10 MUKONO-KALAGI-24h'!M10,'2.11 MUKONO-KALAGI-24h'!M10,'4.11 MUKONO-KALAGI'!M10)</f>
        <v>11.571428571428571</v>
      </c>
      <c r="N10" s="49">
        <f>AVERAGE('29.10 MUKONO-KALAGI'!N10,'30.10 MUKONO-KALAGI'!N10,'1.11 MUKONO-KALAGI'!N10,'3.11 MUKONO-KALAGI'!N10,'31.10 MUKONO-KALAGI-24h'!N10,'2.11 MUKONO-KALAGI-24h'!N10,'4.11 MUKONO-KALAGI'!N10)</f>
        <v>0</v>
      </c>
      <c r="O10" s="15">
        <f t="shared" ref="O10:O73" si="0">SUM(C10:L10,N10)</f>
        <v>17.142857142857142</v>
      </c>
      <c r="P10" s="15">
        <f t="shared" ref="P10:P73" si="1">SUM(C10:N10)</f>
        <v>28.714285714285715</v>
      </c>
      <c r="R10" s="1" t="s">
        <v>6</v>
      </c>
      <c r="S10" s="17">
        <f t="shared" ref="S10:AF10" si="2">SUM(C10:C13)</f>
        <v>24.285714285714288</v>
      </c>
      <c r="T10" s="17">
        <f t="shared" si="2"/>
        <v>5.1428571428571423</v>
      </c>
      <c r="U10" s="17">
        <f t="shared" si="2"/>
        <v>4.2857142857142856</v>
      </c>
      <c r="V10" s="17">
        <f t="shared" si="2"/>
        <v>34.714285714285715</v>
      </c>
      <c r="W10" s="17">
        <f t="shared" si="2"/>
        <v>0.71428571428571419</v>
      </c>
      <c r="X10" s="17">
        <f t="shared" si="2"/>
        <v>0.2857142857142857</v>
      </c>
      <c r="Y10" s="17">
        <f t="shared" si="2"/>
        <v>8.5714285714285712</v>
      </c>
      <c r="Z10" s="17">
        <f t="shared" si="2"/>
        <v>0.2857142857142857</v>
      </c>
      <c r="AA10" s="17">
        <f t="shared" si="2"/>
        <v>0.5714285714285714</v>
      </c>
      <c r="AB10" s="17">
        <f t="shared" si="2"/>
        <v>0.42857142857142855</v>
      </c>
      <c r="AC10" s="17">
        <f t="shared" si="2"/>
        <v>55.428571428571431</v>
      </c>
      <c r="AD10" s="17">
        <f t="shared" si="2"/>
        <v>0</v>
      </c>
      <c r="AE10" s="31">
        <f t="shared" si="2"/>
        <v>79.285714285714278</v>
      </c>
      <c r="AF10" s="31">
        <f t="shared" si="2"/>
        <v>134.71428571428569</v>
      </c>
    </row>
    <row r="11" spans="2:32" s="6" customFormat="1" ht="23.1" customHeight="1" x14ac:dyDescent="0.25">
      <c r="B11" s="23" t="s">
        <v>38</v>
      </c>
      <c r="C11" s="49">
        <f>AVERAGE('29.10 MUKONO-KALAGI'!C11,'30.10 MUKONO-KALAGI'!C11,'1.11 MUKONO-KALAGI'!C11,'3.11 MUKONO-KALAGI'!C11,'31.10 MUKONO-KALAGI-24h'!C11,'2.11 MUKONO-KALAGI-24h'!C11,'4.11 MUKONO-KALAGI'!C11)</f>
        <v>8.2857142857142865</v>
      </c>
      <c r="D11" s="49">
        <f>AVERAGE('29.10 MUKONO-KALAGI'!D11,'30.10 MUKONO-KALAGI'!D11,'1.11 MUKONO-KALAGI'!D11,'3.11 MUKONO-KALAGI'!D11,'31.10 MUKONO-KALAGI-24h'!D11,'2.11 MUKONO-KALAGI-24h'!D11,'4.11 MUKONO-KALAGI'!D11)</f>
        <v>1.1428571428571428</v>
      </c>
      <c r="E11" s="49">
        <f>AVERAGE('29.10 MUKONO-KALAGI'!E11,'30.10 MUKONO-KALAGI'!E11,'1.11 MUKONO-KALAGI'!E11,'3.11 MUKONO-KALAGI'!E11,'31.10 MUKONO-KALAGI-24h'!E11,'2.11 MUKONO-KALAGI-24h'!E11,'4.11 MUKONO-KALAGI'!E11)</f>
        <v>1.1428571428571428</v>
      </c>
      <c r="F11" s="49">
        <f>AVERAGE('29.10 MUKONO-KALAGI'!F11,'30.10 MUKONO-KALAGI'!F11,'1.11 MUKONO-KALAGI'!F11,'3.11 MUKONO-KALAGI'!F11,'31.10 MUKONO-KALAGI-24h'!F11,'2.11 MUKONO-KALAGI-24h'!F11,'4.11 MUKONO-KALAGI'!F11)</f>
        <v>9.5714285714285712</v>
      </c>
      <c r="G11" s="49">
        <f>AVERAGE('29.10 MUKONO-KALAGI'!G11,'30.10 MUKONO-KALAGI'!G11,'1.11 MUKONO-KALAGI'!G11,'3.11 MUKONO-KALAGI'!G11,'31.10 MUKONO-KALAGI-24h'!G11,'2.11 MUKONO-KALAGI-24h'!G11,'4.11 MUKONO-KALAGI'!G11)</f>
        <v>0</v>
      </c>
      <c r="H11" s="49">
        <f>AVERAGE('29.10 MUKONO-KALAGI'!H11,'30.10 MUKONO-KALAGI'!H11,'1.11 MUKONO-KALAGI'!H11,'3.11 MUKONO-KALAGI'!H11,'31.10 MUKONO-KALAGI-24h'!H11,'2.11 MUKONO-KALAGI-24h'!H11,'4.11 MUKONO-KALAGI'!H11)</f>
        <v>0</v>
      </c>
      <c r="I11" s="49">
        <f>AVERAGE('29.10 MUKONO-KALAGI'!I11,'30.10 MUKONO-KALAGI'!I11,'1.11 MUKONO-KALAGI'!I11,'3.11 MUKONO-KALAGI'!I11,'31.10 MUKONO-KALAGI-24h'!I11,'2.11 MUKONO-KALAGI-24h'!I11,'4.11 MUKONO-KALAGI'!I11)</f>
        <v>1.7142857142857142</v>
      </c>
      <c r="J11" s="49">
        <f>AVERAGE('29.10 MUKONO-KALAGI'!J11,'30.10 MUKONO-KALAGI'!J11,'1.11 MUKONO-KALAGI'!J11,'3.11 MUKONO-KALAGI'!J11,'31.10 MUKONO-KALAGI-24h'!J11,'2.11 MUKONO-KALAGI-24h'!J11,'4.11 MUKONO-KALAGI'!J11)</f>
        <v>0</v>
      </c>
      <c r="K11" s="49">
        <f>AVERAGE('29.10 MUKONO-KALAGI'!K11,'30.10 MUKONO-KALAGI'!K11,'1.11 MUKONO-KALAGI'!K11,'3.11 MUKONO-KALAGI'!K11,'31.10 MUKONO-KALAGI-24h'!K11,'2.11 MUKONO-KALAGI-24h'!K11,'4.11 MUKONO-KALAGI'!K11)</f>
        <v>0</v>
      </c>
      <c r="L11" s="49">
        <f>AVERAGE('29.10 MUKONO-KALAGI'!L11,'30.10 MUKONO-KALAGI'!L11,'1.11 MUKONO-KALAGI'!L11,'3.11 MUKONO-KALAGI'!L11,'31.10 MUKONO-KALAGI-24h'!L11,'2.11 MUKONO-KALAGI-24h'!L11,'4.11 MUKONO-KALAGI'!L11)</f>
        <v>0.2857142857142857</v>
      </c>
      <c r="M11" s="49">
        <f>AVERAGE('29.10 MUKONO-KALAGI'!M11,'30.10 MUKONO-KALAGI'!M11,'1.11 MUKONO-KALAGI'!M11,'3.11 MUKONO-KALAGI'!M11,'31.10 MUKONO-KALAGI-24h'!M11,'2.11 MUKONO-KALAGI-24h'!M11,'4.11 MUKONO-KALAGI'!M11)</f>
        <v>16.428571428571427</v>
      </c>
      <c r="N11" s="49">
        <f>AVERAGE('29.10 MUKONO-KALAGI'!N11,'30.10 MUKONO-KALAGI'!N11,'1.11 MUKONO-KALAGI'!N11,'3.11 MUKONO-KALAGI'!N11,'31.10 MUKONO-KALAGI-24h'!N11,'2.11 MUKONO-KALAGI-24h'!N11,'4.11 MUKONO-KALAGI'!N11)</f>
        <v>0</v>
      </c>
      <c r="O11" s="15">
        <f t="shared" si="0"/>
        <v>22.142857142857142</v>
      </c>
      <c r="P11" s="15">
        <f t="shared" si="1"/>
        <v>38.571428571428569</v>
      </c>
      <c r="R11" s="1" t="s">
        <v>7</v>
      </c>
      <c r="S11" s="17">
        <f t="shared" ref="S11:AF11" si="3">SUM(C14:C17)</f>
        <v>29</v>
      </c>
      <c r="T11" s="17">
        <f t="shared" si="3"/>
        <v>8.1428571428571423</v>
      </c>
      <c r="U11" s="17">
        <f t="shared" si="3"/>
        <v>6.4285714285714288</v>
      </c>
      <c r="V11" s="17">
        <f t="shared" si="3"/>
        <v>41.142857142857139</v>
      </c>
      <c r="W11" s="17">
        <f t="shared" si="3"/>
        <v>0.14285714285714285</v>
      </c>
      <c r="X11" s="17">
        <f t="shared" si="3"/>
        <v>0</v>
      </c>
      <c r="Y11" s="17">
        <f t="shared" si="3"/>
        <v>10.428571428571429</v>
      </c>
      <c r="Z11" s="17">
        <f t="shared" si="3"/>
        <v>0.71428571428571419</v>
      </c>
      <c r="AA11" s="17">
        <f t="shared" si="3"/>
        <v>1.2857142857142856</v>
      </c>
      <c r="AB11" s="17">
        <f t="shared" si="3"/>
        <v>0.71428571428571419</v>
      </c>
      <c r="AC11" s="17">
        <f t="shared" si="3"/>
        <v>71</v>
      </c>
      <c r="AD11" s="17">
        <f t="shared" si="3"/>
        <v>0</v>
      </c>
      <c r="AE11" s="31">
        <f t="shared" si="3"/>
        <v>98</v>
      </c>
      <c r="AF11" s="31">
        <f t="shared" si="3"/>
        <v>169</v>
      </c>
    </row>
    <row r="12" spans="2:32" ht="23.1" customHeight="1" x14ac:dyDescent="0.25">
      <c r="B12" s="23" t="s">
        <v>39</v>
      </c>
      <c r="C12" s="49">
        <f>AVERAGE('29.10 MUKONO-KALAGI'!C12,'30.10 MUKONO-KALAGI'!C12,'1.11 MUKONO-KALAGI'!C12,'3.11 MUKONO-KALAGI'!C12,'31.10 MUKONO-KALAGI-24h'!C12,'2.11 MUKONO-KALAGI-24h'!C12,'4.11 MUKONO-KALAGI'!C12)</f>
        <v>5.7142857142857144</v>
      </c>
      <c r="D12" s="49">
        <f>AVERAGE('29.10 MUKONO-KALAGI'!D12,'30.10 MUKONO-KALAGI'!D12,'1.11 MUKONO-KALAGI'!D12,'3.11 MUKONO-KALAGI'!D12,'31.10 MUKONO-KALAGI-24h'!D12,'2.11 MUKONO-KALAGI-24h'!D12,'4.11 MUKONO-KALAGI'!D12)</f>
        <v>0.8571428571428571</v>
      </c>
      <c r="E12" s="49">
        <f>AVERAGE('29.10 MUKONO-KALAGI'!E12,'30.10 MUKONO-KALAGI'!E12,'1.11 MUKONO-KALAGI'!E12,'3.11 MUKONO-KALAGI'!E12,'31.10 MUKONO-KALAGI-24h'!E12,'2.11 MUKONO-KALAGI-24h'!E12,'4.11 MUKONO-KALAGI'!E12)</f>
        <v>1</v>
      </c>
      <c r="F12" s="49">
        <f>AVERAGE('29.10 MUKONO-KALAGI'!F12,'30.10 MUKONO-KALAGI'!F12,'1.11 MUKONO-KALAGI'!F12,'3.11 MUKONO-KALAGI'!F12,'31.10 MUKONO-KALAGI-24h'!F12,'2.11 MUKONO-KALAGI-24h'!F12,'4.11 MUKONO-KALAGI'!F12)</f>
        <v>8.2857142857142865</v>
      </c>
      <c r="G12" s="49">
        <f>AVERAGE('29.10 MUKONO-KALAGI'!G12,'30.10 MUKONO-KALAGI'!G12,'1.11 MUKONO-KALAGI'!G12,'3.11 MUKONO-KALAGI'!G12,'31.10 MUKONO-KALAGI-24h'!G12,'2.11 MUKONO-KALAGI-24h'!G12,'4.11 MUKONO-KALAGI'!G12)</f>
        <v>0.2857142857142857</v>
      </c>
      <c r="H12" s="49">
        <f>AVERAGE('29.10 MUKONO-KALAGI'!H12,'30.10 MUKONO-KALAGI'!H12,'1.11 MUKONO-KALAGI'!H12,'3.11 MUKONO-KALAGI'!H12,'31.10 MUKONO-KALAGI-24h'!H12,'2.11 MUKONO-KALAGI-24h'!H12,'4.11 MUKONO-KALAGI'!H12)</f>
        <v>0</v>
      </c>
      <c r="I12" s="49">
        <f>AVERAGE('29.10 MUKONO-KALAGI'!I12,'30.10 MUKONO-KALAGI'!I12,'1.11 MUKONO-KALAGI'!I12,'3.11 MUKONO-KALAGI'!I12,'31.10 MUKONO-KALAGI-24h'!I12,'2.11 MUKONO-KALAGI-24h'!I12,'4.11 MUKONO-KALAGI'!I12)</f>
        <v>2</v>
      </c>
      <c r="J12" s="49">
        <f>AVERAGE('29.10 MUKONO-KALAGI'!J12,'30.10 MUKONO-KALAGI'!J12,'1.11 MUKONO-KALAGI'!J12,'3.11 MUKONO-KALAGI'!J12,'31.10 MUKONO-KALAGI-24h'!J12,'2.11 MUKONO-KALAGI-24h'!J12,'4.11 MUKONO-KALAGI'!J12)</f>
        <v>0</v>
      </c>
      <c r="K12" s="49">
        <f>AVERAGE('29.10 MUKONO-KALAGI'!K12,'30.10 MUKONO-KALAGI'!K12,'1.11 MUKONO-KALAGI'!K12,'3.11 MUKONO-KALAGI'!K12,'31.10 MUKONO-KALAGI-24h'!K12,'2.11 MUKONO-KALAGI-24h'!K12,'4.11 MUKONO-KALAGI'!K12)</f>
        <v>0.42857142857142855</v>
      </c>
      <c r="L12" s="49">
        <f>AVERAGE('29.10 MUKONO-KALAGI'!L12,'30.10 MUKONO-KALAGI'!L12,'1.11 MUKONO-KALAGI'!L12,'3.11 MUKONO-KALAGI'!L12,'31.10 MUKONO-KALAGI-24h'!L12,'2.11 MUKONO-KALAGI-24h'!L12,'4.11 MUKONO-KALAGI'!L12)</f>
        <v>0</v>
      </c>
      <c r="M12" s="49">
        <f>AVERAGE('29.10 MUKONO-KALAGI'!M12,'30.10 MUKONO-KALAGI'!M12,'1.11 MUKONO-KALAGI'!M12,'3.11 MUKONO-KALAGI'!M12,'31.10 MUKONO-KALAGI-24h'!M12,'2.11 MUKONO-KALAGI-24h'!M12,'4.11 MUKONO-KALAGI'!M12)</f>
        <v>12.428571428571429</v>
      </c>
      <c r="N12" s="49">
        <f>AVERAGE('29.10 MUKONO-KALAGI'!N12,'30.10 MUKONO-KALAGI'!N12,'1.11 MUKONO-KALAGI'!N12,'3.11 MUKONO-KALAGI'!N12,'31.10 MUKONO-KALAGI-24h'!N12,'2.11 MUKONO-KALAGI-24h'!N12,'4.11 MUKONO-KALAGI'!N12)</f>
        <v>0</v>
      </c>
      <c r="O12" s="15">
        <f t="shared" si="0"/>
        <v>18.571428571428569</v>
      </c>
      <c r="P12" s="15">
        <f t="shared" si="1"/>
        <v>31</v>
      </c>
      <c r="R12" s="1" t="s">
        <v>8</v>
      </c>
      <c r="S12" s="17">
        <f t="shared" ref="S12:AF12" si="4">SUM(C18:C21)</f>
        <v>32.142857142857139</v>
      </c>
      <c r="T12" s="17">
        <f t="shared" si="4"/>
        <v>9</v>
      </c>
      <c r="U12" s="17">
        <f t="shared" si="4"/>
        <v>7.5714285714285712</v>
      </c>
      <c r="V12" s="17">
        <f t="shared" si="4"/>
        <v>35</v>
      </c>
      <c r="W12" s="17">
        <f t="shared" si="4"/>
        <v>0.5714285714285714</v>
      </c>
      <c r="X12" s="17">
        <f t="shared" si="4"/>
        <v>0.14285714285714285</v>
      </c>
      <c r="Y12" s="17">
        <f t="shared" si="4"/>
        <v>13.714285714285715</v>
      </c>
      <c r="Z12" s="17">
        <f t="shared" si="4"/>
        <v>1.1428571428571428</v>
      </c>
      <c r="AA12" s="17">
        <f t="shared" si="4"/>
        <v>0.42857142857142855</v>
      </c>
      <c r="AB12" s="17">
        <f t="shared" si="4"/>
        <v>1</v>
      </c>
      <c r="AC12" s="17">
        <f t="shared" si="4"/>
        <v>72.285714285714278</v>
      </c>
      <c r="AD12" s="17">
        <f t="shared" si="4"/>
        <v>0</v>
      </c>
      <c r="AE12" s="31">
        <f t="shared" si="4"/>
        <v>100.71428571428571</v>
      </c>
      <c r="AF12" s="31">
        <f t="shared" si="4"/>
        <v>173</v>
      </c>
    </row>
    <row r="13" spans="2:32" ht="23.1" customHeight="1" x14ac:dyDescent="0.25">
      <c r="B13" s="23" t="s">
        <v>40</v>
      </c>
      <c r="C13" s="49">
        <f>AVERAGE('29.10 MUKONO-KALAGI'!C13,'30.10 MUKONO-KALAGI'!C13,'1.11 MUKONO-KALAGI'!C13,'3.11 MUKONO-KALAGI'!C13,'31.10 MUKONO-KALAGI-24h'!C13,'2.11 MUKONO-KALAGI-24h'!C13,'4.11 MUKONO-KALAGI'!C13)</f>
        <v>6.7142857142857144</v>
      </c>
      <c r="D13" s="49">
        <f>AVERAGE('29.10 MUKONO-KALAGI'!D13,'30.10 MUKONO-KALAGI'!D13,'1.11 MUKONO-KALAGI'!D13,'3.11 MUKONO-KALAGI'!D13,'31.10 MUKONO-KALAGI-24h'!D13,'2.11 MUKONO-KALAGI-24h'!D13,'4.11 MUKONO-KALAGI'!D13)</f>
        <v>1.7142857142857142</v>
      </c>
      <c r="E13" s="49">
        <f>AVERAGE('29.10 MUKONO-KALAGI'!E13,'30.10 MUKONO-KALAGI'!E13,'1.11 MUKONO-KALAGI'!E13,'3.11 MUKONO-KALAGI'!E13,'31.10 MUKONO-KALAGI-24h'!E13,'2.11 MUKONO-KALAGI-24h'!E13,'4.11 MUKONO-KALAGI'!E13)</f>
        <v>1.1428571428571428</v>
      </c>
      <c r="F13" s="49">
        <f>AVERAGE('29.10 MUKONO-KALAGI'!F13,'30.10 MUKONO-KALAGI'!F13,'1.11 MUKONO-KALAGI'!F13,'3.11 MUKONO-KALAGI'!F13,'31.10 MUKONO-KALAGI-24h'!F13,'2.11 MUKONO-KALAGI-24h'!F13,'4.11 MUKONO-KALAGI'!F13)</f>
        <v>9</v>
      </c>
      <c r="G13" s="49">
        <f>AVERAGE('29.10 MUKONO-KALAGI'!G13,'30.10 MUKONO-KALAGI'!G13,'1.11 MUKONO-KALAGI'!G13,'3.11 MUKONO-KALAGI'!G13,'31.10 MUKONO-KALAGI-24h'!G13,'2.11 MUKONO-KALAGI-24h'!G13,'4.11 MUKONO-KALAGI'!G13)</f>
        <v>0</v>
      </c>
      <c r="H13" s="49">
        <f>AVERAGE('29.10 MUKONO-KALAGI'!H13,'30.10 MUKONO-KALAGI'!H13,'1.11 MUKONO-KALAGI'!H13,'3.11 MUKONO-KALAGI'!H13,'31.10 MUKONO-KALAGI-24h'!H13,'2.11 MUKONO-KALAGI-24h'!H13,'4.11 MUKONO-KALAGI'!H13)</f>
        <v>0.14285714285714285</v>
      </c>
      <c r="I13" s="49">
        <f>AVERAGE('29.10 MUKONO-KALAGI'!I13,'30.10 MUKONO-KALAGI'!I13,'1.11 MUKONO-KALAGI'!I13,'3.11 MUKONO-KALAGI'!I13,'31.10 MUKONO-KALAGI-24h'!I13,'2.11 MUKONO-KALAGI-24h'!I13,'4.11 MUKONO-KALAGI'!I13)</f>
        <v>2.2857142857142856</v>
      </c>
      <c r="J13" s="49">
        <f>AVERAGE('29.10 MUKONO-KALAGI'!J13,'30.10 MUKONO-KALAGI'!J13,'1.11 MUKONO-KALAGI'!J13,'3.11 MUKONO-KALAGI'!J13,'31.10 MUKONO-KALAGI-24h'!J13,'2.11 MUKONO-KALAGI-24h'!J13,'4.11 MUKONO-KALAGI'!J13)</f>
        <v>0.14285714285714285</v>
      </c>
      <c r="K13" s="49">
        <f>AVERAGE('29.10 MUKONO-KALAGI'!K13,'30.10 MUKONO-KALAGI'!K13,'1.11 MUKONO-KALAGI'!K13,'3.11 MUKONO-KALAGI'!K13,'31.10 MUKONO-KALAGI-24h'!K13,'2.11 MUKONO-KALAGI-24h'!K13,'4.11 MUKONO-KALAGI'!K13)</f>
        <v>0.14285714285714285</v>
      </c>
      <c r="L13" s="49">
        <f>AVERAGE('29.10 MUKONO-KALAGI'!L13,'30.10 MUKONO-KALAGI'!L13,'1.11 MUKONO-KALAGI'!L13,'3.11 MUKONO-KALAGI'!L13,'31.10 MUKONO-KALAGI-24h'!L13,'2.11 MUKONO-KALAGI-24h'!L13,'4.11 MUKONO-KALAGI'!L13)</f>
        <v>0.14285714285714285</v>
      </c>
      <c r="M13" s="49">
        <f>AVERAGE('29.10 MUKONO-KALAGI'!M13,'30.10 MUKONO-KALAGI'!M13,'1.11 MUKONO-KALAGI'!M13,'3.11 MUKONO-KALAGI'!M13,'31.10 MUKONO-KALAGI-24h'!M13,'2.11 MUKONO-KALAGI-24h'!M13,'4.11 MUKONO-KALAGI'!M13)</f>
        <v>15</v>
      </c>
      <c r="N13" s="49">
        <f>AVERAGE('29.10 MUKONO-KALAGI'!N13,'30.10 MUKONO-KALAGI'!N13,'1.11 MUKONO-KALAGI'!N13,'3.11 MUKONO-KALAGI'!N13,'31.10 MUKONO-KALAGI-24h'!N13,'2.11 MUKONO-KALAGI-24h'!N13,'4.11 MUKONO-KALAGI'!N13)</f>
        <v>0</v>
      </c>
      <c r="O13" s="15">
        <f t="shared" si="0"/>
        <v>21.428571428571423</v>
      </c>
      <c r="P13" s="15">
        <f t="shared" si="1"/>
        <v>36.428571428571423</v>
      </c>
      <c r="R13" s="1" t="s">
        <v>9</v>
      </c>
      <c r="S13" s="17">
        <f t="shared" ref="S13:AF13" si="5">SUM(C22:C25)</f>
        <v>34.428571428571431</v>
      </c>
      <c r="T13" s="17">
        <f t="shared" si="5"/>
        <v>9.428571428571427</v>
      </c>
      <c r="U13" s="17">
        <f t="shared" si="5"/>
        <v>7.7142857142857144</v>
      </c>
      <c r="V13" s="17">
        <f t="shared" si="5"/>
        <v>41.285714285714285</v>
      </c>
      <c r="W13" s="17">
        <f t="shared" si="5"/>
        <v>0.2857142857142857</v>
      </c>
      <c r="X13" s="17">
        <f t="shared" si="5"/>
        <v>0</v>
      </c>
      <c r="Y13" s="17">
        <f t="shared" si="5"/>
        <v>13.142857142857142</v>
      </c>
      <c r="Z13" s="17">
        <f t="shared" si="5"/>
        <v>1.5714285714285712</v>
      </c>
      <c r="AA13" s="17">
        <f t="shared" si="5"/>
        <v>0.42857142857142855</v>
      </c>
      <c r="AB13" s="17">
        <f t="shared" si="5"/>
        <v>1.1428571428571428</v>
      </c>
      <c r="AC13" s="17">
        <f t="shared" si="5"/>
        <v>78</v>
      </c>
      <c r="AD13" s="17">
        <f t="shared" si="5"/>
        <v>0.14285714285714285</v>
      </c>
      <c r="AE13" s="31">
        <f t="shared" si="5"/>
        <v>109.57142857142857</v>
      </c>
      <c r="AF13" s="31">
        <f t="shared" si="5"/>
        <v>187.57142857142856</v>
      </c>
    </row>
    <row r="14" spans="2:32" ht="23.1" customHeight="1" x14ac:dyDescent="0.25">
      <c r="B14" s="23" t="s">
        <v>41</v>
      </c>
      <c r="C14" s="49">
        <f>AVERAGE('29.10 MUKONO-KALAGI'!C14,'30.10 MUKONO-KALAGI'!C14,'1.11 MUKONO-KALAGI'!C14,'3.11 MUKONO-KALAGI'!C14,'31.10 MUKONO-KALAGI-24h'!C14,'2.11 MUKONO-KALAGI-24h'!C14,'4.11 MUKONO-KALAGI'!C14)</f>
        <v>10.714285714285714</v>
      </c>
      <c r="D14" s="49">
        <f>AVERAGE('29.10 MUKONO-KALAGI'!D14,'30.10 MUKONO-KALAGI'!D14,'1.11 MUKONO-KALAGI'!D14,'3.11 MUKONO-KALAGI'!D14,'31.10 MUKONO-KALAGI-24h'!D14,'2.11 MUKONO-KALAGI-24h'!D14,'4.11 MUKONO-KALAGI'!D14)</f>
        <v>1.4285714285714286</v>
      </c>
      <c r="E14" s="49">
        <f>AVERAGE('29.10 MUKONO-KALAGI'!E14,'30.10 MUKONO-KALAGI'!E14,'1.11 MUKONO-KALAGI'!E14,'3.11 MUKONO-KALAGI'!E14,'31.10 MUKONO-KALAGI-24h'!E14,'2.11 MUKONO-KALAGI-24h'!E14,'4.11 MUKONO-KALAGI'!E14)</f>
        <v>1.5714285714285714</v>
      </c>
      <c r="F14" s="49">
        <f>AVERAGE('29.10 MUKONO-KALAGI'!F14,'30.10 MUKONO-KALAGI'!F14,'1.11 MUKONO-KALAGI'!F14,'3.11 MUKONO-KALAGI'!F14,'31.10 MUKONO-KALAGI-24h'!F14,'2.11 MUKONO-KALAGI-24h'!F14,'4.11 MUKONO-KALAGI'!F14)</f>
        <v>12.428571428571429</v>
      </c>
      <c r="G14" s="49">
        <f>AVERAGE('29.10 MUKONO-KALAGI'!G14,'30.10 MUKONO-KALAGI'!G14,'1.11 MUKONO-KALAGI'!G14,'3.11 MUKONO-KALAGI'!G14,'31.10 MUKONO-KALAGI-24h'!G14,'2.11 MUKONO-KALAGI-24h'!G14,'4.11 MUKONO-KALAGI'!G14)</f>
        <v>0.14285714285714285</v>
      </c>
      <c r="H14" s="49">
        <f>AVERAGE('29.10 MUKONO-KALAGI'!H14,'30.10 MUKONO-KALAGI'!H14,'1.11 MUKONO-KALAGI'!H14,'3.11 MUKONO-KALAGI'!H14,'31.10 MUKONO-KALAGI-24h'!H14,'2.11 MUKONO-KALAGI-24h'!H14,'4.11 MUKONO-KALAGI'!H14)</f>
        <v>0</v>
      </c>
      <c r="I14" s="49">
        <f>AVERAGE('29.10 MUKONO-KALAGI'!I14,'30.10 MUKONO-KALAGI'!I14,'1.11 MUKONO-KALAGI'!I14,'3.11 MUKONO-KALAGI'!I14,'31.10 MUKONO-KALAGI-24h'!I14,'2.11 MUKONO-KALAGI-24h'!I14,'4.11 MUKONO-KALAGI'!I14)</f>
        <v>1.8571428571428572</v>
      </c>
      <c r="J14" s="49">
        <f>AVERAGE('29.10 MUKONO-KALAGI'!J14,'30.10 MUKONO-KALAGI'!J14,'1.11 MUKONO-KALAGI'!J14,'3.11 MUKONO-KALAGI'!J14,'31.10 MUKONO-KALAGI-24h'!J14,'2.11 MUKONO-KALAGI-24h'!J14,'4.11 MUKONO-KALAGI'!J14)</f>
        <v>0.14285714285714285</v>
      </c>
      <c r="K14" s="49">
        <f>AVERAGE('29.10 MUKONO-KALAGI'!K14,'30.10 MUKONO-KALAGI'!K14,'1.11 MUKONO-KALAGI'!K14,'3.11 MUKONO-KALAGI'!K14,'31.10 MUKONO-KALAGI-24h'!K14,'2.11 MUKONO-KALAGI-24h'!K14,'4.11 MUKONO-KALAGI'!K14)</f>
        <v>0.7142857142857143</v>
      </c>
      <c r="L14" s="49">
        <f>AVERAGE('29.10 MUKONO-KALAGI'!L14,'30.10 MUKONO-KALAGI'!L14,'1.11 MUKONO-KALAGI'!L14,'3.11 MUKONO-KALAGI'!L14,'31.10 MUKONO-KALAGI-24h'!L14,'2.11 MUKONO-KALAGI-24h'!L14,'4.11 MUKONO-KALAGI'!L14)</f>
        <v>0.2857142857142857</v>
      </c>
      <c r="M14" s="49">
        <f>AVERAGE('29.10 MUKONO-KALAGI'!M14,'30.10 MUKONO-KALAGI'!M14,'1.11 MUKONO-KALAGI'!M14,'3.11 MUKONO-KALAGI'!M14,'31.10 MUKONO-KALAGI-24h'!M14,'2.11 MUKONO-KALAGI-24h'!M14,'4.11 MUKONO-KALAGI'!M14)</f>
        <v>16.571428571428573</v>
      </c>
      <c r="N14" s="49">
        <f>AVERAGE('29.10 MUKONO-KALAGI'!N14,'30.10 MUKONO-KALAGI'!N14,'1.11 MUKONO-KALAGI'!N14,'3.11 MUKONO-KALAGI'!N14,'31.10 MUKONO-KALAGI-24h'!N14,'2.11 MUKONO-KALAGI-24h'!N14,'4.11 MUKONO-KALAGI'!N14)</f>
        <v>0</v>
      </c>
      <c r="O14" s="15">
        <f t="shared" si="0"/>
        <v>29.285714285714285</v>
      </c>
      <c r="P14" s="15">
        <f t="shared" si="1"/>
        <v>45.857142857142861</v>
      </c>
      <c r="R14" s="1" t="s">
        <v>10</v>
      </c>
      <c r="S14" s="17">
        <f t="shared" ref="S14:AF14" si="6">SUM(C26:C29)</f>
        <v>33.571428571428569</v>
      </c>
      <c r="T14" s="17">
        <f t="shared" si="6"/>
        <v>11.714285714285715</v>
      </c>
      <c r="U14" s="17">
        <f t="shared" si="6"/>
        <v>9.5714285714285712</v>
      </c>
      <c r="V14" s="17">
        <f t="shared" si="6"/>
        <v>37.714285714285715</v>
      </c>
      <c r="W14" s="17">
        <f t="shared" si="6"/>
        <v>0.42857142857142855</v>
      </c>
      <c r="X14" s="17">
        <f t="shared" si="6"/>
        <v>0.14285714285714285</v>
      </c>
      <c r="Y14" s="17">
        <f t="shared" si="6"/>
        <v>14.285714285714285</v>
      </c>
      <c r="Z14" s="17">
        <f t="shared" si="6"/>
        <v>1.2857142857142856</v>
      </c>
      <c r="AA14" s="17">
        <f t="shared" si="6"/>
        <v>0.5714285714285714</v>
      </c>
      <c r="AB14" s="17">
        <f t="shared" si="6"/>
        <v>1</v>
      </c>
      <c r="AC14" s="17">
        <f t="shared" si="6"/>
        <v>91.428571428571416</v>
      </c>
      <c r="AD14" s="17">
        <f t="shared" si="6"/>
        <v>0</v>
      </c>
      <c r="AE14" s="31">
        <f t="shared" si="6"/>
        <v>110.28571428571426</v>
      </c>
      <c r="AF14" s="31">
        <f t="shared" si="6"/>
        <v>201.71428571428569</v>
      </c>
    </row>
    <row r="15" spans="2:32" ht="23.1" customHeight="1" x14ac:dyDescent="0.25">
      <c r="B15" s="23" t="s">
        <v>42</v>
      </c>
      <c r="C15" s="49">
        <f>AVERAGE('29.10 MUKONO-KALAGI'!C15,'30.10 MUKONO-KALAGI'!C15,'1.11 MUKONO-KALAGI'!C15,'3.11 MUKONO-KALAGI'!C15,'31.10 MUKONO-KALAGI-24h'!C15,'2.11 MUKONO-KALAGI-24h'!C15,'4.11 MUKONO-KALAGI'!C15)</f>
        <v>5.2857142857142856</v>
      </c>
      <c r="D15" s="49">
        <f>AVERAGE('29.10 MUKONO-KALAGI'!D15,'30.10 MUKONO-KALAGI'!D15,'1.11 MUKONO-KALAGI'!D15,'3.11 MUKONO-KALAGI'!D15,'31.10 MUKONO-KALAGI-24h'!D15,'2.11 MUKONO-KALAGI-24h'!D15,'4.11 MUKONO-KALAGI'!D15)</f>
        <v>2</v>
      </c>
      <c r="E15" s="49">
        <f>AVERAGE('29.10 MUKONO-KALAGI'!E15,'30.10 MUKONO-KALAGI'!E15,'1.11 MUKONO-KALAGI'!E15,'3.11 MUKONO-KALAGI'!E15,'31.10 MUKONO-KALAGI-24h'!E15,'2.11 MUKONO-KALAGI-24h'!E15,'4.11 MUKONO-KALAGI'!E15)</f>
        <v>1.8571428571428572</v>
      </c>
      <c r="F15" s="49">
        <f>AVERAGE('29.10 MUKONO-KALAGI'!F15,'30.10 MUKONO-KALAGI'!F15,'1.11 MUKONO-KALAGI'!F15,'3.11 MUKONO-KALAGI'!F15,'31.10 MUKONO-KALAGI-24h'!F15,'2.11 MUKONO-KALAGI-24h'!F15,'4.11 MUKONO-KALAGI'!F15)</f>
        <v>9.8571428571428577</v>
      </c>
      <c r="G15" s="49">
        <f>AVERAGE('29.10 MUKONO-KALAGI'!G15,'30.10 MUKONO-KALAGI'!G15,'1.11 MUKONO-KALAGI'!G15,'3.11 MUKONO-KALAGI'!G15,'31.10 MUKONO-KALAGI-24h'!G15,'2.11 MUKONO-KALAGI-24h'!G15,'4.11 MUKONO-KALAGI'!G15)</f>
        <v>0</v>
      </c>
      <c r="H15" s="49">
        <f>AVERAGE('29.10 MUKONO-KALAGI'!H15,'30.10 MUKONO-KALAGI'!H15,'1.11 MUKONO-KALAGI'!H15,'3.11 MUKONO-KALAGI'!H15,'31.10 MUKONO-KALAGI-24h'!H15,'2.11 MUKONO-KALAGI-24h'!H15,'4.11 MUKONO-KALAGI'!H15)</f>
        <v>0</v>
      </c>
      <c r="I15" s="49">
        <f>AVERAGE('29.10 MUKONO-KALAGI'!I15,'30.10 MUKONO-KALAGI'!I15,'1.11 MUKONO-KALAGI'!I15,'3.11 MUKONO-KALAGI'!I15,'31.10 MUKONO-KALAGI-24h'!I15,'2.11 MUKONO-KALAGI-24h'!I15,'4.11 MUKONO-KALAGI'!I15)</f>
        <v>2.1428571428571428</v>
      </c>
      <c r="J15" s="49">
        <f>AVERAGE('29.10 MUKONO-KALAGI'!J15,'30.10 MUKONO-KALAGI'!J15,'1.11 MUKONO-KALAGI'!J15,'3.11 MUKONO-KALAGI'!J15,'31.10 MUKONO-KALAGI-24h'!J15,'2.11 MUKONO-KALAGI-24h'!J15,'4.11 MUKONO-KALAGI'!J15)</f>
        <v>0.2857142857142857</v>
      </c>
      <c r="K15" s="49">
        <f>AVERAGE('29.10 MUKONO-KALAGI'!K15,'30.10 MUKONO-KALAGI'!K15,'1.11 MUKONO-KALAGI'!K15,'3.11 MUKONO-KALAGI'!K15,'31.10 MUKONO-KALAGI-24h'!K15,'2.11 MUKONO-KALAGI-24h'!K15,'4.11 MUKONO-KALAGI'!K15)</f>
        <v>0.14285714285714285</v>
      </c>
      <c r="L15" s="49">
        <f>AVERAGE('29.10 MUKONO-KALAGI'!L15,'30.10 MUKONO-KALAGI'!L15,'1.11 MUKONO-KALAGI'!L15,'3.11 MUKONO-KALAGI'!L15,'31.10 MUKONO-KALAGI-24h'!L15,'2.11 MUKONO-KALAGI-24h'!L15,'4.11 MUKONO-KALAGI'!L15)</f>
        <v>0.14285714285714285</v>
      </c>
      <c r="M15" s="49">
        <f>AVERAGE('29.10 MUKONO-KALAGI'!M15,'30.10 MUKONO-KALAGI'!M15,'1.11 MUKONO-KALAGI'!M15,'3.11 MUKONO-KALAGI'!M15,'31.10 MUKONO-KALAGI-24h'!M15,'2.11 MUKONO-KALAGI-24h'!M15,'4.11 MUKONO-KALAGI'!M15)</f>
        <v>16.714285714285715</v>
      </c>
      <c r="N15" s="49">
        <f>AVERAGE('29.10 MUKONO-KALAGI'!N15,'30.10 MUKONO-KALAGI'!N15,'1.11 MUKONO-KALAGI'!N15,'3.11 MUKONO-KALAGI'!N15,'31.10 MUKONO-KALAGI-24h'!N15,'2.11 MUKONO-KALAGI-24h'!N15,'4.11 MUKONO-KALAGI'!N15)</f>
        <v>0</v>
      </c>
      <c r="O15" s="15">
        <f t="shared" si="0"/>
        <v>21.714285714285712</v>
      </c>
      <c r="P15" s="15">
        <f t="shared" si="1"/>
        <v>38.428571428571431</v>
      </c>
      <c r="R15" s="1" t="s">
        <v>11</v>
      </c>
      <c r="S15" s="17">
        <f t="shared" ref="S15:AF15" si="7">SUM(C30:C33)</f>
        <v>33.142857142857146</v>
      </c>
      <c r="T15" s="17">
        <f t="shared" si="7"/>
        <v>13.714285714285715</v>
      </c>
      <c r="U15" s="17">
        <f t="shared" si="7"/>
        <v>7.7142857142857144</v>
      </c>
      <c r="V15" s="17">
        <f t="shared" si="7"/>
        <v>38</v>
      </c>
      <c r="W15" s="17">
        <f t="shared" si="7"/>
        <v>0.2857142857142857</v>
      </c>
      <c r="X15" s="17">
        <f t="shared" si="7"/>
        <v>0.14285714285714285</v>
      </c>
      <c r="Y15" s="17">
        <f t="shared" si="7"/>
        <v>13.142857142857142</v>
      </c>
      <c r="Z15" s="17">
        <f t="shared" si="7"/>
        <v>1.7142857142857142</v>
      </c>
      <c r="AA15" s="17">
        <f t="shared" si="7"/>
        <v>0.42857142857142855</v>
      </c>
      <c r="AB15" s="17">
        <f t="shared" si="7"/>
        <v>0.71428571428571419</v>
      </c>
      <c r="AC15" s="17">
        <f t="shared" si="7"/>
        <v>94.714285714285708</v>
      </c>
      <c r="AD15" s="17">
        <f t="shared" si="7"/>
        <v>0</v>
      </c>
      <c r="AE15" s="31">
        <f t="shared" si="7"/>
        <v>109</v>
      </c>
      <c r="AF15" s="31">
        <f t="shared" si="7"/>
        <v>203.71428571428572</v>
      </c>
    </row>
    <row r="16" spans="2:32" ht="23.1" customHeight="1" x14ac:dyDescent="0.25">
      <c r="B16" s="23" t="s">
        <v>43</v>
      </c>
      <c r="C16" s="49">
        <f>AVERAGE('29.10 MUKONO-KALAGI'!C16,'30.10 MUKONO-KALAGI'!C16,'1.11 MUKONO-KALAGI'!C16,'3.11 MUKONO-KALAGI'!C16,'31.10 MUKONO-KALAGI-24h'!C16,'2.11 MUKONO-KALAGI-24h'!C16,'4.11 MUKONO-KALAGI'!C16)</f>
        <v>6.1428571428571432</v>
      </c>
      <c r="D16" s="49">
        <f>AVERAGE('29.10 MUKONO-KALAGI'!D16,'30.10 MUKONO-KALAGI'!D16,'1.11 MUKONO-KALAGI'!D16,'3.11 MUKONO-KALAGI'!D16,'31.10 MUKONO-KALAGI-24h'!D16,'2.11 MUKONO-KALAGI-24h'!D16,'4.11 MUKONO-KALAGI'!D16)</f>
        <v>1</v>
      </c>
      <c r="E16" s="49">
        <f>AVERAGE('29.10 MUKONO-KALAGI'!E16,'30.10 MUKONO-KALAGI'!E16,'1.11 MUKONO-KALAGI'!E16,'3.11 MUKONO-KALAGI'!E16,'31.10 MUKONO-KALAGI-24h'!E16,'2.11 MUKONO-KALAGI-24h'!E16,'4.11 MUKONO-KALAGI'!E16)</f>
        <v>1.2857142857142858</v>
      </c>
      <c r="F16" s="49">
        <f>AVERAGE('29.10 MUKONO-KALAGI'!F16,'30.10 MUKONO-KALAGI'!F16,'1.11 MUKONO-KALAGI'!F16,'3.11 MUKONO-KALAGI'!F16,'31.10 MUKONO-KALAGI-24h'!F16,'2.11 MUKONO-KALAGI-24h'!F16,'4.11 MUKONO-KALAGI'!F16)</f>
        <v>9</v>
      </c>
      <c r="G16" s="49">
        <f>AVERAGE('29.10 MUKONO-KALAGI'!G16,'30.10 MUKONO-KALAGI'!G16,'1.11 MUKONO-KALAGI'!G16,'3.11 MUKONO-KALAGI'!G16,'31.10 MUKONO-KALAGI-24h'!G16,'2.11 MUKONO-KALAGI-24h'!G16,'4.11 MUKONO-KALAGI'!G16)</f>
        <v>0</v>
      </c>
      <c r="H16" s="49">
        <f>AVERAGE('29.10 MUKONO-KALAGI'!H16,'30.10 MUKONO-KALAGI'!H16,'1.11 MUKONO-KALAGI'!H16,'3.11 MUKONO-KALAGI'!H16,'31.10 MUKONO-KALAGI-24h'!H16,'2.11 MUKONO-KALAGI-24h'!H16,'4.11 MUKONO-KALAGI'!H16)</f>
        <v>0</v>
      </c>
      <c r="I16" s="49">
        <f>AVERAGE('29.10 MUKONO-KALAGI'!I16,'30.10 MUKONO-KALAGI'!I16,'1.11 MUKONO-KALAGI'!I16,'3.11 MUKONO-KALAGI'!I16,'31.10 MUKONO-KALAGI-24h'!I16,'2.11 MUKONO-KALAGI-24h'!I16,'4.11 MUKONO-KALAGI'!I16)</f>
        <v>3.5714285714285716</v>
      </c>
      <c r="J16" s="49">
        <f>AVERAGE('29.10 MUKONO-KALAGI'!J16,'30.10 MUKONO-KALAGI'!J16,'1.11 MUKONO-KALAGI'!J16,'3.11 MUKONO-KALAGI'!J16,'31.10 MUKONO-KALAGI-24h'!J16,'2.11 MUKONO-KALAGI-24h'!J16,'4.11 MUKONO-KALAGI'!J16)</f>
        <v>0.14285714285714285</v>
      </c>
      <c r="K16" s="49">
        <f>AVERAGE('29.10 MUKONO-KALAGI'!K16,'30.10 MUKONO-KALAGI'!K16,'1.11 MUKONO-KALAGI'!K16,'3.11 MUKONO-KALAGI'!K16,'31.10 MUKONO-KALAGI-24h'!K16,'2.11 MUKONO-KALAGI-24h'!K16,'4.11 MUKONO-KALAGI'!K16)</f>
        <v>0.14285714285714285</v>
      </c>
      <c r="L16" s="49">
        <f>AVERAGE('29.10 MUKONO-KALAGI'!L16,'30.10 MUKONO-KALAGI'!L16,'1.11 MUKONO-KALAGI'!L16,'3.11 MUKONO-KALAGI'!L16,'31.10 MUKONO-KALAGI-24h'!L16,'2.11 MUKONO-KALAGI-24h'!L16,'4.11 MUKONO-KALAGI'!L16)</f>
        <v>0.2857142857142857</v>
      </c>
      <c r="M16" s="49">
        <f>AVERAGE('29.10 MUKONO-KALAGI'!M16,'30.10 MUKONO-KALAGI'!M16,'1.11 MUKONO-KALAGI'!M16,'3.11 MUKONO-KALAGI'!M16,'31.10 MUKONO-KALAGI-24h'!M16,'2.11 MUKONO-KALAGI-24h'!M16,'4.11 MUKONO-KALAGI'!M16)</f>
        <v>18.285714285714285</v>
      </c>
      <c r="N16" s="49">
        <f>AVERAGE('29.10 MUKONO-KALAGI'!N16,'30.10 MUKONO-KALAGI'!N16,'1.11 MUKONO-KALAGI'!N16,'3.11 MUKONO-KALAGI'!N16,'31.10 MUKONO-KALAGI-24h'!N16,'2.11 MUKONO-KALAGI-24h'!N16,'4.11 MUKONO-KALAGI'!N16)</f>
        <v>0</v>
      </c>
      <c r="O16" s="15">
        <f t="shared" si="0"/>
        <v>21.571428571428573</v>
      </c>
      <c r="P16" s="15">
        <f t="shared" si="1"/>
        <v>39.857142857142861</v>
      </c>
      <c r="R16" s="1" t="s">
        <v>12</v>
      </c>
      <c r="S16" s="17">
        <f t="shared" ref="S16:AF16" si="8">SUM(C34:C37)</f>
        <v>39.428571428571431</v>
      </c>
      <c r="T16" s="17">
        <f t="shared" si="8"/>
        <v>9.2857142857142865</v>
      </c>
      <c r="U16" s="17">
        <f t="shared" si="8"/>
        <v>10.571428571428571</v>
      </c>
      <c r="V16" s="17">
        <f t="shared" si="8"/>
        <v>40.857142857142854</v>
      </c>
      <c r="W16" s="17">
        <f t="shared" si="8"/>
        <v>0.71428571428571419</v>
      </c>
      <c r="X16" s="17">
        <f t="shared" si="8"/>
        <v>0.14285714285714285</v>
      </c>
      <c r="Y16" s="17">
        <f t="shared" si="8"/>
        <v>12.571428571428569</v>
      </c>
      <c r="Z16" s="17">
        <f t="shared" si="8"/>
        <v>1.4285714285714284</v>
      </c>
      <c r="AA16" s="17">
        <f t="shared" si="8"/>
        <v>0.85714285714285698</v>
      </c>
      <c r="AB16" s="17">
        <f t="shared" si="8"/>
        <v>1.1428571428571428</v>
      </c>
      <c r="AC16" s="17">
        <f t="shared" si="8"/>
        <v>87.285714285714278</v>
      </c>
      <c r="AD16" s="17">
        <f t="shared" si="8"/>
        <v>0.2857142857142857</v>
      </c>
      <c r="AE16" s="31">
        <f t="shared" si="8"/>
        <v>117.28571428571428</v>
      </c>
      <c r="AF16" s="31">
        <f t="shared" si="8"/>
        <v>204.57142857142858</v>
      </c>
    </row>
    <row r="17" spans="2:32" ht="23.1" customHeight="1" x14ac:dyDescent="0.25">
      <c r="B17" s="23" t="s">
        <v>44</v>
      </c>
      <c r="C17" s="49">
        <f>AVERAGE('29.10 MUKONO-KALAGI'!C17,'30.10 MUKONO-KALAGI'!C17,'1.11 MUKONO-KALAGI'!C17,'3.11 MUKONO-KALAGI'!C17,'31.10 MUKONO-KALAGI-24h'!C17,'2.11 MUKONO-KALAGI-24h'!C17,'4.11 MUKONO-KALAGI'!C17)</f>
        <v>6.8571428571428568</v>
      </c>
      <c r="D17" s="49">
        <f>AVERAGE('29.10 MUKONO-KALAGI'!D17,'30.10 MUKONO-KALAGI'!D17,'1.11 MUKONO-KALAGI'!D17,'3.11 MUKONO-KALAGI'!D17,'31.10 MUKONO-KALAGI-24h'!D17,'2.11 MUKONO-KALAGI-24h'!D17,'4.11 MUKONO-KALAGI'!D17)</f>
        <v>3.7142857142857144</v>
      </c>
      <c r="E17" s="49">
        <f>AVERAGE('29.10 MUKONO-KALAGI'!E17,'30.10 MUKONO-KALAGI'!E17,'1.11 MUKONO-KALAGI'!E17,'3.11 MUKONO-KALAGI'!E17,'31.10 MUKONO-KALAGI-24h'!E17,'2.11 MUKONO-KALAGI-24h'!E17,'4.11 MUKONO-KALAGI'!E17)</f>
        <v>1.7142857142857142</v>
      </c>
      <c r="F17" s="49">
        <f>AVERAGE('29.10 MUKONO-KALAGI'!F17,'30.10 MUKONO-KALAGI'!F17,'1.11 MUKONO-KALAGI'!F17,'3.11 MUKONO-KALAGI'!F17,'31.10 MUKONO-KALAGI-24h'!F17,'2.11 MUKONO-KALAGI-24h'!F17,'4.11 MUKONO-KALAGI'!F17)</f>
        <v>9.8571428571428577</v>
      </c>
      <c r="G17" s="49">
        <f>AVERAGE('29.10 MUKONO-KALAGI'!G17,'30.10 MUKONO-KALAGI'!G17,'1.11 MUKONO-KALAGI'!G17,'3.11 MUKONO-KALAGI'!G17,'31.10 MUKONO-KALAGI-24h'!G17,'2.11 MUKONO-KALAGI-24h'!G17,'4.11 MUKONO-KALAGI'!G17)</f>
        <v>0</v>
      </c>
      <c r="H17" s="49">
        <f>AVERAGE('29.10 MUKONO-KALAGI'!H17,'30.10 MUKONO-KALAGI'!H17,'1.11 MUKONO-KALAGI'!H17,'3.11 MUKONO-KALAGI'!H17,'31.10 MUKONO-KALAGI-24h'!H17,'2.11 MUKONO-KALAGI-24h'!H17,'4.11 MUKONO-KALAGI'!H17)</f>
        <v>0</v>
      </c>
      <c r="I17" s="49">
        <f>AVERAGE('29.10 MUKONO-KALAGI'!I17,'30.10 MUKONO-KALAGI'!I17,'1.11 MUKONO-KALAGI'!I17,'3.11 MUKONO-KALAGI'!I17,'31.10 MUKONO-KALAGI-24h'!I17,'2.11 MUKONO-KALAGI-24h'!I17,'4.11 MUKONO-KALAGI'!I17)</f>
        <v>2.8571428571428572</v>
      </c>
      <c r="J17" s="49">
        <f>AVERAGE('29.10 MUKONO-KALAGI'!J17,'30.10 MUKONO-KALAGI'!J17,'1.11 MUKONO-KALAGI'!J17,'3.11 MUKONO-KALAGI'!J17,'31.10 MUKONO-KALAGI-24h'!J17,'2.11 MUKONO-KALAGI-24h'!J17,'4.11 MUKONO-KALAGI'!J17)</f>
        <v>0.14285714285714285</v>
      </c>
      <c r="K17" s="49">
        <f>AVERAGE('29.10 MUKONO-KALAGI'!K17,'30.10 MUKONO-KALAGI'!K17,'1.11 MUKONO-KALAGI'!K17,'3.11 MUKONO-KALAGI'!K17,'31.10 MUKONO-KALAGI-24h'!K17,'2.11 MUKONO-KALAGI-24h'!K17,'4.11 MUKONO-KALAGI'!K17)</f>
        <v>0.2857142857142857</v>
      </c>
      <c r="L17" s="49">
        <f>AVERAGE('29.10 MUKONO-KALAGI'!L17,'30.10 MUKONO-KALAGI'!L17,'1.11 MUKONO-KALAGI'!L17,'3.11 MUKONO-KALAGI'!L17,'31.10 MUKONO-KALAGI-24h'!L17,'2.11 MUKONO-KALAGI-24h'!L17,'4.11 MUKONO-KALAGI'!L17)</f>
        <v>0</v>
      </c>
      <c r="M17" s="49">
        <f>AVERAGE('29.10 MUKONO-KALAGI'!M17,'30.10 MUKONO-KALAGI'!M17,'1.11 MUKONO-KALAGI'!M17,'3.11 MUKONO-KALAGI'!M17,'31.10 MUKONO-KALAGI-24h'!M17,'2.11 MUKONO-KALAGI-24h'!M17,'4.11 MUKONO-KALAGI'!M17)</f>
        <v>19.428571428571427</v>
      </c>
      <c r="N17" s="49">
        <f>AVERAGE('29.10 MUKONO-KALAGI'!N17,'30.10 MUKONO-KALAGI'!N17,'1.11 MUKONO-KALAGI'!N17,'3.11 MUKONO-KALAGI'!N17,'31.10 MUKONO-KALAGI-24h'!N17,'2.11 MUKONO-KALAGI-24h'!N17,'4.11 MUKONO-KALAGI'!N17)</f>
        <v>0</v>
      </c>
      <c r="O17" s="15">
        <f t="shared" si="0"/>
        <v>25.428571428571427</v>
      </c>
      <c r="P17" s="15">
        <f t="shared" si="1"/>
        <v>44.857142857142854</v>
      </c>
      <c r="R17" s="1" t="s">
        <v>13</v>
      </c>
      <c r="S17" s="17">
        <f t="shared" ref="S17:AF17" si="9">SUM(C38:C41)</f>
        <v>39.571428571428569</v>
      </c>
      <c r="T17" s="17">
        <f t="shared" si="9"/>
        <v>13</v>
      </c>
      <c r="U17" s="17">
        <f t="shared" si="9"/>
        <v>6.5714285714285712</v>
      </c>
      <c r="V17" s="17">
        <f t="shared" si="9"/>
        <v>41.142857142857139</v>
      </c>
      <c r="W17" s="17">
        <f t="shared" si="9"/>
        <v>1.2857142857142856</v>
      </c>
      <c r="X17" s="17">
        <f t="shared" si="9"/>
        <v>0</v>
      </c>
      <c r="Y17" s="17">
        <f t="shared" si="9"/>
        <v>13.714285714285715</v>
      </c>
      <c r="Z17" s="17">
        <f t="shared" si="9"/>
        <v>0.14285714285714285</v>
      </c>
      <c r="AA17" s="17">
        <f t="shared" si="9"/>
        <v>1.2857142857142856</v>
      </c>
      <c r="AB17" s="17">
        <f t="shared" si="9"/>
        <v>0.85714285714285698</v>
      </c>
      <c r="AC17" s="17">
        <f t="shared" si="9"/>
        <v>79.571428571428584</v>
      </c>
      <c r="AD17" s="17">
        <f t="shared" si="9"/>
        <v>0</v>
      </c>
      <c r="AE17" s="31">
        <f t="shared" si="9"/>
        <v>117.57142857142857</v>
      </c>
      <c r="AF17" s="31">
        <f t="shared" si="9"/>
        <v>197.14285714285714</v>
      </c>
    </row>
    <row r="18" spans="2:32" ht="23.1" customHeight="1" x14ac:dyDescent="0.25">
      <c r="B18" s="23" t="s">
        <v>45</v>
      </c>
      <c r="C18" s="49">
        <f>AVERAGE('29.10 MUKONO-KALAGI'!C18,'30.10 MUKONO-KALAGI'!C18,'1.11 MUKONO-KALAGI'!C18,'3.11 MUKONO-KALAGI'!C18,'31.10 MUKONO-KALAGI-24h'!C18,'2.11 MUKONO-KALAGI-24h'!C18,'4.11 MUKONO-KALAGI'!C18)</f>
        <v>8.7142857142857135</v>
      </c>
      <c r="D18" s="49">
        <f>AVERAGE('29.10 MUKONO-KALAGI'!D18,'30.10 MUKONO-KALAGI'!D18,'1.11 MUKONO-KALAGI'!D18,'3.11 MUKONO-KALAGI'!D18,'31.10 MUKONO-KALAGI-24h'!D18,'2.11 MUKONO-KALAGI-24h'!D18,'4.11 MUKONO-KALAGI'!D18)</f>
        <v>2.7142857142857144</v>
      </c>
      <c r="E18" s="49">
        <f>AVERAGE('29.10 MUKONO-KALAGI'!E18,'30.10 MUKONO-KALAGI'!E18,'1.11 MUKONO-KALAGI'!E18,'3.11 MUKONO-KALAGI'!E18,'31.10 MUKONO-KALAGI-24h'!E18,'2.11 MUKONO-KALAGI-24h'!E18,'4.11 MUKONO-KALAGI'!E18)</f>
        <v>1.5714285714285714</v>
      </c>
      <c r="F18" s="49">
        <f>AVERAGE('29.10 MUKONO-KALAGI'!F18,'30.10 MUKONO-KALAGI'!F18,'1.11 MUKONO-KALAGI'!F18,'3.11 MUKONO-KALAGI'!F18,'31.10 MUKONO-KALAGI-24h'!F18,'2.11 MUKONO-KALAGI-24h'!F18,'4.11 MUKONO-KALAGI'!F18)</f>
        <v>8.2857142857142865</v>
      </c>
      <c r="G18" s="49">
        <f>AVERAGE('29.10 MUKONO-KALAGI'!G18,'30.10 MUKONO-KALAGI'!G18,'1.11 MUKONO-KALAGI'!G18,'3.11 MUKONO-KALAGI'!G18,'31.10 MUKONO-KALAGI-24h'!G18,'2.11 MUKONO-KALAGI-24h'!G18,'4.11 MUKONO-KALAGI'!G18)</f>
        <v>0</v>
      </c>
      <c r="H18" s="49">
        <f>AVERAGE('29.10 MUKONO-KALAGI'!H18,'30.10 MUKONO-KALAGI'!H18,'1.11 MUKONO-KALAGI'!H18,'3.11 MUKONO-KALAGI'!H18,'31.10 MUKONO-KALAGI-24h'!H18,'2.11 MUKONO-KALAGI-24h'!H18,'4.11 MUKONO-KALAGI'!H18)</f>
        <v>0</v>
      </c>
      <c r="I18" s="49">
        <f>AVERAGE('29.10 MUKONO-KALAGI'!I18,'30.10 MUKONO-KALAGI'!I18,'1.11 MUKONO-KALAGI'!I18,'3.11 MUKONO-KALAGI'!I18,'31.10 MUKONO-KALAGI-24h'!I18,'2.11 MUKONO-KALAGI-24h'!I18,'4.11 MUKONO-KALAGI'!I18)</f>
        <v>3.1428571428571428</v>
      </c>
      <c r="J18" s="49">
        <f>AVERAGE('29.10 MUKONO-KALAGI'!J18,'30.10 MUKONO-KALAGI'!J18,'1.11 MUKONO-KALAGI'!J18,'3.11 MUKONO-KALAGI'!J18,'31.10 MUKONO-KALAGI-24h'!J18,'2.11 MUKONO-KALAGI-24h'!J18,'4.11 MUKONO-KALAGI'!J18)</f>
        <v>0.14285714285714285</v>
      </c>
      <c r="K18" s="49">
        <f>AVERAGE('29.10 MUKONO-KALAGI'!K18,'30.10 MUKONO-KALAGI'!K18,'1.11 MUKONO-KALAGI'!K18,'3.11 MUKONO-KALAGI'!K18,'31.10 MUKONO-KALAGI-24h'!K18,'2.11 MUKONO-KALAGI-24h'!K18,'4.11 MUKONO-KALAGI'!K18)</f>
        <v>0.14285714285714285</v>
      </c>
      <c r="L18" s="49">
        <f>AVERAGE('29.10 MUKONO-KALAGI'!L18,'30.10 MUKONO-KALAGI'!L18,'1.11 MUKONO-KALAGI'!L18,'3.11 MUKONO-KALAGI'!L18,'31.10 MUKONO-KALAGI-24h'!L18,'2.11 MUKONO-KALAGI-24h'!L18,'4.11 MUKONO-KALAGI'!L18)</f>
        <v>0.7142857142857143</v>
      </c>
      <c r="M18" s="49">
        <f>AVERAGE('29.10 MUKONO-KALAGI'!M18,'30.10 MUKONO-KALAGI'!M18,'1.11 MUKONO-KALAGI'!M18,'3.11 MUKONO-KALAGI'!M18,'31.10 MUKONO-KALAGI-24h'!M18,'2.11 MUKONO-KALAGI-24h'!M18,'4.11 MUKONO-KALAGI'!M18)</f>
        <v>19.142857142857142</v>
      </c>
      <c r="N18" s="49">
        <f>AVERAGE('29.10 MUKONO-KALAGI'!N18,'30.10 MUKONO-KALAGI'!N18,'1.11 MUKONO-KALAGI'!N18,'3.11 MUKONO-KALAGI'!N18,'31.10 MUKONO-KALAGI-24h'!N18,'2.11 MUKONO-KALAGI-24h'!N18,'4.11 MUKONO-KALAGI'!N18)</f>
        <v>0</v>
      </c>
      <c r="O18" s="15">
        <f t="shared" si="0"/>
        <v>25.428571428571427</v>
      </c>
      <c r="P18" s="15">
        <f t="shared" si="1"/>
        <v>44.571428571428569</v>
      </c>
      <c r="R18" s="1" t="s">
        <v>14</v>
      </c>
      <c r="S18" s="17">
        <f t="shared" ref="S18:AF18" si="10">SUM(C42:C45)</f>
        <v>35.857142857142861</v>
      </c>
      <c r="T18" s="17">
        <f t="shared" si="10"/>
        <v>19.142857142857142</v>
      </c>
      <c r="U18" s="17">
        <f t="shared" si="10"/>
        <v>8.1428571428571423</v>
      </c>
      <c r="V18" s="17">
        <f t="shared" si="10"/>
        <v>36.428571428571431</v>
      </c>
      <c r="W18" s="17">
        <f t="shared" si="10"/>
        <v>0.2857142857142857</v>
      </c>
      <c r="X18" s="17">
        <f t="shared" si="10"/>
        <v>0</v>
      </c>
      <c r="Y18" s="17">
        <f t="shared" si="10"/>
        <v>14</v>
      </c>
      <c r="Z18" s="17">
        <f t="shared" si="10"/>
        <v>0.42857142857142855</v>
      </c>
      <c r="AA18" s="17">
        <f t="shared" si="10"/>
        <v>0.71428571428571419</v>
      </c>
      <c r="AB18" s="17">
        <f t="shared" si="10"/>
        <v>1.1428571428571428</v>
      </c>
      <c r="AC18" s="17">
        <f t="shared" si="10"/>
        <v>77.857142857142847</v>
      </c>
      <c r="AD18" s="17">
        <f t="shared" si="10"/>
        <v>0.42857142857142855</v>
      </c>
      <c r="AE18" s="31">
        <f t="shared" si="10"/>
        <v>116.57142857142857</v>
      </c>
      <c r="AF18" s="31">
        <f t="shared" si="10"/>
        <v>194.42857142857144</v>
      </c>
    </row>
    <row r="19" spans="2:32" ht="23.1" customHeight="1" x14ac:dyDescent="0.25">
      <c r="B19" s="23" t="s">
        <v>46</v>
      </c>
      <c r="C19" s="49">
        <f>AVERAGE('29.10 MUKONO-KALAGI'!C19,'30.10 MUKONO-KALAGI'!C19,'1.11 MUKONO-KALAGI'!C19,'3.11 MUKONO-KALAGI'!C19,'31.10 MUKONO-KALAGI-24h'!C19,'2.11 MUKONO-KALAGI-24h'!C19,'4.11 MUKONO-KALAGI'!C19)</f>
        <v>9.8571428571428577</v>
      </c>
      <c r="D19" s="49">
        <f>AVERAGE('29.10 MUKONO-KALAGI'!D19,'30.10 MUKONO-KALAGI'!D19,'1.11 MUKONO-KALAGI'!D19,'3.11 MUKONO-KALAGI'!D19,'31.10 MUKONO-KALAGI-24h'!D19,'2.11 MUKONO-KALAGI-24h'!D19,'4.11 MUKONO-KALAGI'!D19)</f>
        <v>2.4285714285714284</v>
      </c>
      <c r="E19" s="49">
        <f>AVERAGE('29.10 MUKONO-KALAGI'!E19,'30.10 MUKONO-KALAGI'!E19,'1.11 MUKONO-KALAGI'!E19,'3.11 MUKONO-KALAGI'!E19,'31.10 MUKONO-KALAGI-24h'!E19,'2.11 MUKONO-KALAGI-24h'!E19,'4.11 MUKONO-KALAGI'!E19)</f>
        <v>2.1428571428571428</v>
      </c>
      <c r="F19" s="49">
        <f>AVERAGE('29.10 MUKONO-KALAGI'!F19,'30.10 MUKONO-KALAGI'!F19,'1.11 MUKONO-KALAGI'!F19,'3.11 MUKONO-KALAGI'!F19,'31.10 MUKONO-KALAGI-24h'!F19,'2.11 MUKONO-KALAGI-24h'!F19,'4.11 MUKONO-KALAGI'!F19)</f>
        <v>9.7142857142857135</v>
      </c>
      <c r="G19" s="49">
        <f>AVERAGE('29.10 MUKONO-KALAGI'!G19,'30.10 MUKONO-KALAGI'!G19,'1.11 MUKONO-KALAGI'!G19,'3.11 MUKONO-KALAGI'!G19,'31.10 MUKONO-KALAGI-24h'!G19,'2.11 MUKONO-KALAGI-24h'!G19,'4.11 MUKONO-KALAGI'!G19)</f>
        <v>0.42857142857142855</v>
      </c>
      <c r="H19" s="49">
        <f>AVERAGE('29.10 MUKONO-KALAGI'!H19,'30.10 MUKONO-KALAGI'!H19,'1.11 MUKONO-KALAGI'!H19,'3.11 MUKONO-KALAGI'!H19,'31.10 MUKONO-KALAGI-24h'!H19,'2.11 MUKONO-KALAGI-24h'!H19,'4.11 MUKONO-KALAGI'!H19)</f>
        <v>0</v>
      </c>
      <c r="I19" s="49">
        <f>AVERAGE('29.10 MUKONO-KALAGI'!I19,'30.10 MUKONO-KALAGI'!I19,'1.11 MUKONO-KALAGI'!I19,'3.11 MUKONO-KALAGI'!I19,'31.10 MUKONO-KALAGI-24h'!I19,'2.11 MUKONO-KALAGI-24h'!I19,'4.11 MUKONO-KALAGI'!I19)</f>
        <v>3.8571428571428572</v>
      </c>
      <c r="J19" s="49">
        <f>AVERAGE('29.10 MUKONO-KALAGI'!J19,'30.10 MUKONO-KALAGI'!J19,'1.11 MUKONO-KALAGI'!J19,'3.11 MUKONO-KALAGI'!J19,'31.10 MUKONO-KALAGI-24h'!J19,'2.11 MUKONO-KALAGI-24h'!J19,'4.11 MUKONO-KALAGI'!J19)</f>
        <v>0.14285714285714285</v>
      </c>
      <c r="K19" s="49">
        <f>AVERAGE('29.10 MUKONO-KALAGI'!K19,'30.10 MUKONO-KALAGI'!K19,'1.11 MUKONO-KALAGI'!K19,'3.11 MUKONO-KALAGI'!K19,'31.10 MUKONO-KALAGI-24h'!K19,'2.11 MUKONO-KALAGI-24h'!K19,'4.11 MUKONO-KALAGI'!K19)</f>
        <v>0</v>
      </c>
      <c r="L19" s="49">
        <f>AVERAGE('29.10 MUKONO-KALAGI'!L19,'30.10 MUKONO-KALAGI'!L19,'1.11 MUKONO-KALAGI'!L19,'3.11 MUKONO-KALAGI'!L19,'31.10 MUKONO-KALAGI-24h'!L19,'2.11 MUKONO-KALAGI-24h'!L19,'4.11 MUKONO-KALAGI'!L19)</f>
        <v>0.14285714285714285</v>
      </c>
      <c r="M19" s="49">
        <f>AVERAGE('29.10 MUKONO-KALAGI'!M19,'30.10 MUKONO-KALAGI'!M19,'1.11 MUKONO-KALAGI'!M19,'3.11 MUKONO-KALAGI'!M19,'31.10 MUKONO-KALAGI-24h'!M19,'2.11 MUKONO-KALAGI-24h'!M19,'4.11 MUKONO-KALAGI'!M19)</f>
        <v>18.571428571428573</v>
      </c>
      <c r="N19" s="49">
        <f>AVERAGE('29.10 MUKONO-KALAGI'!N19,'30.10 MUKONO-KALAGI'!N19,'1.11 MUKONO-KALAGI'!N19,'3.11 MUKONO-KALAGI'!N19,'31.10 MUKONO-KALAGI-24h'!N19,'2.11 MUKONO-KALAGI-24h'!N19,'4.11 MUKONO-KALAGI'!N19)</f>
        <v>0</v>
      </c>
      <c r="O19" s="15">
        <f t="shared" si="0"/>
        <v>28.714285714285712</v>
      </c>
      <c r="P19" s="15">
        <f t="shared" si="1"/>
        <v>47.285714285714285</v>
      </c>
      <c r="R19" s="1" t="s">
        <v>15</v>
      </c>
      <c r="S19" s="17">
        <f t="shared" ref="S19:AF19" si="11">SUM(C46:C49)</f>
        <v>44.714285714285715</v>
      </c>
      <c r="T19" s="17">
        <f t="shared" si="11"/>
        <v>15.857142857142856</v>
      </c>
      <c r="U19" s="17">
        <f t="shared" si="11"/>
        <v>9.7142857142857135</v>
      </c>
      <c r="V19" s="17">
        <f t="shared" si="11"/>
        <v>42.571428571428569</v>
      </c>
      <c r="W19" s="17">
        <f t="shared" si="11"/>
        <v>2</v>
      </c>
      <c r="X19" s="17">
        <f t="shared" si="11"/>
        <v>0</v>
      </c>
      <c r="Y19" s="17">
        <f t="shared" si="11"/>
        <v>13.857142857142858</v>
      </c>
      <c r="Z19" s="17">
        <f t="shared" si="11"/>
        <v>0.42857142857142855</v>
      </c>
      <c r="AA19" s="17">
        <f t="shared" si="11"/>
        <v>0.71428571428571419</v>
      </c>
      <c r="AB19" s="17">
        <f t="shared" si="11"/>
        <v>0.71428571428571419</v>
      </c>
      <c r="AC19" s="17">
        <f t="shared" si="11"/>
        <v>93.714285714285722</v>
      </c>
      <c r="AD19" s="17">
        <f t="shared" si="11"/>
        <v>0</v>
      </c>
      <c r="AE19" s="31">
        <f t="shared" si="11"/>
        <v>130.57142857142858</v>
      </c>
      <c r="AF19" s="31">
        <f t="shared" si="11"/>
        <v>224.28571428571431</v>
      </c>
    </row>
    <row r="20" spans="2:32" ht="23.1" customHeight="1" x14ac:dyDescent="0.25">
      <c r="B20" s="23" t="s">
        <v>47</v>
      </c>
      <c r="C20" s="49">
        <f>AVERAGE('29.10 MUKONO-KALAGI'!C20,'30.10 MUKONO-KALAGI'!C20,'1.11 MUKONO-KALAGI'!C20,'3.11 MUKONO-KALAGI'!C20,'31.10 MUKONO-KALAGI-24h'!C20,'2.11 MUKONO-KALAGI-24h'!C20,'4.11 MUKONO-KALAGI'!C20)</f>
        <v>6.8571428571428568</v>
      </c>
      <c r="D20" s="49">
        <f>AVERAGE('29.10 MUKONO-KALAGI'!D20,'30.10 MUKONO-KALAGI'!D20,'1.11 MUKONO-KALAGI'!D20,'3.11 MUKONO-KALAGI'!D20,'31.10 MUKONO-KALAGI-24h'!D20,'2.11 MUKONO-KALAGI-24h'!D20,'4.11 MUKONO-KALAGI'!D20)</f>
        <v>1.2857142857142858</v>
      </c>
      <c r="E20" s="49">
        <f>AVERAGE('29.10 MUKONO-KALAGI'!E20,'30.10 MUKONO-KALAGI'!E20,'1.11 MUKONO-KALAGI'!E20,'3.11 MUKONO-KALAGI'!E20,'31.10 MUKONO-KALAGI-24h'!E20,'2.11 MUKONO-KALAGI-24h'!E20,'4.11 MUKONO-KALAGI'!E20)</f>
        <v>1.7142857142857142</v>
      </c>
      <c r="F20" s="49">
        <f>AVERAGE('29.10 MUKONO-KALAGI'!F20,'30.10 MUKONO-KALAGI'!F20,'1.11 MUKONO-KALAGI'!F20,'3.11 MUKONO-KALAGI'!F20,'31.10 MUKONO-KALAGI-24h'!F20,'2.11 MUKONO-KALAGI-24h'!F20,'4.11 MUKONO-KALAGI'!F20)</f>
        <v>8.5714285714285712</v>
      </c>
      <c r="G20" s="49">
        <f>AVERAGE('29.10 MUKONO-KALAGI'!G20,'30.10 MUKONO-KALAGI'!G20,'1.11 MUKONO-KALAGI'!G20,'3.11 MUKONO-KALAGI'!G20,'31.10 MUKONO-KALAGI-24h'!G20,'2.11 MUKONO-KALAGI-24h'!G20,'4.11 MUKONO-KALAGI'!G20)</f>
        <v>0</v>
      </c>
      <c r="H20" s="49">
        <f>AVERAGE('29.10 MUKONO-KALAGI'!H20,'30.10 MUKONO-KALAGI'!H20,'1.11 MUKONO-KALAGI'!H20,'3.11 MUKONO-KALAGI'!H20,'31.10 MUKONO-KALAGI-24h'!H20,'2.11 MUKONO-KALAGI-24h'!H20,'4.11 MUKONO-KALAGI'!H20)</f>
        <v>0.14285714285714285</v>
      </c>
      <c r="I20" s="49">
        <f>AVERAGE('29.10 MUKONO-KALAGI'!I20,'30.10 MUKONO-KALAGI'!I20,'1.11 MUKONO-KALAGI'!I20,'3.11 MUKONO-KALAGI'!I20,'31.10 MUKONO-KALAGI-24h'!I20,'2.11 MUKONO-KALAGI-24h'!I20,'4.11 MUKONO-KALAGI'!I20)</f>
        <v>3.8571428571428572</v>
      </c>
      <c r="J20" s="49">
        <f>AVERAGE('29.10 MUKONO-KALAGI'!J20,'30.10 MUKONO-KALAGI'!J20,'1.11 MUKONO-KALAGI'!J20,'3.11 MUKONO-KALAGI'!J20,'31.10 MUKONO-KALAGI-24h'!J20,'2.11 MUKONO-KALAGI-24h'!J20,'4.11 MUKONO-KALAGI'!J20)</f>
        <v>0.42857142857142855</v>
      </c>
      <c r="K20" s="49">
        <f>AVERAGE('29.10 MUKONO-KALAGI'!K20,'30.10 MUKONO-KALAGI'!K20,'1.11 MUKONO-KALAGI'!K20,'3.11 MUKONO-KALAGI'!K20,'31.10 MUKONO-KALAGI-24h'!K20,'2.11 MUKONO-KALAGI-24h'!K20,'4.11 MUKONO-KALAGI'!K20)</f>
        <v>0</v>
      </c>
      <c r="L20" s="49">
        <f>AVERAGE('29.10 MUKONO-KALAGI'!L20,'30.10 MUKONO-KALAGI'!L20,'1.11 MUKONO-KALAGI'!L20,'3.11 MUKONO-KALAGI'!L20,'31.10 MUKONO-KALAGI-24h'!L20,'2.11 MUKONO-KALAGI-24h'!L20,'4.11 MUKONO-KALAGI'!L20)</f>
        <v>0</v>
      </c>
      <c r="M20" s="49">
        <f>AVERAGE('29.10 MUKONO-KALAGI'!M20,'30.10 MUKONO-KALAGI'!M20,'1.11 MUKONO-KALAGI'!M20,'3.11 MUKONO-KALAGI'!M20,'31.10 MUKONO-KALAGI-24h'!M20,'2.11 MUKONO-KALAGI-24h'!M20,'4.11 MUKONO-KALAGI'!M20)</f>
        <v>15.571428571428571</v>
      </c>
      <c r="N20" s="49">
        <f>AVERAGE('29.10 MUKONO-KALAGI'!N20,'30.10 MUKONO-KALAGI'!N20,'1.11 MUKONO-KALAGI'!N20,'3.11 MUKONO-KALAGI'!N20,'31.10 MUKONO-KALAGI-24h'!N20,'2.11 MUKONO-KALAGI-24h'!N20,'4.11 MUKONO-KALAGI'!N20)</f>
        <v>0</v>
      </c>
      <c r="O20" s="15">
        <f t="shared" si="0"/>
        <v>22.857142857142854</v>
      </c>
      <c r="P20" s="15">
        <f t="shared" si="1"/>
        <v>38.428571428571423</v>
      </c>
      <c r="R20" s="1" t="s">
        <v>16</v>
      </c>
      <c r="S20" s="17">
        <f t="shared" ref="S20:AF20" si="12">SUM(C50:C53)</f>
        <v>44.571428571428569</v>
      </c>
      <c r="T20" s="17">
        <f t="shared" si="12"/>
        <v>15.571428571428571</v>
      </c>
      <c r="U20" s="17">
        <f t="shared" si="12"/>
        <v>9.7142857142857153</v>
      </c>
      <c r="V20" s="17">
        <f t="shared" si="12"/>
        <v>44.714285714285715</v>
      </c>
      <c r="W20" s="17">
        <f t="shared" si="12"/>
        <v>1.2857142857142856</v>
      </c>
      <c r="X20" s="17">
        <f t="shared" si="12"/>
        <v>0.2857142857142857</v>
      </c>
      <c r="Y20" s="17">
        <f t="shared" si="12"/>
        <v>11.999999999999998</v>
      </c>
      <c r="Z20" s="17">
        <f t="shared" si="12"/>
        <v>0.5714285714285714</v>
      </c>
      <c r="AA20" s="17">
        <f t="shared" si="12"/>
        <v>0.5714285714285714</v>
      </c>
      <c r="AB20" s="17">
        <f t="shared" si="12"/>
        <v>0.42857142857142855</v>
      </c>
      <c r="AC20" s="17">
        <f t="shared" si="12"/>
        <v>99.857142857142861</v>
      </c>
      <c r="AD20" s="17">
        <f t="shared" si="12"/>
        <v>0.2857142857142857</v>
      </c>
      <c r="AE20" s="31">
        <f t="shared" si="12"/>
        <v>130</v>
      </c>
      <c r="AF20" s="31">
        <f t="shared" si="12"/>
        <v>229.85714285714286</v>
      </c>
    </row>
    <row r="21" spans="2:32" ht="23.1" customHeight="1" x14ac:dyDescent="0.25">
      <c r="B21" s="23" t="s">
        <v>48</v>
      </c>
      <c r="C21" s="49">
        <f>AVERAGE('29.10 MUKONO-KALAGI'!C21,'30.10 MUKONO-KALAGI'!C21,'1.11 MUKONO-KALAGI'!C21,'3.11 MUKONO-KALAGI'!C21,'31.10 MUKONO-KALAGI-24h'!C21,'2.11 MUKONO-KALAGI-24h'!C21,'4.11 MUKONO-KALAGI'!C21)</f>
        <v>6.7142857142857144</v>
      </c>
      <c r="D21" s="49">
        <f>AVERAGE('29.10 MUKONO-KALAGI'!D21,'30.10 MUKONO-KALAGI'!D21,'1.11 MUKONO-KALAGI'!D21,'3.11 MUKONO-KALAGI'!D21,'31.10 MUKONO-KALAGI-24h'!D21,'2.11 MUKONO-KALAGI-24h'!D21,'4.11 MUKONO-KALAGI'!D21)</f>
        <v>2.5714285714285716</v>
      </c>
      <c r="E21" s="49">
        <f>AVERAGE('29.10 MUKONO-KALAGI'!E21,'30.10 MUKONO-KALAGI'!E21,'1.11 MUKONO-KALAGI'!E21,'3.11 MUKONO-KALAGI'!E21,'31.10 MUKONO-KALAGI-24h'!E21,'2.11 MUKONO-KALAGI-24h'!E21,'4.11 MUKONO-KALAGI'!E21)</f>
        <v>2.1428571428571428</v>
      </c>
      <c r="F21" s="49">
        <f>AVERAGE('29.10 MUKONO-KALAGI'!F21,'30.10 MUKONO-KALAGI'!F21,'1.11 MUKONO-KALAGI'!F21,'3.11 MUKONO-KALAGI'!F21,'31.10 MUKONO-KALAGI-24h'!F21,'2.11 MUKONO-KALAGI-24h'!F21,'4.11 MUKONO-KALAGI'!F21)</f>
        <v>8.4285714285714288</v>
      </c>
      <c r="G21" s="49">
        <f>AVERAGE('29.10 MUKONO-KALAGI'!G21,'30.10 MUKONO-KALAGI'!G21,'1.11 MUKONO-KALAGI'!G21,'3.11 MUKONO-KALAGI'!G21,'31.10 MUKONO-KALAGI-24h'!G21,'2.11 MUKONO-KALAGI-24h'!G21,'4.11 MUKONO-KALAGI'!G21)</f>
        <v>0.14285714285714285</v>
      </c>
      <c r="H21" s="49">
        <f>AVERAGE('29.10 MUKONO-KALAGI'!H21,'30.10 MUKONO-KALAGI'!H21,'1.11 MUKONO-KALAGI'!H21,'3.11 MUKONO-KALAGI'!H21,'31.10 MUKONO-KALAGI-24h'!H21,'2.11 MUKONO-KALAGI-24h'!H21,'4.11 MUKONO-KALAGI'!H21)</f>
        <v>0</v>
      </c>
      <c r="I21" s="49">
        <f>AVERAGE('29.10 MUKONO-KALAGI'!I21,'30.10 MUKONO-KALAGI'!I21,'1.11 MUKONO-KALAGI'!I21,'3.11 MUKONO-KALAGI'!I21,'31.10 MUKONO-KALAGI-24h'!I21,'2.11 MUKONO-KALAGI-24h'!I21,'4.11 MUKONO-KALAGI'!I21)</f>
        <v>2.8571428571428572</v>
      </c>
      <c r="J21" s="49">
        <f>AVERAGE('29.10 MUKONO-KALAGI'!J21,'30.10 MUKONO-KALAGI'!J21,'1.11 MUKONO-KALAGI'!J21,'3.11 MUKONO-KALAGI'!J21,'31.10 MUKONO-KALAGI-24h'!J21,'2.11 MUKONO-KALAGI-24h'!J21,'4.11 MUKONO-KALAGI'!J21)</f>
        <v>0.42857142857142855</v>
      </c>
      <c r="K21" s="49">
        <f>AVERAGE('29.10 MUKONO-KALAGI'!K21,'30.10 MUKONO-KALAGI'!K21,'1.11 MUKONO-KALAGI'!K21,'3.11 MUKONO-KALAGI'!K21,'31.10 MUKONO-KALAGI-24h'!K21,'2.11 MUKONO-KALAGI-24h'!K21,'4.11 MUKONO-KALAGI'!K21)</f>
        <v>0.2857142857142857</v>
      </c>
      <c r="L21" s="49">
        <f>AVERAGE('29.10 MUKONO-KALAGI'!L21,'30.10 MUKONO-KALAGI'!L21,'1.11 MUKONO-KALAGI'!L21,'3.11 MUKONO-KALAGI'!L21,'31.10 MUKONO-KALAGI-24h'!L21,'2.11 MUKONO-KALAGI-24h'!L21,'4.11 MUKONO-KALAGI'!L21)</f>
        <v>0.14285714285714285</v>
      </c>
      <c r="M21" s="49">
        <f>AVERAGE('29.10 MUKONO-KALAGI'!M21,'30.10 MUKONO-KALAGI'!M21,'1.11 MUKONO-KALAGI'!M21,'3.11 MUKONO-KALAGI'!M21,'31.10 MUKONO-KALAGI-24h'!M21,'2.11 MUKONO-KALAGI-24h'!M21,'4.11 MUKONO-KALAGI'!M21)</f>
        <v>19</v>
      </c>
      <c r="N21" s="49">
        <f>AVERAGE('29.10 MUKONO-KALAGI'!N21,'30.10 MUKONO-KALAGI'!N21,'1.11 MUKONO-KALAGI'!N21,'3.11 MUKONO-KALAGI'!N21,'31.10 MUKONO-KALAGI-24h'!N21,'2.11 MUKONO-KALAGI-24h'!N21,'4.11 MUKONO-KALAGI'!N21)</f>
        <v>0</v>
      </c>
      <c r="O21" s="15">
        <f t="shared" si="0"/>
        <v>23.714285714285712</v>
      </c>
      <c r="P21" s="15">
        <f t="shared" si="1"/>
        <v>42.714285714285708</v>
      </c>
      <c r="R21" s="1" t="s">
        <v>20</v>
      </c>
      <c r="S21" s="34">
        <f t="shared" ref="S21:AF21" si="13">SUM(C54:C57)</f>
        <v>40.142857142857139</v>
      </c>
      <c r="T21" s="17">
        <f t="shared" si="13"/>
        <v>11.428571428571427</v>
      </c>
      <c r="U21" s="17">
        <f t="shared" si="13"/>
        <v>9</v>
      </c>
      <c r="V21" s="17">
        <f t="shared" si="13"/>
        <v>41.428571428571431</v>
      </c>
      <c r="W21" s="17">
        <f t="shared" si="13"/>
        <v>0.85714285714285698</v>
      </c>
      <c r="X21" s="17">
        <f t="shared" si="13"/>
        <v>0.42857142857142855</v>
      </c>
      <c r="Y21" s="17">
        <f t="shared" si="13"/>
        <v>9.5714285714285712</v>
      </c>
      <c r="Z21" s="17">
        <f t="shared" si="13"/>
        <v>0.5714285714285714</v>
      </c>
      <c r="AA21" s="17">
        <f t="shared" si="13"/>
        <v>0.71428571428571419</v>
      </c>
      <c r="AB21" s="17">
        <f t="shared" si="13"/>
        <v>0.71428571428571419</v>
      </c>
      <c r="AC21" s="17">
        <f t="shared" si="13"/>
        <v>100.71428571428572</v>
      </c>
      <c r="AD21" s="17">
        <f t="shared" si="13"/>
        <v>0.2857142857142857</v>
      </c>
      <c r="AE21" s="31">
        <f t="shared" si="13"/>
        <v>115.14285714285714</v>
      </c>
      <c r="AF21" s="31">
        <f t="shared" si="13"/>
        <v>215.85714285714283</v>
      </c>
    </row>
    <row r="22" spans="2:32" ht="23.1" customHeight="1" x14ac:dyDescent="0.25">
      <c r="B22" s="23" t="s">
        <v>49</v>
      </c>
      <c r="C22" s="49">
        <f>AVERAGE('29.10 MUKONO-KALAGI'!C22,'30.10 MUKONO-KALAGI'!C22,'1.11 MUKONO-KALAGI'!C22,'3.11 MUKONO-KALAGI'!C22,'31.10 MUKONO-KALAGI-24h'!C22,'2.11 MUKONO-KALAGI-24h'!C22,'4.11 MUKONO-KALAGI'!C22)</f>
        <v>8.7142857142857135</v>
      </c>
      <c r="D22" s="49">
        <f>AVERAGE('29.10 MUKONO-KALAGI'!D22,'30.10 MUKONO-KALAGI'!D22,'1.11 MUKONO-KALAGI'!D22,'3.11 MUKONO-KALAGI'!D22,'31.10 MUKONO-KALAGI-24h'!D22,'2.11 MUKONO-KALAGI-24h'!D22,'4.11 MUKONO-KALAGI'!D22)</f>
        <v>1.4285714285714286</v>
      </c>
      <c r="E22" s="49">
        <f>AVERAGE('29.10 MUKONO-KALAGI'!E22,'30.10 MUKONO-KALAGI'!E22,'1.11 MUKONO-KALAGI'!E22,'3.11 MUKONO-KALAGI'!E22,'31.10 MUKONO-KALAGI-24h'!E22,'2.11 MUKONO-KALAGI-24h'!E22,'4.11 MUKONO-KALAGI'!E22)</f>
        <v>1.8571428571428572</v>
      </c>
      <c r="F22" s="49">
        <f>AVERAGE('29.10 MUKONO-KALAGI'!F22,'30.10 MUKONO-KALAGI'!F22,'1.11 MUKONO-KALAGI'!F22,'3.11 MUKONO-KALAGI'!F22,'31.10 MUKONO-KALAGI-24h'!F22,'2.11 MUKONO-KALAGI-24h'!F22,'4.11 MUKONO-KALAGI'!F22)</f>
        <v>11.285714285714286</v>
      </c>
      <c r="G22" s="49">
        <f>AVERAGE('29.10 MUKONO-KALAGI'!G22,'30.10 MUKONO-KALAGI'!G22,'1.11 MUKONO-KALAGI'!G22,'3.11 MUKONO-KALAGI'!G22,'31.10 MUKONO-KALAGI-24h'!G22,'2.11 MUKONO-KALAGI-24h'!G22,'4.11 MUKONO-KALAGI'!G22)</f>
        <v>0</v>
      </c>
      <c r="H22" s="49">
        <f>AVERAGE('29.10 MUKONO-KALAGI'!H22,'30.10 MUKONO-KALAGI'!H22,'1.11 MUKONO-KALAGI'!H22,'3.11 MUKONO-KALAGI'!H22,'31.10 MUKONO-KALAGI-24h'!H22,'2.11 MUKONO-KALAGI-24h'!H22,'4.11 MUKONO-KALAGI'!H22)</f>
        <v>0</v>
      </c>
      <c r="I22" s="49">
        <f>AVERAGE('29.10 MUKONO-KALAGI'!I22,'30.10 MUKONO-KALAGI'!I22,'1.11 MUKONO-KALAGI'!I22,'3.11 MUKONO-KALAGI'!I22,'31.10 MUKONO-KALAGI-24h'!I22,'2.11 MUKONO-KALAGI-24h'!I22,'4.11 MUKONO-KALAGI'!I22)</f>
        <v>3.5714285714285716</v>
      </c>
      <c r="J22" s="49">
        <f>AVERAGE('29.10 MUKONO-KALAGI'!J22,'30.10 MUKONO-KALAGI'!J22,'1.11 MUKONO-KALAGI'!J22,'3.11 MUKONO-KALAGI'!J22,'31.10 MUKONO-KALAGI-24h'!J22,'2.11 MUKONO-KALAGI-24h'!J22,'4.11 MUKONO-KALAGI'!J22)</f>
        <v>0.2857142857142857</v>
      </c>
      <c r="K22" s="49">
        <f>AVERAGE('29.10 MUKONO-KALAGI'!K22,'30.10 MUKONO-KALAGI'!K22,'1.11 MUKONO-KALAGI'!K22,'3.11 MUKONO-KALAGI'!K22,'31.10 MUKONO-KALAGI-24h'!K22,'2.11 MUKONO-KALAGI-24h'!K22,'4.11 MUKONO-KALAGI'!K22)</f>
        <v>0</v>
      </c>
      <c r="L22" s="49">
        <f>AVERAGE('29.10 MUKONO-KALAGI'!L22,'30.10 MUKONO-KALAGI'!L22,'1.11 MUKONO-KALAGI'!L22,'3.11 MUKONO-KALAGI'!L22,'31.10 MUKONO-KALAGI-24h'!L22,'2.11 MUKONO-KALAGI-24h'!L22,'4.11 MUKONO-KALAGI'!L22)</f>
        <v>0.14285714285714285</v>
      </c>
      <c r="M22" s="49">
        <f>AVERAGE('29.10 MUKONO-KALAGI'!M22,'30.10 MUKONO-KALAGI'!M22,'1.11 MUKONO-KALAGI'!M22,'3.11 MUKONO-KALAGI'!M22,'31.10 MUKONO-KALAGI-24h'!M22,'2.11 MUKONO-KALAGI-24h'!M22,'4.11 MUKONO-KALAGI'!M22)</f>
        <v>20.428571428571427</v>
      </c>
      <c r="N22" s="49">
        <f>AVERAGE('29.10 MUKONO-KALAGI'!N22,'30.10 MUKONO-KALAGI'!N22,'1.11 MUKONO-KALAGI'!N22,'3.11 MUKONO-KALAGI'!N22,'31.10 MUKONO-KALAGI-24h'!N22,'2.11 MUKONO-KALAGI-24h'!N22,'4.11 MUKONO-KALAGI'!N22)</f>
        <v>0.14285714285714285</v>
      </c>
      <c r="O22" s="15">
        <f t="shared" si="0"/>
        <v>27.428571428571427</v>
      </c>
      <c r="P22" s="15">
        <f t="shared" si="1"/>
        <v>47.857142857142854</v>
      </c>
      <c r="R22" s="1" t="s">
        <v>146</v>
      </c>
      <c r="S22" s="34">
        <f>SUM(C58:C61)</f>
        <v>37</v>
      </c>
      <c r="T22" s="34">
        <f t="shared" ref="T22:AF22" si="14">SUM(D58:D61)</f>
        <v>7</v>
      </c>
      <c r="U22" s="34">
        <f t="shared" si="14"/>
        <v>6</v>
      </c>
      <c r="V22" s="34">
        <f t="shared" si="14"/>
        <v>41</v>
      </c>
      <c r="W22" s="34">
        <f t="shared" si="14"/>
        <v>2.5</v>
      </c>
      <c r="X22" s="34">
        <f t="shared" si="14"/>
        <v>0.5</v>
      </c>
      <c r="Y22" s="34">
        <f t="shared" si="14"/>
        <v>11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94.5</v>
      </c>
      <c r="AD22" s="34">
        <f t="shared" si="14"/>
        <v>0</v>
      </c>
      <c r="AE22" s="31">
        <f t="shared" si="14"/>
        <v>105</v>
      </c>
      <c r="AF22" s="31">
        <f t="shared" si="14"/>
        <v>199.5</v>
      </c>
    </row>
    <row r="23" spans="2:32" ht="23.1" customHeight="1" x14ac:dyDescent="0.25">
      <c r="B23" s="23" t="s">
        <v>50</v>
      </c>
      <c r="C23" s="49">
        <f>AVERAGE('29.10 MUKONO-KALAGI'!C23,'30.10 MUKONO-KALAGI'!C23,'1.11 MUKONO-KALAGI'!C23,'3.11 MUKONO-KALAGI'!C23,'31.10 MUKONO-KALAGI-24h'!C23,'2.11 MUKONO-KALAGI-24h'!C23,'4.11 MUKONO-KALAGI'!C23)</f>
        <v>8.4285714285714288</v>
      </c>
      <c r="D23" s="49">
        <f>AVERAGE('29.10 MUKONO-KALAGI'!D23,'30.10 MUKONO-KALAGI'!D23,'1.11 MUKONO-KALAGI'!D23,'3.11 MUKONO-KALAGI'!D23,'31.10 MUKONO-KALAGI-24h'!D23,'2.11 MUKONO-KALAGI-24h'!D23,'4.11 MUKONO-KALAGI'!D23)</f>
        <v>1.8571428571428572</v>
      </c>
      <c r="E23" s="49">
        <f>AVERAGE('29.10 MUKONO-KALAGI'!E23,'30.10 MUKONO-KALAGI'!E23,'1.11 MUKONO-KALAGI'!E23,'3.11 MUKONO-KALAGI'!E23,'31.10 MUKONO-KALAGI-24h'!E23,'2.11 MUKONO-KALAGI-24h'!E23,'4.11 MUKONO-KALAGI'!E23)</f>
        <v>1.8571428571428572</v>
      </c>
      <c r="F23" s="49">
        <f>AVERAGE('29.10 MUKONO-KALAGI'!F23,'30.10 MUKONO-KALAGI'!F23,'1.11 MUKONO-KALAGI'!F23,'3.11 MUKONO-KALAGI'!F23,'31.10 MUKONO-KALAGI-24h'!F23,'2.11 MUKONO-KALAGI-24h'!F23,'4.11 MUKONO-KALAGI'!F23)</f>
        <v>12</v>
      </c>
      <c r="G23" s="49">
        <f>AVERAGE('29.10 MUKONO-KALAGI'!G23,'30.10 MUKONO-KALAGI'!G23,'1.11 MUKONO-KALAGI'!G23,'3.11 MUKONO-KALAGI'!G23,'31.10 MUKONO-KALAGI-24h'!G23,'2.11 MUKONO-KALAGI-24h'!G23,'4.11 MUKONO-KALAGI'!G23)</f>
        <v>0</v>
      </c>
      <c r="H23" s="49">
        <f>AVERAGE('29.10 MUKONO-KALAGI'!H23,'30.10 MUKONO-KALAGI'!H23,'1.11 MUKONO-KALAGI'!H23,'3.11 MUKONO-KALAGI'!H23,'31.10 MUKONO-KALAGI-24h'!H23,'2.11 MUKONO-KALAGI-24h'!H23,'4.11 MUKONO-KALAGI'!H23)</f>
        <v>0</v>
      </c>
      <c r="I23" s="49">
        <f>AVERAGE('29.10 MUKONO-KALAGI'!I23,'30.10 MUKONO-KALAGI'!I23,'1.11 MUKONO-KALAGI'!I23,'3.11 MUKONO-KALAGI'!I23,'31.10 MUKONO-KALAGI-24h'!I23,'2.11 MUKONO-KALAGI-24h'!I23,'4.11 MUKONO-KALAGI'!I23)</f>
        <v>3.8571428571428572</v>
      </c>
      <c r="J23" s="49">
        <f>AVERAGE('29.10 MUKONO-KALAGI'!J23,'30.10 MUKONO-KALAGI'!J23,'1.11 MUKONO-KALAGI'!J23,'3.11 MUKONO-KALAGI'!J23,'31.10 MUKONO-KALAGI-24h'!J23,'2.11 MUKONO-KALAGI-24h'!J23,'4.11 MUKONO-KALAGI'!J23)</f>
        <v>0.7142857142857143</v>
      </c>
      <c r="K23" s="49">
        <f>AVERAGE('29.10 MUKONO-KALAGI'!K23,'30.10 MUKONO-KALAGI'!K23,'1.11 MUKONO-KALAGI'!K23,'3.11 MUKONO-KALAGI'!K23,'31.10 MUKONO-KALAGI-24h'!K23,'2.11 MUKONO-KALAGI-24h'!K23,'4.11 MUKONO-KALAGI'!K23)</f>
        <v>0</v>
      </c>
      <c r="L23" s="49">
        <f>AVERAGE('29.10 MUKONO-KALAGI'!L23,'30.10 MUKONO-KALAGI'!L23,'1.11 MUKONO-KALAGI'!L23,'3.11 MUKONO-KALAGI'!L23,'31.10 MUKONO-KALAGI-24h'!L23,'2.11 MUKONO-KALAGI-24h'!L23,'4.11 MUKONO-KALAGI'!L23)</f>
        <v>0</v>
      </c>
      <c r="M23" s="49">
        <f>AVERAGE('29.10 MUKONO-KALAGI'!M23,'30.10 MUKONO-KALAGI'!M23,'1.11 MUKONO-KALAGI'!M23,'3.11 MUKONO-KALAGI'!M23,'31.10 MUKONO-KALAGI-24h'!M23,'2.11 MUKONO-KALAGI-24h'!M23,'4.11 MUKONO-KALAGI'!M23)</f>
        <v>16.714285714285715</v>
      </c>
      <c r="N23" s="49">
        <f>AVERAGE('29.10 MUKONO-KALAGI'!N23,'30.10 MUKONO-KALAGI'!N23,'1.11 MUKONO-KALAGI'!N23,'3.11 MUKONO-KALAGI'!N23,'31.10 MUKONO-KALAGI-24h'!N23,'2.11 MUKONO-KALAGI-24h'!N23,'4.11 MUKONO-KALAGI'!N23)</f>
        <v>0</v>
      </c>
      <c r="O23" s="15">
        <f t="shared" si="0"/>
        <v>28.714285714285719</v>
      </c>
      <c r="P23" s="15">
        <f t="shared" si="1"/>
        <v>45.428571428571431</v>
      </c>
      <c r="R23" s="1" t="s">
        <v>147</v>
      </c>
      <c r="S23" s="34">
        <f>SUM(C62:C65)</f>
        <v>27</v>
      </c>
      <c r="T23" s="34">
        <f t="shared" ref="T23:AF23" si="15">SUM(D62:D65)</f>
        <v>12.5</v>
      </c>
      <c r="U23" s="34">
        <f t="shared" si="15"/>
        <v>7.5</v>
      </c>
      <c r="V23" s="34">
        <f t="shared" si="15"/>
        <v>41</v>
      </c>
      <c r="W23" s="34">
        <f t="shared" si="15"/>
        <v>0.5</v>
      </c>
      <c r="X23" s="34">
        <f t="shared" si="15"/>
        <v>0</v>
      </c>
      <c r="Y23" s="34">
        <f t="shared" si="15"/>
        <v>11</v>
      </c>
      <c r="Z23" s="34">
        <f t="shared" si="15"/>
        <v>0.5</v>
      </c>
      <c r="AA23" s="34">
        <f t="shared" si="15"/>
        <v>0</v>
      </c>
      <c r="AB23" s="34">
        <f t="shared" si="15"/>
        <v>0.5</v>
      </c>
      <c r="AC23" s="34">
        <f t="shared" si="15"/>
        <v>118</v>
      </c>
      <c r="AD23" s="34">
        <f t="shared" si="15"/>
        <v>0</v>
      </c>
      <c r="AE23" s="31">
        <f t="shared" si="15"/>
        <v>100.5</v>
      </c>
      <c r="AF23" s="31">
        <f t="shared" si="15"/>
        <v>218.5</v>
      </c>
    </row>
    <row r="24" spans="2:32" ht="23.1" customHeight="1" x14ac:dyDescent="0.25">
      <c r="B24" s="23" t="s">
        <v>51</v>
      </c>
      <c r="C24" s="49">
        <f>AVERAGE('29.10 MUKONO-KALAGI'!C24,'30.10 MUKONO-KALAGI'!C24,'1.11 MUKONO-KALAGI'!C24,'3.11 MUKONO-KALAGI'!C24,'31.10 MUKONO-KALAGI-24h'!C24,'2.11 MUKONO-KALAGI-24h'!C24,'4.11 MUKONO-KALAGI'!C24)</f>
        <v>7.8571428571428568</v>
      </c>
      <c r="D24" s="49">
        <f>AVERAGE('29.10 MUKONO-KALAGI'!D24,'30.10 MUKONO-KALAGI'!D24,'1.11 MUKONO-KALAGI'!D24,'3.11 MUKONO-KALAGI'!D24,'31.10 MUKONO-KALAGI-24h'!D24,'2.11 MUKONO-KALAGI-24h'!D24,'4.11 MUKONO-KALAGI'!D24)</f>
        <v>3.8571428571428572</v>
      </c>
      <c r="E24" s="49">
        <f>AVERAGE('29.10 MUKONO-KALAGI'!E24,'30.10 MUKONO-KALAGI'!E24,'1.11 MUKONO-KALAGI'!E24,'3.11 MUKONO-KALAGI'!E24,'31.10 MUKONO-KALAGI-24h'!E24,'2.11 MUKONO-KALAGI-24h'!E24,'4.11 MUKONO-KALAGI'!E24)</f>
        <v>1.7142857142857142</v>
      </c>
      <c r="F24" s="49">
        <f>AVERAGE('29.10 MUKONO-KALAGI'!F24,'30.10 MUKONO-KALAGI'!F24,'1.11 MUKONO-KALAGI'!F24,'3.11 MUKONO-KALAGI'!F24,'31.10 MUKONO-KALAGI-24h'!F24,'2.11 MUKONO-KALAGI-24h'!F24,'4.11 MUKONO-KALAGI'!F24)</f>
        <v>9.4285714285714288</v>
      </c>
      <c r="G24" s="49">
        <f>AVERAGE('29.10 MUKONO-KALAGI'!G24,'30.10 MUKONO-KALAGI'!G24,'1.11 MUKONO-KALAGI'!G24,'3.11 MUKONO-KALAGI'!G24,'31.10 MUKONO-KALAGI-24h'!G24,'2.11 MUKONO-KALAGI-24h'!G24,'4.11 MUKONO-KALAGI'!G24)</f>
        <v>0.14285714285714285</v>
      </c>
      <c r="H24" s="49">
        <f>AVERAGE('29.10 MUKONO-KALAGI'!H24,'30.10 MUKONO-KALAGI'!H24,'1.11 MUKONO-KALAGI'!H24,'3.11 MUKONO-KALAGI'!H24,'31.10 MUKONO-KALAGI-24h'!H24,'2.11 MUKONO-KALAGI-24h'!H24,'4.11 MUKONO-KALAGI'!H24)</f>
        <v>0</v>
      </c>
      <c r="I24" s="49">
        <f>AVERAGE('29.10 MUKONO-KALAGI'!I24,'30.10 MUKONO-KALAGI'!I24,'1.11 MUKONO-KALAGI'!I24,'3.11 MUKONO-KALAGI'!I24,'31.10 MUKONO-KALAGI-24h'!I24,'2.11 MUKONO-KALAGI-24h'!I24,'4.11 MUKONO-KALAGI'!I24)</f>
        <v>3.1428571428571428</v>
      </c>
      <c r="J24" s="49">
        <f>AVERAGE('29.10 MUKONO-KALAGI'!J24,'30.10 MUKONO-KALAGI'!J24,'1.11 MUKONO-KALAGI'!J24,'3.11 MUKONO-KALAGI'!J24,'31.10 MUKONO-KALAGI-24h'!J24,'2.11 MUKONO-KALAGI-24h'!J24,'4.11 MUKONO-KALAGI'!J24)</f>
        <v>0.2857142857142857</v>
      </c>
      <c r="K24" s="49">
        <f>AVERAGE('29.10 MUKONO-KALAGI'!K24,'30.10 MUKONO-KALAGI'!K24,'1.11 MUKONO-KALAGI'!K24,'3.11 MUKONO-KALAGI'!K24,'31.10 MUKONO-KALAGI-24h'!K24,'2.11 MUKONO-KALAGI-24h'!K24,'4.11 MUKONO-KALAGI'!K24)</f>
        <v>0.2857142857142857</v>
      </c>
      <c r="L24" s="49">
        <f>AVERAGE('29.10 MUKONO-KALAGI'!L24,'30.10 MUKONO-KALAGI'!L24,'1.11 MUKONO-KALAGI'!L24,'3.11 MUKONO-KALAGI'!L24,'31.10 MUKONO-KALAGI-24h'!L24,'2.11 MUKONO-KALAGI-24h'!L24,'4.11 MUKONO-KALAGI'!L24)</f>
        <v>0.7142857142857143</v>
      </c>
      <c r="M24" s="49">
        <f>AVERAGE('29.10 MUKONO-KALAGI'!M24,'30.10 MUKONO-KALAGI'!M24,'1.11 MUKONO-KALAGI'!M24,'3.11 MUKONO-KALAGI'!M24,'31.10 MUKONO-KALAGI-24h'!M24,'2.11 MUKONO-KALAGI-24h'!M24,'4.11 MUKONO-KALAGI'!M24)</f>
        <v>23</v>
      </c>
      <c r="N24" s="49">
        <f>AVERAGE('29.10 MUKONO-KALAGI'!N24,'30.10 MUKONO-KALAGI'!N24,'1.11 MUKONO-KALAGI'!N24,'3.11 MUKONO-KALAGI'!N24,'31.10 MUKONO-KALAGI-24h'!N24,'2.11 MUKONO-KALAGI-24h'!N24,'4.11 MUKONO-KALAGI'!N24)</f>
        <v>0</v>
      </c>
      <c r="O24" s="15">
        <f t="shared" si="0"/>
        <v>27.428571428571423</v>
      </c>
      <c r="P24" s="15">
        <f t="shared" si="1"/>
        <v>50.428571428571423</v>
      </c>
      <c r="R24" s="1" t="s">
        <v>148</v>
      </c>
      <c r="S24" s="34">
        <f>SUM(C66:C69)</f>
        <v>25.5</v>
      </c>
      <c r="T24" s="34">
        <f t="shared" ref="T24:AF24" si="16">SUM(D66:D69)</f>
        <v>5</v>
      </c>
      <c r="U24" s="34">
        <f t="shared" si="16"/>
        <v>4.5</v>
      </c>
      <c r="V24" s="34">
        <f t="shared" si="16"/>
        <v>37</v>
      </c>
      <c r="W24" s="34">
        <f t="shared" si="16"/>
        <v>5</v>
      </c>
      <c r="X24" s="34">
        <f t="shared" si="16"/>
        <v>1.5</v>
      </c>
      <c r="Y24" s="34">
        <f t="shared" si="16"/>
        <v>11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77</v>
      </c>
      <c r="AD24" s="34">
        <f t="shared" si="16"/>
        <v>0</v>
      </c>
      <c r="AE24" s="31">
        <f t="shared" si="16"/>
        <v>89.5</v>
      </c>
      <c r="AF24" s="31">
        <f t="shared" si="16"/>
        <v>166.5</v>
      </c>
    </row>
    <row r="25" spans="2:32" ht="23.1" customHeight="1" x14ac:dyDescent="0.25">
      <c r="B25" s="23" t="s">
        <v>52</v>
      </c>
      <c r="C25" s="49">
        <f>AVERAGE('29.10 MUKONO-KALAGI'!C25,'30.10 MUKONO-KALAGI'!C25,'1.11 MUKONO-KALAGI'!C25,'3.11 MUKONO-KALAGI'!C25,'31.10 MUKONO-KALAGI-24h'!C25,'2.11 MUKONO-KALAGI-24h'!C25,'4.11 MUKONO-KALAGI'!C25)</f>
        <v>9.4285714285714288</v>
      </c>
      <c r="D25" s="49">
        <f>AVERAGE('29.10 MUKONO-KALAGI'!D25,'30.10 MUKONO-KALAGI'!D25,'1.11 MUKONO-KALAGI'!D25,'3.11 MUKONO-KALAGI'!D25,'31.10 MUKONO-KALAGI-24h'!D25,'2.11 MUKONO-KALAGI-24h'!D25,'4.11 MUKONO-KALAGI'!D25)</f>
        <v>2.2857142857142856</v>
      </c>
      <c r="E25" s="49">
        <f>AVERAGE('29.10 MUKONO-KALAGI'!E25,'30.10 MUKONO-KALAGI'!E25,'1.11 MUKONO-KALAGI'!E25,'3.11 MUKONO-KALAGI'!E25,'31.10 MUKONO-KALAGI-24h'!E25,'2.11 MUKONO-KALAGI-24h'!E25,'4.11 MUKONO-KALAGI'!E25)</f>
        <v>2.2857142857142856</v>
      </c>
      <c r="F25" s="49">
        <f>AVERAGE('29.10 MUKONO-KALAGI'!F25,'30.10 MUKONO-KALAGI'!F25,'1.11 MUKONO-KALAGI'!F25,'3.11 MUKONO-KALAGI'!F25,'31.10 MUKONO-KALAGI-24h'!F25,'2.11 MUKONO-KALAGI-24h'!F25,'4.11 MUKONO-KALAGI'!F25)</f>
        <v>8.5714285714285712</v>
      </c>
      <c r="G25" s="49">
        <f>AVERAGE('29.10 MUKONO-KALAGI'!G25,'30.10 MUKONO-KALAGI'!G25,'1.11 MUKONO-KALAGI'!G25,'3.11 MUKONO-KALAGI'!G25,'31.10 MUKONO-KALAGI-24h'!G25,'2.11 MUKONO-KALAGI-24h'!G25,'4.11 MUKONO-KALAGI'!G25)</f>
        <v>0.14285714285714285</v>
      </c>
      <c r="H25" s="49">
        <f>AVERAGE('29.10 MUKONO-KALAGI'!H25,'30.10 MUKONO-KALAGI'!H25,'1.11 MUKONO-KALAGI'!H25,'3.11 MUKONO-KALAGI'!H25,'31.10 MUKONO-KALAGI-24h'!H25,'2.11 MUKONO-KALAGI-24h'!H25,'4.11 MUKONO-KALAGI'!H25)</f>
        <v>0</v>
      </c>
      <c r="I25" s="49">
        <f>AVERAGE('29.10 MUKONO-KALAGI'!I25,'30.10 MUKONO-KALAGI'!I25,'1.11 MUKONO-KALAGI'!I25,'3.11 MUKONO-KALAGI'!I25,'31.10 MUKONO-KALAGI-24h'!I25,'2.11 MUKONO-KALAGI-24h'!I25,'4.11 MUKONO-KALAGI'!I25)</f>
        <v>2.5714285714285716</v>
      </c>
      <c r="J25" s="49">
        <f>AVERAGE('29.10 MUKONO-KALAGI'!J25,'30.10 MUKONO-KALAGI'!J25,'1.11 MUKONO-KALAGI'!J25,'3.11 MUKONO-KALAGI'!J25,'31.10 MUKONO-KALAGI-24h'!J25,'2.11 MUKONO-KALAGI-24h'!J25,'4.11 MUKONO-KALAGI'!J25)</f>
        <v>0.2857142857142857</v>
      </c>
      <c r="K25" s="49">
        <f>AVERAGE('29.10 MUKONO-KALAGI'!K25,'30.10 MUKONO-KALAGI'!K25,'1.11 MUKONO-KALAGI'!K25,'3.11 MUKONO-KALAGI'!K25,'31.10 MUKONO-KALAGI-24h'!K25,'2.11 MUKONO-KALAGI-24h'!K25,'4.11 MUKONO-KALAGI'!K25)</f>
        <v>0.14285714285714285</v>
      </c>
      <c r="L25" s="49">
        <f>AVERAGE('29.10 MUKONO-KALAGI'!L25,'30.10 MUKONO-KALAGI'!L25,'1.11 MUKONO-KALAGI'!L25,'3.11 MUKONO-KALAGI'!L25,'31.10 MUKONO-KALAGI-24h'!L25,'2.11 MUKONO-KALAGI-24h'!L25,'4.11 MUKONO-KALAGI'!L25)</f>
        <v>0.2857142857142857</v>
      </c>
      <c r="M25" s="49">
        <f>AVERAGE('29.10 MUKONO-KALAGI'!M25,'30.10 MUKONO-KALAGI'!M25,'1.11 MUKONO-KALAGI'!M25,'3.11 MUKONO-KALAGI'!M25,'31.10 MUKONO-KALAGI-24h'!M25,'2.11 MUKONO-KALAGI-24h'!M25,'4.11 MUKONO-KALAGI'!M25)</f>
        <v>17.857142857142858</v>
      </c>
      <c r="N25" s="49">
        <f>AVERAGE('29.10 MUKONO-KALAGI'!N25,'30.10 MUKONO-KALAGI'!N25,'1.11 MUKONO-KALAGI'!N25,'3.11 MUKONO-KALAGI'!N25,'31.10 MUKONO-KALAGI-24h'!N25,'2.11 MUKONO-KALAGI-24h'!N25,'4.11 MUKONO-KALAGI'!N25)</f>
        <v>0</v>
      </c>
      <c r="O25" s="15">
        <f t="shared" si="0"/>
        <v>25.999999999999996</v>
      </c>
      <c r="P25" s="15">
        <f t="shared" si="1"/>
        <v>43.857142857142854</v>
      </c>
      <c r="R25" s="1" t="s">
        <v>149</v>
      </c>
      <c r="S25" s="34">
        <f>SUM(C70:C73)</f>
        <v>15</v>
      </c>
      <c r="T25" s="34">
        <f t="shared" ref="T25:AF25" si="17">SUM(D70:D73)</f>
        <v>7</v>
      </c>
      <c r="U25" s="34">
        <f t="shared" si="17"/>
        <v>2.5</v>
      </c>
      <c r="V25" s="34">
        <f t="shared" si="17"/>
        <v>25</v>
      </c>
      <c r="W25" s="34">
        <f t="shared" si="17"/>
        <v>0.5</v>
      </c>
      <c r="X25" s="34">
        <f t="shared" si="17"/>
        <v>0</v>
      </c>
      <c r="Y25" s="34">
        <f t="shared" si="17"/>
        <v>4</v>
      </c>
      <c r="Z25" s="34">
        <f t="shared" si="17"/>
        <v>0</v>
      </c>
      <c r="AA25" s="34">
        <f t="shared" si="17"/>
        <v>0</v>
      </c>
      <c r="AB25" s="34">
        <f t="shared" si="17"/>
        <v>0.5</v>
      </c>
      <c r="AC25" s="34">
        <f t="shared" si="17"/>
        <v>59.5</v>
      </c>
      <c r="AD25" s="34">
        <f t="shared" si="17"/>
        <v>0</v>
      </c>
      <c r="AE25" s="31">
        <f t="shared" si="17"/>
        <v>54.5</v>
      </c>
      <c r="AF25" s="31">
        <f t="shared" si="17"/>
        <v>114</v>
      </c>
    </row>
    <row r="26" spans="2:32" ht="23.1" customHeight="1" x14ac:dyDescent="0.25">
      <c r="B26" s="23" t="s">
        <v>53</v>
      </c>
      <c r="C26" s="49">
        <f>AVERAGE('29.10 MUKONO-KALAGI'!C26,'30.10 MUKONO-KALAGI'!C26,'1.11 MUKONO-KALAGI'!C26,'3.11 MUKONO-KALAGI'!C26,'31.10 MUKONO-KALAGI-24h'!C26,'2.11 MUKONO-KALAGI-24h'!C26,'4.11 MUKONO-KALAGI'!C26)</f>
        <v>9.5714285714285712</v>
      </c>
      <c r="D26" s="49">
        <f>AVERAGE('29.10 MUKONO-KALAGI'!D26,'30.10 MUKONO-KALAGI'!D26,'1.11 MUKONO-KALAGI'!D26,'3.11 MUKONO-KALAGI'!D26,'31.10 MUKONO-KALAGI-24h'!D26,'2.11 MUKONO-KALAGI-24h'!D26,'4.11 MUKONO-KALAGI'!D26)</f>
        <v>2.5714285714285716</v>
      </c>
      <c r="E26" s="49">
        <f>AVERAGE('29.10 MUKONO-KALAGI'!E26,'30.10 MUKONO-KALAGI'!E26,'1.11 MUKONO-KALAGI'!E26,'3.11 MUKONO-KALAGI'!E26,'31.10 MUKONO-KALAGI-24h'!E26,'2.11 MUKONO-KALAGI-24h'!E26,'4.11 MUKONO-KALAGI'!E26)</f>
        <v>2</v>
      </c>
      <c r="F26" s="49">
        <f>AVERAGE('29.10 MUKONO-KALAGI'!F26,'30.10 MUKONO-KALAGI'!F26,'1.11 MUKONO-KALAGI'!F26,'3.11 MUKONO-KALAGI'!F26,'31.10 MUKONO-KALAGI-24h'!F26,'2.11 MUKONO-KALAGI-24h'!F26,'4.11 MUKONO-KALAGI'!F26)</f>
        <v>10.428571428571429</v>
      </c>
      <c r="G26" s="49">
        <f>AVERAGE('29.10 MUKONO-KALAGI'!G26,'30.10 MUKONO-KALAGI'!G26,'1.11 MUKONO-KALAGI'!G26,'3.11 MUKONO-KALAGI'!G26,'31.10 MUKONO-KALAGI-24h'!G26,'2.11 MUKONO-KALAGI-24h'!G26,'4.11 MUKONO-KALAGI'!G26)</f>
        <v>0.14285714285714285</v>
      </c>
      <c r="H26" s="49">
        <f>AVERAGE('29.10 MUKONO-KALAGI'!H26,'30.10 MUKONO-KALAGI'!H26,'1.11 MUKONO-KALAGI'!H26,'3.11 MUKONO-KALAGI'!H26,'31.10 MUKONO-KALAGI-24h'!H26,'2.11 MUKONO-KALAGI-24h'!H26,'4.11 MUKONO-KALAGI'!H26)</f>
        <v>0.14285714285714285</v>
      </c>
      <c r="I26" s="49">
        <f>AVERAGE('29.10 MUKONO-KALAGI'!I26,'30.10 MUKONO-KALAGI'!I26,'1.11 MUKONO-KALAGI'!I26,'3.11 MUKONO-KALAGI'!I26,'31.10 MUKONO-KALAGI-24h'!I26,'2.11 MUKONO-KALAGI-24h'!I26,'4.11 MUKONO-KALAGI'!I26)</f>
        <v>4.2857142857142856</v>
      </c>
      <c r="J26" s="49">
        <f>AVERAGE('29.10 MUKONO-KALAGI'!J26,'30.10 MUKONO-KALAGI'!J26,'1.11 MUKONO-KALAGI'!J26,'3.11 MUKONO-KALAGI'!J26,'31.10 MUKONO-KALAGI-24h'!J26,'2.11 MUKONO-KALAGI-24h'!J26,'4.11 MUKONO-KALAGI'!J26)</f>
        <v>0.5714285714285714</v>
      </c>
      <c r="K26" s="49">
        <f>AVERAGE('29.10 MUKONO-KALAGI'!K26,'30.10 MUKONO-KALAGI'!K26,'1.11 MUKONO-KALAGI'!K26,'3.11 MUKONO-KALAGI'!K26,'31.10 MUKONO-KALAGI-24h'!K26,'2.11 MUKONO-KALAGI-24h'!K26,'4.11 MUKONO-KALAGI'!K26)</f>
        <v>0</v>
      </c>
      <c r="L26" s="49">
        <f>AVERAGE('29.10 MUKONO-KALAGI'!L26,'30.10 MUKONO-KALAGI'!L26,'1.11 MUKONO-KALAGI'!L26,'3.11 MUKONO-KALAGI'!L26,'31.10 MUKONO-KALAGI-24h'!L26,'2.11 MUKONO-KALAGI-24h'!L26,'4.11 MUKONO-KALAGI'!L26)</f>
        <v>0.2857142857142857</v>
      </c>
      <c r="M26" s="49">
        <f>AVERAGE('29.10 MUKONO-KALAGI'!M26,'30.10 MUKONO-KALAGI'!M26,'1.11 MUKONO-KALAGI'!M26,'3.11 MUKONO-KALAGI'!M26,'31.10 MUKONO-KALAGI-24h'!M26,'2.11 MUKONO-KALAGI-24h'!M26,'4.11 MUKONO-KALAGI'!M26)</f>
        <v>26</v>
      </c>
      <c r="N26" s="49">
        <f>AVERAGE('29.10 MUKONO-KALAGI'!N26,'30.10 MUKONO-KALAGI'!N26,'1.11 MUKONO-KALAGI'!N26,'3.11 MUKONO-KALAGI'!N26,'31.10 MUKONO-KALAGI-24h'!N26,'2.11 MUKONO-KALAGI-24h'!N26,'4.11 MUKONO-KALAGI'!N26)</f>
        <v>0</v>
      </c>
      <c r="O26" s="15">
        <f t="shared" si="0"/>
        <v>29.999999999999996</v>
      </c>
      <c r="P26" s="15">
        <f t="shared" si="1"/>
        <v>56</v>
      </c>
      <c r="R26" s="1" t="s">
        <v>150</v>
      </c>
      <c r="S26" s="34">
        <f>SUM(C74:C77)</f>
        <v>10</v>
      </c>
      <c r="T26" s="34">
        <f t="shared" ref="T26:AF26" si="18">SUM(D74:D77)</f>
        <v>1.5</v>
      </c>
      <c r="U26" s="34">
        <f t="shared" si="18"/>
        <v>1.5</v>
      </c>
      <c r="V26" s="34">
        <f t="shared" si="18"/>
        <v>15.5</v>
      </c>
      <c r="W26" s="34">
        <f t="shared" si="18"/>
        <v>0</v>
      </c>
      <c r="X26" s="34">
        <f t="shared" si="18"/>
        <v>0</v>
      </c>
      <c r="Y26" s="34">
        <f t="shared" si="18"/>
        <v>2.5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39.5</v>
      </c>
      <c r="AD26" s="34">
        <f t="shared" si="18"/>
        <v>0</v>
      </c>
      <c r="AE26" s="31">
        <f t="shared" si="18"/>
        <v>31</v>
      </c>
      <c r="AF26" s="31">
        <f t="shared" si="18"/>
        <v>70.5</v>
      </c>
    </row>
    <row r="27" spans="2:32" ht="23.1" customHeight="1" x14ac:dyDescent="0.25">
      <c r="B27" s="23" t="s">
        <v>54</v>
      </c>
      <c r="C27" s="49">
        <f>AVERAGE('29.10 MUKONO-KALAGI'!C27,'30.10 MUKONO-KALAGI'!C27,'1.11 MUKONO-KALAGI'!C27,'3.11 MUKONO-KALAGI'!C27,'31.10 MUKONO-KALAGI-24h'!C27,'2.11 MUKONO-KALAGI-24h'!C27,'4.11 MUKONO-KALAGI'!C27)</f>
        <v>7.7142857142857144</v>
      </c>
      <c r="D27" s="49">
        <f>AVERAGE('29.10 MUKONO-KALAGI'!D27,'30.10 MUKONO-KALAGI'!D27,'1.11 MUKONO-KALAGI'!D27,'3.11 MUKONO-KALAGI'!D27,'31.10 MUKONO-KALAGI-24h'!D27,'2.11 MUKONO-KALAGI-24h'!D27,'4.11 MUKONO-KALAGI'!D27)</f>
        <v>2.2857142857142856</v>
      </c>
      <c r="E27" s="49">
        <f>AVERAGE('29.10 MUKONO-KALAGI'!E27,'30.10 MUKONO-KALAGI'!E27,'1.11 MUKONO-KALAGI'!E27,'3.11 MUKONO-KALAGI'!E27,'31.10 MUKONO-KALAGI-24h'!E27,'2.11 MUKONO-KALAGI-24h'!E27,'4.11 MUKONO-KALAGI'!E27)</f>
        <v>2.2857142857142856</v>
      </c>
      <c r="F27" s="49">
        <f>AVERAGE('29.10 MUKONO-KALAGI'!F27,'30.10 MUKONO-KALAGI'!F27,'1.11 MUKONO-KALAGI'!F27,'3.11 MUKONO-KALAGI'!F27,'31.10 MUKONO-KALAGI-24h'!F27,'2.11 MUKONO-KALAGI-24h'!F27,'4.11 MUKONO-KALAGI'!F27)</f>
        <v>9.2857142857142865</v>
      </c>
      <c r="G27" s="49">
        <f>AVERAGE('29.10 MUKONO-KALAGI'!G27,'30.10 MUKONO-KALAGI'!G27,'1.11 MUKONO-KALAGI'!G27,'3.11 MUKONO-KALAGI'!G27,'31.10 MUKONO-KALAGI-24h'!G27,'2.11 MUKONO-KALAGI-24h'!G27,'4.11 MUKONO-KALAGI'!G27)</f>
        <v>0.14285714285714285</v>
      </c>
      <c r="H27" s="49">
        <f>AVERAGE('29.10 MUKONO-KALAGI'!H27,'30.10 MUKONO-KALAGI'!H27,'1.11 MUKONO-KALAGI'!H27,'3.11 MUKONO-KALAGI'!H27,'31.10 MUKONO-KALAGI-24h'!H27,'2.11 MUKONO-KALAGI-24h'!H27,'4.11 MUKONO-KALAGI'!H27)</f>
        <v>0</v>
      </c>
      <c r="I27" s="49">
        <f>AVERAGE('29.10 MUKONO-KALAGI'!I27,'30.10 MUKONO-KALAGI'!I27,'1.11 MUKONO-KALAGI'!I27,'3.11 MUKONO-KALAGI'!I27,'31.10 MUKONO-KALAGI-24h'!I27,'2.11 MUKONO-KALAGI-24h'!I27,'4.11 MUKONO-KALAGI'!I27)</f>
        <v>3</v>
      </c>
      <c r="J27" s="49">
        <f>AVERAGE('29.10 MUKONO-KALAGI'!J27,'30.10 MUKONO-KALAGI'!J27,'1.11 MUKONO-KALAGI'!J27,'3.11 MUKONO-KALAGI'!J27,'31.10 MUKONO-KALAGI-24h'!J27,'2.11 MUKONO-KALAGI-24h'!J27,'4.11 MUKONO-KALAGI'!J27)</f>
        <v>0.14285714285714285</v>
      </c>
      <c r="K27" s="49">
        <f>AVERAGE('29.10 MUKONO-KALAGI'!K27,'30.10 MUKONO-KALAGI'!K27,'1.11 MUKONO-KALAGI'!K27,'3.11 MUKONO-KALAGI'!K27,'31.10 MUKONO-KALAGI-24h'!K27,'2.11 MUKONO-KALAGI-24h'!K27,'4.11 MUKONO-KALAGI'!K27)</f>
        <v>0.14285714285714285</v>
      </c>
      <c r="L27" s="49">
        <f>AVERAGE('29.10 MUKONO-KALAGI'!L27,'30.10 MUKONO-KALAGI'!L27,'1.11 MUKONO-KALAGI'!L27,'3.11 MUKONO-KALAGI'!L27,'31.10 MUKONO-KALAGI-24h'!L27,'2.11 MUKONO-KALAGI-24h'!L27,'4.11 MUKONO-KALAGI'!L27)</f>
        <v>0.2857142857142857</v>
      </c>
      <c r="M27" s="49">
        <f>AVERAGE('29.10 MUKONO-KALAGI'!M27,'30.10 MUKONO-KALAGI'!M27,'1.11 MUKONO-KALAGI'!M27,'3.11 MUKONO-KALAGI'!M27,'31.10 MUKONO-KALAGI-24h'!M27,'2.11 MUKONO-KALAGI-24h'!M27,'4.11 MUKONO-KALAGI'!M27)</f>
        <v>22.142857142857142</v>
      </c>
      <c r="N27" s="49">
        <f>AVERAGE('29.10 MUKONO-KALAGI'!N27,'30.10 MUKONO-KALAGI'!N27,'1.11 MUKONO-KALAGI'!N27,'3.11 MUKONO-KALAGI'!N27,'31.10 MUKONO-KALAGI-24h'!N27,'2.11 MUKONO-KALAGI-24h'!N27,'4.11 MUKONO-KALAGI'!N27)</f>
        <v>0</v>
      </c>
      <c r="O27" s="15">
        <f t="shared" si="0"/>
        <v>25.285714285714281</v>
      </c>
      <c r="P27" s="15">
        <f t="shared" si="1"/>
        <v>47.428571428571423</v>
      </c>
      <c r="R27" s="1" t="s">
        <v>151</v>
      </c>
      <c r="S27" s="34">
        <f>SUM(C78:C81)</f>
        <v>9.5</v>
      </c>
      <c r="T27" s="34">
        <f t="shared" ref="T27:AF27" si="19">SUM(D78:D81)</f>
        <v>2</v>
      </c>
      <c r="U27" s="34">
        <f t="shared" si="19"/>
        <v>1</v>
      </c>
      <c r="V27" s="34">
        <f t="shared" si="19"/>
        <v>5.5</v>
      </c>
      <c r="W27" s="34">
        <f t="shared" si="19"/>
        <v>0</v>
      </c>
      <c r="X27" s="34">
        <f t="shared" si="19"/>
        <v>0</v>
      </c>
      <c r="Y27" s="34">
        <f t="shared" si="19"/>
        <v>1.5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16.5</v>
      </c>
      <c r="AD27" s="34">
        <f t="shared" si="19"/>
        <v>0</v>
      </c>
      <c r="AE27" s="31">
        <f t="shared" si="19"/>
        <v>19.5</v>
      </c>
      <c r="AF27" s="31">
        <f t="shared" si="19"/>
        <v>36</v>
      </c>
    </row>
    <row r="28" spans="2:32" ht="23.1" customHeight="1" x14ac:dyDescent="0.25">
      <c r="B28" s="23" t="s">
        <v>55</v>
      </c>
      <c r="C28" s="49">
        <f>AVERAGE('29.10 MUKONO-KALAGI'!C28,'30.10 MUKONO-KALAGI'!C28,'1.11 MUKONO-KALAGI'!C28,'3.11 MUKONO-KALAGI'!C28,'31.10 MUKONO-KALAGI-24h'!C28,'2.11 MUKONO-KALAGI-24h'!C28,'4.11 MUKONO-KALAGI'!C28)</f>
        <v>7.5714285714285712</v>
      </c>
      <c r="D28" s="49">
        <f>AVERAGE('29.10 MUKONO-KALAGI'!D28,'30.10 MUKONO-KALAGI'!D28,'1.11 MUKONO-KALAGI'!D28,'3.11 MUKONO-KALAGI'!D28,'31.10 MUKONO-KALAGI-24h'!D28,'2.11 MUKONO-KALAGI-24h'!D28,'4.11 MUKONO-KALAGI'!D28)</f>
        <v>3.5714285714285716</v>
      </c>
      <c r="E28" s="49">
        <f>AVERAGE('29.10 MUKONO-KALAGI'!E28,'30.10 MUKONO-KALAGI'!E28,'1.11 MUKONO-KALAGI'!E28,'3.11 MUKONO-KALAGI'!E28,'31.10 MUKONO-KALAGI-24h'!E28,'2.11 MUKONO-KALAGI-24h'!E28,'4.11 MUKONO-KALAGI'!E28)</f>
        <v>2.8571428571428572</v>
      </c>
      <c r="F28" s="49">
        <f>AVERAGE('29.10 MUKONO-KALAGI'!F28,'30.10 MUKONO-KALAGI'!F28,'1.11 MUKONO-KALAGI'!F28,'3.11 MUKONO-KALAGI'!F28,'31.10 MUKONO-KALAGI-24h'!F28,'2.11 MUKONO-KALAGI-24h'!F28,'4.11 MUKONO-KALAGI'!F28)</f>
        <v>9.1428571428571423</v>
      </c>
      <c r="G28" s="49">
        <f>AVERAGE('29.10 MUKONO-KALAGI'!G28,'30.10 MUKONO-KALAGI'!G28,'1.11 MUKONO-KALAGI'!G28,'3.11 MUKONO-KALAGI'!G28,'31.10 MUKONO-KALAGI-24h'!G28,'2.11 MUKONO-KALAGI-24h'!G28,'4.11 MUKONO-KALAGI'!G28)</f>
        <v>0.14285714285714285</v>
      </c>
      <c r="H28" s="49">
        <f>AVERAGE('29.10 MUKONO-KALAGI'!H28,'30.10 MUKONO-KALAGI'!H28,'1.11 MUKONO-KALAGI'!H28,'3.11 MUKONO-KALAGI'!H28,'31.10 MUKONO-KALAGI-24h'!H28,'2.11 MUKONO-KALAGI-24h'!H28,'4.11 MUKONO-KALAGI'!H28)</f>
        <v>0</v>
      </c>
      <c r="I28" s="49">
        <f>AVERAGE('29.10 MUKONO-KALAGI'!I28,'30.10 MUKONO-KALAGI'!I28,'1.11 MUKONO-KALAGI'!I28,'3.11 MUKONO-KALAGI'!I28,'31.10 MUKONO-KALAGI-24h'!I28,'2.11 MUKONO-KALAGI-24h'!I28,'4.11 MUKONO-KALAGI'!I28)</f>
        <v>4</v>
      </c>
      <c r="J28" s="49">
        <f>AVERAGE('29.10 MUKONO-KALAGI'!J28,'30.10 MUKONO-KALAGI'!J28,'1.11 MUKONO-KALAGI'!J28,'3.11 MUKONO-KALAGI'!J28,'31.10 MUKONO-KALAGI-24h'!J28,'2.11 MUKONO-KALAGI-24h'!J28,'4.11 MUKONO-KALAGI'!J28)</f>
        <v>0.2857142857142857</v>
      </c>
      <c r="K28" s="49">
        <f>AVERAGE('29.10 MUKONO-KALAGI'!K28,'30.10 MUKONO-KALAGI'!K28,'1.11 MUKONO-KALAGI'!K28,'3.11 MUKONO-KALAGI'!K28,'31.10 MUKONO-KALAGI-24h'!K28,'2.11 MUKONO-KALAGI-24h'!K28,'4.11 MUKONO-KALAGI'!K28)</f>
        <v>0.14285714285714285</v>
      </c>
      <c r="L28" s="49">
        <f>AVERAGE('29.10 MUKONO-KALAGI'!L28,'30.10 MUKONO-KALAGI'!L28,'1.11 MUKONO-KALAGI'!L28,'3.11 MUKONO-KALAGI'!L28,'31.10 MUKONO-KALAGI-24h'!L28,'2.11 MUKONO-KALAGI-24h'!L28,'4.11 MUKONO-KALAGI'!L28)</f>
        <v>0</v>
      </c>
      <c r="M28" s="49">
        <f>AVERAGE('29.10 MUKONO-KALAGI'!M28,'30.10 MUKONO-KALAGI'!M28,'1.11 MUKONO-KALAGI'!M28,'3.11 MUKONO-KALAGI'!M28,'31.10 MUKONO-KALAGI-24h'!M28,'2.11 MUKONO-KALAGI-24h'!M28,'4.11 MUKONO-KALAGI'!M28)</f>
        <v>23.285714285714285</v>
      </c>
      <c r="N28" s="49">
        <f>AVERAGE('29.10 MUKONO-KALAGI'!N28,'30.10 MUKONO-KALAGI'!N28,'1.11 MUKONO-KALAGI'!N28,'3.11 MUKONO-KALAGI'!N28,'31.10 MUKONO-KALAGI-24h'!N28,'2.11 MUKONO-KALAGI-24h'!N28,'4.11 MUKONO-KALAGI'!N28)</f>
        <v>0</v>
      </c>
      <c r="O28" s="15">
        <f t="shared" si="0"/>
        <v>27.714285714285712</v>
      </c>
      <c r="P28" s="15">
        <f t="shared" si="1"/>
        <v>51</v>
      </c>
      <c r="R28" s="1" t="s">
        <v>152</v>
      </c>
      <c r="S28" s="34">
        <f>SUM(C82:C85)</f>
        <v>0</v>
      </c>
      <c r="T28" s="34">
        <f t="shared" ref="T28:AF28" si="20">SUM(D82:D85)</f>
        <v>1.5</v>
      </c>
      <c r="U28" s="34">
        <f t="shared" si="20"/>
        <v>1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14</v>
      </c>
      <c r="AD28" s="34">
        <f t="shared" si="20"/>
        <v>0</v>
      </c>
      <c r="AE28" s="31">
        <f t="shared" si="20"/>
        <v>6</v>
      </c>
      <c r="AF28" s="31">
        <f t="shared" si="20"/>
        <v>20</v>
      </c>
    </row>
    <row r="29" spans="2:32" ht="23.1" customHeight="1" x14ac:dyDescent="0.25">
      <c r="B29" s="23" t="s">
        <v>56</v>
      </c>
      <c r="C29" s="49">
        <f>AVERAGE('29.10 MUKONO-KALAGI'!C29,'30.10 MUKONO-KALAGI'!C29,'1.11 MUKONO-KALAGI'!C29,'3.11 MUKONO-KALAGI'!C29,'31.10 MUKONO-KALAGI-24h'!C29,'2.11 MUKONO-KALAGI-24h'!C29,'4.11 MUKONO-KALAGI'!C29)</f>
        <v>8.7142857142857135</v>
      </c>
      <c r="D29" s="49">
        <f>AVERAGE('29.10 MUKONO-KALAGI'!D29,'30.10 MUKONO-KALAGI'!D29,'1.11 MUKONO-KALAGI'!D29,'3.11 MUKONO-KALAGI'!D29,'31.10 MUKONO-KALAGI-24h'!D29,'2.11 MUKONO-KALAGI-24h'!D29,'4.11 MUKONO-KALAGI'!D29)</f>
        <v>3.2857142857142856</v>
      </c>
      <c r="E29" s="49">
        <f>AVERAGE('29.10 MUKONO-KALAGI'!E29,'30.10 MUKONO-KALAGI'!E29,'1.11 MUKONO-KALAGI'!E29,'3.11 MUKONO-KALAGI'!E29,'31.10 MUKONO-KALAGI-24h'!E29,'2.11 MUKONO-KALAGI-24h'!E29,'4.11 MUKONO-KALAGI'!E29)</f>
        <v>2.4285714285714284</v>
      </c>
      <c r="F29" s="49">
        <f>AVERAGE('29.10 MUKONO-KALAGI'!F29,'30.10 MUKONO-KALAGI'!F29,'1.11 MUKONO-KALAGI'!F29,'3.11 MUKONO-KALAGI'!F29,'31.10 MUKONO-KALAGI-24h'!F29,'2.11 MUKONO-KALAGI-24h'!F29,'4.11 MUKONO-KALAGI'!F29)</f>
        <v>8.8571428571428577</v>
      </c>
      <c r="G29" s="49">
        <f>AVERAGE('29.10 MUKONO-KALAGI'!G29,'30.10 MUKONO-KALAGI'!G29,'1.11 MUKONO-KALAGI'!G29,'3.11 MUKONO-KALAGI'!G29,'31.10 MUKONO-KALAGI-24h'!G29,'2.11 MUKONO-KALAGI-24h'!G29,'4.11 MUKONO-KALAGI'!G29)</f>
        <v>0</v>
      </c>
      <c r="H29" s="49">
        <f>AVERAGE('29.10 MUKONO-KALAGI'!H29,'30.10 MUKONO-KALAGI'!H29,'1.11 MUKONO-KALAGI'!H29,'3.11 MUKONO-KALAGI'!H29,'31.10 MUKONO-KALAGI-24h'!H29,'2.11 MUKONO-KALAGI-24h'!H29,'4.11 MUKONO-KALAGI'!H29)</f>
        <v>0</v>
      </c>
      <c r="I29" s="49">
        <f>AVERAGE('29.10 MUKONO-KALAGI'!I29,'30.10 MUKONO-KALAGI'!I29,'1.11 MUKONO-KALAGI'!I29,'3.11 MUKONO-KALAGI'!I29,'31.10 MUKONO-KALAGI-24h'!I29,'2.11 MUKONO-KALAGI-24h'!I29,'4.11 MUKONO-KALAGI'!I29)</f>
        <v>3</v>
      </c>
      <c r="J29" s="49">
        <f>AVERAGE('29.10 MUKONO-KALAGI'!J29,'30.10 MUKONO-KALAGI'!J29,'1.11 MUKONO-KALAGI'!J29,'3.11 MUKONO-KALAGI'!J29,'31.10 MUKONO-KALAGI-24h'!J29,'2.11 MUKONO-KALAGI-24h'!J29,'4.11 MUKONO-KALAGI'!J29)</f>
        <v>0.2857142857142857</v>
      </c>
      <c r="K29" s="49">
        <f>AVERAGE('29.10 MUKONO-KALAGI'!K29,'30.10 MUKONO-KALAGI'!K29,'1.11 MUKONO-KALAGI'!K29,'3.11 MUKONO-KALAGI'!K29,'31.10 MUKONO-KALAGI-24h'!K29,'2.11 MUKONO-KALAGI-24h'!K29,'4.11 MUKONO-KALAGI'!K29)</f>
        <v>0.2857142857142857</v>
      </c>
      <c r="L29" s="49">
        <f>AVERAGE('29.10 MUKONO-KALAGI'!L29,'30.10 MUKONO-KALAGI'!L29,'1.11 MUKONO-KALAGI'!L29,'3.11 MUKONO-KALAGI'!L29,'31.10 MUKONO-KALAGI-24h'!L29,'2.11 MUKONO-KALAGI-24h'!L29,'4.11 MUKONO-KALAGI'!L29)</f>
        <v>0.42857142857142855</v>
      </c>
      <c r="M29" s="49">
        <f>AVERAGE('29.10 MUKONO-KALAGI'!M29,'30.10 MUKONO-KALAGI'!M29,'1.11 MUKONO-KALAGI'!M29,'3.11 MUKONO-KALAGI'!M29,'31.10 MUKONO-KALAGI-24h'!M29,'2.11 MUKONO-KALAGI-24h'!M29,'4.11 MUKONO-KALAGI'!M29)</f>
        <v>20</v>
      </c>
      <c r="N29" s="49">
        <f>AVERAGE('29.10 MUKONO-KALAGI'!N29,'30.10 MUKONO-KALAGI'!N29,'1.11 MUKONO-KALAGI'!N29,'3.11 MUKONO-KALAGI'!N29,'31.10 MUKONO-KALAGI-24h'!N29,'2.11 MUKONO-KALAGI-24h'!N29,'4.11 MUKONO-KALAGI'!N29)</f>
        <v>0</v>
      </c>
      <c r="O29" s="15">
        <f t="shared" si="0"/>
        <v>27.285714285714281</v>
      </c>
      <c r="P29" s="15">
        <f t="shared" si="1"/>
        <v>47.285714285714278</v>
      </c>
      <c r="R29" s="1" t="s">
        <v>153</v>
      </c>
      <c r="S29" s="34">
        <f>SUM(C86:C89)</f>
        <v>0</v>
      </c>
      <c r="T29" s="34">
        <f t="shared" ref="T29:AF29" si="21">SUM(D86:D89)</f>
        <v>1.5</v>
      </c>
      <c r="U29" s="34">
        <f t="shared" si="21"/>
        <v>1.5</v>
      </c>
      <c r="V29" s="34">
        <f t="shared" si="21"/>
        <v>2.5</v>
      </c>
      <c r="W29" s="34">
        <f t="shared" si="21"/>
        <v>0.5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9.5</v>
      </c>
      <c r="AD29" s="34">
        <f t="shared" si="21"/>
        <v>0</v>
      </c>
      <c r="AE29" s="31">
        <f t="shared" si="21"/>
        <v>8</v>
      </c>
      <c r="AF29" s="31">
        <f t="shared" si="21"/>
        <v>17.5</v>
      </c>
    </row>
    <row r="30" spans="2:32" ht="23.1" customHeight="1" x14ac:dyDescent="0.25">
      <c r="B30" s="23" t="s">
        <v>57</v>
      </c>
      <c r="C30" s="49">
        <f>AVERAGE('29.10 MUKONO-KALAGI'!C30,'30.10 MUKONO-KALAGI'!C30,'1.11 MUKONO-KALAGI'!C30,'3.11 MUKONO-KALAGI'!C30,'31.10 MUKONO-KALAGI-24h'!C30,'2.11 MUKONO-KALAGI-24h'!C30,'4.11 MUKONO-KALAGI'!C30)</f>
        <v>9</v>
      </c>
      <c r="D30" s="49">
        <f>AVERAGE('29.10 MUKONO-KALAGI'!D30,'30.10 MUKONO-KALAGI'!D30,'1.11 MUKONO-KALAGI'!D30,'3.11 MUKONO-KALAGI'!D30,'31.10 MUKONO-KALAGI-24h'!D30,'2.11 MUKONO-KALAGI-24h'!D30,'4.11 MUKONO-KALAGI'!D30)</f>
        <v>4.1428571428571432</v>
      </c>
      <c r="E30" s="49">
        <f>AVERAGE('29.10 MUKONO-KALAGI'!E30,'30.10 MUKONO-KALAGI'!E30,'1.11 MUKONO-KALAGI'!E30,'3.11 MUKONO-KALAGI'!E30,'31.10 MUKONO-KALAGI-24h'!E30,'2.11 MUKONO-KALAGI-24h'!E30,'4.11 MUKONO-KALAGI'!E30)</f>
        <v>2.1428571428571428</v>
      </c>
      <c r="F30" s="49">
        <f>AVERAGE('29.10 MUKONO-KALAGI'!F30,'30.10 MUKONO-KALAGI'!F30,'1.11 MUKONO-KALAGI'!F30,'3.11 MUKONO-KALAGI'!F30,'31.10 MUKONO-KALAGI-24h'!F30,'2.11 MUKONO-KALAGI-24h'!F30,'4.11 MUKONO-KALAGI'!F30)</f>
        <v>9.7142857142857135</v>
      </c>
      <c r="G30" s="49">
        <f>AVERAGE('29.10 MUKONO-KALAGI'!G30,'30.10 MUKONO-KALAGI'!G30,'1.11 MUKONO-KALAGI'!G30,'3.11 MUKONO-KALAGI'!G30,'31.10 MUKONO-KALAGI-24h'!G30,'2.11 MUKONO-KALAGI-24h'!G30,'4.11 MUKONO-KALAGI'!G30)</f>
        <v>0</v>
      </c>
      <c r="H30" s="49">
        <f>AVERAGE('29.10 MUKONO-KALAGI'!H30,'30.10 MUKONO-KALAGI'!H30,'1.11 MUKONO-KALAGI'!H30,'3.11 MUKONO-KALAGI'!H30,'31.10 MUKONO-KALAGI-24h'!H30,'2.11 MUKONO-KALAGI-24h'!H30,'4.11 MUKONO-KALAGI'!H30)</f>
        <v>0.14285714285714285</v>
      </c>
      <c r="I30" s="49">
        <f>AVERAGE('29.10 MUKONO-KALAGI'!I30,'30.10 MUKONO-KALAGI'!I30,'1.11 MUKONO-KALAGI'!I30,'3.11 MUKONO-KALAGI'!I30,'31.10 MUKONO-KALAGI-24h'!I30,'2.11 MUKONO-KALAGI-24h'!I30,'4.11 MUKONO-KALAGI'!I30)</f>
        <v>3.4285714285714284</v>
      </c>
      <c r="J30" s="49">
        <f>AVERAGE('29.10 MUKONO-KALAGI'!J30,'30.10 MUKONO-KALAGI'!J30,'1.11 MUKONO-KALAGI'!J30,'3.11 MUKONO-KALAGI'!J30,'31.10 MUKONO-KALAGI-24h'!J30,'2.11 MUKONO-KALAGI-24h'!J30,'4.11 MUKONO-KALAGI'!J30)</f>
        <v>0.5714285714285714</v>
      </c>
      <c r="K30" s="49">
        <f>AVERAGE('29.10 MUKONO-KALAGI'!K30,'30.10 MUKONO-KALAGI'!K30,'1.11 MUKONO-KALAGI'!K30,'3.11 MUKONO-KALAGI'!K30,'31.10 MUKONO-KALAGI-24h'!K30,'2.11 MUKONO-KALAGI-24h'!K30,'4.11 MUKONO-KALAGI'!K30)</f>
        <v>0.42857142857142855</v>
      </c>
      <c r="L30" s="49">
        <f>AVERAGE('29.10 MUKONO-KALAGI'!L30,'30.10 MUKONO-KALAGI'!L30,'1.11 MUKONO-KALAGI'!L30,'3.11 MUKONO-KALAGI'!L30,'31.10 MUKONO-KALAGI-24h'!L30,'2.11 MUKONO-KALAGI-24h'!L30,'4.11 MUKONO-KALAGI'!L30)</f>
        <v>0.2857142857142857</v>
      </c>
      <c r="M30" s="49">
        <f>AVERAGE('29.10 MUKONO-KALAGI'!M30,'30.10 MUKONO-KALAGI'!M30,'1.11 MUKONO-KALAGI'!M30,'3.11 MUKONO-KALAGI'!M30,'31.10 MUKONO-KALAGI-24h'!M30,'2.11 MUKONO-KALAGI-24h'!M30,'4.11 MUKONO-KALAGI'!M30)</f>
        <v>18</v>
      </c>
      <c r="N30" s="49">
        <f>AVERAGE('29.10 MUKONO-KALAGI'!N30,'30.10 MUKONO-KALAGI'!N30,'1.11 MUKONO-KALAGI'!N30,'3.11 MUKONO-KALAGI'!N30,'31.10 MUKONO-KALAGI-24h'!N30,'2.11 MUKONO-KALAGI-24h'!N30,'4.11 MUKONO-KALAGI'!N30)</f>
        <v>0</v>
      </c>
      <c r="O30" s="15">
        <f t="shared" si="0"/>
        <v>29.857142857142854</v>
      </c>
      <c r="P30" s="15">
        <f t="shared" si="1"/>
        <v>47.857142857142854</v>
      </c>
      <c r="R30" s="1" t="s">
        <v>154</v>
      </c>
      <c r="S30" s="34">
        <f>SUM(C90:C93)</f>
        <v>0</v>
      </c>
      <c r="T30" s="34">
        <f t="shared" ref="T30:AF30" si="22">SUM(D90:D93)</f>
        <v>1.5</v>
      </c>
      <c r="U30" s="34">
        <f t="shared" si="22"/>
        <v>0.5</v>
      </c>
      <c r="V30" s="34">
        <f t="shared" si="22"/>
        <v>2</v>
      </c>
      <c r="W30" s="34">
        <f t="shared" si="22"/>
        <v>1</v>
      </c>
      <c r="X30" s="34">
        <f t="shared" si="22"/>
        <v>0</v>
      </c>
      <c r="Y30" s="34">
        <f t="shared" si="22"/>
        <v>4</v>
      </c>
      <c r="Z30" s="34">
        <f t="shared" si="22"/>
        <v>0.5</v>
      </c>
      <c r="AA30" s="34">
        <f t="shared" si="22"/>
        <v>1</v>
      </c>
      <c r="AB30" s="34">
        <f t="shared" si="22"/>
        <v>0</v>
      </c>
      <c r="AC30" s="34">
        <f t="shared" si="22"/>
        <v>5.5</v>
      </c>
      <c r="AD30" s="34">
        <f t="shared" si="22"/>
        <v>0</v>
      </c>
      <c r="AE30" s="31">
        <f t="shared" si="22"/>
        <v>10.5</v>
      </c>
      <c r="AF30" s="31">
        <f t="shared" si="22"/>
        <v>16</v>
      </c>
    </row>
    <row r="31" spans="2:32" ht="23.1" customHeight="1" x14ac:dyDescent="0.25">
      <c r="B31" s="24" t="s">
        <v>58</v>
      </c>
      <c r="C31" s="49">
        <f>AVERAGE('29.10 MUKONO-KALAGI'!C31,'30.10 MUKONO-KALAGI'!C31,'1.11 MUKONO-KALAGI'!C31,'3.11 MUKONO-KALAGI'!C31,'31.10 MUKONO-KALAGI-24h'!C31,'2.11 MUKONO-KALAGI-24h'!C31,'4.11 MUKONO-KALAGI'!C31)</f>
        <v>8.4285714285714288</v>
      </c>
      <c r="D31" s="49">
        <f>AVERAGE('29.10 MUKONO-KALAGI'!D31,'30.10 MUKONO-KALAGI'!D31,'1.11 MUKONO-KALAGI'!D31,'3.11 MUKONO-KALAGI'!D31,'31.10 MUKONO-KALAGI-24h'!D31,'2.11 MUKONO-KALAGI-24h'!D31,'4.11 MUKONO-KALAGI'!D31)</f>
        <v>3.5714285714285716</v>
      </c>
      <c r="E31" s="49">
        <f>AVERAGE('29.10 MUKONO-KALAGI'!E31,'30.10 MUKONO-KALAGI'!E31,'1.11 MUKONO-KALAGI'!E31,'3.11 MUKONO-KALAGI'!E31,'31.10 MUKONO-KALAGI-24h'!E31,'2.11 MUKONO-KALAGI-24h'!E31,'4.11 MUKONO-KALAGI'!E31)</f>
        <v>0.8571428571428571</v>
      </c>
      <c r="F31" s="49">
        <f>AVERAGE('29.10 MUKONO-KALAGI'!F31,'30.10 MUKONO-KALAGI'!F31,'1.11 MUKONO-KALAGI'!F31,'3.11 MUKONO-KALAGI'!F31,'31.10 MUKONO-KALAGI-24h'!F31,'2.11 MUKONO-KALAGI-24h'!F31,'4.11 MUKONO-KALAGI'!F31)</f>
        <v>9.8571428571428577</v>
      </c>
      <c r="G31" s="49">
        <f>AVERAGE('29.10 MUKONO-KALAGI'!G31,'30.10 MUKONO-KALAGI'!G31,'1.11 MUKONO-KALAGI'!G31,'3.11 MUKONO-KALAGI'!G31,'31.10 MUKONO-KALAGI-24h'!G31,'2.11 MUKONO-KALAGI-24h'!G31,'4.11 MUKONO-KALAGI'!G31)</f>
        <v>0.14285714285714285</v>
      </c>
      <c r="H31" s="49">
        <f>AVERAGE('29.10 MUKONO-KALAGI'!H31,'30.10 MUKONO-KALAGI'!H31,'1.11 MUKONO-KALAGI'!H31,'3.11 MUKONO-KALAGI'!H31,'31.10 MUKONO-KALAGI-24h'!H31,'2.11 MUKONO-KALAGI-24h'!H31,'4.11 MUKONO-KALAGI'!H31)</f>
        <v>0</v>
      </c>
      <c r="I31" s="49">
        <f>AVERAGE('29.10 MUKONO-KALAGI'!I31,'30.10 MUKONO-KALAGI'!I31,'1.11 MUKONO-KALAGI'!I31,'3.11 MUKONO-KALAGI'!I31,'31.10 MUKONO-KALAGI-24h'!I31,'2.11 MUKONO-KALAGI-24h'!I31,'4.11 MUKONO-KALAGI'!I31)</f>
        <v>3.7142857142857144</v>
      </c>
      <c r="J31" s="49">
        <f>AVERAGE('29.10 MUKONO-KALAGI'!J31,'30.10 MUKONO-KALAGI'!J31,'1.11 MUKONO-KALAGI'!J31,'3.11 MUKONO-KALAGI'!J31,'31.10 MUKONO-KALAGI-24h'!J31,'2.11 MUKONO-KALAGI-24h'!J31,'4.11 MUKONO-KALAGI'!J31)</f>
        <v>0.42857142857142855</v>
      </c>
      <c r="K31" s="49">
        <f>AVERAGE('29.10 MUKONO-KALAGI'!K31,'30.10 MUKONO-KALAGI'!K31,'1.11 MUKONO-KALAGI'!K31,'3.11 MUKONO-KALAGI'!K31,'31.10 MUKONO-KALAGI-24h'!K31,'2.11 MUKONO-KALAGI-24h'!K31,'4.11 MUKONO-KALAGI'!K31)</f>
        <v>0</v>
      </c>
      <c r="L31" s="49">
        <f>AVERAGE('29.10 MUKONO-KALAGI'!L31,'30.10 MUKONO-KALAGI'!L31,'1.11 MUKONO-KALAGI'!L31,'3.11 MUKONO-KALAGI'!L31,'31.10 MUKONO-KALAGI-24h'!L31,'2.11 MUKONO-KALAGI-24h'!L31,'4.11 MUKONO-KALAGI'!L31)</f>
        <v>0.2857142857142857</v>
      </c>
      <c r="M31" s="49">
        <f>AVERAGE('29.10 MUKONO-KALAGI'!M31,'30.10 MUKONO-KALAGI'!M31,'1.11 MUKONO-KALAGI'!M31,'3.11 MUKONO-KALAGI'!M31,'31.10 MUKONO-KALAGI-24h'!M31,'2.11 MUKONO-KALAGI-24h'!M31,'4.11 MUKONO-KALAGI'!M31)</f>
        <v>23.571428571428573</v>
      </c>
      <c r="N31" s="49">
        <f>AVERAGE('29.10 MUKONO-KALAGI'!N31,'30.10 MUKONO-KALAGI'!N31,'1.11 MUKONO-KALAGI'!N31,'3.11 MUKONO-KALAGI'!N31,'31.10 MUKONO-KALAGI-24h'!N31,'2.11 MUKONO-KALAGI-24h'!N31,'4.11 MUKONO-KALAGI'!N31)</f>
        <v>0</v>
      </c>
      <c r="O31" s="15">
        <f t="shared" si="0"/>
        <v>27.285714285714285</v>
      </c>
      <c r="P31" s="15">
        <f t="shared" si="1"/>
        <v>50.857142857142861</v>
      </c>
      <c r="R31" s="1" t="s">
        <v>155</v>
      </c>
      <c r="S31" s="34">
        <f>SUM(C94:C97)</f>
        <v>0</v>
      </c>
      <c r="T31" s="34">
        <f t="shared" ref="T31:AF31" si="23">SUM(D94:D97)</f>
        <v>1</v>
      </c>
      <c r="U31" s="34">
        <f t="shared" si="23"/>
        <v>1.5</v>
      </c>
      <c r="V31" s="34">
        <f t="shared" si="23"/>
        <v>2.5</v>
      </c>
      <c r="W31" s="34">
        <f t="shared" si="23"/>
        <v>1.5</v>
      </c>
      <c r="X31" s="34">
        <f t="shared" si="23"/>
        <v>0</v>
      </c>
      <c r="Y31" s="34">
        <f t="shared" si="23"/>
        <v>4.5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4.5</v>
      </c>
      <c r="AD31" s="34">
        <f t="shared" si="23"/>
        <v>0</v>
      </c>
      <c r="AE31" s="31">
        <f t="shared" si="23"/>
        <v>11</v>
      </c>
      <c r="AF31" s="31">
        <f t="shared" si="23"/>
        <v>15.5</v>
      </c>
    </row>
    <row r="32" spans="2:32" ht="23.1" customHeight="1" x14ac:dyDescent="0.25">
      <c r="B32" s="24" t="s">
        <v>59</v>
      </c>
      <c r="C32" s="49">
        <f>AVERAGE('29.10 MUKONO-KALAGI'!C32,'30.10 MUKONO-KALAGI'!C32,'1.11 MUKONO-KALAGI'!C32,'3.11 MUKONO-KALAGI'!C32,'31.10 MUKONO-KALAGI-24h'!C32,'2.11 MUKONO-KALAGI-24h'!C32,'4.11 MUKONO-KALAGI'!C32)</f>
        <v>8.2857142857142865</v>
      </c>
      <c r="D32" s="49">
        <f>AVERAGE('29.10 MUKONO-KALAGI'!D32,'30.10 MUKONO-KALAGI'!D32,'1.11 MUKONO-KALAGI'!D32,'3.11 MUKONO-KALAGI'!D32,'31.10 MUKONO-KALAGI-24h'!D32,'2.11 MUKONO-KALAGI-24h'!D32,'4.11 MUKONO-KALAGI'!D32)</f>
        <v>3.1428571428571428</v>
      </c>
      <c r="E32" s="49">
        <f>AVERAGE('29.10 MUKONO-KALAGI'!E32,'30.10 MUKONO-KALAGI'!E32,'1.11 MUKONO-KALAGI'!E32,'3.11 MUKONO-KALAGI'!E32,'31.10 MUKONO-KALAGI-24h'!E32,'2.11 MUKONO-KALAGI-24h'!E32,'4.11 MUKONO-KALAGI'!E32)</f>
        <v>2</v>
      </c>
      <c r="F32" s="49">
        <f>AVERAGE('29.10 MUKONO-KALAGI'!F32,'30.10 MUKONO-KALAGI'!F32,'1.11 MUKONO-KALAGI'!F32,'3.11 MUKONO-KALAGI'!F32,'31.10 MUKONO-KALAGI-24h'!F32,'2.11 MUKONO-KALAGI-24h'!F32,'4.11 MUKONO-KALAGI'!F32)</f>
        <v>9</v>
      </c>
      <c r="G32" s="49">
        <f>AVERAGE('29.10 MUKONO-KALAGI'!G32,'30.10 MUKONO-KALAGI'!G32,'1.11 MUKONO-KALAGI'!G32,'3.11 MUKONO-KALAGI'!G32,'31.10 MUKONO-KALAGI-24h'!G32,'2.11 MUKONO-KALAGI-24h'!G32,'4.11 MUKONO-KALAGI'!G32)</f>
        <v>0</v>
      </c>
      <c r="H32" s="49">
        <f>AVERAGE('29.10 MUKONO-KALAGI'!H32,'30.10 MUKONO-KALAGI'!H32,'1.11 MUKONO-KALAGI'!H32,'3.11 MUKONO-KALAGI'!H32,'31.10 MUKONO-KALAGI-24h'!H32,'2.11 MUKONO-KALAGI-24h'!H32,'4.11 MUKONO-KALAGI'!H32)</f>
        <v>0</v>
      </c>
      <c r="I32" s="49">
        <f>AVERAGE('29.10 MUKONO-KALAGI'!I32,'30.10 MUKONO-KALAGI'!I32,'1.11 MUKONO-KALAGI'!I32,'3.11 MUKONO-KALAGI'!I32,'31.10 MUKONO-KALAGI-24h'!I32,'2.11 MUKONO-KALAGI-24h'!I32,'4.11 MUKONO-KALAGI'!I32)</f>
        <v>2.7142857142857144</v>
      </c>
      <c r="J32" s="49">
        <f>AVERAGE('29.10 MUKONO-KALAGI'!J32,'30.10 MUKONO-KALAGI'!J32,'1.11 MUKONO-KALAGI'!J32,'3.11 MUKONO-KALAGI'!J32,'31.10 MUKONO-KALAGI-24h'!J32,'2.11 MUKONO-KALAGI-24h'!J32,'4.11 MUKONO-KALAGI'!J32)</f>
        <v>0.14285714285714285</v>
      </c>
      <c r="K32" s="49">
        <f>AVERAGE('29.10 MUKONO-KALAGI'!K32,'30.10 MUKONO-KALAGI'!K32,'1.11 MUKONO-KALAGI'!K32,'3.11 MUKONO-KALAGI'!K32,'31.10 MUKONO-KALAGI-24h'!K32,'2.11 MUKONO-KALAGI-24h'!K32,'4.11 MUKONO-KALAGI'!K32)</f>
        <v>0</v>
      </c>
      <c r="L32" s="49">
        <f>AVERAGE('29.10 MUKONO-KALAGI'!L32,'30.10 MUKONO-KALAGI'!L32,'1.11 MUKONO-KALAGI'!L32,'3.11 MUKONO-KALAGI'!L32,'31.10 MUKONO-KALAGI-24h'!L32,'2.11 MUKONO-KALAGI-24h'!L32,'4.11 MUKONO-KALAGI'!L32)</f>
        <v>0</v>
      </c>
      <c r="M32" s="49">
        <f>AVERAGE('29.10 MUKONO-KALAGI'!M32,'30.10 MUKONO-KALAGI'!M32,'1.11 MUKONO-KALAGI'!M32,'3.11 MUKONO-KALAGI'!M32,'31.10 MUKONO-KALAGI-24h'!M32,'2.11 MUKONO-KALAGI-24h'!M32,'4.11 MUKONO-KALAGI'!M32)</f>
        <v>28.142857142857142</v>
      </c>
      <c r="N32" s="49">
        <f>AVERAGE('29.10 MUKONO-KALAGI'!N32,'30.10 MUKONO-KALAGI'!N32,'1.11 MUKONO-KALAGI'!N32,'3.11 MUKONO-KALAGI'!N32,'31.10 MUKONO-KALAGI-24h'!N32,'2.11 MUKONO-KALAGI-24h'!N32,'4.11 MUKONO-KALAGI'!N32)</f>
        <v>0</v>
      </c>
      <c r="O32" s="15">
        <f t="shared" si="0"/>
        <v>25.285714285714288</v>
      </c>
      <c r="P32" s="15">
        <f t="shared" si="1"/>
        <v>53.428571428571431</v>
      </c>
      <c r="R32" s="1" t="s">
        <v>156</v>
      </c>
      <c r="S32" s="34">
        <f>SUM(C98:C101)</f>
        <v>0</v>
      </c>
      <c r="T32" s="34">
        <f t="shared" ref="T32:AF32" si="24">SUM(D98:D101)</f>
        <v>1</v>
      </c>
      <c r="U32" s="34">
        <f t="shared" si="24"/>
        <v>1.5</v>
      </c>
      <c r="V32" s="34">
        <f t="shared" si="24"/>
        <v>6.5</v>
      </c>
      <c r="W32" s="34">
        <f t="shared" si="24"/>
        <v>0</v>
      </c>
      <c r="X32" s="34">
        <f t="shared" si="24"/>
        <v>0</v>
      </c>
      <c r="Y32" s="34">
        <f t="shared" si="24"/>
        <v>4.5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12.5</v>
      </c>
      <c r="AD32" s="34">
        <f t="shared" si="24"/>
        <v>0</v>
      </c>
      <c r="AE32" s="31">
        <f t="shared" si="24"/>
        <v>13.5</v>
      </c>
      <c r="AF32" s="31">
        <f t="shared" si="24"/>
        <v>26</v>
      </c>
    </row>
    <row r="33" spans="2:32" ht="23.1" customHeight="1" x14ac:dyDescent="0.25">
      <c r="B33" s="23" t="s">
        <v>60</v>
      </c>
      <c r="C33" s="49">
        <f>AVERAGE('29.10 MUKONO-KALAGI'!C33,'30.10 MUKONO-KALAGI'!C33,'1.11 MUKONO-KALAGI'!C33,'3.11 MUKONO-KALAGI'!C33,'31.10 MUKONO-KALAGI-24h'!C33,'2.11 MUKONO-KALAGI-24h'!C33,'4.11 MUKONO-KALAGI'!C33)</f>
        <v>7.4285714285714288</v>
      </c>
      <c r="D33" s="49">
        <f>AVERAGE('29.10 MUKONO-KALAGI'!D33,'30.10 MUKONO-KALAGI'!D33,'1.11 MUKONO-KALAGI'!D33,'3.11 MUKONO-KALAGI'!D33,'31.10 MUKONO-KALAGI-24h'!D33,'2.11 MUKONO-KALAGI-24h'!D33,'4.11 MUKONO-KALAGI'!D33)</f>
        <v>2.8571428571428572</v>
      </c>
      <c r="E33" s="49">
        <f>AVERAGE('29.10 MUKONO-KALAGI'!E33,'30.10 MUKONO-KALAGI'!E33,'1.11 MUKONO-KALAGI'!E33,'3.11 MUKONO-KALAGI'!E33,'31.10 MUKONO-KALAGI-24h'!E33,'2.11 MUKONO-KALAGI-24h'!E33,'4.11 MUKONO-KALAGI'!E33)</f>
        <v>2.7142857142857144</v>
      </c>
      <c r="F33" s="49">
        <f>AVERAGE('29.10 MUKONO-KALAGI'!F33,'30.10 MUKONO-KALAGI'!F33,'1.11 MUKONO-KALAGI'!F33,'3.11 MUKONO-KALAGI'!F33,'31.10 MUKONO-KALAGI-24h'!F33,'2.11 MUKONO-KALAGI-24h'!F33,'4.11 MUKONO-KALAGI'!F33)</f>
        <v>9.4285714285714288</v>
      </c>
      <c r="G33" s="49">
        <f>AVERAGE('29.10 MUKONO-KALAGI'!G33,'30.10 MUKONO-KALAGI'!G33,'1.11 MUKONO-KALAGI'!G33,'3.11 MUKONO-KALAGI'!G33,'31.10 MUKONO-KALAGI-24h'!G33,'2.11 MUKONO-KALAGI-24h'!G33,'4.11 MUKONO-KALAGI'!G33)</f>
        <v>0.14285714285714285</v>
      </c>
      <c r="H33" s="49">
        <f>AVERAGE('29.10 MUKONO-KALAGI'!H33,'30.10 MUKONO-KALAGI'!H33,'1.11 MUKONO-KALAGI'!H33,'3.11 MUKONO-KALAGI'!H33,'31.10 MUKONO-KALAGI-24h'!H33,'2.11 MUKONO-KALAGI-24h'!H33,'4.11 MUKONO-KALAGI'!H33)</f>
        <v>0</v>
      </c>
      <c r="I33" s="49">
        <f>AVERAGE('29.10 MUKONO-KALAGI'!I33,'30.10 MUKONO-KALAGI'!I33,'1.11 MUKONO-KALAGI'!I33,'3.11 MUKONO-KALAGI'!I33,'31.10 MUKONO-KALAGI-24h'!I33,'2.11 MUKONO-KALAGI-24h'!I33,'4.11 MUKONO-KALAGI'!I33)</f>
        <v>3.2857142857142856</v>
      </c>
      <c r="J33" s="49">
        <f>AVERAGE('29.10 MUKONO-KALAGI'!J33,'30.10 MUKONO-KALAGI'!J33,'1.11 MUKONO-KALAGI'!J33,'3.11 MUKONO-KALAGI'!J33,'31.10 MUKONO-KALAGI-24h'!J33,'2.11 MUKONO-KALAGI-24h'!J33,'4.11 MUKONO-KALAGI'!J33)</f>
        <v>0.5714285714285714</v>
      </c>
      <c r="K33" s="49">
        <f>AVERAGE('29.10 MUKONO-KALAGI'!K33,'30.10 MUKONO-KALAGI'!K33,'1.11 MUKONO-KALAGI'!K33,'3.11 MUKONO-KALAGI'!K33,'31.10 MUKONO-KALAGI-24h'!K33,'2.11 MUKONO-KALAGI-24h'!K33,'4.11 MUKONO-KALAGI'!K33)</f>
        <v>0</v>
      </c>
      <c r="L33" s="49">
        <f>AVERAGE('29.10 MUKONO-KALAGI'!L33,'30.10 MUKONO-KALAGI'!L33,'1.11 MUKONO-KALAGI'!L33,'3.11 MUKONO-KALAGI'!L33,'31.10 MUKONO-KALAGI-24h'!L33,'2.11 MUKONO-KALAGI-24h'!L33,'4.11 MUKONO-KALAGI'!L33)</f>
        <v>0.14285714285714285</v>
      </c>
      <c r="M33" s="49">
        <f>AVERAGE('29.10 MUKONO-KALAGI'!M33,'30.10 MUKONO-KALAGI'!M33,'1.11 MUKONO-KALAGI'!M33,'3.11 MUKONO-KALAGI'!M33,'31.10 MUKONO-KALAGI-24h'!M33,'2.11 MUKONO-KALAGI-24h'!M33,'4.11 MUKONO-KALAGI'!M33)</f>
        <v>25</v>
      </c>
      <c r="N33" s="49">
        <f>AVERAGE('29.10 MUKONO-KALAGI'!N33,'30.10 MUKONO-KALAGI'!N33,'1.11 MUKONO-KALAGI'!N33,'3.11 MUKONO-KALAGI'!N33,'31.10 MUKONO-KALAGI-24h'!N33,'2.11 MUKONO-KALAGI-24h'!N33,'4.11 MUKONO-KALAGI'!N33)</f>
        <v>0</v>
      </c>
      <c r="O33" s="15">
        <f t="shared" si="0"/>
        <v>26.571428571428573</v>
      </c>
      <c r="P33" s="15">
        <f t="shared" si="1"/>
        <v>51.571428571428569</v>
      </c>
      <c r="R33" s="1" t="s">
        <v>157</v>
      </c>
      <c r="S33" s="34">
        <f>SUM(C102:C105)</f>
        <v>12.5</v>
      </c>
      <c r="T33" s="34">
        <f t="shared" ref="T33:AF33" si="25">SUM(D102:D105)</f>
        <v>4</v>
      </c>
      <c r="U33" s="34">
        <f t="shared" si="25"/>
        <v>5.5</v>
      </c>
      <c r="V33" s="34">
        <f t="shared" si="25"/>
        <v>18.5</v>
      </c>
      <c r="W33" s="34">
        <f t="shared" si="25"/>
        <v>0.5</v>
      </c>
      <c r="X33" s="34">
        <f t="shared" si="25"/>
        <v>0</v>
      </c>
      <c r="Y33" s="34">
        <f t="shared" si="25"/>
        <v>12.5</v>
      </c>
      <c r="Z33" s="34">
        <f t="shared" si="25"/>
        <v>0</v>
      </c>
      <c r="AA33" s="34">
        <f t="shared" si="25"/>
        <v>0.5</v>
      </c>
      <c r="AB33" s="34">
        <f t="shared" si="25"/>
        <v>0</v>
      </c>
      <c r="AC33" s="34">
        <f t="shared" si="25"/>
        <v>32</v>
      </c>
      <c r="AD33" s="34">
        <f t="shared" si="25"/>
        <v>0</v>
      </c>
      <c r="AE33" s="31">
        <f t="shared" si="25"/>
        <v>54</v>
      </c>
      <c r="AF33" s="31">
        <f t="shared" si="25"/>
        <v>86</v>
      </c>
    </row>
    <row r="34" spans="2:32" ht="23.1" customHeight="1" x14ac:dyDescent="0.25">
      <c r="B34" s="24" t="s">
        <v>61</v>
      </c>
      <c r="C34" s="49">
        <f>AVERAGE('29.10 MUKONO-KALAGI'!C34,'30.10 MUKONO-KALAGI'!C34,'1.11 MUKONO-KALAGI'!C34,'3.11 MUKONO-KALAGI'!C34,'31.10 MUKONO-KALAGI-24h'!C34,'2.11 MUKONO-KALAGI-24h'!C34,'4.11 MUKONO-KALAGI'!C34)</f>
        <v>9.7142857142857135</v>
      </c>
      <c r="D34" s="49">
        <f>AVERAGE('29.10 MUKONO-KALAGI'!D34,'30.10 MUKONO-KALAGI'!D34,'1.11 MUKONO-KALAGI'!D34,'3.11 MUKONO-KALAGI'!D34,'31.10 MUKONO-KALAGI-24h'!D34,'2.11 MUKONO-KALAGI-24h'!D34,'4.11 MUKONO-KALAGI'!D34)</f>
        <v>2.4285714285714284</v>
      </c>
      <c r="E34" s="49">
        <f>AVERAGE('29.10 MUKONO-KALAGI'!E34,'30.10 MUKONO-KALAGI'!E34,'1.11 MUKONO-KALAGI'!E34,'3.11 MUKONO-KALAGI'!E34,'31.10 MUKONO-KALAGI-24h'!E34,'2.11 MUKONO-KALAGI-24h'!E34,'4.11 MUKONO-KALAGI'!E34)</f>
        <v>2.8571428571428572</v>
      </c>
      <c r="F34" s="49">
        <f>AVERAGE('29.10 MUKONO-KALAGI'!F34,'30.10 MUKONO-KALAGI'!F34,'1.11 MUKONO-KALAGI'!F34,'3.11 MUKONO-KALAGI'!F34,'31.10 MUKONO-KALAGI-24h'!F34,'2.11 MUKONO-KALAGI-24h'!F34,'4.11 MUKONO-KALAGI'!F34)</f>
        <v>10.428571428571429</v>
      </c>
      <c r="G34" s="49">
        <f>AVERAGE('29.10 MUKONO-KALAGI'!G34,'30.10 MUKONO-KALAGI'!G34,'1.11 MUKONO-KALAGI'!G34,'3.11 MUKONO-KALAGI'!G34,'31.10 MUKONO-KALAGI-24h'!G34,'2.11 MUKONO-KALAGI-24h'!G34,'4.11 MUKONO-KALAGI'!G34)</f>
        <v>0.14285714285714285</v>
      </c>
      <c r="H34" s="49">
        <f>AVERAGE('29.10 MUKONO-KALAGI'!H34,'30.10 MUKONO-KALAGI'!H34,'1.11 MUKONO-KALAGI'!H34,'3.11 MUKONO-KALAGI'!H34,'31.10 MUKONO-KALAGI-24h'!H34,'2.11 MUKONO-KALAGI-24h'!H34,'4.11 MUKONO-KALAGI'!H34)</f>
        <v>0.14285714285714285</v>
      </c>
      <c r="I34" s="49">
        <f>AVERAGE('29.10 MUKONO-KALAGI'!I34,'30.10 MUKONO-KALAGI'!I34,'1.11 MUKONO-KALAGI'!I34,'3.11 MUKONO-KALAGI'!I34,'31.10 MUKONO-KALAGI-24h'!I34,'2.11 MUKONO-KALAGI-24h'!I34,'4.11 MUKONO-KALAGI'!I34)</f>
        <v>3.4285714285714284</v>
      </c>
      <c r="J34" s="49">
        <f>AVERAGE('29.10 MUKONO-KALAGI'!J34,'30.10 MUKONO-KALAGI'!J34,'1.11 MUKONO-KALAGI'!J34,'3.11 MUKONO-KALAGI'!J34,'31.10 MUKONO-KALAGI-24h'!J34,'2.11 MUKONO-KALAGI-24h'!J34,'4.11 MUKONO-KALAGI'!J34)</f>
        <v>0.5714285714285714</v>
      </c>
      <c r="K34" s="49">
        <f>AVERAGE('29.10 MUKONO-KALAGI'!K34,'30.10 MUKONO-KALAGI'!K34,'1.11 MUKONO-KALAGI'!K34,'3.11 MUKONO-KALAGI'!K34,'31.10 MUKONO-KALAGI-24h'!K34,'2.11 MUKONO-KALAGI-24h'!K34,'4.11 MUKONO-KALAGI'!K34)</f>
        <v>0.2857142857142857</v>
      </c>
      <c r="L34" s="49">
        <f>AVERAGE('29.10 MUKONO-KALAGI'!L34,'30.10 MUKONO-KALAGI'!L34,'1.11 MUKONO-KALAGI'!L34,'3.11 MUKONO-KALAGI'!L34,'31.10 MUKONO-KALAGI-24h'!L34,'2.11 MUKONO-KALAGI-24h'!L34,'4.11 MUKONO-KALAGI'!L34)</f>
        <v>0.14285714285714285</v>
      </c>
      <c r="M34" s="49">
        <f>AVERAGE('29.10 MUKONO-KALAGI'!M34,'30.10 MUKONO-KALAGI'!M34,'1.11 MUKONO-KALAGI'!M34,'3.11 MUKONO-KALAGI'!M34,'31.10 MUKONO-KALAGI-24h'!M34,'2.11 MUKONO-KALAGI-24h'!M34,'4.11 MUKONO-KALAGI'!M34)</f>
        <v>21.857142857142858</v>
      </c>
      <c r="N34" s="49">
        <f>AVERAGE('29.10 MUKONO-KALAGI'!N34,'30.10 MUKONO-KALAGI'!N34,'1.11 MUKONO-KALAGI'!N34,'3.11 MUKONO-KALAGI'!N34,'31.10 MUKONO-KALAGI-24h'!N34,'2.11 MUKONO-KALAGI-24h'!N34,'4.11 MUKONO-KALAGI'!N34)</f>
        <v>0</v>
      </c>
      <c r="O34" s="15">
        <f t="shared" si="0"/>
        <v>30.142857142857142</v>
      </c>
      <c r="P34" s="15">
        <f t="shared" si="1"/>
        <v>52</v>
      </c>
      <c r="R34" s="38" t="s">
        <v>90</v>
      </c>
      <c r="S34" s="39">
        <f t="shared" ref="S34:AF34" si="26">MAX(S10:S12)</f>
        <v>32.142857142857139</v>
      </c>
      <c r="T34" s="39">
        <f t="shared" si="26"/>
        <v>9</v>
      </c>
      <c r="U34" s="39">
        <f t="shared" si="26"/>
        <v>7.5714285714285712</v>
      </c>
      <c r="V34" s="39">
        <f t="shared" si="26"/>
        <v>41.142857142857139</v>
      </c>
      <c r="W34" s="39">
        <f t="shared" si="26"/>
        <v>0.71428571428571419</v>
      </c>
      <c r="X34" s="39">
        <f t="shared" si="26"/>
        <v>0.2857142857142857</v>
      </c>
      <c r="Y34" s="39">
        <f t="shared" si="26"/>
        <v>13.714285714285715</v>
      </c>
      <c r="Z34" s="39">
        <f t="shared" si="26"/>
        <v>1.1428571428571428</v>
      </c>
      <c r="AA34" s="39">
        <f t="shared" si="26"/>
        <v>1.2857142857142856</v>
      </c>
      <c r="AB34" s="39">
        <f t="shared" si="26"/>
        <v>1</v>
      </c>
      <c r="AC34" s="39">
        <f t="shared" si="26"/>
        <v>72.285714285714278</v>
      </c>
      <c r="AD34" s="39">
        <f t="shared" si="26"/>
        <v>0</v>
      </c>
      <c r="AE34" s="40">
        <f t="shared" si="26"/>
        <v>100.71428571428571</v>
      </c>
      <c r="AF34" s="40">
        <f t="shared" si="26"/>
        <v>173</v>
      </c>
    </row>
    <row r="35" spans="2:32" ht="23.1" customHeight="1" x14ac:dyDescent="0.25">
      <c r="B35" s="24" t="s">
        <v>62</v>
      </c>
      <c r="C35" s="49">
        <f>AVERAGE('29.10 MUKONO-KALAGI'!C35,'30.10 MUKONO-KALAGI'!C35,'1.11 MUKONO-KALAGI'!C35,'3.11 MUKONO-KALAGI'!C35,'31.10 MUKONO-KALAGI-24h'!C35,'2.11 MUKONO-KALAGI-24h'!C35,'4.11 MUKONO-KALAGI'!C35)</f>
        <v>9.8571428571428577</v>
      </c>
      <c r="D35" s="49">
        <f>AVERAGE('29.10 MUKONO-KALAGI'!D35,'30.10 MUKONO-KALAGI'!D35,'1.11 MUKONO-KALAGI'!D35,'3.11 MUKONO-KALAGI'!D35,'31.10 MUKONO-KALAGI-24h'!D35,'2.11 MUKONO-KALAGI-24h'!D35,'4.11 MUKONO-KALAGI'!D35)</f>
        <v>1.2857142857142858</v>
      </c>
      <c r="E35" s="49">
        <f>AVERAGE('29.10 MUKONO-KALAGI'!E35,'30.10 MUKONO-KALAGI'!E35,'1.11 MUKONO-KALAGI'!E35,'3.11 MUKONO-KALAGI'!E35,'31.10 MUKONO-KALAGI-24h'!E35,'2.11 MUKONO-KALAGI-24h'!E35,'4.11 MUKONO-KALAGI'!E35)</f>
        <v>3.1428571428571428</v>
      </c>
      <c r="F35" s="49">
        <f>AVERAGE('29.10 MUKONO-KALAGI'!F35,'30.10 MUKONO-KALAGI'!F35,'1.11 MUKONO-KALAGI'!F35,'3.11 MUKONO-KALAGI'!F35,'31.10 MUKONO-KALAGI-24h'!F35,'2.11 MUKONO-KALAGI-24h'!F35,'4.11 MUKONO-KALAGI'!F35)</f>
        <v>9.4285714285714288</v>
      </c>
      <c r="G35" s="49">
        <f>AVERAGE('29.10 MUKONO-KALAGI'!G35,'30.10 MUKONO-KALAGI'!G35,'1.11 MUKONO-KALAGI'!G35,'3.11 MUKONO-KALAGI'!G35,'31.10 MUKONO-KALAGI-24h'!G35,'2.11 MUKONO-KALAGI-24h'!G35,'4.11 MUKONO-KALAGI'!G35)</f>
        <v>0.14285714285714285</v>
      </c>
      <c r="H35" s="49">
        <f>AVERAGE('29.10 MUKONO-KALAGI'!H35,'30.10 MUKONO-KALAGI'!H35,'1.11 MUKONO-KALAGI'!H35,'3.11 MUKONO-KALAGI'!H35,'31.10 MUKONO-KALAGI-24h'!H35,'2.11 MUKONO-KALAGI-24h'!H35,'4.11 MUKONO-KALAGI'!H35)</f>
        <v>0</v>
      </c>
      <c r="I35" s="49">
        <f>AVERAGE('29.10 MUKONO-KALAGI'!I35,'30.10 MUKONO-KALAGI'!I35,'1.11 MUKONO-KALAGI'!I35,'3.11 MUKONO-KALAGI'!I35,'31.10 MUKONO-KALAGI-24h'!I35,'2.11 MUKONO-KALAGI-24h'!I35,'4.11 MUKONO-KALAGI'!I35)</f>
        <v>2.7142857142857144</v>
      </c>
      <c r="J35" s="49">
        <f>AVERAGE('29.10 MUKONO-KALAGI'!J35,'30.10 MUKONO-KALAGI'!J35,'1.11 MUKONO-KALAGI'!J35,'3.11 MUKONO-KALAGI'!J35,'31.10 MUKONO-KALAGI-24h'!J35,'2.11 MUKONO-KALAGI-24h'!J35,'4.11 MUKONO-KALAGI'!J35)</f>
        <v>0.2857142857142857</v>
      </c>
      <c r="K35" s="49">
        <f>AVERAGE('29.10 MUKONO-KALAGI'!K35,'30.10 MUKONO-KALAGI'!K35,'1.11 MUKONO-KALAGI'!K35,'3.11 MUKONO-KALAGI'!K35,'31.10 MUKONO-KALAGI-24h'!K35,'2.11 MUKONO-KALAGI-24h'!K35,'4.11 MUKONO-KALAGI'!K35)</f>
        <v>0.2857142857142857</v>
      </c>
      <c r="L35" s="49">
        <f>AVERAGE('29.10 MUKONO-KALAGI'!L35,'30.10 MUKONO-KALAGI'!L35,'1.11 MUKONO-KALAGI'!L35,'3.11 MUKONO-KALAGI'!L35,'31.10 MUKONO-KALAGI-24h'!L35,'2.11 MUKONO-KALAGI-24h'!L35,'4.11 MUKONO-KALAGI'!L35)</f>
        <v>0.2857142857142857</v>
      </c>
      <c r="M35" s="49">
        <f>AVERAGE('29.10 MUKONO-KALAGI'!M35,'30.10 MUKONO-KALAGI'!M35,'1.11 MUKONO-KALAGI'!M35,'3.11 MUKONO-KALAGI'!M35,'31.10 MUKONO-KALAGI-24h'!M35,'2.11 MUKONO-KALAGI-24h'!M35,'4.11 MUKONO-KALAGI'!M35)</f>
        <v>20.857142857142858</v>
      </c>
      <c r="N35" s="49">
        <f>AVERAGE('29.10 MUKONO-KALAGI'!N35,'30.10 MUKONO-KALAGI'!N35,'1.11 MUKONO-KALAGI'!N35,'3.11 MUKONO-KALAGI'!N35,'31.10 MUKONO-KALAGI-24h'!N35,'2.11 MUKONO-KALAGI-24h'!N35,'4.11 MUKONO-KALAGI'!N35)</f>
        <v>0</v>
      </c>
      <c r="O35" s="15">
        <f t="shared" si="0"/>
        <v>27.428571428571427</v>
      </c>
      <c r="P35" s="15">
        <f t="shared" si="1"/>
        <v>48.285714285714285</v>
      </c>
      <c r="R35" s="38" t="s">
        <v>91</v>
      </c>
      <c r="S35" s="39">
        <f t="shared" ref="S35:AF35" si="27">MAX(S13:S18)</f>
        <v>39.571428571428569</v>
      </c>
      <c r="T35" s="39">
        <f t="shared" si="27"/>
        <v>19.142857142857142</v>
      </c>
      <c r="U35" s="39">
        <f t="shared" si="27"/>
        <v>10.571428571428571</v>
      </c>
      <c r="V35" s="39">
        <f t="shared" si="27"/>
        <v>41.285714285714285</v>
      </c>
      <c r="W35" s="39">
        <f t="shared" si="27"/>
        <v>1.2857142857142856</v>
      </c>
      <c r="X35" s="39">
        <f t="shared" si="27"/>
        <v>0.14285714285714285</v>
      </c>
      <c r="Y35" s="39">
        <f t="shared" si="27"/>
        <v>14.285714285714285</v>
      </c>
      <c r="Z35" s="39">
        <f t="shared" si="27"/>
        <v>1.7142857142857142</v>
      </c>
      <c r="AA35" s="39">
        <f t="shared" si="27"/>
        <v>1.2857142857142856</v>
      </c>
      <c r="AB35" s="39">
        <f t="shared" si="27"/>
        <v>1.1428571428571428</v>
      </c>
      <c r="AC35" s="39">
        <f t="shared" si="27"/>
        <v>94.714285714285708</v>
      </c>
      <c r="AD35" s="39">
        <f t="shared" si="27"/>
        <v>0.42857142857142855</v>
      </c>
      <c r="AE35" s="40">
        <f t="shared" si="27"/>
        <v>117.57142857142857</v>
      </c>
      <c r="AF35" s="40">
        <f t="shared" si="27"/>
        <v>204.57142857142858</v>
      </c>
    </row>
    <row r="36" spans="2:32" ht="23.1" customHeight="1" x14ac:dyDescent="0.25">
      <c r="B36" s="24" t="s">
        <v>63</v>
      </c>
      <c r="C36" s="49">
        <f>AVERAGE('29.10 MUKONO-KALAGI'!C36,'30.10 MUKONO-KALAGI'!C36,'1.11 MUKONO-KALAGI'!C36,'3.11 MUKONO-KALAGI'!C36,'31.10 MUKONO-KALAGI-24h'!C36,'2.11 MUKONO-KALAGI-24h'!C36,'4.11 MUKONO-KALAGI'!C36)</f>
        <v>10.714285714285714</v>
      </c>
      <c r="D36" s="49">
        <f>AVERAGE('29.10 MUKONO-KALAGI'!D36,'30.10 MUKONO-KALAGI'!D36,'1.11 MUKONO-KALAGI'!D36,'3.11 MUKONO-KALAGI'!D36,'31.10 MUKONO-KALAGI-24h'!D36,'2.11 MUKONO-KALAGI-24h'!D36,'4.11 MUKONO-KALAGI'!D36)</f>
        <v>3.1428571428571428</v>
      </c>
      <c r="E36" s="49">
        <f>AVERAGE('29.10 MUKONO-KALAGI'!E36,'30.10 MUKONO-KALAGI'!E36,'1.11 MUKONO-KALAGI'!E36,'3.11 MUKONO-KALAGI'!E36,'31.10 MUKONO-KALAGI-24h'!E36,'2.11 MUKONO-KALAGI-24h'!E36,'4.11 MUKONO-KALAGI'!E36)</f>
        <v>2.5714285714285716</v>
      </c>
      <c r="F36" s="49">
        <f>AVERAGE('29.10 MUKONO-KALAGI'!F36,'30.10 MUKONO-KALAGI'!F36,'1.11 MUKONO-KALAGI'!F36,'3.11 MUKONO-KALAGI'!F36,'31.10 MUKONO-KALAGI-24h'!F36,'2.11 MUKONO-KALAGI-24h'!F36,'4.11 MUKONO-KALAGI'!F36)</f>
        <v>10.714285714285714</v>
      </c>
      <c r="G36" s="49">
        <f>AVERAGE('29.10 MUKONO-KALAGI'!G36,'30.10 MUKONO-KALAGI'!G36,'1.11 MUKONO-KALAGI'!G36,'3.11 MUKONO-KALAGI'!G36,'31.10 MUKONO-KALAGI-24h'!G36,'2.11 MUKONO-KALAGI-24h'!G36,'4.11 MUKONO-KALAGI'!G36)</f>
        <v>0.2857142857142857</v>
      </c>
      <c r="H36" s="49">
        <f>AVERAGE('29.10 MUKONO-KALAGI'!H36,'30.10 MUKONO-KALAGI'!H36,'1.11 MUKONO-KALAGI'!H36,'3.11 MUKONO-KALAGI'!H36,'31.10 MUKONO-KALAGI-24h'!H36,'2.11 MUKONO-KALAGI-24h'!H36,'4.11 MUKONO-KALAGI'!H36)</f>
        <v>0</v>
      </c>
      <c r="I36" s="49">
        <f>AVERAGE('29.10 MUKONO-KALAGI'!I36,'30.10 MUKONO-KALAGI'!I36,'1.11 MUKONO-KALAGI'!I36,'3.11 MUKONO-KALAGI'!I36,'31.10 MUKONO-KALAGI-24h'!I36,'2.11 MUKONO-KALAGI-24h'!I36,'4.11 MUKONO-KALAGI'!I36)</f>
        <v>3.2857142857142856</v>
      </c>
      <c r="J36" s="49">
        <f>AVERAGE('29.10 MUKONO-KALAGI'!J36,'30.10 MUKONO-KALAGI'!J36,'1.11 MUKONO-KALAGI'!J36,'3.11 MUKONO-KALAGI'!J36,'31.10 MUKONO-KALAGI-24h'!J36,'2.11 MUKONO-KALAGI-24h'!J36,'4.11 MUKONO-KALAGI'!J36)</f>
        <v>0.2857142857142857</v>
      </c>
      <c r="K36" s="49">
        <f>AVERAGE('29.10 MUKONO-KALAGI'!K36,'30.10 MUKONO-KALAGI'!K36,'1.11 MUKONO-KALAGI'!K36,'3.11 MUKONO-KALAGI'!K36,'31.10 MUKONO-KALAGI-24h'!K36,'2.11 MUKONO-KALAGI-24h'!K36,'4.11 MUKONO-KALAGI'!K36)</f>
        <v>0.14285714285714285</v>
      </c>
      <c r="L36" s="49">
        <f>AVERAGE('29.10 MUKONO-KALAGI'!L36,'30.10 MUKONO-KALAGI'!L36,'1.11 MUKONO-KALAGI'!L36,'3.11 MUKONO-KALAGI'!L36,'31.10 MUKONO-KALAGI-24h'!L36,'2.11 MUKONO-KALAGI-24h'!L36,'4.11 MUKONO-KALAGI'!L36)</f>
        <v>0.5714285714285714</v>
      </c>
      <c r="M36" s="49">
        <f>AVERAGE('29.10 MUKONO-KALAGI'!M36,'30.10 MUKONO-KALAGI'!M36,'1.11 MUKONO-KALAGI'!M36,'3.11 MUKONO-KALAGI'!M36,'31.10 MUKONO-KALAGI-24h'!M36,'2.11 MUKONO-KALAGI-24h'!M36,'4.11 MUKONO-KALAGI'!M36)</f>
        <v>22.857142857142858</v>
      </c>
      <c r="N36" s="49">
        <f>AVERAGE('29.10 MUKONO-KALAGI'!N36,'30.10 MUKONO-KALAGI'!N36,'1.11 MUKONO-KALAGI'!N36,'3.11 MUKONO-KALAGI'!N36,'31.10 MUKONO-KALAGI-24h'!N36,'2.11 MUKONO-KALAGI-24h'!N36,'4.11 MUKONO-KALAGI'!N36)</f>
        <v>0.14285714285714285</v>
      </c>
      <c r="O36" s="15">
        <f t="shared" si="0"/>
        <v>31.857142857142851</v>
      </c>
      <c r="P36" s="15">
        <f t="shared" si="1"/>
        <v>54.714285714285715</v>
      </c>
      <c r="R36" s="38" t="s">
        <v>92</v>
      </c>
      <c r="S36" s="39">
        <f t="shared" ref="S36:AF36" si="28">MAX(S19:S21)</f>
        <v>44.714285714285715</v>
      </c>
      <c r="T36" s="39">
        <f t="shared" si="28"/>
        <v>15.857142857142856</v>
      </c>
      <c r="U36" s="39">
        <f t="shared" si="28"/>
        <v>9.7142857142857153</v>
      </c>
      <c r="V36" s="39">
        <f t="shared" si="28"/>
        <v>44.714285714285715</v>
      </c>
      <c r="W36" s="39">
        <f t="shared" si="28"/>
        <v>2</v>
      </c>
      <c r="X36" s="39">
        <f t="shared" si="28"/>
        <v>0.42857142857142855</v>
      </c>
      <c r="Y36" s="39">
        <f t="shared" si="28"/>
        <v>13.857142857142858</v>
      </c>
      <c r="Z36" s="39">
        <f t="shared" si="28"/>
        <v>0.5714285714285714</v>
      </c>
      <c r="AA36" s="39">
        <f t="shared" si="28"/>
        <v>0.71428571428571419</v>
      </c>
      <c r="AB36" s="39">
        <f t="shared" si="28"/>
        <v>0.71428571428571419</v>
      </c>
      <c r="AC36" s="39">
        <f t="shared" si="28"/>
        <v>100.71428571428572</v>
      </c>
      <c r="AD36" s="39">
        <f t="shared" si="28"/>
        <v>0.2857142857142857</v>
      </c>
      <c r="AE36" s="40">
        <f t="shared" si="28"/>
        <v>130.57142857142858</v>
      </c>
      <c r="AF36" s="40">
        <f t="shared" si="28"/>
        <v>229.85714285714286</v>
      </c>
    </row>
    <row r="37" spans="2:32" ht="23.1" customHeight="1" x14ac:dyDescent="0.25">
      <c r="B37" s="23" t="s">
        <v>64</v>
      </c>
      <c r="C37" s="49">
        <f>AVERAGE('29.10 MUKONO-KALAGI'!C37,'30.10 MUKONO-KALAGI'!C37,'1.11 MUKONO-KALAGI'!C37,'3.11 MUKONO-KALAGI'!C37,'31.10 MUKONO-KALAGI-24h'!C37,'2.11 MUKONO-KALAGI-24h'!C37,'4.11 MUKONO-KALAGI'!C37)</f>
        <v>9.1428571428571423</v>
      </c>
      <c r="D37" s="49">
        <f>AVERAGE('29.10 MUKONO-KALAGI'!D37,'30.10 MUKONO-KALAGI'!D37,'1.11 MUKONO-KALAGI'!D37,'3.11 MUKONO-KALAGI'!D37,'31.10 MUKONO-KALAGI-24h'!D37,'2.11 MUKONO-KALAGI-24h'!D37,'4.11 MUKONO-KALAGI'!D37)</f>
        <v>2.4285714285714284</v>
      </c>
      <c r="E37" s="49">
        <f>AVERAGE('29.10 MUKONO-KALAGI'!E37,'30.10 MUKONO-KALAGI'!E37,'1.11 MUKONO-KALAGI'!E37,'3.11 MUKONO-KALAGI'!E37,'31.10 MUKONO-KALAGI-24h'!E37,'2.11 MUKONO-KALAGI-24h'!E37,'4.11 MUKONO-KALAGI'!E37)</f>
        <v>2</v>
      </c>
      <c r="F37" s="49">
        <f>AVERAGE('29.10 MUKONO-KALAGI'!F37,'30.10 MUKONO-KALAGI'!F37,'1.11 MUKONO-KALAGI'!F37,'3.11 MUKONO-KALAGI'!F37,'31.10 MUKONO-KALAGI-24h'!F37,'2.11 MUKONO-KALAGI-24h'!F37,'4.11 MUKONO-KALAGI'!F37)</f>
        <v>10.285714285714286</v>
      </c>
      <c r="G37" s="49">
        <f>AVERAGE('29.10 MUKONO-KALAGI'!G37,'30.10 MUKONO-KALAGI'!G37,'1.11 MUKONO-KALAGI'!G37,'3.11 MUKONO-KALAGI'!G37,'31.10 MUKONO-KALAGI-24h'!G37,'2.11 MUKONO-KALAGI-24h'!G37,'4.11 MUKONO-KALAGI'!G37)</f>
        <v>0.14285714285714285</v>
      </c>
      <c r="H37" s="49">
        <f>AVERAGE('29.10 MUKONO-KALAGI'!H37,'30.10 MUKONO-KALAGI'!H37,'1.11 MUKONO-KALAGI'!H37,'3.11 MUKONO-KALAGI'!H37,'31.10 MUKONO-KALAGI-24h'!H37,'2.11 MUKONO-KALAGI-24h'!H37,'4.11 MUKONO-KALAGI'!H37)</f>
        <v>0</v>
      </c>
      <c r="I37" s="49">
        <f>AVERAGE('29.10 MUKONO-KALAGI'!I37,'30.10 MUKONO-KALAGI'!I37,'1.11 MUKONO-KALAGI'!I37,'3.11 MUKONO-KALAGI'!I37,'31.10 MUKONO-KALAGI-24h'!I37,'2.11 MUKONO-KALAGI-24h'!I37,'4.11 MUKONO-KALAGI'!I37)</f>
        <v>3.1428571428571428</v>
      </c>
      <c r="J37" s="49">
        <f>AVERAGE('29.10 MUKONO-KALAGI'!J37,'30.10 MUKONO-KALAGI'!J37,'1.11 MUKONO-KALAGI'!J37,'3.11 MUKONO-KALAGI'!J37,'31.10 MUKONO-KALAGI-24h'!J37,'2.11 MUKONO-KALAGI-24h'!J37,'4.11 MUKONO-KALAGI'!J37)</f>
        <v>0.2857142857142857</v>
      </c>
      <c r="K37" s="49">
        <f>AVERAGE('29.10 MUKONO-KALAGI'!K37,'30.10 MUKONO-KALAGI'!K37,'1.11 MUKONO-KALAGI'!K37,'3.11 MUKONO-KALAGI'!K37,'31.10 MUKONO-KALAGI-24h'!K37,'2.11 MUKONO-KALAGI-24h'!K37,'4.11 MUKONO-KALAGI'!K37)</f>
        <v>0.14285714285714285</v>
      </c>
      <c r="L37" s="49">
        <f>AVERAGE('29.10 MUKONO-KALAGI'!L37,'30.10 MUKONO-KALAGI'!L37,'1.11 MUKONO-KALAGI'!L37,'3.11 MUKONO-KALAGI'!L37,'31.10 MUKONO-KALAGI-24h'!L37,'2.11 MUKONO-KALAGI-24h'!L37,'4.11 MUKONO-KALAGI'!L37)</f>
        <v>0.14285714285714285</v>
      </c>
      <c r="M37" s="49">
        <f>AVERAGE('29.10 MUKONO-KALAGI'!M37,'30.10 MUKONO-KALAGI'!M37,'1.11 MUKONO-KALAGI'!M37,'3.11 MUKONO-KALAGI'!M37,'31.10 MUKONO-KALAGI-24h'!M37,'2.11 MUKONO-KALAGI-24h'!M37,'4.11 MUKONO-KALAGI'!M37)</f>
        <v>21.714285714285715</v>
      </c>
      <c r="N37" s="49">
        <f>AVERAGE('29.10 MUKONO-KALAGI'!N37,'30.10 MUKONO-KALAGI'!N37,'1.11 MUKONO-KALAGI'!N37,'3.11 MUKONO-KALAGI'!N37,'31.10 MUKONO-KALAGI-24h'!N37,'2.11 MUKONO-KALAGI-24h'!N37,'4.11 MUKONO-KALAGI'!N37)</f>
        <v>0.14285714285714285</v>
      </c>
      <c r="O37" s="15">
        <f t="shared" si="0"/>
        <v>27.857142857142854</v>
      </c>
      <c r="P37" s="15">
        <f t="shared" si="1"/>
        <v>49.571428571428577</v>
      </c>
      <c r="R37" s="37" t="s">
        <v>85</v>
      </c>
      <c r="S37" s="35">
        <f t="shared" ref="S37:AF37" si="29">SUM(S10:S12)</f>
        <v>85.428571428571431</v>
      </c>
      <c r="T37" s="16">
        <f t="shared" si="29"/>
        <v>22.285714285714285</v>
      </c>
      <c r="U37" s="16">
        <f t="shared" si="29"/>
        <v>18.285714285714285</v>
      </c>
      <c r="V37" s="16">
        <f t="shared" si="29"/>
        <v>110.85714285714286</v>
      </c>
      <c r="W37" s="16">
        <f t="shared" si="29"/>
        <v>1.4285714285714284</v>
      </c>
      <c r="X37" s="16">
        <f t="shared" si="29"/>
        <v>0.42857142857142855</v>
      </c>
      <c r="Y37" s="16">
        <f t="shared" si="29"/>
        <v>32.714285714285715</v>
      </c>
      <c r="Z37" s="16">
        <f t="shared" si="29"/>
        <v>2.1428571428571428</v>
      </c>
      <c r="AA37" s="16">
        <f t="shared" si="29"/>
        <v>2.2857142857142856</v>
      </c>
      <c r="AB37" s="16">
        <f t="shared" si="29"/>
        <v>2.1428571428571428</v>
      </c>
      <c r="AC37" s="16">
        <f t="shared" si="29"/>
        <v>198.71428571428572</v>
      </c>
      <c r="AD37" s="16">
        <f t="shared" si="29"/>
        <v>0</v>
      </c>
      <c r="AE37" s="32">
        <f t="shared" si="29"/>
        <v>278</v>
      </c>
      <c r="AF37" s="32">
        <f t="shared" si="29"/>
        <v>476.71428571428567</v>
      </c>
    </row>
    <row r="38" spans="2:32" ht="23.1" customHeight="1" x14ac:dyDescent="0.25">
      <c r="B38" s="24" t="s">
        <v>65</v>
      </c>
      <c r="C38" s="49">
        <f>AVERAGE('29.10 MUKONO-KALAGI'!C38,'30.10 MUKONO-KALAGI'!C38,'1.11 MUKONO-KALAGI'!C38,'3.11 MUKONO-KALAGI'!C38,'31.10 MUKONO-KALAGI-24h'!C38,'2.11 MUKONO-KALAGI-24h'!C38,'4.11 MUKONO-KALAGI'!C38)</f>
        <v>9</v>
      </c>
      <c r="D38" s="49">
        <f>AVERAGE('29.10 MUKONO-KALAGI'!D38,'30.10 MUKONO-KALAGI'!D38,'1.11 MUKONO-KALAGI'!D38,'3.11 MUKONO-KALAGI'!D38,'31.10 MUKONO-KALAGI-24h'!D38,'2.11 MUKONO-KALAGI-24h'!D38,'4.11 MUKONO-KALAGI'!D38)</f>
        <v>2.8571428571428572</v>
      </c>
      <c r="E38" s="49">
        <f>AVERAGE('29.10 MUKONO-KALAGI'!E38,'30.10 MUKONO-KALAGI'!E38,'1.11 MUKONO-KALAGI'!E38,'3.11 MUKONO-KALAGI'!E38,'31.10 MUKONO-KALAGI-24h'!E38,'2.11 MUKONO-KALAGI-24h'!E38,'4.11 MUKONO-KALAGI'!E38)</f>
        <v>1.2857142857142858</v>
      </c>
      <c r="F38" s="49">
        <f>AVERAGE('29.10 MUKONO-KALAGI'!F38,'30.10 MUKONO-KALAGI'!F38,'1.11 MUKONO-KALAGI'!F38,'3.11 MUKONO-KALAGI'!F38,'31.10 MUKONO-KALAGI-24h'!F38,'2.11 MUKONO-KALAGI-24h'!F38,'4.11 MUKONO-KALAGI'!F38)</f>
        <v>10.571428571428571</v>
      </c>
      <c r="G38" s="49">
        <f>AVERAGE('29.10 MUKONO-KALAGI'!G38,'30.10 MUKONO-KALAGI'!G38,'1.11 MUKONO-KALAGI'!G38,'3.11 MUKONO-KALAGI'!G38,'31.10 MUKONO-KALAGI-24h'!G38,'2.11 MUKONO-KALAGI-24h'!G38,'4.11 MUKONO-KALAGI'!G38)</f>
        <v>0.2857142857142857</v>
      </c>
      <c r="H38" s="49">
        <f>AVERAGE('29.10 MUKONO-KALAGI'!H38,'30.10 MUKONO-KALAGI'!H38,'1.11 MUKONO-KALAGI'!H38,'3.11 MUKONO-KALAGI'!H38,'31.10 MUKONO-KALAGI-24h'!H38,'2.11 MUKONO-KALAGI-24h'!H38,'4.11 MUKONO-KALAGI'!H38)</f>
        <v>0</v>
      </c>
      <c r="I38" s="49">
        <f>AVERAGE('29.10 MUKONO-KALAGI'!I38,'30.10 MUKONO-KALAGI'!I38,'1.11 MUKONO-KALAGI'!I38,'3.11 MUKONO-KALAGI'!I38,'31.10 MUKONO-KALAGI-24h'!I38,'2.11 MUKONO-KALAGI-24h'!I38,'4.11 MUKONO-KALAGI'!I38)</f>
        <v>2.7142857142857144</v>
      </c>
      <c r="J38" s="49">
        <f>AVERAGE('29.10 MUKONO-KALAGI'!J38,'30.10 MUKONO-KALAGI'!J38,'1.11 MUKONO-KALAGI'!J38,'3.11 MUKONO-KALAGI'!J38,'31.10 MUKONO-KALAGI-24h'!J38,'2.11 MUKONO-KALAGI-24h'!J38,'4.11 MUKONO-KALAGI'!J38)</f>
        <v>0</v>
      </c>
      <c r="K38" s="49">
        <f>AVERAGE('29.10 MUKONO-KALAGI'!K38,'30.10 MUKONO-KALAGI'!K38,'1.11 MUKONO-KALAGI'!K38,'3.11 MUKONO-KALAGI'!K38,'31.10 MUKONO-KALAGI-24h'!K38,'2.11 MUKONO-KALAGI-24h'!K38,'4.11 MUKONO-KALAGI'!K38)</f>
        <v>0.14285714285714285</v>
      </c>
      <c r="L38" s="49">
        <f>AVERAGE('29.10 MUKONO-KALAGI'!L38,'30.10 MUKONO-KALAGI'!L38,'1.11 MUKONO-KALAGI'!L38,'3.11 MUKONO-KALAGI'!L38,'31.10 MUKONO-KALAGI-24h'!L38,'2.11 MUKONO-KALAGI-24h'!L38,'4.11 MUKONO-KALAGI'!L38)</f>
        <v>0.42857142857142855</v>
      </c>
      <c r="M38" s="49">
        <f>AVERAGE('29.10 MUKONO-KALAGI'!M38,'30.10 MUKONO-KALAGI'!M38,'1.11 MUKONO-KALAGI'!M38,'3.11 MUKONO-KALAGI'!M38,'31.10 MUKONO-KALAGI-24h'!M38,'2.11 MUKONO-KALAGI-24h'!M38,'4.11 MUKONO-KALAGI'!M38)</f>
        <v>19.714285714285715</v>
      </c>
      <c r="N38" s="49">
        <f>AVERAGE('29.10 MUKONO-KALAGI'!N38,'30.10 MUKONO-KALAGI'!N38,'1.11 MUKONO-KALAGI'!N38,'3.11 MUKONO-KALAGI'!N38,'31.10 MUKONO-KALAGI-24h'!N38,'2.11 MUKONO-KALAGI-24h'!N38,'4.11 MUKONO-KALAGI'!N38)</f>
        <v>0</v>
      </c>
      <c r="O38" s="15">
        <f t="shared" si="0"/>
        <v>27.285714285714285</v>
      </c>
      <c r="P38" s="15">
        <f t="shared" si="1"/>
        <v>47</v>
      </c>
      <c r="R38" s="28" t="s">
        <v>86</v>
      </c>
      <c r="S38" s="16">
        <f t="shared" ref="S38:AF38" si="30">SUM(S13:S18)</f>
        <v>215.99999999999997</v>
      </c>
      <c r="T38" s="16">
        <f t="shared" si="30"/>
        <v>76.285714285714292</v>
      </c>
      <c r="U38" s="16">
        <f t="shared" si="30"/>
        <v>50.285714285714278</v>
      </c>
      <c r="V38" s="16">
        <f t="shared" si="30"/>
        <v>235.42857142857144</v>
      </c>
      <c r="W38" s="16">
        <f t="shared" si="30"/>
        <v>3.2857142857142851</v>
      </c>
      <c r="X38" s="16">
        <f t="shared" si="30"/>
        <v>0.42857142857142855</v>
      </c>
      <c r="Y38" s="16">
        <f t="shared" si="30"/>
        <v>80.857142857142861</v>
      </c>
      <c r="Z38" s="16">
        <f t="shared" si="30"/>
        <v>6.5714285714285721</v>
      </c>
      <c r="AA38" s="16">
        <f t="shared" si="30"/>
        <v>4.2857142857142856</v>
      </c>
      <c r="AB38" s="16">
        <f t="shared" si="30"/>
        <v>6</v>
      </c>
      <c r="AC38" s="16">
        <f t="shared" si="30"/>
        <v>508.85714285714283</v>
      </c>
      <c r="AD38" s="16">
        <f t="shared" si="30"/>
        <v>0.8571428571428571</v>
      </c>
      <c r="AE38" s="32">
        <f t="shared" si="30"/>
        <v>680.28571428571422</v>
      </c>
      <c r="AF38" s="32">
        <f t="shared" si="30"/>
        <v>1189.1428571428571</v>
      </c>
    </row>
    <row r="39" spans="2:32" ht="23.1" customHeight="1" x14ac:dyDescent="0.25">
      <c r="B39" s="24" t="s">
        <v>66</v>
      </c>
      <c r="C39" s="49">
        <f>AVERAGE('29.10 MUKONO-KALAGI'!C39,'30.10 MUKONO-KALAGI'!C39,'1.11 MUKONO-KALAGI'!C39,'3.11 MUKONO-KALAGI'!C39,'31.10 MUKONO-KALAGI-24h'!C39,'2.11 MUKONO-KALAGI-24h'!C39,'4.11 MUKONO-KALAGI'!C39)</f>
        <v>10.857142857142858</v>
      </c>
      <c r="D39" s="49">
        <f>AVERAGE('29.10 MUKONO-KALAGI'!D39,'30.10 MUKONO-KALAGI'!D39,'1.11 MUKONO-KALAGI'!D39,'3.11 MUKONO-KALAGI'!D39,'31.10 MUKONO-KALAGI-24h'!D39,'2.11 MUKONO-KALAGI-24h'!D39,'4.11 MUKONO-KALAGI'!D39)</f>
        <v>3.5714285714285716</v>
      </c>
      <c r="E39" s="49">
        <f>AVERAGE('29.10 MUKONO-KALAGI'!E39,'30.10 MUKONO-KALAGI'!E39,'1.11 MUKONO-KALAGI'!E39,'3.11 MUKONO-KALAGI'!E39,'31.10 MUKONO-KALAGI-24h'!E39,'2.11 MUKONO-KALAGI-24h'!E39,'4.11 MUKONO-KALAGI'!E39)</f>
        <v>1.4285714285714286</v>
      </c>
      <c r="F39" s="49">
        <f>AVERAGE('29.10 MUKONO-KALAGI'!F39,'30.10 MUKONO-KALAGI'!F39,'1.11 MUKONO-KALAGI'!F39,'3.11 MUKONO-KALAGI'!F39,'31.10 MUKONO-KALAGI-24h'!F39,'2.11 MUKONO-KALAGI-24h'!F39,'4.11 MUKONO-KALAGI'!F39)</f>
        <v>10.714285714285714</v>
      </c>
      <c r="G39" s="49">
        <f>AVERAGE('29.10 MUKONO-KALAGI'!G39,'30.10 MUKONO-KALAGI'!G39,'1.11 MUKONO-KALAGI'!G39,'3.11 MUKONO-KALAGI'!G39,'31.10 MUKONO-KALAGI-24h'!G39,'2.11 MUKONO-KALAGI-24h'!G39,'4.11 MUKONO-KALAGI'!G39)</f>
        <v>0.14285714285714285</v>
      </c>
      <c r="H39" s="49">
        <f>AVERAGE('29.10 MUKONO-KALAGI'!H39,'30.10 MUKONO-KALAGI'!H39,'1.11 MUKONO-KALAGI'!H39,'3.11 MUKONO-KALAGI'!H39,'31.10 MUKONO-KALAGI-24h'!H39,'2.11 MUKONO-KALAGI-24h'!H39,'4.11 MUKONO-KALAGI'!H39)</f>
        <v>0</v>
      </c>
      <c r="I39" s="49">
        <f>AVERAGE('29.10 MUKONO-KALAGI'!I39,'30.10 MUKONO-KALAGI'!I39,'1.11 MUKONO-KALAGI'!I39,'3.11 MUKONO-KALAGI'!I39,'31.10 MUKONO-KALAGI-24h'!I39,'2.11 MUKONO-KALAGI-24h'!I39,'4.11 MUKONO-KALAGI'!I39)</f>
        <v>3.5714285714285716</v>
      </c>
      <c r="J39" s="49">
        <f>AVERAGE('29.10 MUKONO-KALAGI'!J39,'30.10 MUKONO-KALAGI'!J39,'1.11 MUKONO-KALAGI'!J39,'3.11 MUKONO-KALAGI'!J39,'31.10 MUKONO-KALAGI-24h'!J39,'2.11 MUKONO-KALAGI-24h'!J39,'4.11 MUKONO-KALAGI'!J39)</f>
        <v>0.14285714285714285</v>
      </c>
      <c r="K39" s="49">
        <f>AVERAGE('29.10 MUKONO-KALAGI'!K39,'30.10 MUKONO-KALAGI'!K39,'1.11 MUKONO-KALAGI'!K39,'3.11 MUKONO-KALAGI'!K39,'31.10 MUKONO-KALAGI-24h'!K39,'2.11 MUKONO-KALAGI-24h'!K39,'4.11 MUKONO-KALAGI'!K39)</f>
        <v>0.14285714285714285</v>
      </c>
      <c r="L39" s="49">
        <f>AVERAGE('29.10 MUKONO-KALAGI'!L39,'30.10 MUKONO-KALAGI'!L39,'1.11 MUKONO-KALAGI'!L39,'3.11 MUKONO-KALAGI'!L39,'31.10 MUKONO-KALAGI-24h'!L39,'2.11 MUKONO-KALAGI-24h'!L39,'4.11 MUKONO-KALAGI'!L39)</f>
        <v>0.14285714285714285</v>
      </c>
      <c r="M39" s="49">
        <f>AVERAGE('29.10 MUKONO-KALAGI'!M39,'30.10 MUKONO-KALAGI'!M39,'1.11 MUKONO-KALAGI'!M39,'3.11 MUKONO-KALAGI'!M39,'31.10 MUKONO-KALAGI-24h'!M39,'2.11 MUKONO-KALAGI-24h'!M39,'4.11 MUKONO-KALAGI'!M39)</f>
        <v>18.571428571428573</v>
      </c>
      <c r="N39" s="49">
        <f>AVERAGE('29.10 MUKONO-KALAGI'!N39,'30.10 MUKONO-KALAGI'!N39,'1.11 MUKONO-KALAGI'!N39,'3.11 MUKONO-KALAGI'!N39,'31.10 MUKONO-KALAGI-24h'!N39,'2.11 MUKONO-KALAGI-24h'!N39,'4.11 MUKONO-KALAGI'!N39)</f>
        <v>0</v>
      </c>
      <c r="O39" s="15">
        <f t="shared" si="0"/>
        <v>30.714285714285712</v>
      </c>
      <c r="P39" s="15">
        <f t="shared" si="1"/>
        <v>49.285714285714285</v>
      </c>
      <c r="R39" s="29" t="s">
        <v>87</v>
      </c>
      <c r="S39" s="16">
        <f t="shared" ref="S39:AF39" si="31">SUM(S19:S21)</f>
        <v>129.42857142857142</v>
      </c>
      <c r="T39" s="16">
        <f t="shared" si="31"/>
        <v>42.857142857142854</v>
      </c>
      <c r="U39" s="16">
        <f t="shared" si="31"/>
        <v>28.428571428571431</v>
      </c>
      <c r="V39" s="16">
        <f t="shared" si="31"/>
        <v>128.71428571428572</v>
      </c>
      <c r="W39" s="16">
        <f t="shared" si="31"/>
        <v>4.1428571428571423</v>
      </c>
      <c r="X39" s="16">
        <f t="shared" si="31"/>
        <v>0.71428571428571419</v>
      </c>
      <c r="Y39" s="16">
        <f t="shared" si="31"/>
        <v>35.428571428571423</v>
      </c>
      <c r="Z39" s="16">
        <f t="shared" si="31"/>
        <v>1.5714285714285714</v>
      </c>
      <c r="AA39" s="16">
        <f t="shared" si="31"/>
        <v>1.9999999999999998</v>
      </c>
      <c r="AB39" s="16">
        <f t="shared" si="31"/>
        <v>1.857142857142857</v>
      </c>
      <c r="AC39" s="16">
        <f t="shared" si="31"/>
        <v>294.28571428571433</v>
      </c>
      <c r="AD39" s="16">
        <f t="shared" si="31"/>
        <v>0.5714285714285714</v>
      </c>
      <c r="AE39" s="32">
        <f t="shared" si="31"/>
        <v>375.71428571428567</v>
      </c>
      <c r="AF39" s="32">
        <f t="shared" si="31"/>
        <v>670</v>
      </c>
    </row>
    <row r="40" spans="2:32" ht="23.1" customHeight="1" x14ac:dyDescent="0.25">
      <c r="B40" s="24" t="s">
        <v>67</v>
      </c>
      <c r="C40" s="49">
        <f>AVERAGE('29.10 MUKONO-KALAGI'!C40,'30.10 MUKONO-KALAGI'!C40,'1.11 MUKONO-KALAGI'!C40,'3.11 MUKONO-KALAGI'!C40,'31.10 MUKONO-KALAGI-24h'!C40,'2.11 MUKONO-KALAGI-24h'!C40,'4.11 MUKONO-KALAGI'!C40)</f>
        <v>8.8571428571428577</v>
      </c>
      <c r="D40" s="49">
        <f>AVERAGE('29.10 MUKONO-KALAGI'!D40,'30.10 MUKONO-KALAGI'!D40,'1.11 MUKONO-KALAGI'!D40,'3.11 MUKONO-KALAGI'!D40,'31.10 MUKONO-KALAGI-24h'!D40,'2.11 MUKONO-KALAGI-24h'!D40,'4.11 MUKONO-KALAGI'!D40)</f>
        <v>3.1428571428571428</v>
      </c>
      <c r="E40" s="49">
        <f>AVERAGE('29.10 MUKONO-KALAGI'!E40,'30.10 MUKONO-KALAGI'!E40,'1.11 MUKONO-KALAGI'!E40,'3.11 MUKONO-KALAGI'!E40,'31.10 MUKONO-KALAGI-24h'!E40,'2.11 MUKONO-KALAGI-24h'!E40,'4.11 MUKONO-KALAGI'!E40)</f>
        <v>1.4285714285714286</v>
      </c>
      <c r="F40" s="49">
        <f>AVERAGE('29.10 MUKONO-KALAGI'!F40,'30.10 MUKONO-KALAGI'!F40,'1.11 MUKONO-KALAGI'!F40,'3.11 MUKONO-KALAGI'!F40,'31.10 MUKONO-KALAGI-24h'!F40,'2.11 MUKONO-KALAGI-24h'!F40,'4.11 MUKONO-KALAGI'!F40)</f>
        <v>10.285714285714286</v>
      </c>
      <c r="G40" s="49">
        <f>AVERAGE('29.10 MUKONO-KALAGI'!G40,'30.10 MUKONO-KALAGI'!G40,'1.11 MUKONO-KALAGI'!G40,'3.11 MUKONO-KALAGI'!G40,'31.10 MUKONO-KALAGI-24h'!G40,'2.11 MUKONO-KALAGI-24h'!G40,'4.11 MUKONO-KALAGI'!G40)</f>
        <v>0.7142857142857143</v>
      </c>
      <c r="H40" s="49">
        <f>AVERAGE('29.10 MUKONO-KALAGI'!H40,'30.10 MUKONO-KALAGI'!H40,'1.11 MUKONO-KALAGI'!H40,'3.11 MUKONO-KALAGI'!H40,'31.10 MUKONO-KALAGI-24h'!H40,'2.11 MUKONO-KALAGI-24h'!H40,'4.11 MUKONO-KALAGI'!H40)</f>
        <v>0</v>
      </c>
      <c r="I40" s="49">
        <f>AVERAGE('29.10 MUKONO-KALAGI'!I40,'30.10 MUKONO-KALAGI'!I40,'1.11 MUKONO-KALAGI'!I40,'3.11 MUKONO-KALAGI'!I40,'31.10 MUKONO-KALAGI-24h'!I40,'2.11 MUKONO-KALAGI-24h'!I40,'4.11 MUKONO-KALAGI'!I40)</f>
        <v>3.1428571428571428</v>
      </c>
      <c r="J40" s="49">
        <f>AVERAGE('29.10 MUKONO-KALAGI'!J40,'30.10 MUKONO-KALAGI'!J40,'1.11 MUKONO-KALAGI'!J40,'3.11 MUKONO-KALAGI'!J40,'31.10 MUKONO-KALAGI-24h'!J40,'2.11 MUKONO-KALAGI-24h'!J40,'4.11 MUKONO-KALAGI'!J40)</f>
        <v>0</v>
      </c>
      <c r="K40" s="49">
        <f>AVERAGE('29.10 MUKONO-KALAGI'!K40,'30.10 MUKONO-KALAGI'!K40,'1.11 MUKONO-KALAGI'!K40,'3.11 MUKONO-KALAGI'!K40,'31.10 MUKONO-KALAGI-24h'!K40,'2.11 MUKONO-KALAGI-24h'!K40,'4.11 MUKONO-KALAGI'!K40)</f>
        <v>0.2857142857142857</v>
      </c>
      <c r="L40" s="49">
        <f>AVERAGE('29.10 MUKONO-KALAGI'!L40,'30.10 MUKONO-KALAGI'!L40,'1.11 MUKONO-KALAGI'!L40,'3.11 MUKONO-KALAGI'!L40,'31.10 MUKONO-KALAGI-24h'!L40,'2.11 MUKONO-KALAGI-24h'!L40,'4.11 MUKONO-KALAGI'!L40)</f>
        <v>0.14285714285714285</v>
      </c>
      <c r="M40" s="49">
        <f>AVERAGE('29.10 MUKONO-KALAGI'!M40,'30.10 MUKONO-KALAGI'!M40,'1.11 MUKONO-KALAGI'!M40,'3.11 MUKONO-KALAGI'!M40,'31.10 MUKONO-KALAGI-24h'!M40,'2.11 MUKONO-KALAGI-24h'!M40,'4.11 MUKONO-KALAGI'!M40)</f>
        <v>21.857142857142858</v>
      </c>
      <c r="N40" s="49">
        <f>AVERAGE('29.10 MUKONO-KALAGI'!N40,'30.10 MUKONO-KALAGI'!N40,'1.11 MUKONO-KALAGI'!N40,'3.11 MUKONO-KALAGI'!N40,'31.10 MUKONO-KALAGI-24h'!N40,'2.11 MUKONO-KALAGI-24h'!N40,'4.11 MUKONO-KALAGI'!N40)</f>
        <v>0</v>
      </c>
      <c r="O40" s="15">
        <f t="shared" si="0"/>
        <v>28</v>
      </c>
      <c r="P40" s="15">
        <f t="shared" si="1"/>
        <v>49.857142857142861</v>
      </c>
      <c r="R40" s="5" t="s">
        <v>17</v>
      </c>
      <c r="S40" s="16">
        <f t="shared" ref="S40:AF40" si="32">SUM(S10:S21)</f>
        <v>430.85714285714289</v>
      </c>
      <c r="T40" s="16">
        <f t="shared" si="32"/>
        <v>141.42857142857142</v>
      </c>
      <c r="U40" s="16">
        <f t="shared" si="32"/>
        <v>97</v>
      </c>
      <c r="V40" s="16">
        <f t="shared" si="32"/>
        <v>475.00000000000006</v>
      </c>
      <c r="W40" s="16">
        <f t="shared" si="32"/>
        <v>8.8571428571428559</v>
      </c>
      <c r="X40" s="16">
        <f t="shared" si="32"/>
        <v>1.5714285714285714</v>
      </c>
      <c r="Y40" s="16">
        <f t="shared" si="32"/>
        <v>149.00000000000003</v>
      </c>
      <c r="Z40" s="16">
        <f t="shared" si="32"/>
        <v>10.285714285714285</v>
      </c>
      <c r="AA40" s="16">
        <f t="shared" si="32"/>
        <v>8.5714285714285712</v>
      </c>
      <c r="AB40" s="16">
        <f t="shared" si="32"/>
        <v>9.9999999999999982</v>
      </c>
      <c r="AC40" s="16">
        <f t="shared" si="32"/>
        <v>1001.8571428571429</v>
      </c>
      <c r="AD40" s="16">
        <f t="shared" si="32"/>
        <v>1.4285714285714284</v>
      </c>
      <c r="AE40" s="32">
        <f t="shared" si="32"/>
        <v>1334</v>
      </c>
      <c r="AF40" s="32">
        <f t="shared" si="32"/>
        <v>2335.8571428571422</v>
      </c>
    </row>
    <row r="41" spans="2:32" ht="23.1" customHeight="1" x14ac:dyDescent="0.25">
      <c r="B41" s="23" t="s">
        <v>68</v>
      </c>
      <c r="C41" s="49">
        <f>AVERAGE('29.10 MUKONO-KALAGI'!C41,'30.10 MUKONO-KALAGI'!C41,'1.11 MUKONO-KALAGI'!C41,'3.11 MUKONO-KALAGI'!C41,'31.10 MUKONO-KALAGI-24h'!C41,'2.11 MUKONO-KALAGI-24h'!C41,'4.11 MUKONO-KALAGI'!C41)</f>
        <v>10.857142857142858</v>
      </c>
      <c r="D41" s="49">
        <f>AVERAGE('29.10 MUKONO-KALAGI'!D41,'30.10 MUKONO-KALAGI'!D41,'1.11 MUKONO-KALAGI'!D41,'3.11 MUKONO-KALAGI'!D41,'31.10 MUKONO-KALAGI-24h'!D41,'2.11 MUKONO-KALAGI-24h'!D41,'4.11 MUKONO-KALAGI'!D41)</f>
        <v>3.4285714285714284</v>
      </c>
      <c r="E41" s="49">
        <f>AVERAGE('29.10 MUKONO-KALAGI'!E41,'30.10 MUKONO-KALAGI'!E41,'1.11 MUKONO-KALAGI'!E41,'3.11 MUKONO-KALAGI'!E41,'31.10 MUKONO-KALAGI-24h'!E41,'2.11 MUKONO-KALAGI-24h'!E41,'4.11 MUKONO-KALAGI'!E41)</f>
        <v>2.4285714285714284</v>
      </c>
      <c r="F41" s="49">
        <f>AVERAGE('29.10 MUKONO-KALAGI'!F41,'30.10 MUKONO-KALAGI'!F41,'1.11 MUKONO-KALAGI'!F41,'3.11 MUKONO-KALAGI'!F41,'31.10 MUKONO-KALAGI-24h'!F41,'2.11 MUKONO-KALAGI-24h'!F41,'4.11 MUKONO-KALAGI'!F41)</f>
        <v>9.5714285714285712</v>
      </c>
      <c r="G41" s="49">
        <f>AVERAGE('29.10 MUKONO-KALAGI'!G41,'30.10 MUKONO-KALAGI'!G41,'1.11 MUKONO-KALAGI'!G41,'3.11 MUKONO-KALAGI'!G41,'31.10 MUKONO-KALAGI-24h'!G41,'2.11 MUKONO-KALAGI-24h'!G41,'4.11 MUKONO-KALAGI'!G41)</f>
        <v>0.14285714285714285</v>
      </c>
      <c r="H41" s="49">
        <f>AVERAGE('29.10 MUKONO-KALAGI'!H41,'30.10 MUKONO-KALAGI'!H41,'1.11 MUKONO-KALAGI'!H41,'3.11 MUKONO-KALAGI'!H41,'31.10 MUKONO-KALAGI-24h'!H41,'2.11 MUKONO-KALAGI-24h'!H41,'4.11 MUKONO-KALAGI'!H41)</f>
        <v>0</v>
      </c>
      <c r="I41" s="49">
        <f>AVERAGE('29.10 MUKONO-KALAGI'!I41,'30.10 MUKONO-KALAGI'!I41,'1.11 MUKONO-KALAGI'!I41,'3.11 MUKONO-KALAGI'!I41,'31.10 MUKONO-KALAGI-24h'!I41,'2.11 MUKONO-KALAGI-24h'!I41,'4.11 MUKONO-KALAGI'!I41)</f>
        <v>4.2857142857142856</v>
      </c>
      <c r="J41" s="49">
        <f>AVERAGE('29.10 MUKONO-KALAGI'!J41,'30.10 MUKONO-KALAGI'!J41,'1.11 MUKONO-KALAGI'!J41,'3.11 MUKONO-KALAGI'!J41,'31.10 MUKONO-KALAGI-24h'!J41,'2.11 MUKONO-KALAGI-24h'!J41,'4.11 MUKONO-KALAGI'!J41)</f>
        <v>0</v>
      </c>
      <c r="K41" s="49">
        <f>AVERAGE('29.10 MUKONO-KALAGI'!K41,'30.10 MUKONO-KALAGI'!K41,'1.11 MUKONO-KALAGI'!K41,'3.11 MUKONO-KALAGI'!K41,'31.10 MUKONO-KALAGI-24h'!K41,'2.11 MUKONO-KALAGI-24h'!K41,'4.11 MUKONO-KALAGI'!K41)</f>
        <v>0.7142857142857143</v>
      </c>
      <c r="L41" s="49">
        <f>AVERAGE('29.10 MUKONO-KALAGI'!L41,'30.10 MUKONO-KALAGI'!L41,'1.11 MUKONO-KALAGI'!L41,'3.11 MUKONO-KALAGI'!L41,'31.10 MUKONO-KALAGI-24h'!L41,'2.11 MUKONO-KALAGI-24h'!L41,'4.11 MUKONO-KALAGI'!L41)</f>
        <v>0.14285714285714285</v>
      </c>
      <c r="M41" s="49">
        <f>AVERAGE('29.10 MUKONO-KALAGI'!M41,'30.10 MUKONO-KALAGI'!M41,'1.11 MUKONO-KALAGI'!M41,'3.11 MUKONO-KALAGI'!M41,'31.10 MUKONO-KALAGI-24h'!M41,'2.11 MUKONO-KALAGI-24h'!M41,'4.11 MUKONO-KALAGI'!M41)</f>
        <v>19.428571428571427</v>
      </c>
      <c r="N41" s="49">
        <f>AVERAGE('29.10 MUKONO-KALAGI'!N41,'30.10 MUKONO-KALAGI'!N41,'1.11 MUKONO-KALAGI'!N41,'3.11 MUKONO-KALAGI'!N41,'31.10 MUKONO-KALAGI-24h'!N41,'2.11 MUKONO-KALAGI-24h'!N41,'4.11 MUKONO-KALAGI'!N41)</f>
        <v>0</v>
      </c>
      <c r="O41" s="15">
        <f t="shared" si="0"/>
        <v>31.571428571428569</v>
      </c>
      <c r="P41" s="15">
        <f t="shared" si="1"/>
        <v>51</v>
      </c>
      <c r="R41" s="5" t="s">
        <v>177</v>
      </c>
      <c r="S41" s="16">
        <f>SUM(S10:S33)</f>
        <v>567.35714285714289</v>
      </c>
      <c r="T41" s="16">
        <f t="shared" ref="T41:AD41" si="33">SUM(T10:T33)</f>
        <v>186.92857142857142</v>
      </c>
      <c r="U41" s="16">
        <f t="shared" si="33"/>
        <v>131.5</v>
      </c>
      <c r="V41" s="16">
        <f t="shared" si="33"/>
        <v>675</v>
      </c>
      <c r="W41" s="16">
        <f t="shared" si="33"/>
        <v>20.857142857142854</v>
      </c>
      <c r="X41" s="16">
        <f t="shared" si="33"/>
        <v>3.5714285714285712</v>
      </c>
      <c r="Y41" s="16">
        <f t="shared" si="33"/>
        <v>218.00000000000003</v>
      </c>
      <c r="Z41" s="16">
        <f t="shared" si="33"/>
        <v>11.285714285714285</v>
      </c>
      <c r="AA41" s="16">
        <f t="shared" si="33"/>
        <v>10.071428571428571</v>
      </c>
      <c r="AB41" s="16">
        <f t="shared" si="33"/>
        <v>10.999999999999998</v>
      </c>
      <c r="AC41" s="16">
        <f t="shared" si="33"/>
        <v>1484.8571428571429</v>
      </c>
      <c r="AD41" s="16">
        <f t="shared" si="33"/>
        <v>1.4285714285714284</v>
      </c>
      <c r="AE41" s="32">
        <f>SUM(AE10:AE33)</f>
        <v>1837</v>
      </c>
      <c r="AF41" s="32">
        <f>SUM(AF10:AF33)</f>
        <v>3321.8571428571422</v>
      </c>
    </row>
    <row r="42" spans="2:32" ht="23.1" customHeight="1" x14ac:dyDescent="0.25">
      <c r="B42" s="24" t="s">
        <v>69</v>
      </c>
      <c r="C42" s="49">
        <f>AVERAGE('29.10 MUKONO-KALAGI'!C42,'30.10 MUKONO-KALAGI'!C42,'1.11 MUKONO-KALAGI'!C42,'3.11 MUKONO-KALAGI'!C42,'31.10 MUKONO-KALAGI-24h'!C42,'2.11 MUKONO-KALAGI-24h'!C42,'4.11 MUKONO-KALAGI'!C42)</f>
        <v>9.1428571428571423</v>
      </c>
      <c r="D42" s="49">
        <f>AVERAGE('29.10 MUKONO-KALAGI'!D42,'30.10 MUKONO-KALAGI'!D42,'1.11 MUKONO-KALAGI'!D42,'3.11 MUKONO-KALAGI'!D42,'31.10 MUKONO-KALAGI-24h'!D42,'2.11 MUKONO-KALAGI-24h'!D42,'4.11 MUKONO-KALAGI'!D42)</f>
        <v>3.5714285714285716</v>
      </c>
      <c r="E42" s="49">
        <f>AVERAGE('29.10 MUKONO-KALAGI'!E42,'30.10 MUKONO-KALAGI'!E42,'1.11 MUKONO-KALAGI'!E42,'3.11 MUKONO-KALAGI'!E42,'31.10 MUKONO-KALAGI-24h'!E42,'2.11 MUKONO-KALAGI-24h'!E42,'4.11 MUKONO-KALAGI'!E42)</f>
        <v>1.8571428571428572</v>
      </c>
      <c r="F42" s="49">
        <f>AVERAGE('29.10 MUKONO-KALAGI'!F42,'30.10 MUKONO-KALAGI'!F42,'1.11 MUKONO-KALAGI'!F42,'3.11 MUKONO-KALAGI'!F42,'31.10 MUKONO-KALAGI-24h'!F42,'2.11 MUKONO-KALAGI-24h'!F42,'4.11 MUKONO-KALAGI'!F42)</f>
        <v>9.1428571428571423</v>
      </c>
      <c r="G42" s="49">
        <f>AVERAGE('29.10 MUKONO-KALAGI'!G42,'30.10 MUKONO-KALAGI'!G42,'1.11 MUKONO-KALAGI'!G42,'3.11 MUKONO-KALAGI'!G42,'31.10 MUKONO-KALAGI-24h'!G42,'2.11 MUKONO-KALAGI-24h'!G42,'4.11 MUKONO-KALAGI'!G42)</f>
        <v>0.14285714285714285</v>
      </c>
      <c r="H42" s="49">
        <f>AVERAGE('29.10 MUKONO-KALAGI'!H42,'30.10 MUKONO-KALAGI'!H42,'1.11 MUKONO-KALAGI'!H42,'3.11 MUKONO-KALAGI'!H42,'31.10 MUKONO-KALAGI-24h'!H42,'2.11 MUKONO-KALAGI-24h'!H42,'4.11 MUKONO-KALAGI'!H42)</f>
        <v>0</v>
      </c>
      <c r="I42" s="49">
        <f>AVERAGE('29.10 MUKONO-KALAGI'!I42,'30.10 MUKONO-KALAGI'!I42,'1.11 MUKONO-KALAGI'!I42,'3.11 MUKONO-KALAGI'!I42,'31.10 MUKONO-KALAGI-24h'!I42,'2.11 MUKONO-KALAGI-24h'!I42,'4.11 MUKONO-KALAGI'!I42)</f>
        <v>3.7142857142857144</v>
      </c>
      <c r="J42" s="49">
        <f>AVERAGE('29.10 MUKONO-KALAGI'!J42,'30.10 MUKONO-KALAGI'!J42,'1.11 MUKONO-KALAGI'!J42,'3.11 MUKONO-KALAGI'!J42,'31.10 MUKONO-KALAGI-24h'!J42,'2.11 MUKONO-KALAGI-24h'!J42,'4.11 MUKONO-KALAGI'!J42)</f>
        <v>0</v>
      </c>
      <c r="K42" s="49">
        <f>AVERAGE('29.10 MUKONO-KALAGI'!K42,'30.10 MUKONO-KALAGI'!K42,'1.11 MUKONO-KALAGI'!K42,'3.11 MUKONO-KALAGI'!K42,'31.10 MUKONO-KALAGI-24h'!K42,'2.11 MUKONO-KALAGI-24h'!K42,'4.11 MUKONO-KALAGI'!K42)</f>
        <v>0</v>
      </c>
      <c r="L42" s="49">
        <f>AVERAGE('29.10 MUKONO-KALAGI'!L42,'30.10 MUKONO-KALAGI'!L42,'1.11 MUKONO-KALAGI'!L42,'3.11 MUKONO-KALAGI'!L42,'31.10 MUKONO-KALAGI-24h'!L42,'2.11 MUKONO-KALAGI-24h'!L42,'4.11 MUKONO-KALAGI'!L42)</f>
        <v>0.14285714285714285</v>
      </c>
      <c r="M42" s="49">
        <f>AVERAGE('29.10 MUKONO-KALAGI'!M42,'30.10 MUKONO-KALAGI'!M42,'1.11 MUKONO-KALAGI'!M42,'3.11 MUKONO-KALAGI'!M42,'31.10 MUKONO-KALAGI-24h'!M42,'2.11 MUKONO-KALAGI-24h'!M42,'4.11 MUKONO-KALAGI'!M42)</f>
        <v>17.285714285714285</v>
      </c>
      <c r="N42" s="49">
        <f>AVERAGE('29.10 MUKONO-KALAGI'!N42,'30.10 MUKONO-KALAGI'!N42,'1.11 MUKONO-KALAGI'!N42,'3.11 MUKONO-KALAGI'!N42,'31.10 MUKONO-KALAGI-24h'!N42,'2.11 MUKONO-KALAGI-24h'!N42,'4.11 MUKONO-KALAGI'!N42)</f>
        <v>0.2857142857142857</v>
      </c>
      <c r="O42" s="15">
        <f t="shared" si="0"/>
        <v>28</v>
      </c>
      <c r="P42" s="15">
        <f t="shared" si="1"/>
        <v>45.285714285714285</v>
      </c>
      <c r="R42" s="5" t="s">
        <v>160</v>
      </c>
      <c r="S42" s="48">
        <f>S41/S40</f>
        <v>1.3168103448275861</v>
      </c>
      <c r="T42" s="48">
        <f t="shared" ref="T42:AF42" si="34">T41/T40</f>
        <v>1.3217171717171718</v>
      </c>
      <c r="U42" s="48">
        <f t="shared" si="34"/>
        <v>1.3556701030927836</v>
      </c>
      <c r="V42" s="48">
        <f t="shared" si="34"/>
        <v>1.4210526315789471</v>
      </c>
      <c r="W42" s="48">
        <f t="shared" si="34"/>
        <v>2.3548387096774195</v>
      </c>
      <c r="X42" s="48">
        <f t="shared" si="34"/>
        <v>2.2727272727272725</v>
      </c>
      <c r="Y42" s="48">
        <f t="shared" si="34"/>
        <v>1.4630872483221475</v>
      </c>
      <c r="Z42" s="48">
        <f t="shared" si="34"/>
        <v>1.0972222222222223</v>
      </c>
      <c r="AA42" s="48">
        <f t="shared" si="34"/>
        <v>1.175</v>
      </c>
      <c r="AB42" s="48">
        <f t="shared" si="34"/>
        <v>1.1000000000000001</v>
      </c>
      <c r="AC42" s="48">
        <f t="shared" si="34"/>
        <v>1.482104662769143</v>
      </c>
      <c r="AD42" s="48">
        <f t="shared" si="34"/>
        <v>1</v>
      </c>
      <c r="AE42" s="54">
        <f t="shared" si="34"/>
        <v>1.3770614692653673</v>
      </c>
      <c r="AF42" s="54">
        <f t="shared" si="34"/>
        <v>1.4221148553605285</v>
      </c>
    </row>
    <row r="43" spans="2:32" ht="23.1" customHeight="1" x14ac:dyDescent="0.25">
      <c r="B43" s="23" t="s">
        <v>70</v>
      </c>
      <c r="C43" s="49">
        <f>AVERAGE('29.10 MUKONO-KALAGI'!C43,'30.10 MUKONO-KALAGI'!C43,'1.11 MUKONO-KALAGI'!C43,'3.11 MUKONO-KALAGI'!C43,'31.10 MUKONO-KALAGI-24h'!C43,'2.11 MUKONO-KALAGI-24h'!C43,'4.11 MUKONO-KALAGI'!C43)</f>
        <v>8.5714285714285712</v>
      </c>
      <c r="D43" s="49">
        <f>AVERAGE('29.10 MUKONO-KALAGI'!D43,'30.10 MUKONO-KALAGI'!D43,'1.11 MUKONO-KALAGI'!D43,'3.11 MUKONO-KALAGI'!D43,'31.10 MUKONO-KALAGI-24h'!D43,'2.11 MUKONO-KALAGI-24h'!D43,'4.11 MUKONO-KALAGI'!D43)</f>
        <v>7.1428571428571432</v>
      </c>
      <c r="E43" s="49">
        <f>AVERAGE('29.10 MUKONO-KALAGI'!E43,'30.10 MUKONO-KALAGI'!E43,'1.11 MUKONO-KALAGI'!E43,'3.11 MUKONO-KALAGI'!E43,'31.10 MUKONO-KALAGI-24h'!E43,'2.11 MUKONO-KALAGI-24h'!E43,'4.11 MUKONO-KALAGI'!E43)</f>
        <v>1.7142857142857142</v>
      </c>
      <c r="F43" s="49">
        <f>AVERAGE('29.10 MUKONO-KALAGI'!F43,'30.10 MUKONO-KALAGI'!F43,'1.11 MUKONO-KALAGI'!F43,'3.11 MUKONO-KALAGI'!F43,'31.10 MUKONO-KALAGI-24h'!F43,'2.11 MUKONO-KALAGI-24h'!F43,'4.11 MUKONO-KALAGI'!F43)</f>
        <v>8.4285714285714288</v>
      </c>
      <c r="G43" s="49">
        <f>AVERAGE('29.10 MUKONO-KALAGI'!G43,'30.10 MUKONO-KALAGI'!G43,'1.11 MUKONO-KALAGI'!G43,'3.11 MUKONO-KALAGI'!G43,'31.10 MUKONO-KALAGI-24h'!G43,'2.11 MUKONO-KALAGI-24h'!G43,'4.11 MUKONO-KALAGI'!G43)</f>
        <v>0</v>
      </c>
      <c r="H43" s="49">
        <f>AVERAGE('29.10 MUKONO-KALAGI'!H43,'30.10 MUKONO-KALAGI'!H43,'1.11 MUKONO-KALAGI'!H43,'3.11 MUKONO-KALAGI'!H43,'31.10 MUKONO-KALAGI-24h'!H43,'2.11 MUKONO-KALAGI-24h'!H43,'4.11 MUKONO-KALAGI'!H43)</f>
        <v>0</v>
      </c>
      <c r="I43" s="49">
        <f>AVERAGE('29.10 MUKONO-KALAGI'!I43,'30.10 MUKONO-KALAGI'!I43,'1.11 MUKONO-KALAGI'!I43,'3.11 MUKONO-KALAGI'!I43,'31.10 MUKONO-KALAGI-24h'!I43,'2.11 MUKONO-KALAGI-24h'!I43,'4.11 MUKONO-KALAGI'!I43)</f>
        <v>4.4285714285714288</v>
      </c>
      <c r="J43" s="49">
        <f>AVERAGE('29.10 MUKONO-KALAGI'!J43,'30.10 MUKONO-KALAGI'!J43,'1.11 MUKONO-KALAGI'!J43,'3.11 MUKONO-KALAGI'!J43,'31.10 MUKONO-KALAGI-24h'!J43,'2.11 MUKONO-KALAGI-24h'!J43,'4.11 MUKONO-KALAGI'!J43)</f>
        <v>0</v>
      </c>
      <c r="K43" s="49">
        <f>AVERAGE('29.10 MUKONO-KALAGI'!K43,'30.10 MUKONO-KALAGI'!K43,'1.11 MUKONO-KALAGI'!K43,'3.11 MUKONO-KALAGI'!K43,'31.10 MUKONO-KALAGI-24h'!K43,'2.11 MUKONO-KALAGI-24h'!K43,'4.11 MUKONO-KALAGI'!K43)</f>
        <v>0.2857142857142857</v>
      </c>
      <c r="L43" s="49">
        <f>AVERAGE('29.10 MUKONO-KALAGI'!L43,'30.10 MUKONO-KALAGI'!L43,'1.11 MUKONO-KALAGI'!L43,'3.11 MUKONO-KALAGI'!L43,'31.10 MUKONO-KALAGI-24h'!L43,'2.11 MUKONO-KALAGI-24h'!L43,'4.11 MUKONO-KALAGI'!L43)</f>
        <v>0.14285714285714285</v>
      </c>
      <c r="M43" s="49">
        <f>AVERAGE('29.10 MUKONO-KALAGI'!M43,'30.10 MUKONO-KALAGI'!M43,'1.11 MUKONO-KALAGI'!M43,'3.11 MUKONO-KALAGI'!M43,'31.10 MUKONO-KALAGI-24h'!M43,'2.11 MUKONO-KALAGI-24h'!M43,'4.11 MUKONO-KALAGI'!M43)</f>
        <v>17.428571428571427</v>
      </c>
      <c r="N43" s="49">
        <f>AVERAGE('29.10 MUKONO-KALAGI'!N43,'30.10 MUKONO-KALAGI'!N43,'1.11 MUKONO-KALAGI'!N43,'3.11 MUKONO-KALAGI'!N43,'31.10 MUKONO-KALAGI-24h'!N43,'2.11 MUKONO-KALAGI-24h'!N43,'4.11 MUKONO-KALAGI'!N43)</f>
        <v>0.14285714285714285</v>
      </c>
      <c r="O43" s="15">
        <f t="shared" si="0"/>
        <v>30.857142857142861</v>
      </c>
      <c r="P43" s="15">
        <f t="shared" si="1"/>
        <v>48.285714285714292</v>
      </c>
    </row>
    <row r="44" spans="2:32" ht="23.1" customHeight="1" x14ac:dyDescent="0.25">
      <c r="B44" s="25" t="s">
        <v>71</v>
      </c>
      <c r="C44" s="49">
        <f>AVERAGE('29.10 MUKONO-KALAGI'!C44,'30.10 MUKONO-KALAGI'!C44,'1.11 MUKONO-KALAGI'!C44,'3.11 MUKONO-KALAGI'!C44,'31.10 MUKONO-KALAGI-24h'!C44,'2.11 MUKONO-KALAGI-24h'!C44,'4.11 MUKONO-KALAGI'!C44)</f>
        <v>9.7142857142857135</v>
      </c>
      <c r="D44" s="49">
        <f>AVERAGE('29.10 MUKONO-KALAGI'!D44,'30.10 MUKONO-KALAGI'!D44,'1.11 MUKONO-KALAGI'!D44,'3.11 MUKONO-KALAGI'!D44,'31.10 MUKONO-KALAGI-24h'!D44,'2.11 MUKONO-KALAGI-24h'!D44,'4.11 MUKONO-KALAGI'!D44)</f>
        <v>5</v>
      </c>
      <c r="E44" s="49">
        <f>AVERAGE('29.10 MUKONO-KALAGI'!E44,'30.10 MUKONO-KALAGI'!E44,'1.11 MUKONO-KALAGI'!E44,'3.11 MUKONO-KALAGI'!E44,'31.10 MUKONO-KALAGI-24h'!E44,'2.11 MUKONO-KALAGI-24h'!E44,'4.11 MUKONO-KALAGI'!E44)</f>
        <v>1.8571428571428572</v>
      </c>
      <c r="F44" s="49">
        <f>AVERAGE('29.10 MUKONO-KALAGI'!F44,'30.10 MUKONO-KALAGI'!F44,'1.11 MUKONO-KALAGI'!F44,'3.11 MUKONO-KALAGI'!F44,'31.10 MUKONO-KALAGI-24h'!F44,'2.11 MUKONO-KALAGI-24h'!F44,'4.11 MUKONO-KALAGI'!F44)</f>
        <v>9.7142857142857135</v>
      </c>
      <c r="G44" s="49">
        <f>AVERAGE('29.10 MUKONO-KALAGI'!G44,'30.10 MUKONO-KALAGI'!G44,'1.11 MUKONO-KALAGI'!G44,'3.11 MUKONO-KALAGI'!G44,'31.10 MUKONO-KALAGI-24h'!G44,'2.11 MUKONO-KALAGI-24h'!G44,'4.11 MUKONO-KALAGI'!G44)</f>
        <v>0</v>
      </c>
      <c r="H44" s="49">
        <f>AVERAGE('29.10 MUKONO-KALAGI'!H44,'30.10 MUKONO-KALAGI'!H44,'1.11 MUKONO-KALAGI'!H44,'3.11 MUKONO-KALAGI'!H44,'31.10 MUKONO-KALAGI-24h'!H44,'2.11 MUKONO-KALAGI-24h'!H44,'4.11 MUKONO-KALAGI'!H44)</f>
        <v>0</v>
      </c>
      <c r="I44" s="49">
        <f>AVERAGE('29.10 MUKONO-KALAGI'!I44,'30.10 MUKONO-KALAGI'!I44,'1.11 MUKONO-KALAGI'!I44,'3.11 MUKONO-KALAGI'!I44,'31.10 MUKONO-KALAGI-24h'!I44,'2.11 MUKONO-KALAGI-24h'!I44,'4.11 MUKONO-KALAGI'!I44)</f>
        <v>3.8571428571428572</v>
      </c>
      <c r="J44" s="49">
        <f>AVERAGE('29.10 MUKONO-KALAGI'!J44,'30.10 MUKONO-KALAGI'!J44,'1.11 MUKONO-KALAGI'!J44,'3.11 MUKONO-KALAGI'!J44,'31.10 MUKONO-KALAGI-24h'!J44,'2.11 MUKONO-KALAGI-24h'!J44,'4.11 MUKONO-KALAGI'!J44)</f>
        <v>0.42857142857142855</v>
      </c>
      <c r="K44" s="49">
        <f>AVERAGE('29.10 MUKONO-KALAGI'!K44,'30.10 MUKONO-KALAGI'!K44,'1.11 MUKONO-KALAGI'!K44,'3.11 MUKONO-KALAGI'!K44,'31.10 MUKONO-KALAGI-24h'!K44,'2.11 MUKONO-KALAGI-24h'!K44,'4.11 MUKONO-KALAGI'!K44)</f>
        <v>0.2857142857142857</v>
      </c>
      <c r="L44" s="49">
        <f>AVERAGE('29.10 MUKONO-KALAGI'!L44,'30.10 MUKONO-KALAGI'!L44,'1.11 MUKONO-KALAGI'!L44,'3.11 MUKONO-KALAGI'!L44,'31.10 MUKONO-KALAGI-24h'!L44,'2.11 MUKONO-KALAGI-24h'!L44,'4.11 MUKONO-KALAGI'!L44)</f>
        <v>0.8571428571428571</v>
      </c>
      <c r="M44" s="49">
        <f>AVERAGE('29.10 MUKONO-KALAGI'!M44,'30.10 MUKONO-KALAGI'!M44,'1.11 MUKONO-KALAGI'!M44,'3.11 MUKONO-KALAGI'!M44,'31.10 MUKONO-KALAGI-24h'!M44,'2.11 MUKONO-KALAGI-24h'!M44,'4.11 MUKONO-KALAGI'!M44)</f>
        <v>21.571428571428573</v>
      </c>
      <c r="N44" s="49">
        <f>AVERAGE('29.10 MUKONO-KALAGI'!N44,'30.10 MUKONO-KALAGI'!N44,'1.11 MUKONO-KALAGI'!N44,'3.11 MUKONO-KALAGI'!N44,'31.10 MUKONO-KALAGI-24h'!N44,'2.11 MUKONO-KALAGI-24h'!N44,'4.11 MUKONO-KALAGI'!N44)</f>
        <v>0</v>
      </c>
      <c r="O44" s="15">
        <f t="shared" si="0"/>
        <v>31.714285714285712</v>
      </c>
      <c r="P44" s="15">
        <f t="shared" si="1"/>
        <v>53.285714285714285</v>
      </c>
    </row>
    <row r="45" spans="2:32" ht="23.1" customHeight="1" x14ac:dyDescent="0.25">
      <c r="B45" s="23" t="s">
        <v>72</v>
      </c>
      <c r="C45" s="49">
        <f>AVERAGE('29.10 MUKONO-KALAGI'!C45,'30.10 MUKONO-KALAGI'!C45,'1.11 MUKONO-KALAGI'!C45,'3.11 MUKONO-KALAGI'!C45,'31.10 MUKONO-KALAGI-24h'!C45,'2.11 MUKONO-KALAGI-24h'!C45,'4.11 MUKONO-KALAGI'!C45)</f>
        <v>8.4285714285714288</v>
      </c>
      <c r="D45" s="49">
        <f>AVERAGE('29.10 MUKONO-KALAGI'!D45,'30.10 MUKONO-KALAGI'!D45,'1.11 MUKONO-KALAGI'!D45,'3.11 MUKONO-KALAGI'!D45,'31.10 MUKONO-KALAGI-24h'!D45,'2.11 MUKONO-KALAGI-24h'!D45,'4.11 MUKONO-KALAGI'!D45)</f>
        <v>3.4285714285714284</v>
      </c>
      <c r="E45" s="49">
        <f>AVERAGE('29.10 MUKONO-KALAGI'!E45,'30.10 MUKONO-KALAGI'!E45,'1.11 MUKONO-KALAGI'!E45,'3.11 MUKONO-KALAGI'!E45,'31.10 MUKONO-KALAGI-24h'!E45,'2.11 MUKONO-KALAGI-24h'!E45,'4.11 MUKONO-KALAGI'!E45)</f>
        <v>2.7142857142857144</v>
      </c>
      <c r="F45" s="49">
        <f>AVERAGE('29.10 MUKONO-KALAGI'!F45,'30.10 MUKONO-KALAGI'!F45,'1.11 MUKONO-KALAGI'!F45,'3.11 MUKONO-KALAGI'!F45,'31.10 MUKONO-KALAGI-24h'!F45,'2.11 MUKONO-KALAGI-24h'!F45,'4.11 MUKONO-KALAGI'!F45)</f>
        <v>9.1428571428571423</v>
      </c>
      <c r="G45" s="49">
        <f>AVERAGE('29.10 MUKONO-KALAGI'!G45,'30.10 MUKONO-KALAGI'!G45,'1.11 MUKONO-KALAGI'!G45,'3.11 MUKONO-KALAGI'!G45,'31.10 MUKONO-KALAGI-24h'!G45,'2.11 MUKONO-KALAGI-24h'!G45,'4.11 MUKONO-KALAGI'!G45)</f>
        <v>0.14285714285714285</v>
      </c>
      <c r="H45" s="49">
        <f>AVERAGE('29.10 MUKONO-KALAGI'!H45,'30.10 MUKONO-KALAGI'!H45,'1.11 MUKONO-KALAGI'!H45,'3.11 MUKONO-KALAGI'!H45,'31.10 MUKONO-KALAGI-24h'!H45,'2.11 MUKONO-KALAGI-24h'!H45,'4.11 MUKONO-KALAGI'!H45)</f>
        <v>0</v>
      </c>
      <c r="I45" s="49">
        <f>AVERAGE('29.10 MUKONO-KALAGI'!I45,'30.10 MUKONO-KALAGI'!I45,'1.11 MUKONO-KALAGI'!I45,'3.11 MUKONO-KALAGI'!I45,'31.10 MUKONO-KALAGI-24h'!I45,'2.11 MUKONO-KALAGI-24h'!I45,'4.11 MUKONO-KALAGI'!I45)</f>
        <v>2</v>
      </c>
      <c r="J45" s="49">
        <f>AVERAGE('29.10 MUKONO-KALAGI'!J45,'30.10 MUKONO-KALAGI'!J45,'1.11 MUKONO-KALAGI'!J45,'3.11 MUKONO-KALAGI'!J45,'31.10 MUKONO-KALAGI-24h'!J45,'2.11 MUKONO-KALAGI-24h'!J45,'4.11 MUKONO-KALAGI'!J45)</f>
        <v>0</v>
      </c>
      <c r="K45" s="49">
        <f>AVERAGE('29.10 MUKONO-KALAGI'!K45,'30.10 MUKONO-KALAGI'!K45,'1.11 MUKONO-KALAGI'!K45,'3.11 MUKONO-KALAGI'!K45,'31.10 MUKONO-KALAGI-24h'!K45,'2.11 MUKONO-KALAGI-24h'!K45,'4.11 MUKONO-KALAGI'!K45)</f>
        <v>0.14285714285714285</v>
      </c>
      <c r="L45" s="49">
        <f>AVERAGE('29.10 MUKONO-KALAGI'!L45,'30.10 MUKONO-KALAGI'!L45,'1.11 MUKONO-KALAGI'!L45,'3.11 MUKONO-KALAGI'!L45,'31.10 MUKONO-KALAGI-24h'!L45,'2.11 MUKONO-KALAGI-24h'!L45,'4.11 MUKONO-KALAGI'!L45)</f>
        <v>0</v>
      </c>
      <c r="M45" s="49">
        <f>AVERAGE('29.10 MUKONO-KALAGI'!M45,'30.10 MUKONO-KALAGI'!M45,'1.11 MUKONO-KALAGI'!M45,'3.11 MUKONO-KALAGI'!M45,'31.10 MUKONO-KALAGI-24h'!M45,'2.11 MUKONO-KALAGI-24h'!M45,'4.11 MUKONO-KALAGI'!M45)</f>
        <v>21.571428571428573</v>
      </c>
      <c r="N45" s="49">
        <f>AVERAGE('29.10 MUKONO-KALAGI'!N45,'30.10 MUKONO-KALAGI'!N45,'1.11 MUKONO-KALAGI'!N45,'3.11 MUKONO-KALAGI'!N45,'31.10 MUKONO-KALAGI-24h'!N45,'2.11 MUKONO-KALAGI-24h'!N45,'4.11 MUKONO-KALAGI'!N45)</f>
        <v>0</v>
      </c>
      <c r="O45" s="15">
        <f t="shared" si="0"/>
        <v>26</v>
      </c>
      <c r="P45" s="15">
        <f t="shared" si="1"/>
        <v>47.571428571428569</v>
      </c>
    </row>
    <row r="46" spans="2:32" ht="23.1" customHeight="1" x14ac:dyDescent="0.25">
      <c r="B46" s="24" t="s">
        <v>73</v>
      </c>
      <c r="C46" s="49">
        <f>AVERAGE('29.10 MUKONO-KALAGI'!C46,'30.10 MUKONO-KALAGI'!C46,'1.11 MUKONO-KALAGI'!C46,'3.11 MUKONO-KALAGI'!C46,'31.10 MUKONO-KALAGI-24h'!C46,'2.11 MUKONO-KALAGI-24h'!C46,'4.11 MUKONO-KALAGI'!C46)</f>
        <v>9.4285714285714288</v>
      </c>
      <c r="D46" s="49">
        <f>AVERAGE('29.10 MUKONO-KALAGI'!D46,'30.10 MUKONO-KALAGI'!D46,'1.11 MUKONO-KALAGI'!D46,'3.11 MUKONO-KALAGI'!D46,'31.10 MUKONO-KALAGI-24h'!D46,'2.11 MUKONO-KALAGI-24h'!D46,'4.11 MUKONO-KALAGI'!D46)</f>
        <v>4.1428571428571432</v>
      </c>
      <c r="E46" s="49">
        <f>AVERAGE('29.10 MUKONO-KALAGI'!E46,'30.10 MUKONO-KALAGI'!E46,'1.11 MUKONO-KALAGI'!E46,'3.11 MUKONO-KALAGI'!E46,'31.10 MUKONO-KALAGI-24h'!E46,'2.11 MUKONO-KALAGI-24h'!E46,'4.11 MUKONO-KALAGI'!E46)</f>
        <v>2.5714285714285716</v>
      </c>
      <c r="F46" s="49">
        <f>AVERAGE('29.10 MUKONO-KALAGI'!F46,'30.10 MUKONO-KALAGI'!F46,'1.11 MUKONO-KALAGI'!F46,'3.11 MUKONO-KALAGI'!F46,'31.10 MUKONO-KALAGI-24h'!F46,'2.11 MUKONO-KALAGI-24h'!F46,'4.11 MUKONO-KALAGI'!F46)</f>
        <v>9.4285714285714288</v>
      </c>
      <c r="G46" s="49">
        <f>AVERAGE('29.10 MUKONO-KALAGI'!G46,'30.10 MUKONO-KALAGI'!G46,'1.11 MUKONO-KALAGI'!G46,'3.11 MUKONO-KALAGI'!G46,'31.10 MUKONO-KALAGI-24h'!G46,'2.11 MUKONO-KALAGI-24h'!G46,'4.11 MUKONO-KALAGI'!G46)</f>
        <v>0.42857142857142855</v>
      </c>
      <c r="H46" s="49">
        <f>AVERAGE('29.10 MUKONO-KALAGI'!H46,'30.10 MUKONO-KALAGI'!H46,'1.11 MUKONO-KALAGI'!H46,'3.11 MUKONO-KALAGI'!H46,'31.10 MUKONO-KALAGI-24h'!H46,'2.11 MUKONO-KALAGI-24h'!H46,'4.11 MUKONO-KALAGI'!H46)</f>
        <v>0</v>
      </c>
      <c r="I46" s="49">
        <f>AVERAGE('29.10 MUKONO-KALAGI'!I46,'30.10 MUKONO-KALAGI'!I46,'1.11 MUKONO-KALAGI'!I46,'3.11 MUKONO-KALAGI'!I46,'31.10 MUKONO-KALAGI-24h'!I46,'2.11 MUKONO-KALAGI-24h'!I46,'4.11 MUKONO-KALAGI'!I46)</f>
        <v>3</v>
      </c>
      <c r="J46" s="49">
        <f>AVERAGE('29.10 MUKONO-KALAGI'!J46,'30.10 MUKONO-KALAGI'!J46,'1.11 MUKONO-KALAGI'!J46,'3.11 MUKONO-KALAGI'!J46,'31.10 MUKONO-KALAGI-24h'!J46,'2.11 MUKONO-KALAGI-24h'!J46,'4.11 MUKONO-KALAGI'!J46)</f>
        <v>0.14285714285714285</v>
      </c>
      <c r="K46" s="49">
        <f>AVERAGE('29.10 MUKONO-KALAGI'!K46,'30.10 MUKONO-KALAGI'!K46,'1.11 MUKONO-KALAGI'!K46,'3.11 MUKONO-KALAGI'!K46,'31.10 MUKONO-KALAGI-24h'!K46,'2.11 MUKONO-KALAGI-24h'!K46,'4.11 MUKONO-KALAGI'!K46)</f>
        <v>0.2857142857142857</v>
      </c>
      <c r="L46" s="49">
        <f>AVERAGE('29.10 MUKONO-KALAGI'!L46,'30.10 MUKONO-KALAGI'!L46,'1.11 MUKONO-KALAGI'!L46,'3.11 MUKONO-KALAGI'!L46,'31.10 MUKONO-KALAGI-24h'!L46,'2.11 MUKONO-KALAGI-24h'!L46,'4.11 MUKONO-KALAGI'!L46)</f>
        <v>0.14285714285714285</v>
      </c>
      <c r="M46" s="49">
        <f>AVERAGE('29.10 MUKONO-KALAGI'!M46,'30.10 MUKONO-KALAGI'!M46,'1.11 MUKONO-KALAGI'!M46,'3.11 MUKONO-KALAGI'!M46,'31.10 MUKONO-KALAGI-24h'!M46,'2.11 MUKONO-KALAGI-24h'!M46,'4.11 MUKONO-KALAGI'!M46)</f>
        <v>20.142857142857142</v>
      </c>
      <c r="N46" s="49">
        <f>AVERAGE('29.10 MUKONO-KALAGI'!N46,'30.10 MUKONO-KALAGI'!N46,'1.11 MUKONO-KALAGI'!N46,'3.11 MUKONO-KALAGI'!N46,'31.10 MUKONO-KALAGI-24h'!N46,'2.11 MUKONO-KALAGI-24h'!N46,'4.11 MUKONO-KALAGI'!N46)</f>
        <v>0</v>
      </c>
      <c r="O46" s="15">
        <f t="shared" si="0"/>
        <v>29.571428571428573</v>
      </c>
      <c r="P46" s="15">
        <f t="shared" si="1"/>
        <v>49.714285714285715</v>
      </c>
      <c r="R46" s="8"/>
      <c r="T46"/>
    </row>
    <row r="47" spans="2:32" ht="23.1" customHeight="1" x14ac:dyDescent="0.25">
      <c r="B47" s="24" t="s">
        <v>74</v>
      </c>
      <c r="C47" s="49">
        <f>AVERAGE('29.10 MUKONO-KALAGI'!C47,'30.10 MUKONO-KALAGI'!C47,'1.11 MUKONO-KALAGI'!C47,'3.11 MUKONO-KALAGI'!C47,'31.10 MUKONO-KALAGI-24h'!C47,'2.11 MUKONO-KALAGI-24h'!C47,'4.11 MUKONO-KALAGI'!C47)</f>
        <v>12</v>
      </c>
      <c r="D47" s="49">
        <f>AVERAGE('29.10 MUKONO-KALAGI'!D47,'30.10 MUKONO-KALAGI'!D47,'1.11 MUKONO-KALAGI'!D47,'3.11 MUKONO-KALAGI'!D47,'31.10 MUKONO-KALAGI-24h'!D47,'2.11 MUKONO-KALAGI-24h'!D47,'4.11 MUKONO-KALAGI'!D47)</f>
        <v>4</v>
      </c>
      <c r="E47" s="49">
        <f>AVERAGE('29.10 MUKONO-KALAGI'!E47,'30.10 MUKONO-KALAGI'!E47,'1.11 MUKONO-KALAGI'!E47,'3.11 MUKONO-KALAGI'!E47,'31.10 MUKONO-KALAGI-24h'!E47,'2.11 MUKONO-KALAGI-24h'!E47,'4.11 MUKONO-KALAGI'!E47)</f>
        <v>2</v>
      </c>
      <c r="F47" s="49">
        <f>AVERAGE('29.10 MUKONO-KALAGI'!F47,'30.10 MUKONO-KALAGI'!F47,'1.11 MUKONO-KALAGI'!F47,'3.11 MUKONO-KALAGI'!F47,'31.10 MUKONO-KALAGI-24h'!F47,'2.11 MUKONO-KALAGI-24h'!F47,'4.11 MUKONO-KALAGI'!F47)</f>
        <v>12.142857142857142</v>
      </c>
      <c r="G47" s="49">
        <f>AVERAGE('29.10 MUKONO-KALAGI'!G47,'30.10 MUKONO-KALAGI'!G47,'1.11 MUKONO-KALAGI'!G47,'3.11 MUKONO-KALAGI'!G47,'31.10 MUKONO-KALAGI-24h'!G47,'2.11 MUKONO-KALAGI-24h'!G47,'4.11 MUKONO-KALAGI'!G47)</f>
        <v>1.2857142857142858</v>
      </c>
      <c r="H47" s="49">
        <f>AVERAGE('29.10 MUKONO-KALAGI'!H47,'30.10 MUKONO-KALAGI'!H47,'1.11 MUKONO-KALAGI'!H47,'3.11 MUKONO-KALAGI'!H47,'31.10 MUKONO-KALAGI-24h'!H47,'2.11 MUKONO-KALAGI-24h'!H47,'4.11 MUKONO-KALAGI'!H47)</f>
        <v>0</v>
      </c>
      <c r="I47" s="49">
        <f>AVERAGE('29.10 MUKONO-KALAGI'!I47,'30.10 MUKONO-KALAGI'!I47,'1.11 MUKONO-KALAGI'!I47,'3.11 MUKONO-KALAGI'!I47,'31.10 MUKONO-KALAGI-24h'!I47,'2.11 MUKONO-KALAGI-24h'!I47,'4.11 MUKONO-KALAGI'!I47)</f>
        <v>3.4285714285714284</v>
      </c>
      <c r="J47" s="49">
        <f>AVERAGE('29.10 MUKONO-KALAGI'!J47,'30.10 MUKONO-KALAGI'!J47,'1.11 MUKONO-KALAGI'!J47,'3.11 MUKONO-KALAGI'!J47,'31.10 MUKONO-KALAGI-24h'!J47,'2.11 MUKONO-KALAGI-24h'!J47,'4.11 MUKONO-KALAGI'!J47)</f>
        <v>0.14285714285714285</v>
      </c>
      <c r="K47" s="49">
        <f>AVERAGE('29.10 MUKONO-KALAGI'!K47,'30.10 MUKONO-KALAGI'!K47,'1.11 MUKONO-KALAGI'!K47,'3.11 MUKONO-KALAGI'!K47,'31.10 MUKONO-KALAGI-24h'!K47,'2.11 MUKONO-KALAGI-24h'!K47,'4.11 MUKONO-KALAGI'!K47)</f>
        <v>0.14285714285714285</v>
      </c>
      <c r="L47" s="49">
        <f>AVERAGE('29.10 MUKONO-KALAGI'!L47,'30.10 MUKONO-KALAGI'!L47,'1.11 MUKONO-KALAGI'!L47,'3.11 MUKONO-KALAGI'!L47,'31.10 MUKONO-KALAGI-24h'!L47,'2.11 MUKONO-KALAGI-24h'!L47,'4.11 MUKONO-KALAGI'!L47)</f>
        <v>0.14285714285714285</v>
      </c>
      <c r="M47" s="49">
        <f>AVERAGE('29.10 MUKONO-KALAGI'!M47,'30.10 MUKONO-KALAGI'!M47,'1.11 MUKONO-KALAGI'!M47,'3.11 MUKONO-KALAGI'!M47,'31.10 MUKONO-KALAGI-24h'!M47,'2.11 MUKONO-KALAGI-24h'!M47,'4.11 MUKONO-KALAGI'!M47)</f>
        <v>24.571428571428573</v>
      </c>
      <c r="N47" s="49">
        <f>AVERAGE('29.10 MUKONO-KALAGI'!N47,'30.10 MUKONO-KALAGI'!N47,'1.11 MUKONO-KALAGI'!N47,'3.11 MUKONO-KALAGI'!N47,'31.10 MUKONO-KALAGI-24h'!N47,'2.11 MUKONO-KALAGI-24h'!N47,'4.11 MUKONO-KALAGI'!N47)</f>
        <v>0</v>
      </c>
      <c r="O47" s="15">
        <f t="shared" si="0"/>
        <v>35.285714285714292</v>
      </c>
      <c r="P47" s="15">
        <f t="shared" si="1"/>
        <v>59.857142857142861</v>
      </c>
      <c r="R47" s="8"/>
      <c r="T47"/>
    </row>
    <row r="48" spans="2:32" ht="23.1" customHeight="1" x14ac:dyDescent="0.25">
      <c r="B48" s="24" t="s">
        <v>75</v>
      </c>
      <c r="C48" s="49">
        <f>AVERAGE('29.10 MUKONO-KALAGI'!C48,'30.10 MUKONO-KALAGI'!C48,'1.11 MUKONO-KALAGI'!C48,'3.11 MUKONO-KALAGI'!C48,'31.10 MUKONO-KALAGI-24h'!C48,'2.11 MUKONO-KALAGI-24h'!C48,'4.11 MUKONO-KALAGI'!C48)</f>
        <v>11.714285714285714</v>
      </c>
      <c r="D48" s="49">
        <f>AVERAGE('29.10 MUKONO-KALAGI'!D48,'30.10 MUKONO-KALAGI'!D48,'1.11 MUKONO-KALAGI'!D48,'3.11 MUKONO-KALAGI'!D48,'31.10 MUKONO-KALAGI-24h'!D48,'2.11 MUKONO-KALAGI-24h'!D48,'4.11 MUKONO-KALAGI'!D48)</f>
        <v>4.1428571428571432</v>
      </c>
      <c r="E48" s="49">
        <f>AVERAGE('29.10 MUKONO-KALAGI'!E48,'30.10 MUKONO-KALAGI'!E48,'1.11 MUKONO-KALAGI'!E48,'3.11 MUKONO-KALAGI'!E48,'31.10 MUKONO-KALAGI-24h'!E48,'2.11 MUKONO-KALAGI-24h'!E48,'4.11 MUKONO-KALAGI'!E48)</f>
        <v>2.1428571428571428</v>
      </c>
      <c r="F48" s="49">
        <f>AVERAGE('29.10 MUKONO-KALAGI'!F48,'30.10 MUKONO-KALAGI'!F48,'1.11 MUKONO-KALAGI'!F48,'3.11 MUKONO-KALAGI'!F48,'31.10 MUKONO-KALAGI-24h'!F48,'2.11 MUKONO-KALAGI-24h'!F48,'4.11 MUKONO-KALAGI'!F48)</f>
        <v>10.285714285714286</v>
      </c>
      <c r="G48" s="49">
        <f>AVERAGE('29.10 MUKONO-KALAGI'!G48,'30.10 MUKONO-KALAGI'!G48,'1.11 MUKONO-KALAGI'!G48,'3.11 MUKONO-KALAGI'!G48,'31.10 MUKONO-KALAGI-24h'!G48,'2.11 MUKONO-KALAGI-24h'!G48,'4.11 MUKONO-KALAGI'!G48)</f>
        <v>0.14285714285714285</v>
      </c>
      <c r="H48" s="49">
        <f>AVERAGE('29.10 MUKONO-KALAGI'!H48,'30.10 MUKONO-KALAGI'!H48,'1.11 MUKONO-KALAGI'!H48,'3.11 MUKONO-KALAGI'!H48,'31.10 MUKONO-KALAGI-24h'!H48,'2.11 MUKONO-KALAGI-24h'!H48,'4.11 MUKONO-KALAGI'!H48)</f>
        <v>0</v>
      </c>
      <c r="I48" s="49">
        <f>AVERAGE('29.10 MUKONO-KALAGI'!I48,'30.10 MUKONO-KALAGI'!I48,'1.11 MUKONO-KALAGI'!I48,'3.11 MUKONO-KALAGI'!I48,'31.10 MUKONO-KALAGI-24h'!I48,'2.11 MUKONO-KALAGI-24h'!I48,'4.11 MUKONO-KALAGI'!I48)</f>
        <v>3.8571428571428572</v>
      </c>
      <c r="J48" s="49">
        <f>AVERAGE('29.10 MUKONO-KALAGI'!J48,'30.10 MUKONO-KALAGI'!J48,'1.11 MUKONO-KALAGI'!J48,'3.11 MUKONO-KALAGI'!J48,'31.10 MUKONO-KALAGI-24h'!J48,'2.11 MUKONO-KALAGI-24h'!J48,'4.11 MUKONO-KALAGI'!J48)</f>
        <v>0</v>
      </c>
      <c r="K48" s="49">
        <f>AVERAGE('29.10 MUKONO-KALAGI'!K48,'30.10 MUKONO-KALAGI'!K48,'1.11 MUKONO-KALAGI'!K48,'3.11 MUKONO-KALAGI'!K48,'31.10 MUKONO-KALAGI-24h'!K48,'2.11 MUKONO-KALAGI-24h'!K48,'4.11 MUKONO-KALAGI'!K48)</f>
        <v>0.14285714285714285</v>
      </c>
      <c r="L48" s="49">
        <f>AVERAGE('29.10 MUKONO-KALAGI'!L48,'30.10 MUKONO-KALAGI'!L48,'1.11 MUKONO-KALAGI'!L48,'3.11 MUKONO-KALAGI'!L48,'31.10 MUKONO-KALAGI-24h'!L48,'2.11 MUKONO-KALAGI-24h'!L48,'4.11 MUKONO-KALAGI'!L48)</f>
        <v>0.42857142857142855</v>
      </c>
      <c r="M48" s="49">
        <f>AVERAGE('29.10 MUKONO-KALAGI'!M48,'30.10 MUKONO-KALAGI'!M48,'1.11 MUKONO-KALAGI'!M48,'3.11 MUKONO-KALAGI'!M48,'31.10 MUKONO-KALAGI-24h'!M48,'2.11 MUKONO-KALAGI-24h'!M48,'4.11 MUKONO-KALAGI'!M48)</f>
        <v>27</v>
      </c>
      <c r="N48" s="49">
        <f>AVERAGE('29.10 MUKONO-KALAGI'!N48,'30.10 MUKONO-KALAGI'!N48,'1.11 MUKONO-KALAGI'!N48,'3.11 MUKONO-KALAGI'!N48,'31.10 MUKONO-KALAGI-24h'!N48,'2.11 MUKONO-KALAGI-24h'!N48,'4.11 MUKONO-KALAGI'!N48)</f>
        <v>0</v>
      </c>
      <c r="O48" s="15">
        <f t="shared" si="0"/>
        <v>32.857142857142861</v>
      </c>
      <c r="P48" s="15">
        <f t="shared" si="1"/>
        <v>59.857142857142861</v>
      </c>
      <c r="R48" s="8"/>
      <c r="T48"/>
    </row>
    <row r="49" spans="2:20" ht="23.1" customHeight="1" x14ac:dyDescent="0.25">
      <c r="B49" s="23" t="s">
        <v>76</v>
      </c>
      <c r="C49" s="49">
        <f>AVERAGE('29.10 MUKONO-KALAGI'!C49,'30.10 MUKONO-KALAGI'!C49,'1.11 MUKONO-KALAGI'!C49,'3.11 MUKONO-KALAGI'!C49,'31.10 MUKONO-KALAGI-24h'!C49,'2.11 MUKONO-KALAGI-24h'!C49,'4.11 MUKONO-KALAGI'!C49)</f>
        <v>11.571428571428571</v>
      </c>
      <c r="D49" s="49">
        <f>AVERAGE('29.10 MUKONO-KALAGI'!D49,'30.10 MUKONO-KALAGI'!D49,'1.11 MUKONO-KALAGI'!D49,'3.11 MUKONO-KALAGI'!D49,'31.10 MUKONO-KALAGI-24h'!D49,'2.11 MUKONO-KALAGI-24h'!D49,'4.11 MUKONO-KALAGI'!D49)</f>
        <v>3.5714285714285716</v>
      </c>
      <c r="E49" s="49">
        <f>AVERAGE('29.10 MUKONO-KALAGI'!E49,'30.10 MUKONO-KALAGI'!E49,'1.11 MUKONO-KALAGI'!E49,'3.11 MUKONO-KALAGI'!E49,'31.10 MUKONO-KALAGI-24h'!E49,'2.11 MUKONO-KALAGI-24h'!E49,'4.11 MUKONO-KALAGI'!E49)</f>
        <v>3</v>
      </c>
      <c r="F49" s="49">
        <f>AVERAGE('29.10 MUKONO-KALAGI'!F49,'30.10 MUKONO-KALAGI'!F49,'1.11 MUKONO-KALAGI'!F49,'3.11 MUKONO-KALAGI'!F49,'31.10 MUKONO-KALAGI-24h'!F49,'2.11 MUKONO-KALAGI-24h'!F49,'4.11 MUKONO-KALAGI'!F49)</f>
        <v>10.714285714285714</v>
      </c>
      <c r="G49" s="49">
        <f>AVERAGE('29.10 MUKONO-KALAGI'!G49,'30.10 MUKONO-KALAGI'!G49,'1.11 MUKONO-KALAGI'!G49,'3.11 MUKONO-KALAGI'!G49,'31.10 MUKONO-KALAGI-24h'!G49,'2.11 MUKONO-KALAGI-24h'!G49,'4.11 MUKONO-KALAGI'!G49)</f>
        <v>0.14285714285714285</v>
      </c>
      <c r="H49" s="49">
        <f>AVERAGE('29.10 MUKONO-KALAGI'!H49,'30.10 MUKONO-KALAGI'!H49,'1.11 MUKONO-KALAGI'!H49,'3.11 MUKONO-KALAGI'!H49,'31.10 MUKONO-KALAGI-24h'!H49,'2.11 MUKONO-KALAGI-24h'!H49,'4.11 MUKONO-KALAGI'!H49)</f>
        <v>0</v>
      </c>
      <c r="I49" s="49">
        <f>AVERAGE('29.10 MUKONO-KALAGI'!I49,'30.10 MUKONO-KALAGI'!I49,'1.11 MUKONO-KALAGI'!I49,'3.11 MUKONO-KALAGI'!I49,'31.10 MUKONO-KALAGI-24h'!I49,'2.11 MUKONO-KALAGI-24h'!I49,'4.11 MUKONO-KALAGI'!I49)</f>
        <v>3.5714285714285716</v>
      </c>
      <c r="J49" s="49">
        <f>AVERAGE('29.10 MUKONO-KALAGI'!J49,'30.10 MUKONO-KALAGI'!J49,'1.11 MUKONO-KALAGI'!J49,'3.11 MUKONO-KALAGI'!J49,'31.10 MUKONO-KALAGI-24h'!J49,'2.11 MUKONO-KALAGI-24h'!J49,'4.11 MUKONO-KALAGI'!J49)</f>
        <v>0.14285714285714285</v>
      </c>
      <c r="K49" s="49">
        <f>AVERAGE('29.10 MUKONO-KALAGI'!K49,'30.10 MUKONO-KALAGI'!K49,'1.11 MUKONO-KALAGI'!K49,'3.11 MUKONO-KALAGI'!K49,'31.10 MUKONO-KALAGI-24h'!K49,'2.11 MUKONO-KALAGI-24h'!K49,'4.11 MUKONO-KALAGI'!K49)</f>
        <v>0.14285714285714285</v>
      </c>
      <c r="L49" s="49">
        <f>AVERAGE('29.10 MUKONO-KALAGI'!L49,'30.10 MUKONO-KALAGI'!L49,'1.11 MUKONO-KALAGI'!L49,'3.11 MUKONO-KALAGI'!L49,'31.10 MUKONO-KALAGI-24h'!L49,'2.11 MUKONO-KALAGI-24h'!L49,'4.11 MUKONO-KALAGI'!L49)</f>
        <v>0</v>
      </c>
      <c r="M49" s="49">
        <f>AVERAGE('29.10 MUKONO-KALAGI'!M49,'30.10 MUKONO-KALAGI'!M49,'1.11 MUKONO-KALAGI'!M49,'3.11 MUKONO-KALAGI'!M49,'31.10 MUKONO-KALAGI-24h'!M49,'2.11 MUKONO-KALAGI-24h'!M49,'4.11 MUKONO-KALAGI'!M49)</f>
        <v>22</v>
      </c>
      <c r="N49" s="49">
        <f>AVERAGE('29.10 MUKONO-KALAGI'!N49,'30.10 MUKONO-KALAGI'!N49,'1.11 MUKONO-KALAGI'!N49,'3.11 MUKONO-KALAGI'!N49,'31.10 MUKONO-KALAGI-24h'!N49,'2.11 MUKONO-KALAGI-24h'!N49,'4.11 MUKONO-KALAGI'!N49)</f>
        <v>0</v>
      </c>
      <c r="O49" s="15">
        <f t="shared" si="0"/>
        <v>32.857142857142861</v>
      </c>
      <c r="P49" s="15">
        <f t="shared" si="1"/>
        <v>54.857142857142861</v>
      </c>
      <c r="R49" s="8"/>
      <c r="T49"/>
    </row>
    <row r="50" spans="2:20" ht="23.1" customHeight="1" x14ac:dyDescent="0.25">
      <c r="B50" s="24" t="s">
        <v>77</v>
      </c>
      <c r="C50" s="49">
        <f>AVERAGE('29.10 MUKONO-KALAGI'!C50,'30.10 MUKONO-KALAGI'!C50,'1.11 MUKONO-KALAGI'!C50,'3.11 MUKONO-KALAGI'!C50,'31.10 MUKONO-KALAGI-24h'!C50,'2.11 MUKONO-KALAGI-24h'!C50,'4.11 MUKONO-KALAGI'!C50)</f>
        <v>12.285714285714286</v>
      </c>
      <c r="D50" s="49">
        <f>AVERAGE('29.10 MUKONO-KALAGI'!D50,'30.10 MUKONO-KALAGI'!D50,'1.11 MUKONO-KALAGI'!D50,'3.11 MUKONO-KALAGI'!D50,'31.10 MUKONO-KALAGI-24h'!D50,'2.11 MUKONO-KALAGI-24h'!D50,'4.11 MUKONO-KALAGI'!D50)</f>
        <v>2.1428571428571428</v>
      </c>
      <c r="E50" s="49">
        <f>AVERAGE('29.10 MUKONO-KALAGI'!E50,'30.10 MUKONO-KALAGI'!E50,'1.11 MUKONO-KALAGI'!E50,'3.11 MUKONO-KALAGI'!E50,'31.10 MUKONO-KALAGI-24h'!E50,'2.11 MUKONO-KALAGI-24h'!E50,'4.11 MUKONO-KALAGI'!E50)</f>
        <v>2.8571428571428572</v>
      </c>
      <c r="F50" s="49">
        <f>AVERAGE('29.10 MUKONO-KALAGI'!F50,'30.10 MUKONO-KALAGI'!F50,'1.11 MUKONO-KALAGI'!F50,'3.11 MUKONO-KALAGI'!F50,'31.10 MUKONO-KALAGI-24h'!F50,'2.11 MUKONO-KALAGI-24h'!F50,'4.11 MUKONO-KALAGI'!F50)</f>
        <v>9.8571428571428577</v>
      </c>
      <c r="G50" s="49">
        <f>AVERAGE('29.10 MUKONO-KALAGI'!G50,'30.10 MUKONO-KALAGI'!G50,'1.11 MUKONO-KALAGI'!G50,'3.11 MUKONO-KALAGI'!G50,'31.10 MUKONO-KALAGI-24h'!G50,'2.11 MUKONO-KALAGI-24h'!G50,'4.11 MUKONO-KALAGI'!G50)</f>
        <v>0.42857142857142855</v>
      </c>
      <c r="H50" s="49">
        <f>AVERAGE('29.10 MUKONO-KALAGI'!H50,'30.10 MUKONO-KALAGI'!H50,'1.11 MUKONO-KALAGI'!H50,'3.11 MUKONO-KALAGI'!H50,'31.10 MUKONO-KALAGI-24h'!H50,'2.11 MUKONO-KALAGI-24h'!H50,'4.11 MUKONO-KALAGI'!H50)</f>
        <v>0</v>
      </c>
      <c r="I50" s="49">
        <f>AVERAGE('29.10 MUKONO-KALAGI'!I50,'30.10 MUKONO-KALAGI'!I50,'1.11 MUKONO-KALAGI'!I50,'3.11 MUKONO-KALAGI'!I50,'31.10 MUKONO-KALAGI-24h'!I50,'2.11 MUKONO-KALAGI-24h'!I50,'4.11 MUKONO-KALAGI'!I50)</f>
        <v>2.8571428571428572</v>
      </c>
      <c r="J50" s="49">
        <f>AVERAGE('29.10 MUKONO-KALAGI'!J50,'30.10 MUKONO-KALAGI'!J50,'1.11 MUKONO-KALAGI'!J50,'3.11 MUKONO-KALAGI'!J50,'31.10 MUKONO-KALAGI-24h'!J50,'2.11 MUKONO-KALAGI-24h'!J50,'4.11 MUKONO-KALAGI'!J50)</f>
        <v>0.14285714285714285</v>
      </c>
      <c r="K50" s="49">
        <f>AVERAGE('29.10 MUKONO-KALAGI'!K50,'30.10 MUKONO-KALAGI'!K50,'1.11 MUKONO-KALAGI'!K50,'3.11 MUKONO-KALAGI'!K50,'31.10 MUKONO-KALAGI-24h'!K50,'2.11 MUKONO-KALAGI-24h'!K50,'4.11 MUKONO-KALAGI'!K50)</f>
        <v>0.2857142857142857</v>
      </c>
      <c r="L50" s="49">
        <f>AVERAGE('29.10 MUKONO-KALAGI'!L50,'30.10 MUKONO-KALAGI'!L50,'1.11 MUKONO-KALAGI'!L50,'3.11 MUKONO-KALAGI'!L50,'31.10 MUKONO-KALAGI-24h'!L50,'2.11 MUKONO-KALAGI-24h'!L50,'4.11 MUKONO-KALAGI'!L50)</f>
        <v>0.14285714285714285</v>
      </c>
      <c r="M50" s="49">
        <f>AVERAGE('29.10 MUKONO-KALAGI'!M50,'30.10 MUKONO-KALAGI'!M50,'1.11 MUKONO-KALAGI'!M50,'3.11 MUKONO-KALAGI'!M50,'31.10 MUKONO-KALAGI-24h'!M50,'2.11 MUKONO-KALAGI-24h'!M50,'4.11 MUKONO-KALAGI'!M50)</f>
        <v>24.285714285714285</v>
      </c>
      <c r="N50" s="49">
        <f>AVERAGE('29.10 MUKONO-KALAGI'!N50,'30.10 MUKONO-KALAGI'!N50,'1.11 MUKONO-KALAGI'!N50,'3.11 MUKONO-KALAGI'!N50,'31.10 MUKONO-KALAGI-24h'!N50,'2.11 MUKONO-KALAGI-24h'!N50,'4.11 MUKONO-KALAGI'!N50)</f>
        <v>0.14285714285714285</v>
      </c>
      <c r="O50" s="15">
        <f t="shared" si="0"/>
        <v>31.142857142857139</v>
      </c>
      <c r="P50" s="15">
        <f t="shared" si="1"/>
        <v>55.428571428571423</v>
      </c>
      <c r="R50" s="8"/>
      <c r="T50"/>
    </row>
    <row r="51" spans="2:20" ht="23.1" customHeight="1" x14ac:dyDescent="0.25">
      <c r="B51" s="24" t="s">
        <v>78</v>
      </c>
      <c r="C51" s="49">
        <f>AVERAGE('29.10 MUKONO-KALAGI'!C51,'30.10 MUKONO-KALAGI'!C51,'1.11 MUKONO-KALAGI'!C51,'3.11 MUKONO-KALAGI'!C51,'31.10 MUKONO-KALAGI-24h'!C51,'2.11 MUKONO-KALAGI-24h'!C51,'4.11 MUKONO-KALAGI'!C51)</f>
        <v>11.142857142857142</v>
      </c>
      <c r="D51" s="49">
        <f>AVERAGE('29.10 MUKONO-KALAGI'!D51,'30.10 MUKONO-KALAGI'!D51,'1.11 MUKONO-KALAGI'!D51,'3.11 MUKONO-KALAGI'!D51,'31.10 MUKONO-KALAGI-24h'!D51,'2.11 MUKONO-KALAGI-24h'!D51,'4.11 MUKONO-KALAGI'!D51)</f>
        <v>4.5714285714285712</v>
      </c>
      <c r="E51" s="49">
        <f>AVERAGE('29.10 MUKONO-KALAGI'!E51,'30.10 MUKONO-KALAGI'!E51,'1.11 MUKONO-KALAGI'!E51,'3.11 MUKONO-KALAGI'!E51,'31.10 MUKONO-KALAGI-24h'!E51,'2.11 MUKONO-KALAGI-24h'!E51,'4.11 MUKONO-KALAGI'!E51)</f>
        <v>2.4285714285714284</v>
      </c>
      <c r="F51" s="49">
        <f>AVERAGE('29.10 MUKONO-KALAGI'!F51,'30.10 MUKONO-KALAGI'!F51,'1.11 MUKONO-KALAGI'!F51,'3.11 MUKONO-KALAGI'!F51,'31.10 MUKONO-KALAGI-24h'!F51,'2.11 MUKONO-KALAGI-24h'!F51,'4.11 MUKONO-KALAGI'!F51)</f>
        <v>11</v>
      </c>
      <c r="G51" s="49">
        <f>AVERAGE('29.10 MUKONO-KALAGI'!G51,'30.10 MUKONO-KALAGI'!G51,'1.11 MUKONO-KALAGI'!G51,'3.11 MUKONO-KALAGI'!G51,'31.10 MUKONO-KALAGI-24h'!G51,'2.11 MUKONO-KALAGI-24h'!G51,'4.11 MUKONO-KALAGI'!G51)</f>
        <v>0.2857142857142857</v>
      </c>
      <c r="H51" s="49">
        <f>AVERAGE('29.10 MUKONO-KALAGI'!H51,'30.10 MUKONO-KALAGI'!H51,'1.11 MUKONO-KALAGI'!H51,'3.11 MUKONO-KALAGI'!H51,'31.10 MUKONO-KALAGI-24h'!H51,'2.11 MUKONO-KALAGI-24h'!H51,'4.11 MUKONO-KALAGI'!H51)</f>
        <v>0</v>
      </c>
      <c r="I51" s="49">
        <f>AVERAGE('29.10 MUKONO-KALAGI'!I51,'30.10 MUKONO-KALAGI'!I51,'1.11 MUKONO-KALAGI'!I51,'3.11 MUKONO-KALAGI'!I51,'31.10 MUKONO-KALAGI-24h'!I51,'2.11 MUKONO-KALAGI-24h'!I51,'4.11 MUKONO-KALAGI'!I51)</f>
        <v>3.2857142857142856</v>
      </c>
      <c r="J51" s="49">
        <f>AVERAGE('29.10 MUKONO-KALAGI'!J51,'30.10 MUKONO-KALAGI'!J51,'1.11 MUKONO-KALAGI'!J51,'3.11 MUKONO-KALAGI'!J51,'31.10 MUKONO-KALAGI-24h'!J51,'2.11 MUKONO-KALAGI-24h'!J51,'4.11 MUKONO-KALAGI'!J51)</f>
        <v>0</v>
      </c>
      <c r="K51" s="49">
        <f>AVERAGE('29.10 MUKONO-KALAGI'!K51,'30.10 MUKONO-KALAGI'!K51,'1.11 MUKONO-KALAGI'!K51,'3.11 MUKONO-KALAGI'!K51,'31.10 MUKONO-KALAGI-24h'!K51,'2.11 MUKONO-KALAGI-24h'!K51,'4.11 MUKONO-KALAGI'!K51)</f>
        <v>0.14285714285714285</v>
      </c>
      <c r="L51" s="49">
        <f>AVERAGE('29.10 MUKONO-KALAGI'!L51,'30.10 MUKONO-KALAGI'!L51,'1.11 MUKONO-KALAGI'!L51,'3.11 MUKONO-KALAGI'!L51,'31.10 MUKONO-KALAGI-24h'!L51,'2.11 MUKONO-KALAGI-24h'!L51,'4.11 MUKONO-KALAGI'!L51)</f>
        <v>0.14285714285714285</v>
      </c>
      <c r="M51" s="49">
        <f>AVERAGE('29.10 MUKONO-KALAGI'!M51,'30.10 MUKONO-KALAGI'!M51,'1.11 MUKONO-KALAGI'!M51,'3.11 MUKONO-KALAGI'!M51,'31.10 MUKONO-KALAGI-24h'!M51,'2.11 MUKONO-KALAGI-24h'!M51,'4.11 MUKONO-KALAGI'!M51)</f>
        <v>25.714285714285715</v>
      </c>
      <c r="N51" s="49">
        <f>AVERAGE('29.10 MUKONO-KALAGI'!N51,'30.10 MUKONO-KALAGI'!N51,'1.11 MUKONO-KALAGI'!N51,'3.11 MUKONO-KALAGI'!N51,'31.10 MUKONO-KALAGI-24h'!N51,'2.11 MUKONO-KALAGI-24h'!N51,'4.11 MUKONO-KALAGI'!N51)</f>
        <v>0</v>
      </c>
      <c r="O51" s="15">
        <f t="shared" si="0"/>
        <v>33.000000000000007</v>
      </c>
      <c r="P51" s="15">
        <f t="shared" si="1"/>
        <v>58.714285714285722</v>
      </c>
      <c r="R51" s="8"/>
      <c r="T51"/>
    </row>
    <row r="52" spans="2:20" ht="23.1" customHeight="1" x14ac:dyDescent="0.25">
      <c r="B52" s="24" t="s">
        <v>79</v>
      </c>
      <c r="C52" s="49">
        <f>AVERAGE('29.10 MUKONO-KALAGI'!C52,'30.10 MUKONO-KALAGI'!C52,'1.11 MUKONO-KALAGI'!C52,'3.11 MUKONO-KALAGI'!C52,'31.10 MUKONO-KALAGI-24h'!C52,'2.11 MUKONO-KALAGI-24h'!C52,'4.11 MUKONO-KALAGI'!C52)</f>
        <v>11.571428571428571</v>
      </c>
      <c r="D52" s="49">
        <f>AVERAGE('29.10 MUKONO-KALAGI'!D52,'30.10 MUKONO-KALAGI'!D52,'1.11 MUKONO-KALAGI'!D52,'3.11 MUKONO-KALAGI'!D52,'31.10 MUKONO-KALAGI-24h'!D52,'2.11 MUKONO-KALAGI-24h'!D52,'4.11 MUKONO-KALAGI'!D52)</f>
        <v>4.2857142857142856</v>
      </c>
      <c r="E52" s="49">
        <f>AVERAGE('29.10 MUKONO-KALAGI'!E52,'30.10 MUKONO-KALAGI'!E52,'1.11 MUKONO-KALAGI'!E52,'3.11 MUKONO-KALAGI'!E52,'31.10 MUKONO-KALAGI-24h'!E52,'2.11 MUKONO-KALAGI-24h'!E52,'4.11 MUKONO-KALAGI'!E52)</f>
        <v>1.7142857142857142</v>
      </c>
      <c r="F52" s="49">
        <f>AVERAGE('29.10 MUKONO-KALAGI'!F52,'30.10 MUKONO-KALAGI'!F52,'1.11 MUKONO-KALAGI'!F52,'3.11 MUKONO-KALAGI'!F52,'31.10 MUKONO-KALAGI-24h'!F52,'2.11 MUKONO-KALAGI-24h'!F52,'4.11 MUKONO-KALAGI'!F52)</f>
        <v>11.285714285714286</v>
      </c>
      <c r="G52" s="49">
        <f>AVERAGE('29.10 MUKONO-KALAGI'!G52,'30.10 MUKONO-KALAGI'!G52,'1.11 MUKONO-KALAGI'!G52,'3.11 MUKONO-KALAGI'!G52,'31.10 MUKONO-KALAGI-24h'!G52,'2.11 MUKONO-KALAGI-24h'!G52,'4.11 MUKONO-KALAGI'!G52)</f>
        <v>0.2857142857142857</v>
      </c>
      <c r="H52" s="49">
        <f>AVERAGE('29.10 MUKONO-KALAGI'!H52,'30.10 MUKONO-KALAGI'!H52,'1.11 MUKONO-KALAGI'!H52,'3.11 MUKONO-KALAGI'!H52,'31.10 MUKONO-KALAGI-24h'!H52,'2.11 MUKONO-KALAGI-24h'!H52,'4.11 MUKONO-KALAGI'!H52)</f>
        <v>0.2857142857142857</v>
      </c>
      <c r="I52" s="49">
        <f>AVERAGE('29.10 MUKONO-KALAGI'!I52,'30.10 MUKONO-KALAGI'!I52,'1.11 MUKONO-KALAGI'!I52,'3.11 MUKONO-KALAGI'!I52,'31.10 MUKONO-KALAGI-24h'!I52,'2.11 MUKONO-KALAGI-24h'!I52,'4.11 MUKONO-KALAGI'!I52)</f>
        <v>2.2857142857142856</v>
      </c>
      <c r="J52" s="49">
        <f>AVERAGE('29.10 MUKONO-KALAGI'!J52,'30.10 MUKONO-KALAGI'!J52,'1.11 MUKONO-KALAGI'!J52,'3.11 MUKONO-KALAGI'!J52,'31.10 MUKONO-KALAGI-24h'!J52,'2.11 MUKONO-KALAGI-24h'!J52,'4.11 MUKONO-KALAGI'!J52)</f>
        <v>0.2857142857142857</v>
      </c>
      <c r="K52" s="49">
        <f>AVERAGE('29.10 MUKONO-KALAGI'!K52,'30.10 MUKONO-KALAGI'!K52,'1.11 MUKONO-KALAGI'!K52,'3.11 MUKONO-KALAGI'!K52,'31.10 MUKONO-KALAGI-24h'!K52,'2.11 MUKONO-KALAGI-24h'!K52,'4.11 MUKONO-KALAGI'!K52)</f>
        <v>0</v>
      </c>
      <c r="L52" s="49">
        <f>AVERAGE('29.10 MUKONO-KALAGI'!L52,'30.10 MUKONO-KALAGI'!L52,'1.11 MUKONO-KALAGI'!L52,'3.11 MUKONO-KALAGI'!L52,'31.10 MUKONO-KALAGI-24h'!L52,'2.11 MUKONO-KALAGI-24h'!L52,'4.11 MUKONO-KALAGI'!L52)</f>
        <v>0.14285714285714285</v>
      </c>
      <c r="M52" s="49">
        <f>AVERAGE('29.10 MUKONO-KALAGI'!M52,'30.10 MUKONO-KALAGI'!M52,'1.11 MUKONO-KALAGI'!M52,'3.11 MUKONO-KALAGI'!M52,'31.10 MUKONO-KALAGI-24h'!M52,'2.11 MUKONO-KALAGI-24h'!M52,'4.11 MUKONO-KALAGI'!M52)</f>
        <v>26.714285714285715</v>
      </c>
      <c r="N52" s="49">
        <f>AVERAGE('29.10 MUKONO-KALAGI'!N52,'30.10 MUKONO-KALAGI'!N52,'1.11 MUKONO-KALAGI'!N52,'3.11 MUKONO-KALAGI'!N52,'31.10 MUKONO-KALAGI-24h'!N52,'2.11 MUKONO-KALAGI-24h'!N52,'4.11 MUKONO-KALAGI'!N52)</f>
        <v>0</v>
      </c>
      <c r="O52" s="15">
        <f t="shared" si="0"/>
        <v>32.142857142857146</v>
      </c>
      <c r="P52" s="15">
        <f t="shared" si="1"/>
        <v>58.857142857142861</v>
      </c>
      <c r="R52" s="8"/>
      <c r="T52"/>
    </row>
    <row r="53" spans="2:20" ht="23.1" customHeight="1" x14ac:dyDescent="0.25">
      <c r="B53" s="23" t="s">
        <v>80</v>
      </c>
      <c r="C53" s="49">
        <f>AVERAGE('29.10 MUKONO-KALAGI'!C53,'30.10 MUKONO-KALAGI'!C53,'1.11 MUKONO-KALAGI'!C53,'3.11 MUKONO-KALAGI'!C53,'31.10 MUKONO-KALAGI-24h'!C53,'2.11 MUKONO-KALAGI-24h'!C53,'4.11 MUKONO-KALAGI'!C53)</f>
        <v>9.5714285714285712</v>
      </c>
      <c r="D53" s="49">
        <f>AVERAGE('29.10 MUKONO-KALAGI'!D53,'30.10 MUKONO-KALAGI'!D53,'1.11 MUKONO-KALAGI'!D53,'3.11 MUKONO-KALAGI'!D53,'31.10 MUKONO-KALAGI-24h'!D53,'2.11 MUKONO-KALAGI-24h'!D53,'4.11 MUKONO-KALAGI'!D53)</f>
        <v>4.5714285714285712</v>
      </c>
      <c r="E53" s="49">
        <f>AVERAGE('29.10 MUKONO-KALAGI'!E53,'30.10 MUKONO-KALAGI'!E53,'1.11 MUKONO-KALAGI'!E53,'3.11 MUKONO-KALAGI'!E53,'31.10 MUKONO-KALAGI-24h'!E53,'2.11 MUKONO-KALAGI-24h'!E53,'4.11 MUKONO-KALAGI'!E53)</f>
        <v>2.7142857142857144</v>
      </c>
      <c r="F53" s="49">
        <f>AVERAGE('29.10 MUKONO-KALAGI'!F53,'30.10 MUKONO-KALAGI'!F53,'1.11 MUKONO-KALAGI'!F53,'3.11 MUKONO-KALAGI'!F53,'31.10 MUKONO-KALAGI-24h'!F53,'2.11 MUKONO-KALAGI-24h'!F53,'4.11 MUKONO-KALAGI'!F53)</f>
        <v>12.571428571428571</v>
      </c>
      <c r="G53" s="49">
        <f>AVERAGE('29.10 MUKONO-KALAGI'!G53,'30.10 MUKONO-KALAGI'!G53,'1.11 MUKONO-KALAGI'!G53,'3.11 MUKONO-KALAGI'!G53,'31.10 MUKONO-KALAGI-24h'!G53,'2.11 MUKONO-KALAGI-24h'!G53,'4.11 MUKONO-KALAGI'!G53)</f>
        <v>0.2857142857142857</v>
      </c>
      <c r="H53" s="49">
        <f>AVERAGE('29.10 MUKONO-KALAGI'!H53,'30.10 MUKONO-KALAGI'!H53,'1.11 MUKONO-KALAGI'!H53,'3.11 MUKONO-KALAGI'!H53,'31.10 MUKONO-KALAGI-24h'!H53,'2.11 MUKONO-KALAGI-24h'!H53,'4.11 MUKONO-KALAGI'!H53)</f>
        <v>0</v>
      </c>
      <c r="I53" s="49">
        <f>AVERAGE('29.10 MUKONO-KALAGI'!I53,'30.10 MUKONO-KALAGI'!I53,'1.11 MUKONO-KALAGI'!I53,'3.11 MUKONO-KALAGI'!I53,'31.10 MUKONO-KALAGI-24h'!I53,'2.11 MUKONO-KALAGI-24h'!I53,'4.11 MUKONO-KALAGI'!I53)</f>
        <v>3.5714285714285716</v>
      </c>
      <c r="J53" s="49">
        <f>AVERAGE('29.10 MUKONO-KALAGI'!J53,'30.10 MUKONO-KALAGI'!J53,'1.11 MUKONO-KALAGI'!J53,'3.11 MUKONO-KALAGI'!J53,'31.10 MUKONO-KALAGI-24h'!J53,'2.11 MUKONO-KALAGI-24h'!J53,'4.11 MUKONO-KALAGI'!J53)</f>
        <v>0.14285714285714285</v>
      </c>
      <c r="K53" s="49">
        <f>AVERAGE('29.10 MUKONO-KALAGI'!K53,'30.10 MUKONO-KALAGI'!K53,'1.11 MUKONO-KALAGI'!K53,'3.11 MUKONO-KALAGI'!K53,'31.10 MUKONO-KALAGI-24h'!K53,'2.11 MUKONO-KALAGI-24h'!K53,'4.11 MUKONO-KALAGI'!K53)</f>
        <v>0.14285714285714285</v>
      </c>
      <c r="L53" s="49">
        <f>AVERAGE('29.10 MUKONO-KALAGI'!L53,'30.10 MUKONO-KALAGI'!L53,'1.11 MUKONO-KALAGI'!L53,'3.11 MUKONO-KALAGI'!L53,'31.10 MUKONO-KALAGI-24h'!L53,'2.11 MUKONO-KALAGI-24h'!L53,'4.11 MUKONO-KALAGI'!L53)</f>
        <v>0</v>
      </c>
      <c r="M53" s="49">
        <f>AVERAGE('29.10 MUKONO-KALAGI'!M53,'30.10 MUKONO-KALAGI'!M53,'1.11 MUKONO-KALAGI'!M53,'3.11 MUKONO-KALAGI'!M53,'31.10 MUKONO-KALAGI-24h'!M53,'2.11 MUKONO-KALAGI-24h'!M53,'4.11 MUKONO-KALAGI'!M53)</f>
        <v>23.142857142857142</v>
      </c>
      <c r="N53" s="49">
        <f>AVERAGE('29.10 MUKONO-KALAGI'!N53,'30.10 MUKONO-KALAGI'!N53,'1.11 MUKONO-KALAGI'!N53,'3.11 MUKONO-KALAGI'!N53,'31.10 MUKONO-KALAGI-24h'!N53,'2.11 MUKONO-KALAGI-24h'!N53,'4.11 MUKONO-KALAGI'!N53)</f>
        <v>0.14285714285714285</v>
      </c>
      <c r="O53" s="15">
        <f t="shared" si="0"/>
        <v>33.714285714285722</v>
      </c>
      <c r="P53" s="15">
        <f t="shared" si="1"/>
        <v>56.857142857142868</v>
      </c>
      <c r="R53" s="8"/>
      <c r="T53"/>
    </row>
    <row r="54" spans="2:20" ht="23.1" customHeight="1" x14ac:dyDescent="0.25">
      <c r="B54" s="23" t="s">
        <v>81</v>
      </c>
      <c r="C54" s="49">
        <f>AVERAGE('29.10 MUKONO-KALAGI'!C54,'30.10 MUKONO-KALAGI'!C54,'1.11 MUKONO-KALAGI'!C54,'3.11 MUKONO-KALAGI'!C54,'31.10 MUKONO-KALAGI-24h'!C54,'2.11 MUKONO-KALAGI-24h'!C54,'4.11 MUKONO-KALAGI'!C54)</f>
        <v>10.714285714285714</v>
      </c>
      <c r="D54" s="49">
        <f>AVERAGE('29.10 MUKONO-KALAGI'!D54,'30.10 MUKONO-KALAGI'!D54,'1.11 MUKONO-KALAGI'!D54,'3.11 MUKONO-KALAGI'!D54,'31.10 MUKONO-KALAGI-24h'!D54,'2.11 MUKONO-KALAGI-24h'!D54,'4.11 MUKONO-KALAGI'!D54)</f>
        <v>4.8571428571428568</v>
      </c>
      <c r="E54" s="49">
        <f>AVERAGE('29.10 MUKONO-KALAGI'!E54,'30.10 MUKONO-KALAGI'!E54,'1.11 MUKONO-KALAGI'!E54,'3.11 MUKONO-KALAGI'!E54,'31.10 MUKONO-KALAGI-24h'!E54,'2.11 MUKONO-KALAGI-24h'!E54,'4.11 MUKONO-KALAGI'!E54)</f>
        <v>2.4285714285714284</v>
      </c>
      <c r="F54" s="49">
        <f>AVERAGE('29.10 MUKONO-KALAGI'!F54,'30.10 MUKONO-KALAGI'!F54,'1.11 MUKONO-KALAGI'!F54,'3.11 MUKONO-KALAGI'!F54,'31.10 MUKONO-KALAGI-24h'!F54,'2.11 MUKONO-KALAGI-24h'!F54,'4.11 MUKONO-KALAGI'!F54)</f>
        <v>10.142857142857142</v>
      </c>
      <c r="G54" s="49">
        <f>AVERAGE('29.10 MUKONO-KALAGI'!G54,'30.10 MUKONO-KALAGI'!G54,'1.11 MUKONO-KALAGI'!G54,'3.11 MUKONO-KALAGI'!G54,'31.10 MUKONO-KALAGI-24h'!G54,'2.11 MUKONO-KALAGI-24h'!G54,'4.11 MUKONO-KALAGI'!G54)</f>
        <v>0.14285714285714285</v>
      </c>
      <c r="H54" s="49">
        <f>AVERAGE('29.10 MUKONO-KALAGI'!H54,'30.10 MUKONO-KALAGI'!H54,'1.11 MUKONO-KALAGI'!H54,'3.11 MUKONO-KALAGI'!H54,'31.10 MUKONO-KALAGI-24h'!H54,'2.11 MUKONO-KALAGI-24h'!H54,'4.11 MUKONO-KALAGI'!H54)</f>
        <v>0</v>
      </c>
      <c r="I54" s="49">
        <f>AVERAGE('29.10 MUKONO-KALAGI'!I54,'30.10 MUKONO-KALAGI'!I54,'1.11 MUKONO-KALAGI'!I54,'3.11 MUKONO-KALAGI'!I54,'31.10 MUKONO-KALAGI-24h'!I54,'2.11 MUKONO-KALAGI-24h'!I54,'4.11 MUKONO-KALAGI'!I54)</f>
        <v>2.8571428571428572</v>
      </c>
      <c r="J54" s="49">
        <f>AVERAGE('29.10 MUKONO-KALAGI'!J54,'30.10 MUKONO-KALAGI'!J54,'1.11 MUKONO-KALAGI'!J54,'3.11 MUKONO-KALAGI'!J54,'31.10 MUKONO-KALAGI-24h'!J54,'2.11 MUKONO-KALAGI-24h'!J54,'4.11 MUKONO-KALAGI'!J54)</f>
        <v>0</v>
      </c>
      <c r="K54" s="49">
        <f>AVERAGE('29.10 MUKONO-KALAGI'!K54,'30.10 MUKONO-KALAGI'!K54,'1.11 MUKONO-KALAGI'!K54,'3.11 MUKONO-KALAGI'!K54,'31.10 MUKONO-KALAGI-24h'!K54,'2.11 MUKONO-KALAGI-24h'!K54,'4.11 MUKONO-KALAGI'!K54)</f>
        <v>0.14285714285714285</v>
      </c>
      <c r="L54" s="49">
        <f>AVERAGE('29.10 MUKONO-KALAGI'!L54,'30.10 MUKONO-KALAGI'!L54,'1.11 MUKONO-KALAGI'!L54,'3.11 MUKONO-KALAGI'!L54,'31.10 MUKONO-KALAGI-24h'!L54,'2.11 MUKONO-KALAGI-24h'!L54,'4.11 MUKONO-KALAGI'!L54)</f>
        <v>0</v>
      </c>
      <c r="M54" s="49">
        <f>AVERAGE('29.10 MUKONO-KALAGI'!M54,'30.10 MUKONO-KALAGI'!M54,'1.11 MUKONO-KALAGI'!M54,'3.11 MUKONO-KALAGI'!M54,'31.10 MUKONO-KALAGI-24h'!M54,'2.11 MUKONO-KALAGI-24h'!M54,'4.11 MUKONO-KALAGI'!M54)</f>
        <v>23</v>
      </c>
      <c r="N54" s="49">
        <f>AVERAGE('29.10 MUKONO-KALAGI'!N54,'30.10 MUKONO-KALAGI'!N54,'1.11 MUKONO-KALAGI'!N54,'3.11 MUKONO-KALAGI'!N54,'31.10 MUKONO-KALAGI-24h'!N54,'2.11 MUKONO-KALAGI-24h'!N54,'4.11 MUKONO-KALAGI'!N54)</f>
        <v>0</v>
      </c>
      <c r="O54" s="15">
        <f t="shared" si="0"/>
        <v>31.285714285714281</v>
      </c>
      <c r="P54" s="15">
        <f t="shared" si="1"/>
        <v>54.285714285714278</v>
      </c>
      <c r="R54" s="8"/>
      <c r="T54"/>
    </row>
    <row r="55" spans="2:20" ht="23.1" customHeight="1" x14ac:dyDescent="0.25">
      <c r="B55" s="23" t="s">
        <v>82</v>
      </c>
      <c r="C55" s="49">
        <f>AVERAGE('29.10 MUKONO-KALAGI'!C55,'30.10 MUKONO-KALAGI'!C55,'1.11 MUKONO-KALAGI'!C55,'3.11 MUKONO-KALAGI'!C55,'31.10 MUKONO-KALAGI-24h'!C55,'2.11 MUKONO-KALAGI-24h'!C55,'4.11 MUKONO-KALAGI'!C55)</f>
        <v>10.142857142857142</v>
      </c>
      <c r="D55" s="49">
        <f>AVERAGE('29.10 MUKONO-KALAGI'!D55,'30.10 MUKONO-KALAGI'!D55,'1.11 MUKONO-KALAGI'!D55,'3.11 MUKONO-KALAGI'!D55,'31.10 MUKONO-KALAGI-24h'!D55,'2.11 MUKONO-KALAGI-24h'!D55,'4.11 MUKONO-KALAGI'!D55)</f>
        <v>2.8571428571428572</v>
      </c>
      <c r="E55" s="49">
        <f>AVERAGE('29.10 MUKONO-KALAGI'!E55,'30.10 MUKONO-KALAGI'!E55,'1.11 MUKONO-KALAGI'!E55,'3.11 MUKONO-KALAGI'!E55,'31.10 MUKONO-KALAGI-24h'!E55,'2.11 MUKONO-KALAGI-24h'!E55,'4.11 MUKONO-KALAGI'!E55)</f>
        <v>3.8571428571428572</v>
      </c>
      <c r="F55" s="49">
        <f>AVERAGE('29.10 MUKONO-KALAGI'!F55,'30.10 MUKONO-KALAGI'!F55,'1.11 MUKONO-KALAGI'!F55,'3.11 MUKONO-KALAGI'!F55,'31.10 MUKONO-KALAGI-24h'!F55,'2.11 MUKONO-KALAGI-24h'!F55,'4.11 MUKONO-KALAGI'!F55)</f>
        <v>12.142857142857142</v>
      </c>
      <c r="G55" s="49">
        <f>AVERAGE('29.10 MUKONO-KALAGI'!G55,'30.10 MUKONO-KALAGI'!G55,'1.11 MUKONO-KALAGI'!G55,'3.11 MUKONO-KALAGI'!G55,'31.10 MUKONO-KALAGI-24h'!G55,'2.11 MUKONO-KALAGI-24h'!G55,'4.11 MUKONO-KALAGI'!G55)</f>
        <v>0.42857142857142855</v>
      </c>
      <c r="H55" s="49">
        <f>AVERAGE('29.10 MUKONO-KALAGI'!H55,'30.10 MUKONO-KALAGI'!H55,'1.11 MUKONO-KALAGI'!H55,'3.11 MUKONO-KALAGI'!H55,'31.10 MUKONO-KALAGI-24h'!H55,'2.11 MUKONO-KALAGI-24h'!H55,'4.11 MUKONO-KALAGI'!H55)</f>
        <v>0.14285714285714285</v>
      </c>
      <c r="I55" s="49">
        <f>AVERAGE('29.10 MUKONO-KALAGI'!I55,'30.10 MUKONO-KALAGI'!I55,'1.11 MUKONO-KALAGI'!I55,'3.11 MUKONO-KALAGI'!I55,'31.10 MUKONO-KALAGI-24h'!I55,'2.11 MUKONO-KALAGI-24h'!I55,'4.11 MUKONO-KALAGI'!I55)</f>
        <v>2.4285714285714284</v>
      </c>
      <c r="J55" s="49">
        <f>AVERAGE('29.10 MUKONO-KALAGI'!J55,'30.10 MUKONO-KALAGI'!J55,'1.11 MUKONO-KALAGI'!J55,'3.11 MUKONO-KALAGI'!J55,'31.10 MUKONO-KALAGI-24h'!J55,'2.11 MUKONO-KALAGI-24h'!J55,'4.11 MUKONO-KALAGI'!J55)</f>
        <v>0</v>
      </c>
      <c r="K55" s="49">
        <f>AVERAGE('29.10 MUKONO-KALAGI'!K55,'30.10 MUKONO-KALAGI'!K55,'1.11 MUKONO-KALAGI'!K55,'3.11 MUKONO-KALAGI'!K55,'31.10 MUKONO-KALAGI-24h'!K55,'2.11 MUKONO-KALAGI-24h'!K55,'4.11 MUKONO-KALAGI'!K55)</f>
        <v>0</v>
      </c>
      <c r="L55" s="49">
        <f>AVERAGE('29.10 MUKONO-KALAGI'!L55,'30.10 MUKONO-KALAGI'!L55,'1.11 MUKONO-KALAGI'!L55,'3.11 MUKONO-KALAGI'!L55,'31.10 MUKONO-KALAGI-24h'!L55,'2.11 MUKONO-KALAGI-24h'!L55,'4.11 MUKONO-KALAGI'!L55)</f>
        <v>0.2857142857142857</v>
      </c>
      <c r="M55" s="49">
        <f>AVERAGE('29.10 MUKONO-KALAGI'!M55,'30.10 MUKONO-KALAGI'!M55,'1.11 MUKONO-KALAGI'!M55,'3.11 MUKONO-KALAGI'!M55,'31.10 MUKONO-KALAGI-24h'!M55,'2.11 MUKONO-KALAGI-24h'!M55,'4.11 MUKONO-KALAGI'!M55)</f>
        <v>27</v>
      </c>
      <c r="N55" s="49">
        <f>AVERAGE('29.10 MUKONO-KALAGI'!N55,'30.10 MUKONO-KALAGI'!N55,'1.11 MUKONO-KALAGI'!N55,'3.11 MUKONO-KALAGI'!N55,'31.10 MUKONO-KALAGI-24h'!N55,'2.11 MUKONO-KALAGI-24h'!N55,'4.11 MUKONO-KALAGI'!N55)</f>
        <v>0.2857142857142857</v>
      </c>
      <c r="O55" s="15">
        <f t="shared" si="0"/>
        <v>32.571428571428569</v>
      </c>
      <c r="P55" s="15">
        <f t="shared" si="1"/>
        <v>59.571428571428569</v>
      </c>
      <c r="R55" s="8"/>
      <c r="T55"/>
    </row>
    <row r="56" spans="2:20" ht="23.1" customHeight="1" x14ac:dyDescent="0.25">
      <c r="B56" s="23" t="s">
        <v>83</v>
      </c>
      <c r="C56" s="49">
        <f>AVERAGE('29.10 MUKONO-KALAGI'!C56,'30.10 MUKONO-KALAGI'!C56,'1.11 MUKONO-KALAGI'!C56,'3.11 MUKONO-KALAGI'!C56,'31.10 MUKONO-KALAGI-24h'!C56,'2.11 MUKONO-KALAGI-24h'!C56,'4.11 MUKONO-KALAGI'!C56)</f>
        <v>10.428571428571429</v>
      </c>
      <c r="D56" s="49">
        <f>AVERAGE('29.10 MUKONO-KALAGI'!D56,'30.10 MUKONO-KALAGI'!D56,'1.11 MUKONO-KALAGI'!D56,'3.11 MUKONO-KALAGI'!D56,'31.10 MUKONO-KALAGI-24h'!D56,'2.11 MUKONO-KALAGI-24h'!D56,'4.11 MUKONO-KALAGI'!D56)</f>
        <v>2.7142857142857144</v>
      </c>
      <c r="E56" s="49">
        <f>AVERAGE('29.10 MUKONO-KALAGI'!E56,'30.10 MUKONO-KALAGI'!E56,'1.11 MUKONO-KALAGI'!E56,'3.11 MUKONO-KALAGI'!E56,'31.10 MUKONO-KALAGI-24h'!E56,'2.11 MUKONO-KALAGI-24h'!E56,'4.11 MUKONO-KALAGI'!E56)</f>
        <v>1.5714285714285714</v>
      </c>
      <c r="F56" s="49">
        <f>AVERAGE('29.10 MUKONO-KALAGI'!F56,'30.10 MUKONO-KALAGI'!F56,'1.11 MUKONO-KALAGI'!F56,'3.11 MUKONO-KALAGI'!F56,'31.10 MUKONO-KALAGI-24h'!F56,'2.11 MUKONO-KALAGI-24h'!F56,'4.11 MUKONO-KALAGI'!F56)</f>
        <v>10.714285714285714</v>
      </c>
      <c r="G56" s="49">
        <f>AVERAGE('29.10 MUKONO-KALAGI'!G56,'30.10 MUKONO-KALAGI'!G56,'1.11 MUKONO-KALAGI'!G56,'3.11 MUKONO-KALAGI'!G56,'31.10 MUKONO-KALAGI-24h'!G56,'2.11 MUKONO-KALAGI-24h'!G56,'4.11 MUKONO-KALAGI'!G56)</f>
        <v>0.14285714285714285</v>
      </c>
      <c r="H56" s="49">
        <f>AVERAGE('29.10 MUKONO-KALAGI'!H56,'30.10 MUKONO-KALAGI'!H56,'1.11 MUKONO-KALAGI'!H56,'3.11 MUKONO-KALAGI'!H56,'31.10 MUKONO-KALAGI-24h'!H56,'2.11 MUKONO-KALAGI-24h'!H56,'4.11 MUKONO-KALAGI'!H56)</f>
        <v>0</v>
      </c>
      <c r="I56" s="49">
        <f>AVERAGE('29.10 MUKONO-KALAGI'!I56,'30.10 MUKONO-KALAGI'!I56,'1.11 MUKONO-KALAGI'!I56,'3.11 MUKONO-KALAGI'!I56,'31.10 MUKONO-KALAGI-24h'!I56,'2.11 MUKONO-KALAGI-24h'!I56,'4.11 MUKONO-KALAGI'!I56)</f>
        <v>2.2857142857142856</v>
      </c>
      <c r="J56" s="49">
        <f>AVERAGE('29.10 MUKONO-KALAGI'!J56,'30.10 MUKONO-KALAGI'!J56,'1.11 MUKONO-KALAGI'!J56,'3.11 MUKONO-KALAGI'!J56,'31.10 MUKONO-KALAGI-24h'!J56,'2.11 MUKONO-KALAGI-24h'!J56,'4.11 MUKONO-KALAGI'!J56)</f>
        <v>0.14285714285714285</v>
      </c>
      <c r="K56" s="49">
        <f>AVERAGE('29.10 MUKONO-KALAGI'!K56,'30.10 MUKONO-KALAGI'!K56,'1.11 MUKONO-KALAGI'!K56,'3.11 MUKONO-KALAGI'!K56,'31.10 MUKONO-KALAGI-24h'!K56,'2.11 MUKONO-KALAGI-24h'!K56,'4.11 MUKONO-KALAGI'!K56)</f>
        <v>0</v>
      </c>
      <c r="L56" s="49">
        <f>AVERAGE('29.10 MUKONO-KALAGI'!L56,'30.10 MUKONO-KALAGI'!L56,'1.11 MUKONO-KALAGI'!L56,'3.11 MUKONO-KALAGI'!L56,'31.10 MUKONO-KALAGI-24h'!L56,'2.11 MUKONO-KALAGI-24h'!L56,'4.11 MUKONO-KALAGI'!L56)</f>
        <v>0</v>
      </c>
      <c r="M56" s="49">
        <f>AVERAGE('29.10 MUKONO-KALAGI'!M56,'30.10 MUKONO-KALAGI'!M56,'1.11 MUKONO-KALAGI'!M56,'3.11 MUKONO-KALAGI'!M56,'31.10 MUKONO-KALAGI-24h'!M56,'2.11 MUKONO-KALAGI-24h'!M56,'4.11 MUKONO-KALAGI'!M56)</f>
        <v>27.714285714285715</v>
      </c>
      <c r="N56" s="49">
        <f>AVERAGE('29.10 MUKONO-KALAGI'!N56,'30.10 MUKONO-KALAGI'!N56,'1.11 MUKONO-KALAGI'!N56,'3.11 MUKONO-KALAGI'!N56,'31.10 MUKONO-KALAGI-24h'!N56,'2.11 MUKONO-KALAGI-24h'!N56,'4.11 MUKONO-KALAGI'!N56)</f>
        <v>0</v>
      </c>
      <c r="O56" s="15">
        <f t="shared" si="0"/>
        <v>27.999999999999996</v>
      </c>
      <c r="P56" s="15">
        <f t="shared" si="1"/>
        <v>55.714285714285708</v>
      </c>
      <c r="R56" s="8"/>
      <c r="T56"/>
    </row>
    <row r="57" spans="2:20" ht="23.1" customHeight="1" x14ac:dyDescent="0.25">
      <c r="B57" s="23" t="s">
        <v>84</v>
      </c>
      <c r="C57" s="49">
        <f>AVERAGE('29.10 MUKONO-KALAGI'!C57,'30.10 MUKONO-KALAGI'!C57,'1.11 MUKONO-KALAGI'!C57,'3.11 MUKONO-KALAGI'!C57,'31.10 MUKONO-KALAGI-24h'!C57,'2.11 MUKONO-KALAGI-24h'!C57,'4.11 MUKONO-KALAGI'!C57)</f>
        <v>8.8571428571428577</v>
      </c>
      <c r="D57" s="49">
        <f>AVERAGE('29.10 MUKONO-KALAGI'!D57,'30.10 MUKONO-KALAGI'!D57,'1.11 MUKONO-KALAGI'!D57,'3.11 MUKONO-KALAGI'!D57,'31.10 MUKONO-KALAGI-24h'!D57,'2.11 MUKONO-KALAGI-24h'!D57,'4.11 MUKONO-KALAGI'!D57)</f>
        <v>1</v>
      </c>
      <c r="E57" s="49">
        <f>AVERAGE('29.10 MUKONO-KALAGI'!E57,'30.10 MUKONO-KALAGI'!E57,'1.11 MUKONO-KALAGI'!E57,'3.11 MUKONO-KALAGI'!E57,'31.10 MUKONO-KALAGI-24h'!E57,'2.11 MUKONO-KALAGI-24h'!E57,'4.11 MUKONO-KALAGI'!E57)</f>
        <v>1.1428571428571428</v>
      </c>
      <c r="F57" s="49">
        <f>AVERAGE('29.10 MUKONO-KALAGI'!F57,'30.10 MUKONO-KALAGI'!F57,'1.11 MUKONO-KALAGI'!F57,'3.11 MUKONO-KALAGI'!F57,'31.10 MUKONO-KALAGI-24h'!F57,'2.11 MUKONO-KALAGI-24h'!F57,'4.11 MUKONO-KALAGI'!F57)</f>
        <v>8.4285714285714288</v>
      </c>
      <c r="G57" s="49">
        <f>AVERAGE('29.10 MUKONO-KALAGI'!G57,'30.10 MUKONO-KALAGI'!G57,'1.11 MUKONO-KALAGI'!G57,'3.11 MUKONO-KALAGI'!G57,'31.10 MUKONO-KALAGI-24h'!G57,'2.11 MUKONO-KALAGI-24h'!G57,'4.11 MUKONO-KALAGI'!G57)</f>
        <v>0.14285714285714285</v>
      </c>
      <c r="H57" s="49">
        <f>AVERAGE('29.10 MUKONO-KALAGI'!H57,'30.10 MUKONO-KALAGI'!H57,'1.11 MUKONO-KALAGI'!H57,'3.11 MUKONO-KALAGI'!H57,'31.10 MUKONO-KALAGI-24h'!H57,'2.11 MUKONO-KALAGI-24h'!H57,'4.11 MUKONO-KALAGI'!H57)</f>
        <v>0.2857142857142857</v>
      </c>
      <c r="I57" s="49">
        <f>AVERAGE('29.10 MUKONO-KALAGI'!I57,'30.10 MUKONO-KALAGI'!I57,'1.11 MUKONO-KALAGI'!I57,'3.11 MUKONO-KALAGI'!I57,'31.10 MUKONO-KALAGI-24h'!I57,'2.11 MUKONO-KALAGI-24h'!I57,'4.11 MUKONO-KALAGI'!I57)</f>
        <v>2</v>
      </c>
      <c r="J57" s="49">
        <f>AVERAGE('29.10 MUKONO-KALAGI'!J57,'30.10 MUKONO-KALAGI'!J57,'1.11 MUKONO-KALAGI'!J57,'3.11 MUKONO-KALAGI'!J57,'31.10 MUKONO-KALAGI-24h'!J57,'2.11 MUKONO-KALAGI-24h'!J57,'4.11 MUKONO-KALAGI'!J57)</f>
        <v>0.42857142857142855</v>
      </c>
      <c r="K57" s="49">
        <f>AVERAGE('29.10 MUKONO-KALAGI'!K57,'30.10 MUKONO-KALAGI'!K57,'1.11 MUKONO-KALAGI'!K57,'3.11 MUKONO-KALAGI'!K57,'31.10 MUKONO-KALAGI-24h'!K57,'2.11 MUKONO-KALAGI-24h'!K57,'4.11 MUKONO-KALAGI'!K57)</f>
        <v>0.5714285714285714</v>
      </c>
      <c r="L57" s="49">
        <f>AVERAGE('29.10 MUKONO-KALAGI'!L57,'30.10 MUKONO-KALAGI'!L57,'1.11 MUKONO-KALAGI'!L57,'3.11 MUKONO-KALAGI'!L57,'31.10 MUKONO-KALAGI-24h'!L57,'2.11 MUKONO-KALAGI-24h'!L57,'4.11 MUKONO-KALAGI'!L57)</f>
        <v>0.42857142857142855</v>
      </c>
      <c r="M57" s="49">
        <f>AVERAGE('29.10 MUKONO-KALAGI'!M57,'30.10 MUKONO-KALAGI'!M57,'1.11 MUKONO-KALAGI'!M57,'3.11 MUKONO-KALAGI'!M57,'31.10 MUKONO-KALAGI-24h'!M57,'2.11 MUKONO-KALAGI-24h'!M57,'4.11 MUKONO-KALAGI'!M57)</f>
        <v>23</v>
      </c>
      <c r="N57" s="49">
        <f>AVERAGE('29.10 MUKONO-KALAGI'!N57,'30.10 MUKONO-KALAGI'!N57,'1.11 MUKONO-KALAGI'!N57,'3.11 MUKONO-KALAGI'!N57,'31.10 MUKONO-KALAGI-24h'!N57,'2.11 MUKONO-KALAGI-24h'!N57,'4.11 MUKONO-KALAGI'!N57)</f>
        <v>0</v>
      </c>
      <c r="O57" s="15">
        <f t="shared" si="0"/>
        <v>23.285714285714285</v>
      </c>
      <c r="P57" s="15">
        <f t="shared" si="1"/>
        <v>46.285714285714285</v>
      </c>
      <c r="R57" s="8"/>
      <c r="T57"/>
    </row>
    <row r="58" spans="2:20" ht="23.1" customHeight="1" x14ac:dyDescent="0.25">
      <c r="B58" s="23" t="s">
        <v>99</v>
      </c>
      <c r="C58" s="49">
        <f>AVERAGE('31.10 MUKONO-KALAGI-24h'!C58,'2.11 MUKONO-KALAGI-24h'!C58)</f>
        <v>8.5</v>
      </c>
      <c r="D58" s="49">
        <f>AVERAGE('31.10 MUKONO-KALAGI-24h'!D58,'2.11 MUKONO-KALAGI-24h'!D58)</f>
        <v>0.5</v>
      </c>
      <c r="E58" s="49">
        <f>AVERAGE('31.10 MUKONO-KALAGI-24h'!E58,'2.11 MUKONO-KALAGI-24h'!E58)</f>
        <v>1.5</v>
      </c>
      <c r="F58" s="49">
        <f>AVERAGE('31.10 MUKONO-KALAGI-24h'!F58,'2.11 MUKONO-KALAGI-24h'!F58)</f>
        <v>11.5</v>
      </c>
      <c r="G58" s="49">
        <f>AVERAGE('31.10 MUKONO-KALAGI-24h'!G58,'2.11 MUKONO-KALAGI-24h'!G58)</f>
        <v>0</v>
      </c>
      <c r="H58" s="49">
        <f>AVERAGE('31.10 MUKONO-KALAGI-24h'!H58,'2.11 MUKONO-KALAGI-24h'!H58)</f>
        <v>0</v>
      </c>
      <c r="I58" s="49">
        <f>AVERAGE('31.10 MUKONO-KALAGI-24h'!I58,'2.11 MUKONO-KALAGI-24h'!I58)</f>
        <v>3</v>
      </c>
      <c r="J58" s="49">
        <f>AVERAGE('31.10 MUKONO-KALAGI-24h'!J58,'2.11 MUKONO-KALAGI-24h'!J58)</f>
        <v>0</v>
      </c>
      <c r="K58" s="49">
        <f>AVERAGE('31.10 MUKONO-KALAGI-24h'!K58,'2.11 MUKONO-KALAGI-24h'!K58)</f>
        <v>0</v>
      </c>
      <c r="L58" s="49">
        <f>AVERAGE('31.10 MUKONO-KALAGI-24h'!L58,'2.11 MUKONO-KALAGI-24h'!L58)</f>
        <v>0</v>
      </c>
      <c r="M58" s="49">
        <f>AVERAGE('31.10 MUKONO-KALAGI-24h'!M58,'2.11 MUKONO-KALAGI-24h'!M58)</f>
        <v>24</v>
      </c>
      <c r="N58" s="49">
        <f>AVERAGE('31.10 MUKONO-KALAGI-24h'!N58,'2.11 MUKONO-KALAGI-24h'!N58)</f>
        <v>0</v>
      </c>
      <c r="O58" s="15">
        <f t="shared" si="0"/>
        <v>25</v>
      </c>
      <c r="P58" s="15">
        <f t="shared" si="1"/>
        <v>49</v>
      </c>
      <c r="R58" s="8"/>
      <c r="T58"/>
    </row>
    <row r="59" spans="2:20" ht="23.1" customHeight="1" x14ac:dyDescent="0.25">
      <c r="B59" s="23" t="s">
        <v>100</v>
      </c>
      <c r="C59" s="49">
        <f>AVERAGE('31.10 MUKONO-KALAGI-24h'!C59,'2.11 MUKONO-KALAGI-24h'!C59)</f>
        <v>10</v>
      </c>
      <c r="D59" s="49">
        <f>AVERAGE('31.10 MUKONO-KALAGI-24h'!D59,'2.11 MUKONO-KALAGI-24h'!D59)</f>
        <v>3.5</v>
      </c>
      <c r="E59" s="49">
        <f>AVERAGE('31.10 MUKONO-KALAGI-24h'!E59,'2.11 MUKONO-KALAGI-24h'!E59)</f>
        <v>2</v>
      </c>
      <c r="F59" s="49">
        <f>AVERAGE('31.10 MUKONO-KALAGI-24h'!F59,'2.11 MUKONO-KALAGI-24h'!F59)</f>
        <v>9</v>
      </c>
      <c r="G59" s="49">
        <f>AVERAGE('31.10 MUKONO-KALAGI-24h'!G59,'2.11 MUKONO-KALAGI-24h'!G59)</f>
        <v>2</v>
      </c>
      <c r="H59" s="49">
        <f>AVERAGE('31.10 MUKONO-KALAGI-24h'!H59,'2.11 MUKONO-KALAGI-24h'!H59)</f>
        <v>0</v>
      </c>
      <c r="I59" s="49">
        <f>AVERAGE('31.10 MUKONO-KALAGI-24h'!I59,'2.11 MUKONO-KALAGI-24h'!I59)</f>
        <v>3</v>
      </c>
      <c r="J59" s="49">
        <f>AVERAGE('31.10 MUKONO-KALAGI-24h'!J59,'2.11 MUKONO-KALAGI-24h'!J59)</f>
        <v>0</v>
      </c>
      <c r="K59" s="49">
        <f>AVERAGE('31.10 MUKONO-KALAGI-24h'!K59,'2.11 MUKONO-KALAGI-24h'!K59)</f>
        <v>0</v>
      </c>
      <c r="L59" s="49">
        <f>AVERAGE('31.10 MUKONO-KALAGI-24h'!L59,'2.11 MUKONO-KALAGI-24h'!L59)</f>
        <v>0</v>
      </c>
      <c r="M59" s="49">
        <f>AVERAGE('31.10 MUKONO-KALAGI-24h'!M59,'2.11 MUKONO-KALAGI-24h'!M59)</f>
        <v>33.5</v>
      </c>
      <c r="N59" s="49">
        <f>AVERAGE('31.10 MUKONO-KALAGI-24h'!N59,'2.11 MUKONO-KALAGI-24h'!N59)</f>
        <v>0</v>
      </c>
      <c r="O59" s="15">
        <f t="shared" si="0"/>
        <v>29.5</v>
      </c>
      <c r="P59" s="15">
        <f t="shared" si="1"/>
        <v>63</v>
      </c>
      <c r="R59" s="8"/>
      <c r="T59"/>
    </row>
    <row r="60" spans="2:20" ht="23.1" customHeight="1" x14ac:dyDescent="0.25">
      <c r="B60" s="23" t="s">
        <v>101</v>
      </c>
      <c r="C60" s="49">
        <f>AVERAGE('31.10 MUKONO-KALAGI-24h'!C60,'2.11 MUKONO-KALAGI-24h'!C60)</f>
        <v>9</v>
      </c>
      <c r="D60" s="49">
        <f>AVERAGE('31.10 MUKONO-KALAGI-24h'!D60,'2.11 MUKONO-KALAGI-24h'!D60)</f>
        <v>2</v>
      </c>
      <c r="E60" s="49">
        <f>AVERAGE('31.10 MUKONO-KALAGI-24h'!E60,'2.11 MUKONO-KALAGI-24h'!E60)</f>
        <v>1.5</v>
      </c>
      <c r="F60" s="49">
        <f>AVERAGE('31.10 MUKONO-KALAGI-24h'!F60,'2.11 MUKONO-KALAGI-24h'!F60)</f>
        <v>10.5</v>
      </c>
      <c r="G60" s="49">
        <f>AVERAGE('31.10 MUKONO-KALAGI-24h'!G60,'2.11 MUKONO-KALAGI-24h'!G60)</f>
        <v>0.5</v>
      </c>
      <c r="H60" s="49">
        <f>AVERAGE('31.10 MUKONO-KALAGI-24h'!H60,'2.11 MUKONO-KALAGI-24h'!H60)</f>
        <v>0</v>
      </c>
      <c r="I60" s="49">
        <f>AVERAGE('31.10 MUKONO-KALAGI-24h'!I60,'2.11 MUKONO-KALAGI-24h'!I60)</f>
        <v>3.5</v>
      </c>
      <c r="J60" s="49">
        <f>AVERAGE('31.10 MUKONO-KALAGI-24h'!J60,'2.11 MUKONO-KALAGI-24h'!J60)</f>
        <v>0</v>
      </c>
      <c r="K60" s="49">
        <f>AVERAGE('31.10 MUKONO-KALAGI-24h'!K60,'2.11 MUKONO-KALAGI-24h'!K60)</f>
        <v>0</v>
      </c>
      <c r="L60" s="49">
        <f>AVERAGE('31.10 MUKONO-KALAGI-24h'!L60,'2.11 MUKONO-KALAGI-24h'!L60)</f>
        <v>0</v>
      </c>
      <c r="M60" s="49">
        <f>AVERAGE('31.10 MUKONO-KALAGI-24h'!M60,'2.11 MUKONO-KALAGI-24h'!M60)</f>
        <v>22</v>
      </c>
      <c r="N60" s="49">
        <f>AVERAGE('31.10 MUKONO-KALAGI-24h'!N60,'2.11 MUKONO-KALAGI-24h'!N60)</f>
        <v>0</v>
      </c>
      <c r="O60" s="15">
        <f t="shared" si="0"/>
        <v>27</v>
      </c>
      <c r="P60" s="15">
        <f t="shared" si="1"/>
        <v>49</v>
      </c>
      <c r="R60" s="8"/>
      <c r="T60"/>
    </row>
    <row r="61" spans="2:20" ht="23.1" customHeight="1" x14ac:dyDescent="0.25">
      <c r="B61" s="23" t="s">
        <v>102</v>
      </c>
      <c r="C61" s="49">
        <f>AVERAGE('31.10 MUKONO-KALAGI-24h'!C61,'2.11 MUKONO-KALAGI-24h'!C61)</f>
        <v>9.5</v>
      </c>
      <c r="D61" s="49">
        <f>AVERAGE('31.10 MUKONO-KALAGI-24h'!D61,'2.11 MUKONO-KALAGI-24h'!D61)</f>
        <v>1</v>
      </c>
      <c r="E61" s="49">
        <f>AVERAGE('31.10 MUKONO-KALAGI-24h'!E61,'2.11 MUKONO-KALAGI-24h'!E61)</f>
        <v>1</v>
      </c>
      <c r="F61" s="49">
        <f>AVERAGE('31.10 MUKONO-KALAGI-24h'!F61,'2.11 MUKONO-KALAGI-24h'!F61)</f>
        <v>10</v>
      </c>
      <c r="G61" s="49">
        <f>AVERAGE('31.10 MUKONO-KALAGI-24h'!G61,'2.11 MUKONO-KALAGI-24h'!G61)</f>
        <v>0</v>
      </c>
      <c r="H61" s="49">
        <f>AVERAGE('31.10 MUKONO-KALAGI-24h'!H61,'2.11 MUKONO-KALAGI-24h'!H61)</f>
        <v>0.5</v>
      </c>
      <c r="I61" s="49">
        <f>AVERAGE('31.10 MUKONO-KALAGI-24h'!I61,'2.11 MUKONO-KALAGI-24h'!I61)</f>
        <v>1.5</v>
      </c>
      <c r="J61" s="49">
        <f>AVERAGE('31.10 MUKONO-KALAGI-24h'!J61,'2.11 MUKONO-KALAGI-24h'!J61)</f>
        <v>0</v>
      </c>
      <c r="K61" s="49">
        <f>AVERAGE('31.10 MUKONO-KALAGI-24h'!K61,'2.11 MUKONO-KALAGI-24h'!K61)</f>
        <v>0</v>
      </c>
      <c r="L61" s="49">
        <f>AVERAGE('31.10 MUKONO-KALAGI-24h'!L61,'2.11 MUKONO-KALAGI-24h'!L61)</f>
        <v>0</v>
      </c>
      <c r="M61" s="49">
        <f>AVERAGE('31.10 MUKONO-KALAGI-24h'!M61,'2.11 MUKONO-KALAGI-24h'!M61)</f>
        <v>15</v>
      </c>
      <c r="N61" s="49">
        <f>AVERAGE('31.10 MUKONO-KALAGI-24h'!N61,'2.11 MUKONO-KALAGI-24h'!N61)</f>
        <v>0</v>
      </c>
      <c r="O61" s="15">
        <f t="shared" si="0"/>
        <v>23.5</v>
      </c>
      <c r="P61" s="15">
        <f t="shared" si="1"/>
        <v>38.5</v>
      </c>
      <c r="R61" s="8"/>
      <c r="T61"/>
    </row>
    <row r="62" spans="2:20" ht="23.1" customHeight="1" x14ac:dyDescent="0.25">
      <c r="B62" s="23" t="s">
        <v>107</v>
      </c>
      <c r="C62" s="49">
        <f>AVERAGE('31.10 MUKONO-KALAGI-24h'!C62,'2.11 MUKONO-KALAGI-24h'!C62)</f>
        <v>7.5</v>
      </c>
      <c r="D62" s="49">
        <f>AVERAGE('31.10 MUKONO-KALAGI-24h'!D62,'2.11 MUKONO-KALAGI-24h'!D62)</f>
        <v>2</v>
      </c>
      <c r="E62" s="49">
        <f>AVERAGE('31.10 MUKONO-KALAGI-24h'!E62,'2.11 MUKONO-KALAGI-24h'!E62)</f>
        <v>1.5</v>
      </c>
      <c r="F62" s="49">
        <f>AVERAGE('31.10 MUKONO-KALAGI-24h'!F62,'2.11 MUKONO-KALAGI-24h'!F62)</f>
        <v>14</v>
      </c>
      <c r="G62" s="49">
        <f>AVERAGE('31.10 MUKONO-KALAGI-24h'!G62,'2.11 MUKONO-KALAGI-24h'!G62)</f>
        <v>0</v>
      </c>
      <c r="H62" s="49">
        <f>AVERAGE('31.10 MUKONO-KALAGI-24h'!H62,'2.11 MUKONO-KALAGI-24h'!H62)</f>
        <v>0</v>
      </c>
      <c r="I62" s="49">
        <f>AVERAGE('31.10 MUKONO-KALAGI-24h'!I62,'2.11 MUKONO-KALAGI-24h'!I62)</f>
        <v>1</v>
      </c>
      <c r="J62" s="49">
        <f>AVERAGE('31.10 MUKONO-KALAGI-24h'!J62,'2.11 MUKONO-KALAGI-24h'!J62)</f>
        <v>0</v>
      </c>
      <c r="K62" s="49">
        <f>AVERAGE('31.10 MUKONO-KALAGI-24h'!K62,'2.11 MUKONO-KALAGI-24h'!K62)</f>
        <v>0</v>
      </c>
      <c r="L62" s="49">
        <f>AVERAGE('31.10 MUKONO-KALAGI-24h'!L62,'2.11 MUKONO-KALAGI-24h'!L62)</f>
        <v>0</v>
      </c>
      <c r="M62" s="49">
        <f>AVERAGE('31.10 MUKONO-KALAGI-24h'!M62,'2.11 MUKONO-KALAGI-24h'!M62)</f>
        <v>28</v>
      </c>
      <c r="N62" s="49">
        <f>AVERAGE('31.10 MUKONO-KALAGI-24h'!N62,'2.11 MUKONO-KALAGI-24h'!N62)</f>
        <v>0</v>
      </c>
      <c r="O62" s="15">
        <f t="shared" si="0"/>
        <v>26</v>
      </c>
      <c r="P62" s="15">
        <f t="shared" si="1"/>
        <v>54</v>
      </c>
      <c r="R62" s="8"/>
      <c r="T62"/>
    </row>
    <row r="63" spans="2:20" ht="23.1" customHeight="1" x14ac:dyDescent="0.25">
      <c r="B63" s="23" t="s">
        <v>108</v>
      </c>
      <c r="C63" s="49">
        <f>AVERAGE('31.10 MUKONO-KALAGI-24h'!C63,'2.11 MUKONO-KALAGI-24h'!C63)</f>
        <v>8.5</v>
      </c>
      <c r="D63" s="49">
        <f>AVERAGE('31.10 MUKONO-KALAGI-24h'!D63,'2.11 MUKONO-KALAGI-24h'!D63)</f>
        <v>6.5</v>
      </c>
      <c r="E63" s="49">
        <f>AVERAGE('31.10 MUKONO-KALAGI-24h'!E63,'2.11 MUKONO-KALAGI-24h'!E63)</f>
        <v>2.5</v>
      </c>
      <c r="F63" s="49">
        <f>AVERAGE('31.10 MUKONO-KALAGI-24h'!F63,'2.11 MUKONO-KALAGI-24h'!F63)</f>
        <v>8.5</v>
      </c>
      <c r="G63" s="49">
        <f>AVERAGE('31.10 MUKONO-KALAGI-24h'!G63,'2.11 MUKONO-KALAGI-24h'!G63)</f>
        <v>0</v>
      </c>
      <c r="H63" s="49">
        <f>AVERAGE('31.10 MUKONO-KALAGI-24h'!H63,'2.11 MUKONO-KALAGI-24h'!H63)</f>
        <v>0</v>
      </c>
      <c r="I63" s="49">
        <f>AVERAGE('31.10 MUKONO-KALAGI-24h'!I63,'2.11 MUKONO-KALAGI-24h'!I63)</f>
        <v>4</v>
      </c>
      <c r="J63" s="49">
        <f>AVERAGE('31.10 MUKONO-KALAGI-24h'!J63,'2.11 MUKONO-KALAGI-24h'!J63)</f>
        <v>0</v>
      </c>
      <c r="K63" s="49">
        <f>AVERAGE('31.10 MUKONO-KALAGI-24h'!K63,'2.11 MUKONO-KALAGI-24h'!K63)</f>
        <v>0</v>
      </c>
      <c r="L63" s="49">
        <f>AVERAGE('31.10 MUKONO-KALAGI-24h'!L63,'2.11 MUKONO-KALAGI-24h'!L63)</f>
        <v>0</v>
      </c>
      <c r="M63" s="49">
        <f>AVERAGE('31.10 MUKONO-KALAGI-24h'!M63,'2.11 MUKONO-KALAGI-24h'!M63)</f>
        <v>27</v>
      </c>
      <c r="N63" s="49">
        <f>AVERAGE('31.10 MUKONO-KALAGI-24h'!N63,'2.11 MUKONO-KALAGI-24h'!N63)</f>
        <v>0</v>
      </c>
      <c r="O63" s="15">
        <f t="shared" si="0"/>
        <v>30</v>
      </c>
      <c r="P63" s="15">
        <f t="shared" si="1"/>
        <v>57</v>
      </c>
      <c r="R63" s="8"/>
      <c r="T63"/>
    </row>
    <row r="64" spans="2:20" ht="23.1" customHeight="1" x14ac:dyDescent="0.25">
      <c r="B64" s="23" t="s">
        <v>109</v>
      </c>
      <c r="C64" s="49">
        <f>AVERAGE('31.10 MUKONO-KALAGI-24h'!C64,'2.11 MUKONO-KALAGI-24h'!C64)</f>
        <v>6.5</v>
      </c>
      <c r="D64" s="49">
        <f>AVERAGE('31.10 MUKONO-KALAGI-24h'!D64,'2.11 MUKONO-KALAGI-24h'!D64)</f>
        <v>2.5</v>
      </c>
      <c r="E64" s="49">
        <f>AVERAGE('31.10 MUKONO-KALAGI-24h'!E64,'2.11 MUKONO-KALAGI-24h'!E64)</f>
        <v>1</v>
      </c>
      <c r="F64" s="49">
        <f>AVERAGE('31.10 MUKONO-KALAGI-24h'!F64,'2.11 MUKONO-KALAGI-24h'!F64)</f>
        <v>8.5</v>
      </c>
      <c r="G64" s="49">
        <f>AVERAGE('31.10 MUKONO-KALAGI-24h'!G64,'2.11 MUKONO-KALAGI-24h'!G64)</f>
        <v>0</v>
      </c>
      <c r="H64" s="49">
        <f>AVERAGE('31.10 MUKONO-KALAGI-24h'!H64,'2.11 MUKONO-KALAGI-24h'!H64)</f>
        <v>0</v>
      </c>
      <c r="I64" s="49">
        <f>AVERAGE('31.10 MUKONO-KALAGI-24h'!I64,'2.11 MUKONO-KALAGI-24h'!I64)</f>
        <v>2</v>
      </c>
      <c r="J64" s="49">
        <f>AVERAGE('31.10 MUKONO-KALAGI-24h'!J64,'2.11 MUKONO-KALAGI-24h'!J64)</f>
        <v>0</v>
      </c>
      <c r="K64" s="49">
        <f>AVERAGE('31.10 MUKONO-KALAGI-24h'!K64,'2.11 MUKONO-KALAGI-24h'!K64)</f>
        <v>0</v>
      </c>
      <c r="L64" s="49">
        <f>AVERAGE('31.10 MUKONO-KALAGI-24h'!L64,'2.11 MUKONO-KALAGI-24h'!L64)</f>
        <v>0</v>
      </c>
      <c r="M64" s="49">
        <f>AVERAGE('31.10 MUKONO-KALAGI-24h'!M64,'2.11 MUKONO-KALAGI-24h'!M64)</f>
        <v>28.5</v>
      </c>
      <c r="N64" s="49">
        <f>AVERAGE('31.10 MUKONO-KALAGI-24h'!N64,'2.11 MUKONO-KALAGI-24h'!N64)</f>
        <v>0</v>
      </c>
      <c r="O64" s="15">
        <f t="shared" si="0"/>
        <v>20.5</v>
      </c>
      <c r="P64" s="15">
        <f t="shared" si="1"/>
        <v>49</v>
      </c>
      <c r="R64" s="8"/>
      <c r="T64"/>
    </row>
    <row r="65" spans="2:20" ht="23.1" customHeight="1" x14ac:dyDescent="0.25">
      <c r="B65" s="23" t="s">
        <v>158</v>
      </c>
      <c r="C65" s="49">
        <f>AVERAGE('31.10 MUKONO-KALAGI-24h'!C65,'2.11 MUKONO-KALAGI-24h'!C65)</f>
        <v>4.5</v>
      </c>
      <c r="D65" s="49">
        <f>AVERAGE('31.10 MUKONO-KALAGI-24h'!D65,'2.11 MUKONO-KALAGI-24h'!D65)</f>
        <v>1.5</v>
      </c>
      <c r="E65" s="49">
        <f>AVERAGE('31.10 MUKONO-KALAGI-24h'!E65,'2.11 MUKONO-KALAGI-24h'!E65)</f>
        <v>2.5</v>
      </c>
      <c r="F65" s="49">
        <f>AVERAGE('31.10 MUKONO-KALAGI-24h'!F65,'2.11 MUKONO-KALAGI-24h'!F65)</f>
        <v>10</v>
      </c>
      <c r="G65" s="49">
        <f>AVERAGE('31.10 MUKONO-KALAGI-24h'!G65,'2.11 MUKONO-KALAGI-24h'!G65)</f>
        <v>0.5</v>
      </c>
      <c r="H65" s="49">
        <f>AVERAGE('31.10 MUKONO-KALAGI-24h'!H65,'2.11 MUKONO-KALAGI-24h'!H65)</f>
        <v>0</v>
      </c>
      <c r="I65" s="49">
        <f>AVERAGE('31.10 MUKONO-KALAGI-24h'!I65,'2.11 MUKONO-KALAGI-24h'!I65)</f>
        <v>4</v>
      </c>
      <c r="J65" s="49">
        <f>AVERAGE('31.10 MUKONO-KALAGI-24h'!J65,'2.11 MUKONO-KALAGI-24h'!J65)</f>
        <v>0.5</v>
      </c>
      <c r="K65" s="49">
        <f>AVERAGE('31.10 MUKONO-KALAGI-24h'!K65,'2.11 MUKONO-KALAGI-24h'!K65)</f>
        <v>0</v>
      </c>
      <c r="L65" s="49">
        <f>AVERAGE('31.10 MUKONO-KALAGI-24h'!L65,'2.11 MUKONO-KALAGI-24h'!L65)</f>
        <v>0.5</v>
      </c>
      <c r="M65" s="49">
        <f>AVERAGE('31.10 MUKONO-KALAGI-24h'!M65,'2.11 MUKONO-KALAGI-24h'!M65)</f>
        <v>34.5</v>
      </c>
      <c r="N65" s="49">
        <f>AVERAGE('31.10 MUKONO-KALAGI-24h'!N65,'2.11 MUKONO-KALAGI-24h'!N65)</f>
        <v>0</v>
      </c>
      <c r="O65" s="15">
        <f t="shared" si="0"/>
        <v>24</v>
      </c>
      <c r="P65" s="15">
        <f t="shared" si="1"/>
        <v>58.5</v>
      </c>
      <c r="R65" s="8"/>
      <c r="T65"/>
    </row>
    <row r="66" spans="2:20" ht="23.1" customHeight="1" x14ac:dyDescent="0.25">
      <c r="B66" s="23" t="s">
        <v>103</v>
      </c>
      <c r="C66" s="49">
        <f>AVERAGE('31.10 MUKONO-KALAGI-24h'!C66,'2.11 MUKONO-KALAGI-24h'!C66)</f>
        <v>9.5</v>
      </c>
      <c r="D66" s="49">
        <f>AVERAGE('31.10 MUKONO-KALAGI-24h'!D66,'2.11 MUKONO-KALAGI-24h'!D66)</f>
        <v>1</v>
      </c>
      <c r="E66" s="49">
        <f>AVERAGE('31.10 MUKONO-KALAGI-24h'!E66,'2.11 MUKONO-KALAGI-24h'!E66)</f>
        <v>0.5</v>
      </c>
      <c r="F66" s="49">
        <f>AVERAGE('31.10 MUKONO-KALAGI-24h'!F66,'2.11 MUKONO-KALAGI-24h'!F66)</f>
        <v>5</v>
      </c>
      <c r="G66" s="49">
        <f>AVERAGE('31.10 MUKONO-KALAGI-24h'!G66,'2.11 MUKONO-KALAGI-24h'!G66)</f>
        <v>3.5</v>
      </c>
      <c r="H66" s="49">
        <f>AVERAGE('31.10 MUKONO-KALAGI-24h'!H66,'2.11 MUKONO-KALAGI-24h'!H66)</f>
        <v>1.5</v>
      </c>
      <c r="I66" s="49">
        <f>AVERAGE('31.10 MUKONO-KALAGI-24h'!I66,'2.11 MUKONO-KALAGI-24h'!I66)</f>
        <v>2</v>
      </c>
      <c r="J66" s="49">
        <f>AVERAGE('31.10 MUKONO-KALAGI-24h'!J66,'2.11 MUKONO-KALAGI-24h'!J66)</f>
        <v>0</v>
      </c>
      <c r="K66" s="49">
        <f>AVERAGE('31.10 MUKONO-KALAGI-24h'!K66,'2.11 MUKONO-KALAGI-24h'!K66)</f>
        <v>0</v>
      </c>
      <c r="L66" s="49">
        <f>AVERAGE('31.10 MUKONO-KALAGI-24h'!L66,'2.11 MUKONO-KALAGI-24h'!L66)</f>
        <v>0</v>
      </c>
      <c r="M66" s="49">
        <f>AVERAGE('31.10 MUKONO-KALAGI-24h'!M66,'2.11 MUKONO-KALAGI-24h'!M66)</f>
        <v>26</v>
      </c>
      <c r="N66" s="49">
        <f>AVERAGE('31.10 MUKONO-KALAGI-24h'!N66,'2.11 MUKONO-KALAGI-24h'!N66)</f>
        <v>0</v>
      </c>
      <c r="O66" s="15">
        <f t="shared" si="0"/>
        <v>23</v>
      </c>
      <c r="P66" s="15">
        <f t="shared" si="1"/>
        <v>49</v>
      </c>
      <c r="R66" s="8"/>
      <c r="T66"/>
    </row>
    <row r="67" spans="2:20" ht="23.1" customHeight="1" x14ac:dyDescent="0.25">
      <c r="B67" s="23" t="s">
        <v>104</v>
      </c>
      <c r="C67" s="49">
        <f>AVERAGE('31.10 MUKONO-KALAGI-24h'!C67,'2.11 MUKONO-KALAGI-24h'!C67)</f>
        <v>9</v>
      </c>
      <c r="D67" s="49">
        <f>AVERAGE('31.10 MUKONO-KALAGI-24h'!D67,'2.11 MUKONO-KALAGI-24h'!D67)</f>
        <v>3</v>
      </c>
      <c r="E67" s="49">
        <f>AVERAGE('31.10 MUKONO-KALAGI-24h'!E67,'2.11 MUKONO-KALAGI-24h'!E67)</f>
        <v>3</v>
      </c>
      <c r="F67" s="49">
        <f>AVERAGE('31.10 MUKONO-KALAGI-24h'!F67,'2.11 MUKONO-KALAGI-24h'!F67)</f>
        <v>12</v>
      </c>
      <c r="G67" s="49">
        <f>AVERAGE('31.10 MUKONO-KALAGI-24h'!G67,'2.11 MUKONO-KALAGI-24h'!G67)</f>
        <v>1</v>
      </c>
      <c r="H67" s="49">
        <f>AVERAGE('31.10 MUKONO-KALAGI-24h'!H67,'2.11 MUKONO-KALAGI-24h'!H67)</f>
        <v>0</v>
      </c>
      <c r="I67" s="49">
        <f>AVERAGE('31.10 MUKONO-KALAGI-24h'!I67,'2.11 MUKONO-KALAGI-24h'!I67)</f>
        <v>3.5</v>
      </c>
      <c r="J67" s="49">
        <f>AVERAGE('31.10 MUKONO-KALAGI-24h'!J67,'2.11 MUKONO-KALAGI-24h'!J67)</f>
        <v>0</v>
      </c>
      <c r="K67" s="49">
        <f>AVERAGE('31.10 MUKONO-KALAGI-24h'!K67,'2.11 MUKONO-KALAGI-24h'!K67)</f>
        <v>0</v>
      </c>
      <c r="L67" s="49">
        <f>AVERAGE('31.10 MUKONO-KALAGI-24h'!L67,'2.11 MUKONO-KALAGI-24h'!L67)</f>
        <v>0</v>
      </c>
      <c r="M67" s="49">
        <f>AVERAGE('31.10 MUKONO-KALAGI-24h'!M67,'2.11 MUKONO-KALAGI-24h'!M67)</f>
        <v>18.5</v>
      </c>
      <c r="N67" s="49">
        <f>AVERAGE('31.10 MUKONO-KALAGI-24h'!N67,'2.11 MUKONO-KALAGI-24h'!N67)</f>
        <v>0</v>
      </c>
      <c r="O67" s="15">
        <f t="shared" si="0"/>
        <v>31.5</v>
      </c>
      <c r="P67" s="15">
        <f t="shared" si="1"/>
        <v>50</v>
      </c>
      <c r="R67" s="8"/>
      <c r="T67"/>
    </row>
    <row r="68" spans="2:20" ht="23.1" customHeight="1" x14ac:dyDescent="0.25">
      <c r="B68" s="23" t="s">
        <v>105</v>
      </c>
      <c r="C68" s="49">
        <f>AVERAGE('31.10 MUKONO-KALAGI-24h'!C68,'2.11 MUKONO-KALAGI-24h'!C68)</f>
        <v>2.5</v>
      </c>
      <c r="D68" s="49">
        <f>AVERAGE('31.10 MUKONO-KALAGI-24h'!D68,'2.11 MUKONO-KALAGI-24h'!D68)</f>
        <v>0</v>
      </c>
      <c r="E68" s="49">
        <f>AVERAGE('31.10 MUKONO-KALAGI-24h'!E68,'2.11 MUKONO-KALAGI-24h'!E68)</f>
        <v>1</v>
      </c>
      <c r="F68" s="49">
        <f>AVERAGE('31.10 MUKONO-KALAGI-24h'!F68,'2.11 MUKONO-KALAGI-24h'!F68)</f>
        <v>8.5</v>
      </c>
      <c r="G68" s="49">
        <f>AVERAGE('31.10 MUKONO-KALAGI-24h'!G68,'2.11 MUKONO-KALAGI-24h'!G68)</f>
        <v>0.5</v>
      </c>
      <c r="H68" s="49">
        <f>AVERAGE('31.10 MUKONO-KALAGI-24h'!H68,'2.11 MUKONO-KALAGI-24h'!H68)</f>
        <v>0</v>
      </c>
      <c r="I68" s="49">
        <f>AVERAGE('31.10 MUKONO-KALAGI-24h'!I68,'2.11 MUKONO-KALAGI-24h'!I68)</f>
        <v>2.5</v>
      </c>
      <c r="J68" s="49">
        <f>AVERAGE('31.10 MUKONO-KALAGI-24h'!J68,'2.11 MUKONO-KALAGI-24h'!J68)</f>
        <v>0</v>
      </c>
      <c r="K68" s="49">
        <f>AVERAGE('31.10 MUKONO-KALAGI-24h'!K68,'2.11 MUKONO-KALAGI-24h'!K68)</f>
        <v>0</v>
      </c>
      <c r="L68" s="49">
        <f>AVERAGE('31.10 MUKONO-KALAGI-24h'!L68,'2.11 MUKONO-KALAGI-24h'!L68)</f>
        <v>0</v>
      </c>
      <c r="M68" s="49">
        <f>AVERAGE('31.10 MUKONO-KALAGI-24h'!M68,'2.11 MUKONO-KALAGI-24h'!M68)</f>
        <v>17.5</v>
      </c>
      <c r="N68" s="49">
        <f>AVERAGE('31.10 MUKONO-KALAGI-24h'!N68,'2.11 MUKONO-KALAGI-24h'!N68)</f>
        <v>0</v>
      </c>
      <c r="O68" s="15">
        <f t="shared" si="0"/>
        <v>15</v>
      </c>
      <c r="P68" s="15">
        <f t="shared" si="1"/>
        <v>32.5</v>
      </c>
      <c r="R68" s="8"/>
      <c r="T68"/>
    </row>
    <row r="69" spans="2:20" ht="23.1" customHeight="1" x14ac:dyDescent="0.25">
      <c r="B69" s="23" t="s">
        <v>106</v>
      </c>
      <c r="C69" s="49">
        <f>AVERAGE('31.10 MUKONO-KALAGI-24h'!C69,'2.11 MUKONO-KALAGI-24h'!C69)</f>
        <v>4.5</v>
      </c>
      <c r="D69" s="49">
        <f>AVERAGE('31.10 MUKONO-KALAGI-24h'!D69,'2.11 MUKONO-KALAGI-24h'!D69)</f>
        <v>1</v>
      </c>
      <c r="E69" s="49">
        <f>AVERAGE('31.10 MUKONO-KALAGI-24h'!E69,'2.11 MUKONO-KALAGI-24h'!E69)</f>
        <v>0</v>
      </c>
      <c r="F69" s="49">
        <f>AVERAGE('31.10 MUKONO-KALAGI-24h'!F69,'2.11 MUKONO-KALAGI-24h'!F69)</f>
        <v>11.5</v>
      </c>
      <c r="G69" s="49">
        <f>AVERAGE('31.10 MUKONO-KALAGI-24h'!G69,'2.11 MUKONO-KALAGI-24h'!G69)</f>
        <v>0</v>
      </c>
      <c r="H69" s="49">
        <f>AVERAGE('31.10 MUKONO-KALAGI-24h'!H69,'2.11 MUKONO-KALAGI-24h'!H69)</f>
        <v>0</v>
      </c>
      <c r="I69" s="49">
        <f>AVERAGE('31.10 MUKONO-KALAGI-24h'!I69,'2.11 MUKONO-KALAGI-24h'!I69)</f>
        <v>3</v>
      </c>
      <c r="J69" s="49">
        <f>AVERAGE('31.10 MUKONO-KALAGI-24h'!J69,'2.11 MUKONO-KALAGI-24h'!J69)</f>
        <v>0</v>
      </c>
      <c r="K69" s="49">
        <f>AVERAGE('31.10 MUKONO-KALAGI-24h'!K69,'2.11 MUKONO-KALAGI-24h'!K69)</f>
        <v>0</v>
      </c>
      <c r="L69" s="49">
        <f>AVERAGE('31.10 MUKONO-KALAGI-24h'!L69,'2.11 MUKONO-KALAGI-24h'!L69)</f>
        <v>0</v>
      </c>
      <c r="M69" s="49">
        <f>AVERAGE('31.10 MUKONO-KALAGI-24h'!M69,'2.11 MUKONO-KALAGI-24h'!M69)</f>
        <v>15</v>
      </c>
      <c r="N69" s="49">
        <f>AVERAGE('31.10 MUKONO-KALAGI-24h'!N69,'2.11 MUKONO-KALAGI-24h'!N69)</f>
        <v>0</v>
      </c>
      <c r="O69" s="15">
        <f t="shared" si="0"/>
        <v>20</v>
      </c>
      <c r="P69" s="15">
        <f t="shared" si="1"/>
        <v>35</v>
      </c>
      <c r="R69" s="8"/>
      <c r="T69"/>
    </row>
    <row r="70" spans="2:20" ht="23.1" customHeight="1" x14ac:dyDescent="0.25">
      <c r="B70" s="23" t="s">
        <v>110</v>
      </c>
      <c r="C70" s="49">
        <f>AVERAGE('31.10 MUKONO-KALAGI-24h'!C70,'2.11 MUKONO-KALAGI-24h'!C70)</f>
        <v>3</v>
      </c>
      <c r="D70" s="49">
        <f>AVERAGE('31.10 MUKONO-KALAGI-24h'!D70,'2.11 MUKONO-KALAGI-24h'!D70)</f>
        <v>3</v>
      </c>
      <c r="E70" s="49">
        <f>AVERAGE('31.10 MUKONO-KALAGI-24h'!E70,'2.11 MUKONO-KALAGI-24h'!E70)</f>
        <v>1</v>
      </c>
      <c r="F70" s="49">
        <f>AVERAGE('31.10 MUKONO-KALAGI-24h'!F70,'2.11 MUKONO-KALAGI-24h'!F70)</f>
        <v>5</v>
      </c>
      <c r="G70" s="49">
        <f>AVERAGE('31.10 MUKONO-KALAGI-24h'!G70,'2.11 MUKONO-KALAGI-24h'!G70)</f>
        <v>0</v>
      </c>
      <c r="H70" s="49">
        <f>AVERAGE('31.10 MUKONO-KALAGI-24h'!H70,'2.11 MUKONO-KALAGI-24h'!H70)</f>
        <v>0</v>
      </c>
      <c r="I70" s="49">
        <f>AVERAGE('31.10 MUKONO-KALAGI-24h'!I70,'2.11 MUKONO-KALAGI-24h'!I70)</f>
        <v>1</v>
      </c>
      <c r="J70" s="49">
        <f>AVERAGE('31.10 MUKONO-KALAGI-24h'!J70,'2.11 MUKONO-KALAGI-24h'!J70)</f>
        <v>0</v>
      </c>
      <c r="K70" s="49">
        <f>AVERAGE('31.10 MUKONO-KALAGI-24h'!K70,'2.11 MUKONO-KALAGI-24h'!K70)</f>
        <v>0</v>
      </c>
      <c r="L70" s="49">
        <f>AVERAGE('31.10 MUKONO-KALAGI-24h'!L70,'2.11 MUKONO-KALAGI-24h'!L70)</f>
        <v>0</v>
      </c>
      <c r="M70" s="49">
        <f>AVERAGE('31.10 MUKONO-KALAGI-24h'!M70,'2.11 MUKONO-KALAGI-24h'!M70)</f>
        <v>15</v>
      </c>
      <c r="N70" s="49">
        <f>AVERAGE('31.10 MUKONO-KALAGI-24h'!N70,'2.11 MUKONO-KALAGI-24h'!N70)</f>
        <v>0</v>
      </c>
      <c r="O70" s="15">
        <f t="shared" si="0"/>
        <v>13</v>
      </c>
      <c r="P70" s="15">
        <f t="shared" si="1"/>
        <v>28</v>
      </c>
      <c r="R70" s="8"/>
      <c r="T70"/>
    </row>
    <row r="71" spans="2:20" ht="23.1" customHeight="1" x14ac:dyDescent="0.25">
      <c r="B71" s="23" t="s">
        <v>111</v>
      </c>
      <c r="C71" s="49">
        <f>AVERAGE('31.10 MUKONO-KALAGI-24h'!C71,'2.11 MUKONO-KALAGI-24h'!C71)</f>
        <v>5</v>
      </c>
      <c r="D71" s="49">
        <f>AVERAGE('31.10 MUKONO-KALAGI-24h'!D71,'2.11 MUKONO-KALAGI-24h'!D71)</f>
        <v>2</v>
      </c>
      <c r="E71" s="49">
        <f>AVERAGE('31.10 MUKONO-KALAGI-24h'!E71,'2.11 MUKONO-KALAGI-24h'!E71)</f>
        <v>0.5</v>
      </c>
      <c r="F71" s="49">
        <f>AVERAGE('31.10 MUKONO-KALAGI-24h'!F71,'2.11 MUKONO-KALAGI-24h'!F71)</f>
        <v>8.5</v>
      </c>
      <c r="G71" s="49">
        <f>AVERAGE('31.10 MUKONO-KALAGI-24h'!G71,'2.11 MUKONO-KALAGI-24h'!G71)</f>
        <v>0</v>
      </c>
      <c r="H71" s="49">
        <f>AVERAGE('31.10 MUKONO-KALAGI-24h'!H71,'2.11 MUKONO-KALAGI-24h'!H71)</f>
        <v>0</v>
      </c>
      <c r="I71" s="49">
        <f>AVERAGE('31.10 MUKONO-KALAGI-24h'!I71,'2.11 MUKONO-KALAGI-24h'!I71)</f>
        <v>2</v>
      </c>
      <c r="J71" s="49">
        <f>AVERAGE('31.10 MUKONO-KALAGI-24h'!J71,'2.11 MUKONO-KALAGI-24h'!J71)</f>
        <v>0</v>
      </c>
      <c r="K71" s="49">
        <f>AVERAGE('31.10 MUKONO-KALAGI-24h'!K71,'2.11 MUKONO-KALAGI-24h'!K71)</f>
        <v>0</v>
      </c>
      <c r="L71" s="49">
        <f>AVERAGE('31.10 MUKONO-KALAGI-24h'!L71,'2.11 MUKONO-KALAGI-24h'!L71)</f>
        <v>0</v>
      </c>
      <c r="M71" s="49">
        <f>AVERAGE('31.10 MUKONO-KALAGI-24h'!M71,'2.11 MUKONO-KALAGI-24h'!M71)</f>
        <v>13</v>
      </c>
      <c r="N71" s="49">
        <f>AVERAGE('31.10 MUKONO-KALAGI-24h'!N71,'2.11 MUKONO-KALAGI-24h'!N71)</f>
        <v>0</v>
      </c>
      <c r="O71" s="15">
        <f t="shared" si="0"/>
        <v>18</v>
      </c>
      <c r="P71" s="15">
        <f t="shared" si="1"/>
        <v>31</v>
      </c>
      <c r="R71" s="8"/>
      <c r="T71"/>
    </row>
    <row r="72" spans="2:20" ht="23.1" customHeight="1" x14ac:dyDescent="0.25">
      <c r="B72" s="23" t="s">
        <v>112</v>
      </c>
      <c r="C72" s="49">
        <f>AVERAGE('31.10 MUKONO-KALAGI-24h'!C72,'2.11 MUKONO-KALAGI-24h'!C72)</f>
        <v>3</v>
      </c>
      <c r="D72" s="49">
        <f>AVERAGE('31.10 MUKONO-KALAGI-24h'!D72,'2.11 MUKONO-KALAGI-24h'!D72)</f>
        <v>2</v>
      </c>
      <c r="E72" s="49">
        <f>AVERAGE('31.10 MUKONO-KALAGI-24h'!E72,'2.11 MUKONO-KALAGI-24h'!E72)</f>
        <v>0.5</v>
      </c>
      <c r="F72" s="49">
        <f>AVERAGE('31.10 MUKONO-KALAGI-24h'!F72,'2.11 MUKONO-KALAGI-24h'!F72)</f>
        <v>5</v>
      </c>
      <c r="G72" s="49">
        <f>AVERAGE('31.10 MUKONO-KALAGI-24h'!G72,'2.11 MUKONO-KALAGI-24h'!G72)</f>
        <v>0</v>
      </c>
      <c r="H72" s="49">
        <f>AVERAGE('31.10 MUKONO-KALAGI-24h'!H72,'2.11 MUKONO-KALAGI-24h'!H72)</f>
        <v>0</v>
      </c>
      <c r="I72" s="49">
        <f>AVERAGE('31.10 MUKONO-KALAGI-24h'!I72,'2.11 MUKONO-KALAGI-24h'!I72)</f>
        <v>0.5</v>
      </c>
      <c r="J72" s="49">
        <f>AVERAGE('31.10 MUKONO-KALAGI-24h'!J72,'2.11 MUKONO-KALAGI-24h'!J72)</f>
        <v>0</v>
      </c>
      <c r="K72" s="49">
        <f>AVERAGE('31.10 MUKONO-KALAGI-24h'!K72,'2.11 MUKONO-KALAGI-24h'!K72)</f>
        <v>0</v>
      </c>
      <c r="L72" s="49">
        <f>AVERAGE('31.10 MUKONO-KALAGI-24h'!L72,'2.11 MUKONO-KALAGI-24h'!L72)</f>
        <v>0</v>
      </c>
      <c r="M72" s="49">
        <f>AVERAGE('31.10 MUKONO-KALAGI-24h'!M72,'2.11 MUKONO-KALAGI-24h'!M72)</f>
        <v>19</v>
      </c>
      <c r="N72" s="49">
        <f>AVERAGE('31.10 MUKONO-KALAGI-24h'!N72,'2.11 MUKONO-KALAGI-24h'!N72)</f>
        <v>0</v>
      </c>
      <c r="O72" s="15">
        <f t="shared" si="0"/>
        <v>11</v>
      </c>
      <c r="P72" s="15">
        <f t="shared" si="1"/>
        <v>30</v>
      </c>
      <c r="R72" s="8"/>
      <c r="T72"/>
    </row>
    <row r="73" spans="2:20" ht="23.1" customHeight="1" x14ac:dyDescent="0.25">
      <c r="B73" s="23" t="s">
        <v>113</v>
      </c>
      <c r="C73" s="49">
        <f>AVERAGE('31.10 MUKONO-KALAGI-24h'!C73,'2.11 MUKONO-KALAGI-24h'!C73)</f>
        <v>4</v>
      </c>
      <c r="D73" s="49">
        <f>AVERAGE('31.10 MUKONO-KALAGI-24h'!D73,'2.11 MUKONO-KALAGI-24h'!D73)</f>
        <v>0</v>
      </c>
      <c r="E73" s="49">
        <f>AVERAGE('31.10 MUKONO-KALAGI-24h'!E73,'2.11 MUKONO-KALAGI-24h'!E73)</f>
        <v>0.5</v>
      </c>
      <c r="F73" s="49">
        <f>AVERAGE('31.10 MUKONO-KALAGI-24h'!F73,'2.11 MUKONO-KALAGI-24h'!F73)</f>
        <v>6.5</v>
      </c>
      <c r="G73" s="49">
        <f>AVERAGE('31.10 MUKONO-KALAGI-24h'!G73,'2.11 MUKONO-KALAGI-24h'!G73)</f>
        <v>0.5</v>
      </c>
      <c r="H73" s="49">
        <f>AVERAGE('31.10 MUKONO-KALAGI-24h'!H73,'2.11 MUKONO-KALAGI-24h'!H73)</f>
        <v>0</v>
      </c>
      <c r="I73" s="49">
        <f>AVERAGE('31.10 MUKONO-KALAGI-24h'!I73,'2.11 MUKONO-KALAGI-24h'!I73)</f>
        <v>0.5</v>
      </c>
      <c r="J73" s="49">
        <f>AVERAGE('31.10 MUKONO-KALAGI-24h'!J73,'2.11 MUKONO-KALAGI-24h'!J73)</f>
        <v>0</v>
      </c>
      <c r="K73" s="49">
        <f>AVERAGE('31.10 MUKONO-KALAGI-24h'!K73,'2.11 MUKONO-KALAGI-24h'!K73)</f>
        <v>0</v>
      </c>
      <c r="L73" s="49">
        <f>AVERAGE('31.10 MUKONO-KALAGI-24h'!L73,'2.11 MUKONO-KALAGI-24h'!L73)</f>
        <v>0.5</v>
      </c>
      <c r="M73" s="49">
        <f>AVERAGE('31.10 MUKONO-KALAGI-24h'!M73,'2.11 MUKONO-KALAGI-24h'!M73)</f>
        <v>12.5</v>
      </c>
      <c r="N73" s="49">
        <f>AVERAGE('31.10 MUKONO-KALAGI-24h'!N73,'2.11 MUKONO-KALAGI-24h'!N73)</f>
        <v>0</v>
      </c>
      <c r="O73" s="15">
        <f t="shared" si="0"/>
        <v>12.5</v>
      </c>
      <c r="P73" s="15">
        <f t="shared" si="1"/>
        <v>25</v>
      </c>
      <c r="R73" s="8"/>
      <c r="T73"/>
    </row>
    <row r="74" spans="2:20" ht="23.1" customHeight="1" x14ac:dyDescent="0.25">
      <c r="B74" s="23" t="s">
        <v>114</v>
      </c>
      <c r="C74" s="49">
        <f>AVERAGE('31.10 MUKONO-KALAGI-24h'!C74,'2.11 MUKONO-KALAGI-24h'!C74)</f>
        <v>1.5</v>
      </c>
      <c r="D74" s="49">
        <f>AVERAGE('31.10 MUKONO-KALAGI-24h'!D74,'2.11 MUKONO-KALAGI-24h'!D74)</f>
        <v>1</v>
      </c>
      <c r="E74" s="49">
        <f>AVERAGE('31.10 MUKONO-KALAGI-24h'!E74,'2.11 MUKONO-KALAGI-24h'!E74)</f>
        <v>1</v>
      </c>
      <c r="F74" s="49">
        <f>AVERAGE('31.10 MUKONO-KALAGI-24h'!F74,'2.11 MUKONO-KALAGI-24h'!F74)</f>
        <v>5</v>
      </c>
      <c r="G74" s="49">
        <f>AVERAGE('31.10 MUKONO-KALAGI-24h'!G74,'2.11 MUKONO-KALAGI-24h'!G74)</f>
        <v>0</v>
      </c>
      <c r="H74" s="49">
        <f>AVERAGE('31.10 MUKONO-KALAGI-24h'!H74,'2.11 MUKONO-KALAGI-24h'!H74)</f>
        <v>0</v>
      </c>
      <c r="I74" s="49">
        <f>AVERAGE('31.10 MUKONO-KALAGI-24h'!I74,'2.11 MUKONO-KALAGI-24h'!I74)</f>
        <v>0.5</v>
      </c>
      <c r="J74" s="49">
        <f>AVERAGE('31.10 MUKONO-KALAGI-24h'!J74,'2.11 MUKONO-KALAGI-24h'!J74)</f>
        <v>0</v>
      </c>
      <c r="K74" s="49">
        <f>AVERAGE('31.10 MUKONO-KALAGI-24h'!K74,'2.11 MUKONO-KALAGI-24h'!K74)</f>
        <v>0</v>
      </c>
      <c r="L74" s="49">
        <f>AVERAGE('31.10 MUKONO-KALAGI-24h'!L74,'2.11 MUKONO-KALAGI-24h'!L74)</f>
        <v>0</v>
      </c>
      <c r="M74" s="49">
        <f>AVERAGE('31.10 MUKONO-KALAGI-24h'!M74,'2.11 MUKONO-KALAGI-24h'!M74)</f>
        <v>11.5</v>
      </c>
      <c r="N74" s="49">
        <f>AVERAGE('31.10 MUKONO-KALAGI-24h'!N74,'2.11 MUKONO-KALAGI-24h'!N74)</f>
        <v>0</v>
      </c>
      <c r="O74" s="15">
        <f t="shared" ref="O74:O104" si="35">SUM(C74:L74,N74)</f>
        <v>9</v>
      </c>
      <c r="P74" s="15">
        <f t="shared" ref="P74:P104" si="36">SUM(C74:N74)</f>
        <v>20.5</v>
      </c>
      <c r="R74" s="8"/>
      <c r="T74"/>
    </row>
    <row r="75" spans="2:20" ht="23.1" customHeight="1" x14ac:dyDescent="0.25">
      <c r="B75" s="23" t="s">
        <v>115</v>
      </c>
      <c r="C75" s="49">
        <f>AVERAGE('31.10 MUKONO-KALAGI-24h'!C75,'2.11 MUKONO-KALAGI-24h'!C75)</f>
        <v>3</v>
      </c>
      <c r="D75" s="49">
        <f>AVERAGE('31.10 MUKONO-KALAGI-24h'!D75,'2.11 MUKONO-KALAGI-24h'!D75)</f>
        <v>0.5</v>
      </c>
      <c r="E75" s="49">
        <f>AVERAGE('31.10 MUKONO-KALAGI-24h'!E75,'2.11 MUKONO-KALAGI-24h'!E75)</f>
        <v>0.5</v>
      </c>
      <c r="F75" s="49">
        <f>AVERAGE('31.10 MUKONO-KALAGI-24h'!F75,'2.11 MUKONO-KALAGI-24h'!F75)</f>
        <v>4.5</v>
      </c>
      <c r="G75" s="49">
        <f>AVERAGE('31.10 MUKONO-KALAGI-24h'!G75,'2.11 MUKONO-KALAGI-24h'!G75)</f>
        <v>0</v>
      </c>
      <c r="H75" s="49">
        <f>AVERAGE('31.10 MUKONO-KALAGI-24h'!H75,'2.11 MUKONO-KALAGI-24h'!H75)</f>
        <v>0</v>
      </c>
      <c r="I75" s="49">
        <f>AVERAGE('31.10 MUKONO-KALAGI-24h'!I75,'2.11 MUKONO-KALAGI-24h'!I75)</f>
        <v>0.5</v>
      </c>
      <c r="J75" s="49">
        <f>AVERAGE('31.10 MUKONO-KALAGI-24h'!J75,'2.11 MUKONO-KALAGI-24h'!J75)</f>
        <v>0</v>
      </c>
      <c r="K75" s="49">
        <f>AVERAGE('31.10 MUKONO-KALAGI-24h'!K75,'2.11 MUKONO-KALAGI-24h'!K75)</f>
        <v>0</v>
      </c>
      <c r="L75" s="49">
        <f>AVERAGE('31.10 MUKONO-KALAGI-24h'!L75,'2.11 MUKONO-KALAGI-24h'!L75)</f>
        <v>0</v>
      </c>
      <c r="M75" s="49">
        <f>AVERAGE('31.10 MUKONO-KALAGI-24h'!M75,'2.11 MUKONO-KALAGI-24h'!M75)</f>
        <v>13</v>
      </c>
      <c r="N75" s="49">
        <f>AVERAGE('31.10 MUKONO-KALAGI-24h'!N75,'2.11 MUKONO-KALAGI-24h'!N75)</f>
        <v>0</v>
      </c>
      <c r="O75" s="15">
        <f t="shared" si="35"/>
        <v>9</v>
      </c>
      <c r="P75" s="15">
        <f t="shared" si="36"/>
        <v>22</v>
      </c>
      <c r="R75" s="8"/>
      <c r="T75"/>
    </row>
    <row r="76" spans="2:20" ht="23.1" customHeight="1" x14ac:dyDescent="0.25">
      <c r="B76" s="23" t="s">
        <v>116</v>
      </c>
      <c r="C76" s="49">
        <f>AVERAGE('31.10 MUKONO-KALAGI-24h'!C76,'2.11 MUKONO-KALAGI-24h'!C76)</f>
        <v>2.5</v>
      </c>
      <c r="D76" s="49">
        <f>AVERAGE('31.10 MUKONO-KALAGI-24h'!D76,'2.11 MUKONO-KALAGI-24h'!D76)</f>
        <v>0</v>
      </c>
      <c r="E76" s="49">
        <f>AVERAGE('31.10 MUKONO-KALAGI-24h'!E76,'2.11 MUKONO-KALAGI-24h'!E76)</f>
        <v>0</v>
      </c>
      <c r="F76" s="49">
        <f>AVERAGE('31.10 MUKONO-KALAGI-24h'!F76,'2.11 MUKONO-KALAGI-24h'!F76)</f>
        <v>3.5</v>
      </c>
      <c r="G76" s="49">
        <f>AVERAGE('31.10 MUKONO-KALAGI-24h'!G76,'2.11 MUKONO-KALAGI-24h'!G76)</f>
        <v>0</v>
      </c>
      <c r="H76" s="49">
        <f>AVERAGE('31.10 MUKONO-KALAGI-24h'!H76,'2.11 MUKONO-KALAGI-24h'!H76)</f>
        <v>0</v>
      </c>
      <c r="I76" s="49">
        <f>AVERAGE('31.10 MUKONO-KALAGI-24h'!I76,'2.11 MUKONO-KALAGI-24h'!I76)</f>
        <v>0.5</v>
      </c>
      <c r="J76" s="49">
        <f>AVERAGE('31.10 MUKONO-KALAGI-24h'!J76,'2.11 MUKONO-KALAGI-24h'!J76)</f>
        <v>0</v>
      </c>
      <c r="K76" s="49">
        <f>AVERAGE('31.10 MUKONO-KALAGI-24h'!K76,'2.11 MUKONO-KALAGI-24h'!K76)</f>
        <v>0</v>
      </c>
      <c r="L76" s="49">
        <f>AVERAGE('31.10 MUKONO-KALAGI-24h'!L76,'2.11 MUKONO-KALAGI-24h'!L76)</f>
        <v>0</v>
      </c>
      <c r="M76" s="49">
        <f>AVERAGE('31.10 MUKONO-KALAGI-24h'!M76,'2.11 MUKONO-KALAGI-24h'!M76)</f>
        <v>7.5</v>
      </c>
      <c r="N76" s="49">
        <f>AVERAGE('31.10 MUKONO-KALAGI-24h'!N76,'2.11 MUKONO-KALAGI-24h'!N76)</f>
        <v>0</v>
      </c>
      <c r="O76" s="15">
        <f t="shared" si="35"/>
        <v>6.5</v>
      </c>
      <c r="P76" s="15">
        <f t="shared" si="36"/>
        <v>14</v>
      </c>
      <c r="R76" s="8"/>
      <c r="T76"/>
    </row>
    <row r="77" spans="2:20" ht="23.1" customHeight="1" x14ac:dyDescent="0.25">
      <c r="B77" s="23" t="s">
        <v>117</v>
      </c>
      <c r="C77" s="49">
        <f>AVERAGE('31.10 MUKONO-KALAGI-24h'!C77,'2.11 MUKONO-KALAGI-24h'!C77)</f>
        <v>3</v>
      </c>
      <c r="D77" s="49">
        <f>AVERAGE('31.10 MUKONO-KALAGI-24h'!D77,'2.11 MUKONO-KALAGI-24h'!D77)</f>
        <v>0</v>
      </c>
      <c r="E77" s="49">
        <f>AVERAGE('31.10 MUKONO-KALAGI-24h'!E77,'2.11 MUKONO-KALAGI-24h'!E77)</f>
        <v>0</v>
      </c>
      <c r="F77" s="49">
        <f>AVERAGE('31.10 MUKONO-KALAGI-24h'!F77,'2.11 MUKONO-KALAGI-24h'!F77)</f>
        <v>2.5</v>
      </c>
      <c r="G77" s="49">
        <f>AVERAGE('31.10 MUKONO-KALAGI-24h'!G77,'2.11 MUKONO-KALAGI-24h'!G77)</f>
        <v>0</v>
      </c>
      <c r="H77" s="49">
        <f>AVERAGE('31.10 MUKONO-KALAGI-24h'!H77,'2.11 MUKONO-KALAGI-24h'!H77)</f>
        <v>0</v>
      </c>
      <c r="I77" s="49">
        <f>AVERAGE('31.10 MUKONO-KALAGI-24h'!I77,'2.11 MUKONO-KALAGI-24h'!I77)</f>
        <v>1</v>
      </c>
      <c r="J77" s="49">
        <f>AVERAGE('31.10 MUKONO-KALAGI-24h'!J77,'2.11 MUKONO-KALAGI-24h'!J77)</f>
        <v>0</v>
      </c>
      <c r="K77" s="49">
        <f>AVERAGE('31.10 MUKONO-KALAGI-24h'!K77,'2.11 MUKONO-KALAGI-24h'!K77)</f>
        <v>0</v>
      </c>
      <c r="L77" s="49">
        <f>AVERAGE('31.10 MUKONO-KALAGI-24h'!L77,'2.11 MUKONO-KALAGI-24h'!L77)</f>
        <v>0</v>
      </c>
      <c r="M77" s="49">
        <f>AVERAGE('31.10 MUKONO-KALAGI-24h'!M77,'2.11 MUKONO-KALAGI-24h'!M77)</f>
        <v>7.5</v>
      </c>
      <c r="N77" s="49">
        <f>AVERAGE('31.10 MUKONO-KALAGI-24h'!N77,'2.11 MUKONO-KALAGI-24h'!N77)</f>
        <v>0</v>
      </c>
      <c r="O77" s="15">
        <f t="shared" si="35"/>
        <v>6.5</v>
      </c>
      <c r="P77" s="15">
        <f t="shared" si="36"/>
        <v>14</v>
      </c>
      <c r="R77" s="8"/>
      <c r="T77"/>
    </row>
    <row r="78" spans="2:20" ht="23.1" customHeight="1" x14ac:dyDescent="0.25">
      <c r="B78" s="24" t="s">
        <v>118</v>
      </c>
      <c r="C78" s="49">
        <f>AVERAGE('31.10 MUKONO-KALAGI-24h'!C78,'2.11 MUKONO-KALAGI-24h'!C78)</f>
        <v>3.5</v>
      </c>
      <c r="D78" s="49">
        <f>AVERAGE('31.10 MUKONO-KALAGI-24h'!D78,'2.11 MUKONO-KALAGI-24h'!D78)</f>
        <v>1</v>
      </c>
      <c r="E78" s="49">
        <f>AVERAGE('31.10 MUKONO-KALAGI-24h'!E78,'2.11 MUKONO-KALAGI-24h'!E78)</f>
        <v>0</v>
      </c>
      <c r="F78" s="49">
        <f>AVERAGE('31.10 MUKONO-KALAGI-24h'!F78,'2.11 MUKONO-KALAGI-24h'!F78)</f>
        <v>1.5</v>
      </c>
      <c r="G78" s="49">
        <f>AVERAGE('31.10 MUKONO-KALAGI-24h'!G78,'2.11 MUKONO-KALAGI-24h'!G78)</f>
        <v>0</v>
      </c>
      <c r="H78" s="49">
        <f>AVERAGE('31.10 MUKONO-KALAGI-24h'!H78,'2.11 MUKONO-KALAGI-24h'!H78)</f>
        <v>0</v>
      </c>
      <c r="I78" s="49">
        <f>AVERAGE('31.10 MUKONO-KALAGI-24h'!I78,'2.11 MUKONO-KALAGI-24h'!I78)</f>
        <v>0</v>
      </c>
      <c r="J78" s="49">
        <f>AVERAGE('31.10 MUKONO-KALAGI-24h'!J78,'2.11 MUKONO-KALAGI-24h'!J78)</f>
        <v>0</v>
      </c>
      <c r="K78" s="49">
        <f>AVERAGE('31.10 MUKONO-KALAGI-24h'!K78,'2.11 MUKONO-KALAGI-24h'!K78)</f>
        <v>0</v>
      </c>
      <c r="L78" s="49">
        <f>AVERAGE('31.10 MUKONO-KALAGI-24h'!L78,'2.11 MUKONO-KALAGI-24h'!L78)</f>
        <v>0</v>
      </c>
      <c r="M78" s="49">
        <f>AVERAGE('31.10 MUKONO-KALAGI-24h'!M78,'2.11 MUKONO-KALAGI-24h'!M78)</f>
        <v>4.5</v>
      </c>
      <c r="N78" s="49">
        <f>AVERAGE('31.10 MUKONO-KALAGI-24h'!N78,'2.11 MUKONO-KALAGI-24h'!N78)</f>
        <v>0</v>
      </c>
      <c r="O78" s="15">
        <f t="shared" si="35"/>
        <v>6</v>
      </c>
      <c r="P78" s="15">
        <f t="shared" si="36"/>
        <v>10.5</v>
      </c>
      <c r="R78" s="8"/>
      <c r="T78"/>
    </row>
    <row r="79" spans="2:20" ht="23.1" customHeight="1" x14ac:dyDescent="0.25">
      <c r="B79" s="23" t="s">
        <v>119</v>
      </c>
      <c r="C79" s="49">
        <f>AVERAGE('31.10 MUKONO-KALAGI-24h'!C79,'2.11 MUKONO-KALAGI-24h'!C79)</f>
        <v>3.5</v>
      </c>
      <c r="D79" s="49">
        <f>AVERAGE('31.10 MUKONO-KALAGI-24h'!D79,'2.11 MUKONO-KALAGI-24h'!D79)</f>
        <v>0.5</v>
      </c>
      <c r="E79" s="49">
        <f>AVERAGE('31.10 MUKONO-KALAGI-24h'!E79,'2.11 MUKONO-KALAGI-24h'!E79)</f>
        <v>1</v>
      </c>
      <c r="F79" s="49">
        <f>AVERAGE('31.10 MUKONO-KALAGI-24h'!F79,'2.11 MUKONO-KALAGI-24h'!F79)</f>
        <v>1.5</v>
      </c>
      <c r="G79" s="49">
        <f>AVERAGE('31.10 MUKONO-KALAGI-24h'!G79,'2.11 MUKONO-KALAGI-24h'!G79)</f>
        <v>0</v>
      </c>
      <c r="H79" s="49">
        <f>AVERAGE('31.10 MUKONO-KALAGI-24h'!H79,'2.11 MUKONO-KALAGI-24h'!H79)</f>
        <v>0</v>
      </c>
      <c r="I79" s="49">
        <f>AVERAGE('31.10 MUKONO-KALAGI-24h'!I79,'2.11 MUKONO-KALAGI-24h'!I79)</f>
        <v>1</v>
      </c>
      <c r="J79" s="49">
        <f>AVERAGE('31.10 MUKONO-KALAGI-24h'!J79,'2.11 MUKONO-KALAGI-24h'!J79)</f>
        <v>0</v>
      </c>
      <c r="K79" s="49">
        <f>AVERAGE('31.10 MUKONO-KALAGI-24h'!K79,'2.11 MUKONO-KALAGI-24h'!K79)</f>
        <v>0</v>
      </c>
      <c r="L79" s="49">
        <f>AVERAGE('31.10 MUKONO-KALAGI-24h'!L79,'2.11 MUKONO-KALAGI-24h'!L79)</f>
        <v>0</v>
      </c>
      <c r="M79" s="49">
        <f>AVERAGE('31.10 MUKONO-KALAGI-24h'!M79,'2.11 MUKONO-KALAGI-24h'!M79)</f>
        <v>5</v>
      </c>
      <c r="N79" s="49">
        <f>AVERAGE('31.10 MUKONO-KALAGI-24h'!N79,'2.11 MUKONO-KALAGI-24h'!N79)</f>
        <v>0</v>
      </c>
      <c r="O79" s="15">
        <f t="shared" si="35"/>
        <v>7.5</v>
      </c>
      <c r="P79" s="15">
        <f t="shared" si="36"/>
        <v>12.5</v>
      </c>
      <c r="R79" s="8"/>
      <c r="T79"/>
    </row>
    <row r="80" spans="2:20" ht="23.1" customHeight="1" x14ac:dyDescent="0.25">
      <c r="B80" s="25" t="s">
        <v>120</v>
      </c>
      <c r="C80" s="49">
        <f>AVERAGE('31.10 MUKONO-KALAGI-24h'!C80,'2.11 MUKONO-KALAGI-24h'!C80)</f>
        <v>1.5</v>
      </c>
      <c r="D80" s="49">
        <f>AVERAGE('31.10 MUKONO-KALAGI-24h'!D80,'2.11 MUKONO-KALAGI-24h'!D80)</f>
        <v>0</v>
      </c>
      <c r="E80" s="49">
        <f>AVERAGE('31.10 MUKONO-KALAGI-24h'!E80,'2.11 MUKONO-KALAGI-24h'!E80)</f>
        <v>0</v>
      </c>
      <c r="F80" s="49">
        <f>AVERAGE('31.10 MUKONO-KALAGI-24h'!F80,'2.11 MUKONO-KALAGI-24h'!F80)</f>
        <v>1.5</v>
      </c>
      <c r="G80" s="49">
        <f>AVERAGE('31.10 MUKONO-KALAGI-24h'!G80,'2.11 MUKONO-KALAGI-24h'!G80)</f>
        <v>0</v>
      </c>
      <c r="H80" s="49">
        <f>AVERAGE('31.10 MUKONO-KALAGI-24h'!H80,'2.11 MUKONO-KALAGI-24h'!H80)</f>
        <v>0</v>
      </c>
      <c r="I80" s="49">
        <f>AVERAGE('31.10 MUKONO-KALAGI-24h'!I80,'2.11 MUKONO-KALAGI-24h'!I80)</f>
        <v>0.5</v>
      </c>
      <c r="J80" s="49">
        <f>AVERAGE('31.10 MUKONO-KALAGI-24h'!J80,'2.11 MUKONO-KALAGI-24h'!J80)</f>
        <v>0</v>
      </c>
      <c r="K80" s="49">
        <f>AVERAGE('31.10 MUKONO-KALAGI-24h'!K80,'2.11 MUKONO-KALAGI-24h'!K80)</f>
        <v>0</v>
      </c>
      <c r="L80" s="49">
        <f>AVERAGE('31.10 MUKONO-KALAGI-24h'!L80,'2.11 MUKONO-KALAGI-24h'!L80)</f>
        <v>0</v>
      </c>
      <c r="M80" s="49">
        <f>AVERAGE('31.10 MUKONO-KALAGI-24h'!M80,'2.11 MUKONO-KALAGI-24h'!M80)</f>
        <v>5</v>
      </c>
      <c r="N80" s="49">
        <f>AVERAGE('31.10 MUKONO-KALAGI-24h'!N80,'2.11 MUKONO-KALAGI-24h'!N80)</f>
        <v>0</v>
      </c>
      <c r="O80" s="15">
        <f t="shared" si="35"/>
        <v>3.5</v>
      </c>
      <c r="P80" s="15">
        <f t="shared" si="36"/>
        <v>8.5</v>
      </c>
      <c r="R80" s="8"/>
      <c r="T80"/>
    </row>
    <row r="81" spans="2:20" ht="23.1" customHeight="1" x14ac:dyDescent="0.25">
      <c r="B81" s="23" t="s">
        <v>121</v>
      </c>
      <c r="C81" s="49">
        <f>AVERAGE('31.10 MUKONO-KALAGI-24h'!C81,'2.11 MUKONO-KALAGI-24h'!C81)</f>
        <v>1</v>
      </c>
      <c r="D81" s="49">
        <f>AVERAGE('31.10 MUKONO-KALAGI-24h'!D81,'2.11 MUKONO-KALAGI-24h'!D81)</f>
        <v>0.5</v>
      </c>
      <c r="E81" s="49">
        <f>AVERAGE('31.10 MUKONO-KALAGI-24h'!E81,'2.11 MUKONO-KALAGI-24h'!E81)</f>
        <v>0</v>
      </c>
      <c r="F81" s="49">
        <f>AVERAGE('31.10 MUKONO-KALAGI-24h'!F81,'2.11 MUKONO-KALAGI-24h'!F81)</f>
        <v>1</v>
      </c>
      <c r="G81" s="49">
        <f>AVERAGE('31.10 MUKONO-KALAGI-24h'!G81,'2.11 MUKONO-KALAGI-24h'!G81)</f>
        <v>0</v>
      </c>
      <c r="H81" s="49">
        <f>AVERAGE('31.10 MUKONO-KALAGI-24h'!H81,'2.11 MUKONO-KALAGI-24h'!H81)</f>
        <v>0</v>
      </c>
      <c r="I81" s="49">
        <f>AVERAGE('31.10 MUKONO-KALAGI-24h'!I81,'2.11 MUKONO-KALAGI-24h'!I81)</f>
        <v>0</v>
      </c>
      <c r="J81" s="49">
        <f>AVERAGE('31.10 MUKONO-KALAGI-24h'!J81,'2.11 MUKONO-KALAGI-24h'!J81)</f>
        <v>0</v>
      </c>
      <c r="K81" s="49">
        <f>AVERAGE('31.10 MUKONO-KALAGI-24h'!K81,'2.11 MUKONO-KALAGI-24h'!K81)</f>
        <v>0</v>
      </c>
      <c r="L81" s="49">
        <f>AVERAGE('31.10 MUKONO-KALAGI-24h'!L81,'2.11 MUKONO-KALAGI-24h'!L81)</f>
        <v>0</v>
      </c>
      <c r="M81" s="49">
        <f>AVERAGE('31.10 MUKONO-KALAGI-24h'!M81,'2.11 MUKONO-KALAGI-24h'!M81)</f>
        <v>2</v>
      </c>
      <c r="N81" s="49">
        <f>AVERAGE('31.10 MUKONO-KALAGI-24h'!N81,'2.11 MUKONO-KALAGI-24h'!N81)</f>
        <v>0</v>
      </c>
      <c r="O81" s="15">
        <f t="shared" si="35"/>
        <v>2.5</v>
      </c>
      <c r="P81" s="15">
        <f t="shared" si="36"/>
        <v>4.5</v>
      </c>
      <c r="R81" s="8"/>
      <c r="T81"/>
    </row>
    <row r="82" spans="2:20" ht="23.1" customHeight="1" x14ac:dyDescent="0.25">
      <c r="B82" s="24" t="s">
        <v>122</v>
      </c>
      <c r="C82" s="49">
        <f>AVERAGE('31.10 MUKONO-KALAGI-24h'!C82,'2.11 MUKONO-KALAGI-24h'!C82)</f>
        <v>0</v>
      </c>
      <c r="D82" s="49">
        <f>AVERAGE('31.10 MUKONO-KALAGI-24h'!D82,'2.11 MUKONO-KALAGI-24h'!D82)</f>
        <v>0</v>
      </c>
      <c r="E82" s="49">
        <f>AVERAGE('31.10 MUKONO-KALAGI-24h'!E82,'2.11 MUKONO-KALAGI-24h'!E82)</f>
        <v>0</v>
      </c>
      <c r="F82" s="49">
        <f>AVERAGE('31.10 MUKONO-KALAGI-24h'!F82,'2.11 MUKONO-KALAGI-24h'!F82)</f>
        <v>1.5</v>
      </c>
      <c r="G82" s="49">
        <f>AVERAGE('31.10 MUKONO-KALAGI-24h'!G82,'2.11 MUKONO-KALAGI-24h'!G82)</f>
        <v>0</v>
      </c>
      <c r="H82" s="49">
        <f>AVERAGE('31.10 MUKONO-KALAGI-24h'!H82,'2.11 MUKONO-KALAGI-24h'!H82)</f>
        <v>0</v>
      </c>
      <c r="I82" s="49">
        <f>AVERAGE('31.10 MUKONO-KALAGI-24h'!I82,'2.11 MUKONO-KALAGI-24h'!I82)</f>
        <v>0</v>
      </c>
      <c r="J82" s="49">
        <f>AVERAGE('31.10 MUKONO-KALAGI-24h'!J82,'2.11 MUKONO-KALAGI-24h'!J82)</f>
        <v>0</v>
      </c>
      <c r="K82" s="49">
        <f>AVERAGE('31.10 MUKONO-KALAGI-24h'!K82,'2.11 MUKONO-KALAGI-24h'!K82)</f>
        <v>0</v>
      </c>
      <c r="L82" s="49">
        <f>AVERAGE('31.10 MUKONO-KALAGI-24h'!L82,'2.11 MUKONO-KALAGI-24h'!L82)</f>
        <v>0</v>
      </c>
      <c r="M82" s="49">
        <f>AVERAGE('31.10 MUKONO-KALAGI-24h'!M82,'2.11 MUKONO-KALAGI-24h'!M82)</f>
        <v>2.5</v>
      </c>
      <c r="N82" s="49">
        <f>AVERAGE('31.10 MUKONO-KALAGI-24h'!N82,'2.11 MUKONO-KALAGI-24h'!N82)</f>
        <v>0</v>
      </c>
      <c r="O82" s="15">
        <f t="shared" si="35"/>
        <v>1.5</v>
      </c>
      <c r="P82" s="15">
        <f t="shared" si="36"/>
        <v>4</v>
      </c>
      <c r="R82" s="8"/>
      <c r="T82"/>
    </row>
    <row r="83" spans="2:20" ht="23.1" customHeight="1" x14ac:dyDescent="0.25">
      <c r="B83" s="23" t="s">
        <v>123</v>
      </c>
      <c r="C83" s="49">
        <f>AVERAGE('31.10 MUKONO-KALAGI-24h'!C83,'2.11 MUKONO-KALAGI-24h'!C83)</f>
        <v>0</v>
      </c>
      <c r="D83" s="49">
        <f>AVERAGE('31.10 MUKONO-KALAGI-24h'!D83,'2.11 MUKONO-KALAGI-24h'!D83)</f>
        <v>1.5</v>
      </c>
      <c r="E83" s="49">
        <f>AVERAGE('31.10 MUKONO-KALAGI-24h'!E83,'2.11 MUKONO-KALAGI-24h'!E83)</f>
        <v>1</v>
      </c>
      <c r="F83" s="49">
        <f>AVERAGE('31.10 MUKONO-KALAGI-24h'!F83,'2.11 MUKONO-KALAGI-24h'!F83)</f>
        <v>0</v>
      </c>
      <c r="G83" s="49">
        <f>AVERAGE('31.10 MUKONO-KALAGI-24h'!G83,'2.11 MUKONO-KALAGI-24h'!G83)</f>
        <v>0</v>
      </c>
      <c r="H83" s="49">
        <f>AVERAGE('31.10 MUKONO-KALAGI-24h'!H83,'2.11 MUKONO-KALAGI-24h'!H83)</f>
        <v>0</v>
      </c>
      <c r="I83" s="49">
        <f>AVERAGE('31.10 MUKONO-KALAGI-24h'!I83,'2.11 MUKONO-KALAGI-24h'!I83)</f>
        <v>0.5</v>
      </c>
      <c r="J83" s="49">
        <f>AVERAGE('31.10 MUKONO-KALAGI-24h'!J83,'2.11 MUKONO-KALAGI-24h'!J83)</f>
        <v>0</v>
      </c>
      <c r="K83" s="49">
        <f>AVERAGE('31.10 MUKONO-KALAGI-24h'!K83,'2.11 MUKONO-KALAGI-24h'!K83)</f>
        <v>0</v>
      </c>
      <c r="L83" s="49">
        <f>AVERAGE('31.10 MUKONO-KALAGI-24h'!L83,'2.11 MUKONO-KALAGI-24h'!L83)</f>
        <v>0</v>
      </c>
      <c r="M83" s="49">
        <f>AVERAGE('31.10 MUKONO-KALAGI-24h'!M83,'2.11 MUKONO-KALAGI-24h'!M83)</f>
        <v>4.5</v>
      </c>
      <c r="N83" s="49">
        <f>AVERAGE('31.10 MUKONO-KALAGI-24h'!N83,'2.11 MUKONO-KALAGI-24h'!N83)</f>
        <v>0</v>
      </c>
      <c r="O83" s="15">
        <f t="shared" si="35"/>
        <v>3</v>
      </c>
      <c r="P83" s="15">
        <f t="shared" si="36"/>
        <v>7.5</v>
      </c>
      <c r="R83" s="8"/>
      <c r="T83"/>
    </row>
    <row r="84" spans="2:20" ht="23.1" customHeight="1" x14ac:dyDescent="0.25">
      <c r="B84" s="25" t="s">
        <v>124</v>
      </c>
      <c r="C84" s="49">
        <f>AVERAGE('31.10 MUKONO-KALAGI-24h'!C84,'2.11 MUKONO-KALAGI-24h'!C84)</f>
        <v>0</v>
      </c>
      <c r="D84" s="49">
        <f>AVERAGE('31.10 MUKONO-KALAGI-24h'!D84,'2.11 MUKONO-KALAGI-24h'!D84)</f>
        <v>0</v>
      </c>
      <c r="E84" s="49">
        <f>AVERAGE('31.10 MUKONO-KALAGI-24h'!E84,'2.11 MUKONO-KALAGI-24h'!E84)</f>
        <v>0</v>
      </c>
      <c r="F84" s="49">
        <f>AVERAGE('31.10 MUKONO-KALAGI-24h'!F84,'2.11 MUKONO-KALAGI-24h'!F84)</f>
        <v>0</v>
      </c>
      <c r="G84" s="49">
        <f>AVERAGE('31.10 MUKONO-KALAGI-24h'!G84,'2.11 MUKONO-KALAGI-24h'!G84)</f>
        <v>0</v>
      </c>
      <c r="H84" s="49">
        <f>AVERAGE('31.10 MUKONO-KALAGI-24h'!H84,'2.11 MUKONO-KALAGI-24h'!H84)</f>
        <v>0</v>
      </c>
      <c r="I84" s="49">
        <f>AVERAGE('31.10 MUKONO-KALAGI-24h'!I84,'2.11 MUKONO-KALAGI-24h'!I84)</f>
        <v>0</v>
      </c>
      <c r="J84" s="49">
        <f>AVERAGE('31.10 MUKONO-KALAGI-24h'!J84,'2.11 MUKONO-KALAGI-24h'!J84)</f>
        <v>0</v>
      </c>
      <c r="K84" s="49">
        <f>AVERAGE('31.10 MUKONO-KALAGI-24h'!K84,'2.11 MUKONO-KALAGI-24h'!K84)</f>
        <v>0</v>
      </c>
      <c r="L84" s="49">
        <f>AVERAGE('31.10 MUKONO-KALAGI-24h'!L84,'2.11 MUKONO-KALAGI-24h'!L84)</f>
        <v>0</v>
      </c>
      <c r="M84" s="49">
        <f>AVERAGE('31.10 MUKONO-KALAGI-24h'!M84,'2.11 MUKONO-KALAGI-24h'!M84)</f>
        <v>3.5</v>
      </c>
      <c r="N84" s="49">
        <f>AVERAGE('31.10 MUKONO-KALAGI-24h'!N84,'2.11 MUKONO-KALAGI-24h'!N84)</f>
        <v>0</v>
      </c>
      <c r="O84" s="15">
        <f t="shared" si="35"/>
        <v>0</v>
      </c>
      <c r="P84" s="15">
        <f t="shared" si="36"/>
        <v>3.5</v>
      </c>
      <c r="R84" s="8"/>
      <c r="T84"/>
    </row>
    <row r="85" spans="2:20" ht="23.1" customHeight="1" x14ac:dyDescent="0.25">
      <c r="B85" s="23" t="s">
        <v>125</v>
      </c>
      <c r="C85" s="49">
        <f>AVERAGE('31.10 MUKONO-KALAGI-24h'!C85,'2.11 MUKONO-KALAGI-24h'!C85)</f>
        <v>0</v>
      </c>
      <c r="D85" s="49">
        <f>AVERAGE('31.10 MUKONO-KALAGI-24h'!D85,'2.11 MUKONO-KALAGI-24h'!D85)</f>
        <v>0</v>
      </c>
      <c r="E85" s="49">
        <f>AVERAGE('31.10 MUKONO-KALAGI-24h'!E85,'2.11 MUKONO-KALAGI-24h'!E85)</f>
        <v>0</v>
      </c>
      <c r="F85" s="49">
        <f>AVERAGE('31.10 MUKONO-KALAGI-24h'!F85,'2.11 MUKONO-KALAGI-24h'!F85)</f>
        <v>1.5</v>
      </c>
      <c r="G85" s="49">
        <f>AVERAGE('31.10 MUKONO-KALAGI-24h'!G85,'2.11 MUKONO-KALAGI-24h'!G85)</f>
        <v>0</v>
      </c>
      <c r="H85" s="49">
        <f>AVERAGE('31.10 MUKONO-KALAGI-24h'!H85,'2.11 MUKONO-KALAGI-24h'!H85)</f>
        <v>0</v>
      </c>
      <c r="I85" s="49">
        <f>AVERAGE('31.10 MUKONO-KALAGI-24h'!I85,'2.11 MUKONO-KALAGI-24h'!I85)</f>
        <v>0</v>
      </c>
      <c r="J85" s="49">
        <f>AVERAGE('31.10 MUKONO-KALAGI-24h'!J85,'2.11 MUKONO-KALAGI-24h'!J85)</f>
        <v>0</v>
      </c>
      <c r="K85" s="49">
        <f>AVERAGE('31.10 MUKONO-KALAGI-24h'!K85,'2.11 MUKONO-KALAGI-24h'!K85)</f>
        <v>0</v>
      </c>
      <c r="L85" s="49">
        <f>AVERAGE('31.10 MUKONO-KALAGI-24h'!L85,'2.11 MUKONO-KALAGI-24h'!L85)</f>
        <v>0</v>
      </c>
      <c r="M85" s="49">
        <f>AVERAGE('31.10 MUKONO-KALAGI-24h'!M85,'2.11 MUKONO-KALAGI-24h'!M85)</f>
        <v>3.5</v>
      </c>
      <c r="N85" s="49">
        <f>AVERAGE('31.10 MUKONO-KALAGI-24h'!N85,'2.11 MUKONO-KALAGI-24h'!N85)</f>
        <v>0</v>
      </c>
      <c r="O85" s="15">
        <f t="shared" si="35"/>
        <v>1.5</v>
      </c>
      <c r="P85" s="15">
        <f t="shared" si="36"/>
        <v>5</v>
      </c>
      <c r="R85" s="8"/>
      <c r="T85"/>
    </row>
    <row r="86" spans="2:20" ht="23.1" customHeight="1" x14ac:dyDescent="0.25">
      <c r="B86" s="24" t="s">
        <v>126</v>
      </c>
      <c r="C86" s="49">
        <f>AVERAGE('31.10 MUKONO-KALAGI-24h'!C86,'2.11 MUKONO-KALAGI-24h'!C86)</f>
        <v>0</v>
      </c>
      <c r="D86" s="49">
        <f>AVERAGE('31.10 MUKONO-KALAGI-24h'!D86,'2.11 MUKONO-KALAGI-24h'!D86)</f>
        <v>0</v>
      </c>
      <c r="E86" s="49">
        <f>AVERAGE('31.10 MUKONO-KALAGI-24h'!E86,'2.11 MUKONO-KALAGI-24h'!E86)</f>
        <v>0</v>
      </c>
      <c r="F86" s="49">
        <f>AVERAGE('31.10 MUKONO-KALAGI-24h'!F86,'2.11 MUKONO-KALAGI-24h'!F86)</f>
        <v>1.5</v>
      </c>
      <c r="G86" s="49">
        <f>AVERAGE('31.10 MUKONO-KALAGI-24h'!G86,'2.11 MUKONO-KALAGI-24h'!G86)</f>
        <v>0.5</v>
      </c>
      <c r="H86" s="49">
        <f>AVERAGE('31.10 MUKONO-KALAGI-24h'!H86,'2.11 MUKONO-KALAGI-24h'!H86)</f>
        <v>0</v>
      </c>
      <c r="I86" s="49">
        <f>AVERAGE('31.10 MUKONO-KALAGI-24h'!I86,'2.11 MUKONO-KALAGI-24h'!I86)</f>
        <v>0</v>
      </c>
      <c r="J86" s="49">
        <f>AVERAGE('31.10 MUKONO-KALAGI-24h'!J86,'2.11 MUKONO-KALAGI-24h'!J86)</f>
        <v>0</v>
      </c>
      <c r="K86" s="49">
        <f>AVERAGE('31.10 MUKONO-KALAGI-24h'!K86,'2.11 MUKONO-KALAGI-24h'!K86)</f>
        <v>0</v>
      </c>
      <c r="L86" s="49">
        <f>AVERAGE('31.10 MUKONO-KALAGI-24h'!L86,'2.11 MUKONO-KALAGI-24h'!L86)</f>
        <v>0</v>
      </c>
      <c r="M86" s="49">
        <f>AVERAGE('31.10 MUKONO-KALAGI-24h'!M86,'2.11 MUKONO-KALAGI-24h'!M86)</f>
        <v>2</v>
      </c>
      <c r="N86" s="49">
        <f>AVERAGE('31.10 MUKONO-KALAGI-24h'!N86,'2.11 MUKONO-KALAGI-24h'!N86)</f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AVERAGE('31.10 MUKONO-KALAGI-24h'!C87,'2.11 MUKONO-KALAGI-24h'!C87)</f>
        <v>0</v>
      </c>
      <c r="D87" s="49">
        <f>AVERAGE('31.10 MUKONO-KALAGI-24h'!D87,'2.11 MUKONO-KALAGI-24h'!D87)</f>
        <v>1.5</v>
      </c>
      <c r="E87" s="49">
        <f>AVERAGE('31.10 MUKONO-KALAGI-24h'!E87,'2.11 MUKONO-KALAGI-24h'!E87)</f>
        <v>1.5</v>
      </c>
      <c r="F87" s="49">
        <f>AVERAGE('31.10 MUKONO-KALAGI-24h'!F87,'2.11 MUKONO-KALAGI-24h'!F87)</f>
        <v>0</v>
      </c>
      <c r="G87" s="49">
        <f>AVERAGE('31.10 MUKONO-KALAGI-24h'!G87,'2.11 MUKONO-KALAGI-24h'!G87)</f>
        <v>0</v>
      </c>
      <c r="H87" s="49">
        <f>AVERAGE('31.10 MUKONO-KALAGI-24h'!H87,'2.11 MUKONO-KALAGI-24h'!H87)</f>
        <v>0</v>
      </c>
      <c r="I87" s="49">
        <f>AVERAGE('31.10 MUKONO-KALAGI-24h'!I87,'2.11 MUKONO-KALAGI-24h'!I87)</f>
        <v>1</v>
      </c>
      <c r="J87" s="49">
        <f>AVERAGE('31.10 MUKONO-KALAGI-24h'!J87,'2.11 MUKONO-KALAGI-24h'!J87)</f>
        <v>0</v>
      </c>
      <c r="K87" s="49">
        <f>AVERAGE('31.10 MUKONO-KALAGI-24h'!K87,'2.11 MUKONO-KALAGI-24h'!K87)</f>
        <v>0</v>
      </c>
      <c r="L87" s="49">
        <f>AVERAGE('31.10 MUKONO-KALAGI-24h'!L87,'2.11 MUKONO-KALAGI-24h'!L87)</f>
        <v>0</v>
      </c>
      <c r="M87" s="49">
        <f>AVERAGE('31.10 MUKONO-KALAGI-24h'!M87,'2.11 MUKONO-KALAGI-24h'!M87)</f>
        <v>2.5</v>
      </c>
      <c r="N87" s="49">
        <f>AVERAGE('31.10 MUKONO-KALAGI-24h'!N87,'2.11 MUKONO-KALAGI-24h'!N87)</f>
        <v>0</v>
      </c>
      <c r="O87" s="15">
        <f t="shared" si="35"/>
        <v>4</v>
      </c>
      <c r="P87" s="15">
        <f t="shared" si="36"/>
        <v>6.5</v>
      </c>
      <c r="R87" s="8"/>
      <c r="T87"/>
    </row>
    <row r="88" spans="2:20" ht="23.1" customHeight="1" x14ac:dyDescent="0.25">
      <c r="B88" s="25" t="s">
        <v>128</v>
      </c>
      <c r="C88" s="49">
        <f>AVERAGE('31.10 MUKONO-KALAGI-24h'!C88,'2.11 MUKONO-KALAGI-24h'!C88)</f>
        <v>0</v>
      </c>
      <c r="D88" s="49">
        <f>AVERAGE('31.10 MUKONO-KALAGI-24h'!D88,'2.11 MUKONO-KALAGI-24h'!D88)</f>
        <v>0</v>
      </c>
      <c r="E88" s="49">
        <f>AVERAGE('31.10 MUKONO-KALAGI-24h'!E88,'2.11 MUKONO-KALAGI-24h'!E88)</f>
        <v>0</v>
      </c>
      <c r="F88" s="49">
        <f>AVERAGE('31.10 MUKONO-KALAGI-24h'!F88,'2.11 MUKONO-KALAGI-24h'!F88)</f>
        <v>0</v>
      </c>
      <c r="G88" s="49">
        <f>AVERAGE('31.10 MUKONO-KALAGI-24h'!G88,'2.11 MUKONO-KALAGI-24h'!G88)</f>
        <v>0</v>
      </c>
      <c r="H88" s="49">
        <f>AVERAGE('31.10 MUKONO-KALAGI-24h'!H88,'2.11 MUKONO-KALAGI-24h'!H88)</f>
        <v>0</v>
      </c>
      <c r="I88" s="49">
        <f>AVERAGE('31.10 MUKONO-KALAGI-24h'!I88,'2.11 MUKONO-KALAGI-24h'!I88)</f>
        <v>1</v>
      </c>
      <c r="J88" s="49">
        <f>AVERAGE('31.10 MUKONO-KALAGI-24h'!J88,'2.11 MUKONO-KALAGI-24h'!J88)</f>
        <v>0</v>
      </c>
      <c r="K88" s="49">
        <f>AVERAGE('31.10 MUKONO-KALAGI-24h'!K88,'2.11 MUKONO-KALAGI-24h'!K88)</f>
        <v>0</v>
      </c>
      <c r="L88" s="49">
        <f>AVERAGE('31.10 MUKONO-KALAGI-24h'!L88,'2.11 MUKONO-KALAGI-24h'!L88)</f>
        <v>0</v>
      </c>
      <c r="M88" s="49">
        <f>AVERAGE('31.10 MUKONO-KALAGI-24h'!M88,'2.11 MUKONO-KALAGI-24h'!M88)</f>
        <v>3</v>
      </c>
      <c r="N88" s="49">
        <f>AVERAGE('31.10 MUKONO-KALAGI-24h'!N88,'2.11 MUKONO-KALAGI-24h'!N88)</f>
        <v>0</v>
      </c>
      <c r="O88" s="15">
        <f t="shared" si="35"/>
        <v>1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AVERAGE('31.10 MUKONO-KALAGI-24h'!C89,'2.11 MUKONO-KALAGI-24h'!C89)</f>
        <v>0</v>
      </c>
      <c r="D89" s="49">
        <f>AVERAGE('31.10 MUKONO-KALAGI-24h'!D89,'2.11 MUKONO-KALAGI-24h'!D89)</f>
        <v>0</v>
      </c>
      <c r="E89" s="49">
        <f>AVERAGE('31.10 MUKONO-KALAGI-24h'!E89,'2.11 MUKONO-KALAGI-24h'!E89)</f>
        <v>0</v>
      </c>
      <c r="F89" s="49">
        <f>AVERAGE('31.10 MUKONO-KALAGI-24h'!F89,'2.11 MUKONO-KALAGI-24h'!F89)</f>
        <v>1</v>
      </c>
      <c r="G89" s="49">
        <f>AVERAGE('31.10 MUKONO-KALAGI-24h'!G89,'2.11 MUKONO-KALAGI-24h'!G89)</f>
        <v>0</v>
      </c>
      <c r="H89" s="49">
        <f>AVERAGE('31.10 MUKONO-KALAGI-24h'!H89,'2.11 MUKONO-KALAGI-24h'!H89)</f>
        <v>0</v>
      </c>
      <c r="I89" s="49">
        <f>AVERAGE('31.10 MUKONO-KALAGI-24h'!I89,'2.11 MUKONO-KALAGI-24h'!I89)</f>
        <v>0</v>
      </c>
      <c r="J89" s="49">
        <f>AVERAGE('31.10 MUKONO-KALAGI-24h'!J89,'2.11 MUKONO-KALAGI-24h'!J89)</f>
        <v>0</v>
      </c>
      <c r="K89" s="49">
        <f>AVERAGE('31.10 MUKONO-KALAGI-24h'!K89,'2.11 MUKONO-KALAGI-24h'!K89)</f>
        <v>0</v>
      </c>
      <c r="L89" s="49">
        <f>AVERAGE('31.10 MUKONO-KALAGI-24h'!L89,'2.11 MUKONO-KALAGI-24h'!L89)</f>
        <v>0</v>
      </c>
      <c r="M89" s="49">
        <f>AVERAGE('31.10 MUKONO-KALAGI-24h'!M89,'2.11 MUKONO-KALAGI-24h'!M89)</f>
        <v>2</v>
      </c>
      <c r="N89" s="49">
        <f>AVERAGE('31.10 MUKONO-KALAGI-24h'!N89,'2.11 MUKONO-KALAGI-24h'!N89)</f>
        <v>0</v>
      </c>
      <c r="O89" s="15">
        <f t="shared" si="35"/>
        <v>1</v>
      </c>
      <c r="P89" s="15">
        <f t="shared" si="36"/>
        <v>3</v>
      </c>
      <c r="R89" s="8"/>
      <c r="T89"/>
    </row>
    <row r="90" spans="2:20" ht="23.1" customHeight="1" x14ac:dyDescent="0.25">
      <c r="B90" s="24" t="s">
        <v>130</v>
      </c>
      <c r="C90" s="49">
        <f>AVERAGE('31.10 MUKONO-KALAGI-24h'!C90,'2.11 MUKONO-KALAGI-24h'!C90)</f>
        <v>0</v>
      </c>
      <c r="D90" s="49">
        <f>AVERAGE('31.10 MUKONO-KALAGI-24h'!D90,'2.11 MUKONO-KALAGI-24h'!D90)</f>
        <v>0</v>
      </c>
      <c r="E90" s="49">
        <f>AVERAGE('31.10 MUKONO-KALAGI-24h'!E90,'2.11 MUKONO-KALAGI-24h'!E90)</f>
        <v>0</v>
      </c>
      <c r="F90" s="49">
        <f>AVERAGE('31.10 MUKONO-KALAGI-24h'!F90,'2.11 MUKONO-KALAGI-24h'!F90)</f>
        <v>1</v>
      </c>
      <c r="G90" s="49">
        <f>AVERAGE('31.10 MUKONO-KALAGI-24h'!G90,'2.11 MUKONO-KALAGI-24h'!G90)</f>
        <v>0</v>
      </c>
      <c r="H90" s="49">
        <f>AVERAGE('31.10 MUKONO-KALAGI-24h'!H90,'2.11 MUKONO-KALAGI-24h'!H90)</f>
        <v>0</v>
      </c>
      <c r="I90" s="49">
        <f>AVERAGE('31.10 MUKONO-KALAGI-24h'!I90,'2.11 MUKONO-KALAGI-24h'!I90)</f>
        <v>0.5</v>
      </c>
      <c r="J90" s="49">
        <f>AVERAGE('31.10 MUKONO-KALAGI-24h'!J90,'2.11 MUKONO-KALAGI-24h'!J90)</f>
        <v>0</v>
      </c>
      <c r="K90" s="49">
        <f>AVERAGE('31.10 MUKONO-KALAGI-24h'!K90,'2.11 MUKONO-KALAGI-24h'!K90)</f>
        <v>0</v>
      </c>
      <c r="L90" s="49">
        <f>AVERAGE('31.10 MUKONO-KALAGI-24h'!L90,'2.11 MUKONO-KALAGI-24h'!L90)</f>
        <v>0</v>
      </c>
      <c r="M90" s="49">
        <f>AVERAGE('31.10 MUKONO-KALAGI-24h'!M90,'2.11 MUKONO-KALAGI-24h'!M90)</f>
        <v>1.5</v>
      </c>
      <c r="N90" s="49">
        <f>AVERAGE('31.10 MUKONO-KALAGI-24h'!N90,'2.11 MUKONO-KALAGI-24h'!N90)</f>
        <v>0</v>
      </c>
      <c r="O90" s="15">
        <f t="shared" si="35"/>
        <v>1.5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AVERAGE('31.10 MUKONO-KALAGI-24h'!C91,'2.11 MUKONO-KALAGI-24h'!C91)</f>
        <v>0</v>
      </c>
      <c r="D91" s="49">
        <f>AVERAGE('31.10 MUKONO-KALAGI-24h'!D91,'2.11 MUKONO-KALAGI-24h'!D91)</f>
        <v>1</v>
      </c>
      <c r="E91" s="49">
        <f>AVERAGE('31.10 MUKONO-KALAGI-24h'!E91,'2.11 MUKONO-KALAGI-24h'!E91)</f>
        <v>0.5</v>
      </c>
      <c r="F91" s="49">
        <f>AVERAGE('31.10 MUKONO-KALAGI-24h'!F91,'2.11 MUKONO-KALAGI-24h'!F91)</f>
        <v>0</v>
      </c>
      <c r="G91" s="49">
        <f>AVERAGE('31.10 MUKONO-KALAGI-24h'!G91,'2.11 MUKONO-KALAGI-24h'!G91)</f>
        <v>0</v>
      </c>
      <c r="H91" s="49">
        <f>AVERAGE('31.10 MUKONO-KALAGI-24h'!H91,'2.11 MUKONO-KALAGI-24h'!H91)</f>
        <v>0</v>
      </c>
      <c r="I91" s="49">
        <f>AVERAGE('31.10 MUKONO-KALAGI-24h'!I91,'2.11 MUKONO-KALAGI-24h'!I91)</f>
        <v>1</v>
      </c>
      <c r="J91" s="49">
        <f>AVERAGE('31.10 MUKONO-KALAGI-24h'!J91,'2.11 MUKONO-KALAGI-24h'!J91)</f>
        <v>0</v>
      </c>
      <c r="K91" s="49">
        <f>AVERAGE('31.10 MUKONO-KALAGI-24h'!K91,'2.11 MUKONO-KALAGI-24h'!K91)</f>
        <v>1</v>
      </c>
      <c r="L91" s="49">
        <f>AVERAGE('31.10 MUKONO-KALAGI-24h'!L91,'2.11 MUKONO-KALAGI-24h'!L91)</f>
        <v>0</v>
      </c>
      <c r="M91" s="49">
        <f>AVERAGE('31.10 MUKONO-KALAGI-24h'!M91,'2.11 MUKONO-KALAGI-24h'!M91)</f>
        <v>1</v>
      </c>
      <c r="N91" s="49">
        <f>AVERAGE('31.10 MUKONO-KALAGI-24h'!N91,'2.11 MUKONO-KALAGI-24h'!N91)</f>
        <v>0</v>
      </c>
      <c r="O91" s="15">
        <f t="shared" si="35"/>
        <v>3.5</v>
      </c>
      <c r="P91" s="15">
        <f t="shared" si="36"/>
        <v>4.5</v>
      </c>
      <c r="R91" s="8"/>
      <c r="T91"/>
    </row>
    <row r="92" spans="2:20" ht="23.1" customHeight="1" x14ac:dyDescent="0.25">
      <c r="B92" s="25" t="s">
        <v>132</v>
      </c>
      <c r="C92" s="49">
        <f>AVERAGE('31.10 MUKONO-KALAGI-24h'!C92,'2.11 MUKONO-KALAGI-24h'!C92)</f>
        <v>0</v>
      </c>
      <c r="D92" s="49">
        <f>AVERAGE('31.10 MUKONO-KALAGI-24h'!D92,'2.11 MUKONO-KALAGI-24h'!D92)</f>
        <v>0</v>
      </c>
      <c r="E92" s="49">
        <f>AVERAGE('31.10 MUKONO-KALAGI-24h'!E92,'2.11 MUKONO-KALAGI-24h'!E92)</f>
        <v>0</v>
      </c>
      <c r="F92" s="49">
        <f>AVERAGE('31.10 MUKONO-KALAGI-24h'!F92,'2.11 MUKONO-KALAGI-24h'!F92)</f>
        <v>0</v>
      </c>
      <c r="G92" s="49">
        <f>AVERAGE('31.10 MUKONO-KALAGI-24h'!G92,'2.11 MUKONO-KALAGI-24h'!G92)</f>
        <v>0</v>
      </c>
      <c r="H92" s="49">
        <f>AVERAGE('31.10 MUKONO-KALAGI-24h'!H92,'2.11 MUKONO-KALAGI-24h'!H92)</f>
        <v>0</v>
      </c>
      <c r="I92" s="49">
        <f>AVERAGE('31.10 MUKONO-KALAGI-24h'!I92,'2.11 MUKONO-KALAGI-24h'!I92)</f>
        <v>1</v>
      </c>
      <c r="J92" s="49">
        <f>AVERAGE('31.10 MUKONO-KALAGI-24h'!J92,'2.11 MUKONO-KALAGI-24h'!J92)</f>
        <v>0</v>
      </c>
      <c r="K92" s="49">
        <f>AVERAGE('31.10 MUKONO-KALAGI-24h'!K92,'2.11 MUKONO-KALAGI-24h'!K92)</f>
        <v>0</v>
      </c>
      <c r="L92" s="49">
        <f>AVERAGE('31.10 MUKONO-KALAGI-24h'!L92,'2.11 MUKONO-KALAGI-24h'!L92)</f>
        <v>0</v>
      </c>
      <c r="M92" s="49">
        <f>AVERAGE('31.10 MUKONO-KALAGI-24h'!M92,'2.11 MUKONO-KALAGI-24h'!M92)</f>
        <v>2</v>
      </c>
      <c r="N92" s="49">
        <f>AVERAGE('31.10 MUKONO-KALAGI-24h'!N92,'2.11 MUKONO-KALAGI-24h'!N92)</f>
        <v>0</v>
      </c>
      <c r="O92" s="15">
        <f t="shared" si="35"/>
        <v>1</v>
      </c>
      <c r="P92" s="15">
        <f t="shared" si="36"/>
        <v>3</v>
      </c>
      <c r="R92" s="8"/>
      <c r="T92"/>
    </row>
    <row r="93" spans="2:20" ht="23.1" customHeight="1" x14ac:dyDescent="0.25">
      <c r="B93" s="23" t="s">
        <v>133</v>
      </c>
      <c r="C93" s="49">
        <f>AVERAGE('31.10 MUKONO-KALAGI-24h'!C93,'2.11 MUKONO-KALAGI-24h'!C93)</f>
        <v>0</v>
      </c>
      <c r="D93" s="49">
        <f>AVERAGE('31.10 MUKONO-KALAGI-24h'!D93,'2.11 MUKONO-KALAGI-24h'!D93)</f>
        <v>0.5</v>
      </c>
      <c r="E93" s="49">
        <f>AVERAGE('31.10 MUKONO-KALAGI-24h'!E93,'2.11 MUKONO-KALAGI-24h'!E93)</f>
        <v>0</v>
      </c>
      <c r="F93" s="49">
        <f>AVERAGE('31.10 MUKONO-KALAGI-24h'!F93,'2.11 MUKONO-KALAGI-24h'!F93)</f>
        <v>1</v>
      </c>
      <c r="G93" s="49">
        <f>AVERAGE('31.10 MUKONO-KALAGI-24h'!G93,'2.11 MUKONO-KALAGI-24h'!G93)</f>
        <v>1</v>
      </c>
      <c r="H93" s="49">
        <f>AVERAGE('31.10 MUKONO-KALAGI-24h'!H93,'2.11 MUKONO-KALAGI-24h'!H93)</f>
        <v>0</v>
      </c>
      <c r="I93" s="49">
        <f>AVERAGE('31.10 MUKONO-KALAGI-24h'!I93,'2.11 MUKONO-KALAGI-24h'!I93)</f>
        <v>1.5</v>
      </c>
      <c r="J93" s="49">
        <f>AVERAGE('31.10 MUKONO-KALAGI-24h'!J93,'2.11 MUKONO-KALAGI-24h'!J93)</f>
        <v>0.5</v>
      </c>
      <c r="K93" s="49">
        <f>AVERAGE('31.10 MUKONO-KALAGI-24h'!K93,'2.11 MUKONO-KALAGI-24h'!K93)</f>
        <v>0</v>
      </c>
      <c r="L93" s="49">
        <f>AVERAGE('31.10 MUKONO-KALAGI-24h'!L93,'2.11 MUKONO-KALAGI-24h'!L93)</f>
        <v>0</v>
      </c>
      <c r="M93" s="49">
        <f>AVERAGE('31.10 MUKONO-KALAGI-24h'!M93,'2.11 MUKONO-KALAGI-24h'!M93)</f>
        <v>1</v>
      </c>
      <c r="N93" s="49">
        <f>AVERAGE('31.10 MUKONO-KALAGI-24h'!N93,'2.11 MUKONO-KALAGI-24h'!N93)</f>
        <v>0</v>
      </c>
      <c r="O93" s="15">
        <f t="shared" si="35"/>
        <v>4.5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AVERAGE('31.10 MUKONO-KALAGI-24h'!C94,'2.11 MUKONO-KALAGI-24h'!C94)</f>
        <v>0</v>
      </c>
      <c r="D94" s="49">
        <f>AVERAGE('31.10 MUKONO-KALAGI-24h'!D94,'2.11 MUKONO-KALAGI-24h'!D94)</f>
        <v>0</v>
      </c>
      <c r="E94" s="49">
        <f>AVERAGE('31.10 MUKONO-KALAGI-24h'!E94,'2.11 MUKONO-KALAGI-24h'!E94)</f>
        <v>0</v>
      </c>
      <c r="F94" s="49">
        <f>AVERAGE('31.10 MUKONO-KALAGI-24h'!F94,'2.11 MUKONO-KALAGI-24h'!F94)</f>
        <v>1</v>
      </c>
      <c r="G94" s="49">
        <f>AVERAGE('31.10 MUKONO-KALAGI-24h'!G94,'2.11 MUKONO-KALAGI-24h'!G94)</f>
        <v>0</v>
      </c>
      <c r="H94" s="49">
        <f>AVERAGE('31.10 MUKONO-KALAGI-24h'!H94,'2.11 MUKONO-KALAGI-24h'!H94)</f>
        <v>0</v>
      </c>
      <c r="I94" s="49">
        <f>AVERAGE('31.10 MUKONO-KALAGI-24h'!I94,'2.11 MUKONO-KALAGI-24h'!I94)</f>
        <v>0.5</v>
      </c>
      <c r="J94" s="49">
        <f>AVERAGE('31.10 MUKONO-KALAGI-24h'!J94,'2.11 MUKONO-KALAGI-24h'!J94)</f>
        <v>0</v>
      </c>
      <c r="K94" s="49">
        <f>AVERAGE('31.10 MUKONO-KALAGI-24h'!K94,'2.11 MUKONO-KALAGI-24h'!K94)</f>
        <v>0</v>
      </c>
      <c r="L94" s="49">
        <f>AVERAGE('31.10 MUKONO-KALAGI-24h'!L94,'2.11 MUKONO-KALAGI-24h'!L94)</f>
        <v>0</v>
      </c>
      <c r="M94" s="49">
        <f>AVERAGE('31.10 MUKONO-KALAGI-24h'!M94,'2.11 MUKONO-KALAGI-24h'!M94)</f>
        <v>1.5</v>
      </c>
      <c r="N94" s="49">
        <f>AVERAGE('31.10 MUKONO-KALAGI-24h'!N94,'2.11 MUKONO-KALAGI-24h'!N94)</f>
        <v>0</v>
      </c>
      <c r="O94" s="15">
        <f t="shared" si="35"/>
        <v>1.5</v>
      </c>
      <c r="P94" s="15">
        <f t="shared" si="36"/>
        <v>3</v>
      </c>
      <c r="R94" s="8"/>
      <c r="T94"/>
    </row>
    <row r="95" spans="2:20" ht="23.1" customHeight="1" x14ac:dyDescent="0.25">
      <c r="B95" s="23" t="s">
        <v>135</v>
      </c>
      <c r="C95" s="49">
        <f>AVERAGE('31.10 MUKONO-KALAGI-24h'!C95,'2.11 MUKONO-KALAGI-24h'!C95)</f>
        <v>0</v>
      </c>
      <c r="D95" s="49">
        <f>AVERAGE('31.10 MUKONO-KALAGI-24h'!D95,'2.11 MUKONO-KALAGI-24h'!D95)</f>
        <v>1</v>
      </c>
      <c r="E95" s="49">
        <f>AVERAGE('31.10 MUKONO-KALAGI-24h'!E95,'2.11 MUKONO-KALAGI-24h'!E95)</f>
        <v>1.5</v>
      </c>
      <c r="F95" s="49">
        <f>AVERAGE('31.10 MUKONO-KALAGI-24h'!F95,'2.11 MUKONO-KALAGI-24h'!F95)</f>
        <v>0</v>
      </c>
      <c r="G95" s="49">
        <f>AVERAGE('31.10 MUKONO-KALAGI-24h'!G95,'2.11 MUKONO-KALAGI-24h'!G95)</f>
        <v>0</v>
      </c>
      <c r="H95" s="49">
        <f>AVERAGE('31.10 MUKONO-KALAGI-24h'!H95,'2.11 MUKONO-KALAGI-24h'!H95)</f>
        <v>0</v>
      </c>
      <c r="I95" s="49">
        <f>AVERAGE('31.10 MUKONO-KALAGI-24h'!I95,'2.11 MUKONO-KALAGI-24h'!I95)</f>
        <v>1.5</v>
      </c>
      <c r="J95" s="49">
        <f>AVERAGE('31.10 MUKONO-KALAGI-24h'!J95,'2.11 MUKONO-KALAGI-24h'!J95)</f>
        <v>0</v>
      </c>
      <c r="K95" s="49">
        <f>AVERAGE('31.10 MUKONO-KALAGI-24h'!K95,'2.11 MUKONO-KALAGI-24h'!K95)</f>
        <v>0</v>
      </c>
      <c r="L95" s="49">
        <f>AVERAGE('31.10 MUKONO-KALAGI-24h'!L95,'2.11 MUKONO-KALAGI-24h'!L95)</f>
        <v>0</v>
      </c>
      <c r="M95" s="49">
        <f>AVERAGE('31.10 MUKONO-KALAGI-24h'!M95,'2.11 MUKONO-KALAGI-24h'!M95)</f>
        <v>2</v>
      </c>
      <c r="N95" s="49">
        <f>AVERAGE('31.10 MUKONO-KALAGI-24h'!N95,'2.11 MUKONO-KALAGI-24h'!N95)</f>
        <v>0</v>
      </c>
      <c r="O95" s="15">
        <f t="shared" si="35"/>
        <v>4</v>
      </c>
      <c r="P95" s="15">
        <f t="shared" si="36"/>
        <v>6</v>
      </c>
      <c r="R95" s="8"/>
      <c r="T95"/>
    </row>
    <row r="96" spans="2:20" ht="23.1" customHeight="1" x14ac:dyDescent="0.25">
      <c r="B96" s="25" t="s">
        <v>136</v>
      </c>
      <c r="C96" s="49">
        <f>AVERAGE('31.10 MUKONO-KALAGI-24h'!C96,'2.11 MUKONO-KALAGI-24h'!C96)</f>
        <v>0</v>
      </c>
      <c r="D96" s="49">
        <f>AVERAGE('31.10 MUKONO-KALAGI-24h'!D96,'2.11 MUKONO-KALAGI-24h'!D96)</f>
        <v>0</v>
      </c>
      <c r="E96" s="49">
        <f>AVERAGE('31.10 MUKONO-KALAGI-24h'!E96,'2.11 MUKONO-KALAGI-24h'!E96)</f>
        <v>0</v>
      </c>
      <c r="F96" s="49">
        <f>AVERAGE('31.10 MUKONO-KALAGI-24h'!F96,'2.11 MUKONO-KALAGI-24h'!F96)</f>
        <v>0.5</v>
      </c>
      <c r="G96" s="49">
        <f>AVERAGE('31.10 MUKONO-KALAGI-24h'!G96,'2.11 MUKONO-KALAGI-24h'!G96)</f>
        <v>0</v>
      </c>
      <c r="H96" s="49">
        <f>AVERAGE('31.10 MUKONO-KALAGI-24h'!H96,'2.11 MUKONO-KALAGI-24h'!H96)</f>
        <v>0</v>
      </c>
      <c r="I96" s="49">
        <f>AVERAGE('31.10 MUKONO-KALAGI-24h'!I96,'2.11 MUKONO-KALAGI-24h'!I96)</f>
        <v>2</v>
      </c>
      <c r="J96" s="49">
        <f>AVERAGE('31.10 MUKONO-KALAGI-24h'!J96,'2.11 MUKONO-KALAGI-24h'!J96)</f>
        <v>0</v>
      </c>
      <c r="K96" s="49">
        <f>AVERAGE('31.10 MUKONO-KALAGI-24h'!K96,'2.11 MUKONO-KALAGI-24h'!K96)</f>
        <v>0</v>
      </c>
      <c r="L96" s="49">
        <f>AVERAGE('31.10 MUKONO-KALAGI-24h'!L96,'2.11 MUKONO-KALAGI-24h'!L96)</f>
        <v>0</v>
      </c>
      <c r="M96" s="49">
        <f>AVERAGE('31.10 MUKONO-KALAGI-24h'!M96,'2.11 MUKONO-KALAGI-24h'!M96)</f>
        <v>0.5</v>
      </c>
      <c r="N96" s="49">
        <f>AVERAGE('31.10 MUKONO-KALAGI-24h'!N96,'2.11 MUKONO-KALAGI-24h'!N96)</f>
        <v>0</v>
      </c>
      <c r="O96" s="15">
        <f t="shared" si="35"/>
        <v>2.5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AVERAGE('31.10 MUKONO-KALAGI-24h'!C97,'2.11 MUKONO-KALAGI-24h'!C97)</f>
        <v>0</v>
      </c>
      <c r="D97" s="49">
        <f>AVERAGE('31.10 MUKONO-KALAGI-24h'!D97,'2.11 MUKONO-KALAGI-24h'!D97)</f>
        <v>0</v>
      </c>
      <c r="E97" s="49">
        <f>AVERAGE('31.10 MUKONO-KALAGI-24h'!E97,'2.11 MUKONO-KALAGI-24h'!E97)</f>
        <v>0</v>
      </c>
      <c r="F97" s="49">
        <f>AVERAGE('31.10 MUKONO-KALAGI-24h'!F97,'2.11 MUKONO-KALAGI-24h'!F97)</f>
        <v>1</v>
      </c>
      <c r="G97" s="49">
        <f>AVERAGE('31.10 MUKONO-KALAGI-24h'!G97,'2.11 MUKONO-KALAGI-24h'!G97)</f>
        <v>1.5</v>
      </c>
      <c r="H97" s="49">
        <f>AVERAGE('31.10 MUKONO-KALAGI-24h'!H97,'2.11 MUKONO-KALAGI-24h'!H97)</f>
        <v>0</v>
      </c>
      <c r="I97" s="49">
        <f>AVERAGE('31.10 MUKONO-KALAGI-24h'!I97,'2.11 MUKONO-KALAGI-24h'!I97)</f>
        <v>0.5</v>
      </c>
      <c r="J97" s="49">
        <f>AVERAGE('31.10 MUKONO-KALAGI-24h'!J97,'2.11 MUKONO-KALAGI-24h'!J97)</f>
        <v>0</v>
      </c>
      <c r="K97" s="49">
        <f>AVERAGE('31.10 MUKONO-KALAGI-24h'!K97,'2.11 MUKONO-KALAGI-24h'!K97)</f>
        <v>0</v>
      </c>
      <c r="L97" s="49">
        <f>AVERAGE('31.10 MUKONO-KALAGI-24h'!L97,'2.11 MUKONO-KALAGI-24h'!L97)</f>
        <v>0</v>
      </c>
      <c r="M97" s="49">
        <f>AVERAGE('31.10 MUKONO-KALAGI-24h'!M97,'2.11 MUKONO-KALAGI-24h'!M97)</f>
        <v>0.5</v>
      </c>
      <c r="N97" s="49">
        <f>AVERAGE('31.10 MUKONO-KALAGI-24h'!N97,'2.11 MUKONO-KALAGI-24h'!N97)</f>
        <v>0</v>
      </c>
      <c r="O97" s="15">
        <f t="shared" si="35"/>
        <v>3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AVERAGE('31.10 MUKONO-KALAGI-24h'!C98,'2.11 MUKONO-KALAGI-24h'!C98)</f>
        <v>0</v>
      </c>
      <c r="D98" s="49">
        <f>AVERAGE('31.10 MUKONO-KALAGI-24h'!D98,'2.11 MUKONO-KALAGI-24h'!D98)</f>
        <v>0</v>
      </c>
      <c r="E98" s="49">
        <f>AVERAGE('31.10 MUKONO-KALAGI-24h'!E98,'2.11 MUKONO-KALAGI-24h'!E98)</f>
        <v>0</v>
      </c>
      <c r="F98" s="49">
        <f>AVERAGE('31.10 MUKONO-KALAGI-24h'!F98,'2.11 MUKONO-KALAGI-24h'!F98)</f>
        <v>2.5</v>
      </c>
      <c r="G98" s="49">
        <f>AVERAGE('31.10 MUKONO-KALAGI-24h'!G98,'2.11 MUKONO-KALAGI-24h'!G98)</f>
        <v>0</v>
      </c>
      <c r="H98" s="49">
        <f>AVERAGE('31.10 MUKONO-KALAGI-24h'!H98,'2.11 MUKONO-KALAGI-24h'!H98)</f>
        <v>0</v>
      </c>
      <c r="I98" s="49">
        <f>AVERAGE('31.10 MUKONO-KALAGI-24h'!I98,'2.11 MUKONO-KALAGI-24h'!I98)</f>
        <v>0</v>
      </c>
      <c r="J98" s="49">
        <f>AVERAGE('31.10 MUKONO-KALAGI-24h'!J98,'2.11 MUKONO-KALAGI-24h'!J98)</f>
        <v>0</v>
      </c>
      <c r="K98" s="49">
        <f>AVERAGE('31.10 MUKONO-KALAGI-24h'!K98,'2.11 MUKONO-KALAGI-24h'!K98)</f>
        <v>0</v>
      </c>
      <c r="L98" s="49">
        <f>AVERAGE('31.10 MUKONO-KALAGI-24h'!L98,'2.11 MUKONO-KALAGI-24h'!L98)</f>
        <v>0</v>
      </c>
      <c r="M98" s="49">
        <f>AVERAGE('31.10 MUKONO-KALAGI-24h'!M98,'2.11 MUKONO-KALAGI-24h'!M98)</f>
        <v>1.5</v>
      </c>
      <c r="N98" s="49">
        <f>AVERAGE('31.10 MUKONO-KALAGI-24h'!N98,'2.11 MUKONO-KALAGI-24h'!N98)</f>
        <v>0</v>
      </c>
      <c r="O98" s="15">
        <f t="shared" si="35"/>
        <v>2.5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AVERAGE('31.10 MUKONO-KALAGI-24h'!C99,'2.11 MUKONO-KALAGI-24h'!C99)</f>
        <v>0</v>
      </c>
      <c r="D99" s="49">
        <f>AVERAGE('31.10 MUKONO-KALAGI-24h'!D99,'2.11 MUKONO-KALAGI-24h'!D99)</f>
        <v>1</v>
      </c>
      <c r="E99" s="49">
        <f>AVERAGE('31.10 MUKONO-KALAGI-24h'!E99,'2.11 MUKONO-KALAGI-24h'!E99)</f>
        <v>1.5</v>
      </c>
      <c r="F99" s="49">
        <f>AVERAGE('31.10 MUKONO-KALAGI-24h'!F99,'2.11 MUKONO-KALAGI-24h'!F99)</f>
        <v>1.5</v>
      </c>
      <c r="G99" s="49">
        <f>AVERAGE('31.10 MUKONO-KALAGI-24h'!G99,'2.11 MUKONO-KALAGI-24h'!G99)</f>
        <v>0</v>
      </c>
      <c r="H99" s="49">
        <f>AVERAGE('31.10 MUKONO-KALAGI-24h'!H99,'2.11 MUKONO-KALAGI-24h'!H99)</f>
        <v>0</v>
      </c>
      <c r="I99" s="49">
        <f>AVERAGE('31.10 MUKONO-KALAGI-24h'!I99,'2.11 MUKONO-KALAGI-24h'!I99)</f>
        <v>1.5</v>
      </c>
      <c r="J99" s="49">
        <f>AVERAGE('31.10 MUKONO-KALAGI-24h'!J99,'2.11 MUKONO-KALAGI-24h'!J99)</f>
        <v>0</v>
      </c>
      <c r="K99" s="49">
        <f>AVERAGE('31.10 MUKONO-KALAGI-24h'!K99,'2.11 MUKONO-KALAGI-24h'!K99)</f>
        <v>0</v>
      </c>
      <c r="L99" s="49">
        <f>AVERAGE('31.10 MUKONO-KALAGI-24h'!L99,'2.11 MUKONO-KALAGI-24h'!L99)</f>
        <v>0</v>
      </c>
      <c r="M99" s="49">
        <f>AVERAGE('31.10 MUKONO-KALAGI-24h'!M99,'2.11 MUKONO-KALAGI-24h'!M99)</f>
        <v>3</v>
      </c>
      <c r="N99" s="49">
        <f>AVERAGE('31.10 MUKONO-KALAGI-24h'!N99,'2.11 MUKONO-KALAGI-24h'!N99)</f>
        <v>0</v>
      </c>
      <c r="O99" s="15">
        <f t="shared" si="35"/>
        <v>5.5</v>
      </c>
      <c r="P99" s="15">
        <f t="shared" si="36"/>
        <v>8.5</v>
      </c>
      <c r="R99" s="8"/>
      <c r="T99"/>
    </row>
    <row r="100" spans="2:20" ht="23.1" customHeight="1" x14ac:dyDescent="0.25">
      <c r="B100" s="25" t="s">
        <v>140</v>
      </c>
      <c r="C100" s="49">
        <f>AVERAGE('31.10 MUKONO-KALAGI-24h'!C100,'2.11 MUKONO-KALAGI-24h'!C100)</f>
        <v>0</v>
      </c>
      <c r="D100" s="49">
        <f>AVERAGE('31.10 MUKONO-KALAGI-24h'!D100,'2.11 MUKONO-KALAGI-24h'!D100)</f>
        <v>0</v>
      </c>
      <c r="E100" s="49">
        <f>AVERAGE('31.10 MUKONO-KALAGI-24h'!E100,'2.11 MUKONO-KALAGI-24h'!E100)</f>
        <v>0</v>
      </c>
      <c r="F100" s="49">
        <f>AVERAGE('31.10 MUKONO-KALAGI-24h'!F100,'2.11 MUKONO-KALAGI-24h'!F100)</f>
        <v>1</v>
      </c>
      <c r="G100" s="49">
        <f>AVERAGE('31.10 MUKONO-KALAGI-24h'!G100,'2.11 MUKONO-KALAGI-24h'!G100)</f>
        <v>0</v>
      </c>
      <c r="H100" s="49">
        <f>AVERAGE('31.10 MUKONO-KALAGI-24h'!H100,'2.11 MUKONO-KALAGI-24h'!H100)</f>
        <v>0</v>
      </c>
      <c r="I100" s="49">
        <f>AVERAGE('31.10 MUKONO-KALAGI-24h'!I100,'2.11 MUKONO-KALAGI-24h'!I100)</f>
        <v>0.5</v>
      </c>
      <c r="J100" s="49">
        <f>AVERAGE('31.10 MUKONO-KALAGI-24h'!J100,'2.11 MUKONO-KALAGI-24h'!J100)</f>
        <v>0</v>
      </c>
      <c r="K100" s="49">
        <f>AVERAGE('31.10 MUKONO-KALAGI-24h'!K100,'2.11 MUKONO-KALAGI-24h'!K100)</f>
        <v>0</v>
      </c>
      <c r="L100" s="49">
        <f>AVERAGE('31.10 MUKONO-KALAGI-24h'!L100,'2.11 MUKONO-KALAGI-24h'!L100)</f>
        <v>0</v>
      </c>
      <c r="M100" s="49">
        <f>AVERAGE('31.10 MUKONO-KALAGI-24h'!M100,'2.11 MUKONO-KALAGI-24h'!M100)</f>
        <v>3</v>
      </c>
      <c r="N100" s="49">
        <f>AVERAGE('31.10 MUKONO-KALAGI-24h'!N100,'2.11 MUKONO-KALAGI-24h'!N100)</f>
        <v>0</v>
      </c>
      <c r="O100" s="15">
        <f t="shared" si="35"/>
        <v>1.5</v>
      </c>
      <c r="P100" s="15">
        <f t="shared" si="36"/>
        <v>4.5</v>
      </c>
      <c r="R100" s="8"/>
      <c r="T100"/>
    </row>
    <row r="101" spans="2:20" ht="23.1" customHeight="1" x14ac:dyDescent="0.25">
      <c r="B101" s="23" t="s">
        <v>141</v>
      </c>
      <c r="C101" s="49">
        <f>AVERAGE('31.10 MUKONO-KALAGI-24h'!C101,'2.11 MUKONO-KALAGI-24h'!C101)</f>
        <v>0</v>
      </c>
      <c r="D101" s="49">
        <f>AVERAGE('31.10 MUKONO-KALAGI-24h'!D101,'2.11 MUKONO-KALAGI-24h'!D101)</f>
        <v>0</v>
      </c>
      <c r="E101" s="49">
        <f>AVERAGE('31.10 MUKONO-KALAGI-24h'!E101,'2.11 MUKONO-KALAGI-24h'!E101)</f>
        <v>0</v>
      </c>
      <c r="F101" s="49">
        <f>AVERAGE('31.10 MUKONO-KALAGI-24h'!F101,'2.11 MUKONO-KALAGI-24h'!F101)</f>
        <v>1.5</v>
      </c>
      <c r="G101" s="49">
        <f>AVERAGE('31.10 MUKONO-KALAGI-24h'!G101,'2.11 MUKONO-KALAGI-24h'!G101)</f>
        <v>0</v>
      </c>
      <c r="H101" s="49">
        <f>AVERAGE('31.10 MUKONO-KALAGI-24h'!H101,'2.11 MUKONO-KALAGI-24h'!H101)</f>
        <v>0</v>
      </c>
      <c r="I101" s="49">
        <f>AVERAGE('31.10 MUKONO-KALAGI-24h'!I101,'2.11 MUKONO-KALAGI-24h'!I101)</f>
        <v>2.5</v>
      </c>
      <c r="J101" s="49">
        <f>AVERAGE('31.10 MUKONO-KALAGI-24h'!J101,'2.11 MUKONO-KALAGI-24h'!J101)</f>
        <v>0</v>
      </c>
      <c r="K101" s="49">
        <f>AVERAGE('31.10 MUKONO-KALAGI-24h'!K101,'2.11 MUKONO-KALAGI-24h'!K101)</f>
        <v>0</v>
      </c>
      <c r="L101" s="49">
        <f>AVERAGE('31.10 MUKONO-KALAGI-24h'!L101,'2.11 MUKONO-KALAGI-24h'!L101)</f>
        <v>0</v>
      </c>
      <c r="M101" s="49">
        <f>AVERAGE('31.10 MUKONO-KALAGI-24h'!M101,'2.11 MUKONO-KALAGI-24h'!M101)</f>
        <v>5</v>
      </c>
      <c r="N101" s="49">
        <f>AVERAGE('31.10 MUKONO-KALAGI-24h'!N101,'2.11 MUKONO-KALAGI-24h'!N101)</f>
        <v>0</v>
      </c>
      <c r="O101" s="15">
        <f t="shared" si="35"/>
        <v>4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AVERAGE('31.10 MUKONO-KALAGI-24h'!C102,'2.11 MUKONO-KALAGI-24h'!C102)</f>
        <v>0</v>
      </c>
      <c r="D102" s="49">
        <f>AVERAGE('31.10 MUKONO-KALAGI-24h'!D102,'2.11 MUKONO-KALAGI-24h'!D102)</f>
        <v>0</v>
      </c>
      <c r="E102" s="49">
        <f>AVERAGE('31.10 MUKONO-KALAGI-24h'!E102,'2.11 MUKONO-KALAGI-24h'!E102)</f>
        <v>0.5</v>
      </c>
      <c r="F102" s="49">
        <f>AVERAGE('31.10 MUKONO-KALAGI-24h'!F102,'2.11 MUKONO-KALAGI-24h'!F102)</f>
        <v>2</v>
      </c>
      <c r="G102" s="49">
        <f>AVERAGE('31.10 MUKONO-KALAGI-24h'!G102,'2.11 MUKONO-KALAGI-24h'!G102)</f>
        <v>0.5</v>
      </c>
      <c r="H102" s="49">
        <f>AVERAGE('31.10 MUKONO-KALAGI-24h'!H102,'2.11 MUKONO-KALAGI-24h'!H102)</f>
        <v>0</v>
      </c>
      <c r="I102" s="49">
        <f>AVERAGE('31.10 MUKONO-KALAGI-24h'!I102,'2.11 MUKONO-KALAGI-24h'!I102)</f>
        <v>3.5</v>
      </c>
      <c r="J102" s="49">
        <f>AVERAGE('31.10 MUKONO-KALAGI-24h'!J102,'2.11 MUKONO-KALAGI-24h'!J102)</f>
        <v>0</v>
      </c>
      <c r="K102" s="49">
        <f>AVERAGE('31.10 MUKONO-KALAGI-24h'!K102,'2.11 MUKONO-KALAGI-24h'!K102)</f>
        <v>0</v>
      </c>
      <c r="L102" s="49">
        <f>AVERAGE('31.10 MUKONO-KALAGI-24h'!L102,'2.11 MUKONO-KALAGI-24h'!L102)</f>
        <v>0</v>
      </c>
      <c r="M102" s="49">
        <f>AVERAGE('31.10 MUKONO-KALAGI-24h'!M102,'2.11 MUKONO-KALAGI-24h'!M102)</f>
        <v>7</v>
      </c>
      <c r="N102" s="49">
        <f>AVERAGE('31.10 MUKONO-KALAGI-24h'!N102,'2.11 MUKONO-KALAGI-24h'!N102)</f>
        <v>0</v>
      </c>
      <c r="O102" s="15">
        <f t="shared" si="35"/>
        <v>6.5</v>
      </c>
      <c r="P102" s="15">
        <f t="shared" si="36"/>
        <v>13.5</v>
      </c>
      <c r="R102" s="8"/>
      <c r="T102"/>
    </row>
    <row r="103" spans="2:20" ht="23.1" customHeight="1" x14ac:dyDescent="0.25">
      <c r="B103" s="23" t="s">
        <v>143</v>
      </c>
      <c r="C103" s="49">
        <f>AVERAGE('31.10 MUKONO-KALAGI-24h'!C103,'2.11 MUKONO-KALAGI-24h'!C103)</f>
        <v>1</v>
      </c>
      <c r="D103" s="49">
        <f>AVERAGE('31.10 MUKONO-KALAGI-24h'!D103,'2.11 MUKONO-KALAGI-24h'!D103)</f>
        <v>2.5</v>
      </c>
      <c r="E103" s="49">
        <f>AVERAGE('31.10 MUKONO-KALAGI-24h'!E103,'2.11 MUKONO-KALAGI-24h'!E103)</f>
        <v>2</v>
      </c>
      <c r="F103" s="49">
        <f>AVERAGE('31.10 MUKONO-KALAGI-24h'!F103,'2.11 MUKONO-KALAGI-24h'!F103)</f>
        <v>6</v>
      </c>
      <c r="G103" s="49">
        <f>AVERAGE('31.10 MUKONO-KALAGI-24h'!G103,'2.11 MUKONO-KALAGI-24h'!G103)</f>
        <v>0</v>
      </c>
      <c r="H103" s="49">
        <f>AVERAGE('31.10 MUKONO-KALAGI-24h'!H103,'2.11 MUKONO-KALAGI-24h'!H103)</f>
        <v>0</v>
      </c>
      <c r="I103" s="49">
        <f>AVERAGE('31.10 MUKONO-KALAGI-24h'!I103,'2.11 MUKONO-KALAGI-24h'!I103)</f>
        <v>1</v>
      </c>
      <c r="J103" s="49">
        <f>AVERAGE('31.10 MUKONO-KALAGI-24h'!J103,'2.11 MUKONO-KALAGI-24h'!J103)</f>
        <v>0</v>
      </c>
      <c r="K103" s="49">
        <f>AVERAGE('31.10 MUKONO-KALAGI-24h'!K103,'2.11 MUKONO-KALAGI-24h'!K103)</f>
        <v>0.5</v>
      </c>
      <c r="L103" s="49">
        <f>AVERAGE('31.10 MUKONO-KALAGI-24h'!L103,'2.11 MUKONO-KALAGI-24h'!L103)</f>
        <v>0</v>
      </c>
      <c r="M103" s="49">
        <f>AVERAGE('31.10 MUKONO-KALAGI-24h'!M103,'2.11 MUKONO-KALAGI-24h'!M103)</f>
        <v>6</v>
      </c>
      <c r="N103" s="49">
        <f>AVERAGE('31.10 MUKONO-KALAGI-24h'!N103,'2.11 MUKONO-KALAGI-24h'!N103)</f>
        <v>0</v>
      </c>
      <c r="O103" s="15">
        <f t="shared" si="35"/>
        <v>13</v>
      </c>
      <c r="P103" s="15">
        <f t="shared" si="36"/>
        <v>19</v>
      </c>
      <c r="R103" s="8"/>
      <c r="T103"/>
    </row>
    <row r="104" spans="2:20" ht="23.1" customHeight="1" x14ac:dyDescent="0.25">
      <c r="B104" s="25" t="s">
        <v>144</v>
      </c>
      <c r="C104" s="49">
        <f>AVERAGE('31.10 MUKONO-KALAGI-24h'!C104,'2.11 MUKONO-KALAGI-24h'!C104)</f>
        <v>5</v>
      </c>
      <c r="D104" s="49">
        <f>AVERAGE('31.10 MUKONO-KALAGI-24h'!D104,'2.11 MUKONO-KALAGI-24h'!D104)</f>
        <v>0</v>
      </c>
      <c r="E104" s="49">
        <f>AVERAGE('31.10 MUKONO-KALAGI-24h'!E104,'2.11 MUKONO-KALAGI-24h'!E104)</f>
        <v>1.5</v>
      </c>
      <c r="F104" s="49">
        <f>AVERAGE('31.10 MUKONO-KALAGI-24h'!F104,'2.11 MUKONO-KALAGI-24h'!F104)</f>
        <v>3</v>
      </c>
      <c r="G104" s="49">
        <f>AVERAGE('31.10 MUKONO-KALAGI-24h'!G104,'2.11 MUKONO-KALAGI-24h'!G104)</f>
        <v>0</v>
      </c>
      <c r="H104" s="49">
        <f>AVERAGE('31.10 MUKONO-KALAGI-24h'!H104,'2.11 MUKONO-KALAGI-24h'!H104)</f>
        <v>0</v>
      </c>
      <c r="I104" s="49">
        <f>AVERAGE('31.10 MUKONO-KALAGI-24h'!I104,'2.11 MUKONO-KALAGI-24h'!I104)</f>
        <v>1.5</v>
      </c>
      <c r="J104" s="49">
        <f>AVERAGE('31.10 MUKONO-KALAGI-24h'!J104,'2.11 MUKONO-KALAGI-24h'!J104)</f>
        <v>0</v>
      </c>
      <c r="K104" s="49">
        <f>AVERAGE('31.10 MUKONO-KALAGI-24h'!K104,'2.11 MUKONO-KALAGI-24h'!K104)</f>
        <v>0</v>
      </c>
      <c r="L104" s="49">
        <f>AVERAGE('31.10 MUKONO-KALAGI-24h'!L104,'2.11 MUKONO-KALAGI-24h'!L104)</f>
        <v>0</v>
      </c>
      <c r="M104" s="49">
        <f>AVERAGE('31.10 MUKONO-KALAGI-24h'!M104,'2.11 MUKONO-KALAGI-24h'!M104)</f>
        <v>6</v>
      </c>
      <c r="N104" s="49">
        <f>AVERAGE('31.10 MUKONO-KALAGI-24h'!N104,'2.11 MUKONO-KALAGI-24h'!N104)</f>
        <v>0</v>
      </c>
      <c r="O104" s="15">
        <f t="shared" si="35"/>
        <v>11</v>
      </c>
      <c r="P104" s="15">
        <f t="shared" si="36"/>
        <v>17</v>
      </c>
      <c r="R104" s="8"/>
      <c r="T104"/>
    </row>
    <row r="105" spans="2:20" ht="23.1" customHeight="1" x14ac:dyDescent="0.25">
      <c r="B105" s="23" t="s">
        <v>145</v>
      </c>
      <c r="C105" s="49">
        <f>AVERAGE('31.10 MUKONO-KALAGI-24h'!C105,'2.11 MUKONO-KALAGI-24h'!C105)</f>
        <v>6.5</v>
      </c>
      <c r="D105" s="49">
        <f>AVERAGE('31.10 MUKONO-KALAGI-24h'!D105,'2.11 MUKONO-KALAGI-24h'!D105)</f>
        <v>1.5</v>
      </c>
      <c r="E105" s="49">
        <f>AVERAGE('31.10 MUKONO-KALAGI-24h'!E105,'2.11 MUKONO-KALAGI-24h'!E105)</f>
        <v>1.5</v>
      </c>
      <c r="F105" s="49">
        <f>AVERAGE('31.10 MUKONO-KALAGI-24h'!F105,'2.11 MUKONO-KALAGI-24h'!F105)</f>
        <v>7.5</v>
      </c>
      <c r="G105" s="49">
        <f>AVERAGE('31.10 MUKONO-KALAGI-24h'!G105,'2.11 MUKONO-KALAGI-24h'!G105)</f>
        <v>0</v>
      </c>
      <c r="H105" s="49">
        <f>AVERAGE('31.10 MUKONO-KALAGI-24h'!H105,'2.11 MUKONO-KALAGI-24h'!H105)</f>
        <v>0</v>
      </c>
      <c r="I105" s="49">
        <f>AVERAGE('31.10 MUKONO-KALAGI-24h'!I105,'2.11 MUKONO-KALAGI-24h'!I105)</f>
        <v>6.5</v>
      </c>
      <c r="J105" s="49">
        <f>AVERAGE('31.10 MUKONO-KALAGI-24h'!J105,'2.11 MUKONO-KALAGI-24h'!J105)</f>
        <v>0</v>
      </c>
      <c r="K105" s="49">
        <f>AVERAGE('31.10 MUKONO-KALAGI-24h'!K105,'2.11 MUKONO-KALAGI-24h'!K105)</f>
        <v>0</v>
      </c>
      <c r="L105" s="49">
        <f>AVERAGE('31.10 MUKONO-KALAGI-24h'!L105,'2.11 MUKONO-KALAGI-24h'!L105)</f>
        <v>0</v>
      </c>
      <c r="M105" s="49">
        <f>AVERAGE('31.10 MUKONO-KALAGI-24h'!M105,'2.11 MUKONO-KALAGI-24h'!M105)</f>
        <v>13</v>
      </c>
      <c r="N105" s="49">
        <f>AVERAGE('31.10 MUKONO-KALAGI-24h'!N105,'2.11 MUKONO-KALAGI-24h'!N105)</f>
        <v>0</v>
      </c>
      <c r="O105" s="15">
        <f>SUM(C105:L105,N105)</f>
        <v>23.5</v>
      </c>
      <c r="P105" s="15">
        <f>SUM(C105:N105)</f>
        <v>36.5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567.35714285714289</v>
      </c>
      <c r="D106" s="16">
        <f t="shared" ref="D106:P106" si="37">SUM(D10:D105)</f>
        <v>186.92857142857144</v>
      </c>
      <c r="E106" s="16">
        <f t="shared" si="37"/>
        <v>131.5</v>
      </c>
      <c r="F106" s="16">
        <f t="shared" si="37"/>
        <v>675</v>
      </c>
      <c r="G106" s="16">
        <f t="shared" si="37"/>
        <v>20.857142857142858</v>
      </c>
      <c r="H106" s="16">
        <f t="shared" si="37"/>
        <v>3.5714285714285712</v>
      </c>
      <c r="I106" s="16">
        <f t="shared" si="37"/>
        <v>217.99999999999997</v>
      </c>
      <c r="J106" s="16">
        <f t="shared" si="37"/>
        <v>11.285714285714283</v>
      </c>
      <c r="K106" s="16">
        <f t="shared" si="37"/>
        <v>10.071428571428573</v>
      </c>
      <c r="L106" s="16">
        <f t="shared" si="37"/>
        <v>11.000000000000002</v>
      </c>
      <c r="M106" s="16">
        <f t="shared" si="37"/>
        <v>1484.8571428571427</v>
      </c>
      <c r="N106" s="16">
        <f t="shared" si="37"/>
        <v>1.4285714285714284</v>
      </c>
      <c r="O106" s="16">
        <f t="shared" si="37"/>
        <v>1837.0000000000002</v>
      </c>
      <c r="P106" s="16">
        <f t="shared" si="37"/>
        <v>3321.8571428571427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0.17079516621511204</v>
      </c>
      <c r="D107" s="43">
        <f t="shared" si="38"/>
        <v>5.6272308949382885E-2</v>
      </c>
      <c r="E107" s="43">
        <f t="shared" si="38"/>
        <v>3.9586289941082875E-2</v>
      </c>
      <c r="F107" s="43">
        <f t="shared" si="38"/>
        <v>0.20319958715004516</v>
      </c>
      <c r="G107" s="43">
        <f t="shared" si="38"/>
        <v>6.2787597299273218E-3</v>
      </c>
      <c r="H107" s="43">
        <f t="shared" si="38"/>
        <v>1.0751300907409797E-3</v>
      </c>
      <c r="I107" s="43">
        <f t="shared" si="38"/>
        <v>6.5625940738829394E-2</v>
      </c>
      <c r="J107" s="43">
        <f t="shared" si="38"/>
        <v>3.397411086741495E-3</v>
      </c>
      <c r="K107" s="43">
        <f t="shared" si="38"/>
        <v>3.0318668558895635E-3</v>
      </c>
      <c r="L107" s="43">
        <f t="shared" si="38"/>
        <v>3.3114006794822183E-3</v>
      </c>
      <c r="M107" s="43">
        <f t="shared" si="38"/>
        <v>0.44699608652646966</v>
      </c>
      <c r="N107" s="43">
        <f t="shared" si="38"/>
        <v>4.3005203629639183E-4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0.30884983280192857</v>
      </c>
      <c r="D108" s="44">
        <f t="shared" ref="D108:N108" si="39">D106/$O$106</f>
        <v>0.10175752391321254</v>
      </c>
      <c r="E108" s="44">
        <f t="shared" si="39"/>
        <v>7.1584104518236241E-2</v>
      </c>
      <c r="F108" s="44">
        <f t="shared" si="39"/>
        <v>0.36744692433315185</v>
      </c>
      <c r="G108" s="44">
        <f t="shared" si="39"/>
        <v>1.1353915545532311E-2</v>
      </c>
      <c r="H108" s="44">
        <f t="shared" si="39"/>
        <v>1.944163620810327E-3</v>
      </c>
      <c r="I108" s="44">
        <f t="shared" si="39"/>
        <v>0.11867174741426235</v>
      </c>
      <c r="J108" s="44">
        <f t="shared" si="39"/>
        <v>6.1435570417606323E-3</v>
      </c>
      <c r="K108" s="44">
        <f t="shared" si="39"/>
        <v>5.4825414106851236E-3</v>
      </c>
      <c r="L108" s="44">
        <f t="shared" si="39"/>
        <v>5.9880239520958087E-3</v>
      </c>
      <c r="M108" s="44"/>
      <c r="N108" s="44">
        <f t="shared" si="39"/>
        <v>7.7766544832413072E-4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I13" zoomScale="60" workbookViewId="0">
      <selection activeCell="Y76" sqref="Y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1" t="str">
        <f>'4.11 KALAGI-MUKONO'!C3:G3</f>
        <v>MCC - C2 - STN075- KALAGI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4" t="s">
        <v>162</v>
      </c>
      <c r="E5" s="65"/>
      <c r="F5" s="41" t="s">
        <v>1</v>
      </c>
      <c r="G5" s="62" t="str">
        <f>'4.11 KALAGI-MUKONO'!G5:H5</f>
        <v>KABEMBE</v>
      </c>
      <c r="H5" s="63"/>
      <c r="I5" s="14"/>
      <c r="J5" s="2" t="s">
        <v>5</v>
      </c>
      <c r="K5" s="62" t="str">
        <f>'4.11 KALAGI-MUKONO'!K5:L5</f>
        <v>BEATRICE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tr">
        <f>'4.11 KALAGI-MUKONO'!D6:E6</f>
        <v>KALAGI</v>
      </c>
      <c r="E6" s="63"/>
      <c r="F6" s="2" t="s">
        <v>2</v>
      </c>
      <c r="G6" s="62" t="str">
        <f>'4.11 KALAGI-MUKONO'!G6:H6</f>
        <v>MUKONO</v>
      </c>
      <c r="H6" s="63"/>
      <c r="J6" s="2" t="s">
        <v>21</v>
      </c>
      <c r="K6" s="62" t="str">
        <f>'4.11 KALAGI-MUKONO'!K6:L6</f>
        <v>BEATRICE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AVERAGE('29.10 KALAGI-MUKONO'!C10,'30.10-KALAGI-MUKONO'!C10,'1.11 KALAGI-MUKONO'!C10,'3.11 KALAGI-MUKONO'!C10,'31.10 KALAGI-MUKONO-24h'!C10,'2.11 KALAGI-MUKONO-24h'!C10,'4.11 KALAGI-MUKONO'!C10)</f>
        <v>5.2857142857142856</v>
      </c>
      <c r="D10" s="49">
        <f>AVERAGE('29.10 KALAGI-MUKONO'!D10,'30.10-KALAGI-MUKONO'!D10,'1.11 KALAGI-MUKONO'!D10,'3.11 KALAGI-MUKONO'!D10,'31.10 KALAGI-MUKONO-24h'!D10,'2.11 KALAGI-MUKONO-24h'!D10,'4.11 KALAGI-MUKONO'!D10)</f>
        <v>1</v>
      </c>
      <c r="E10" s="49">
        <f>AVERAGE('29.10 KALAGI-MUKONO'!E10,'30.10-KALAGI-MUKONO'!E10,'1.11 KALAGI-MUKONO'!E10,'3.11 KALAGI-MUKONO'!E10,'31.10 KALAGI-MUKONO-24h'!E10,'2.11 KALAGI-MUKONO-24h'!E10,'4.11 KALAGI-MUKONO'!E10)</f>
        <v>1.5714285714285714</v>
      </c>
      <c r="F10" s="49">
        <f>AVERAGE('29.10 KALAGI-MUKONO'!F10,'30.10-KALAGI-MUKONO'!F10,'1.11 KALAGI-MUKONO'!F10,'3.11 KALAGI-MUKONO'!F10,'31.10 KALAGI-MUKONO-24h'!F10,'2.11 KALAGI-MUKONO-24h'!F10,'4.11 KALAGI-MUKONO'!F10)</f>
        <v>7.8571428571428568</v>
      </c>
      <c r="G10" s="49">
        <f>AVERAGE('29.10 KALAGI-MUKONO'!G10,'30.10-KALAGI-MUKONO'!G10,'1.11 KALAGI-MUKONO'!G10,'3.11 KALAGI-MUKONO'!G10,'31.10 KALAGI-MUKONO-24h'!G10,'2.11 KALAGI-MUKONO-24h'!G10,'4.11 KALAGI-MUKONO'!G10)</f>
        <v>1.2857142857142858</v>
      </c>
      <c r="H10" s="49">
        <f>AVERAGE('29.10 KALAGI-MUKONO'!H10,'30.10-KALAGI-MUKONO'!H10,'1.11 KALAGI-MUKONO'!H10,'3.11 KALAGI-MUKONO'!H10,'31.10 KALAGI-MUKONO-24h'!H10,'2.11 KALAGI-MUKONO-24h'!H10,'4.11 KALAGI-MUKONO'!H10)</f>
        <v>0</v>
      </c>
      <c r="I10" s="49">
        <f>AVERAGE('29.10 KALAGI-MUKONO'!I10,'30.10-KALAGI-MUKONO'!I10,'1.11 KALAGI-MUKONO'!I10,'3.11 KALAGI-MUKONO'!I10,'31.10 KALAGI-MUKONO-24h'!I10,'2.11 KALAGI-MUKONO-24h'!I10,'4.11 KALAGI-MUKONO'!I10)</f>
        <v>1.1428571428571428</v>
      </c>
      <c r="J10" s="49">
        <f>AVERAGE('29.10 KALAGI-MUKONO'!J10,'30.10-KALAGI-MUKONO'!J10,'1.11 KALAGI-MUKONO'!J10,'3.11 KALAGI-MUKONO'!J10,'31.10 KALAGI-MUKONO-24h'!J10,'2.11 KALAGI-MUKONO-24h'!J10,'4.11 KALAGI-MUKONO'!J10)</f>
        <v>0</v>
      </c>
      <c r="K10" s="49">
        <f>AVERAGE('29.10 KALAGI-MUKONO'!K10,'30.10-KALAGI-MUKONO'!K10,'1.11 KALAGI-MUKONO'!K10,'3.11 KALAGI-MUKONO'!K10,'31.10 KALAGI-MUKONO-24h'!K10,'2.11 KALAGI-MUKONO-24h'!K10,'4.11 KALAGI-MUKONO'!K10)</f>
        <v>0</v>
      </c>
      <c r="L10" s="49">
        <f>AVERAGE('29.10 KALAGI-MUKONO'!L10,'30.10-KALAGI-MUKONO'!L10,'1.11 KALAGI-MUKONO'!L10,'3.11 KALAGI-MUKONO'!L10,'31.10 KALAGI-MUKONO-24h'!L10,'2.11 KALAGI-MUKONO-24h'!L10,'4.11 KALAGI-MUKONO'!L10)</f>
        <v>0</v>
      </c>
      <c r="M10" s="49">
        <f>AVERAGE('29.10 KALAGI-MUKONO'!M10,'30.10-KALAGI-MUKONO'!M10,'1.11 KALAGI-MUKONO'!M10,'3.11 KALAGI-MUKONO'!M10,'31.10 KALAGI-MUKONO-24h'!M10,'2.11 KALAGI-MUKONO-24h'!M10,'4.11 KALAGI-MUKONO'!M10)</f>
        <v>22.428571428571427</v>
      </c>
      <c r="N10" s="49">
        <f>AVERAGE('29.10 KALAGI-MUKONO'!N10,'30.10-KALAGI-MUKONO'!N10,'1.11 KALAGI-MUKONO'!N10,'3.11 KALAGI-MUKONO'!N10,'31.10 KALAGI-MUKONO-24h'!N10,'2.11 KALAGI-MUKONO-24h'!N10,'4.11 KALAGI-MUKONO'!N10)</f>
        <v>0</v>
      </c>
      <c r="O10" s="15">
        <f t="shared" ref="O10:O73" si="0">SUM(C10:L10,N10)</f>
        <v>18.142857142857142</v>
      </c>
      <c r="P10" s="15">
        <f t="shared" ref="P10:P73" si="1">SUM(C10:N10)</f>
        <v>40.571428571428569</v>
      </c>
      <c r="R10" s="1" t="s">
        <v>6</v>
      </c>
      <c r="S10" s="17">
        <f t="shared" ref="S10:AF10" si="2">SUM(C10:C13)</f>
        <v>24</v>
      </c>
      <c r="T10" s="17">
        <f t="shared" si="2"/>
        <v>3</v>
      </c>
      <c r="U10" s="17">
        <f t="shared" si="2"/>
        <v>5.4285714285714288</v>
      </c>
      <c r="V10" s="17">
        <f t="shared" si="2"/>
        <v>36.714285714285715</v>
      </c>
      <c r="W10" s="17">
        <f t="shared" si="2"/>
        <v>2.8571428571428568</v>
      </c>
      <c r="X10" s="17">
        <f t="shared" si="2"/>
        <v>0</v>
      </c>
      <c r="Y10" s="17">
        <f t="shared" si="2"/>
        <v>7.8571428571428577</v>
      </c>
      <c r="Z10" s="17">
        <f t="shared" si="2"/>
        <v>2.1428571428571428</v>
      </c>
      <c r="AA10" s="17">
        <f t="shared" si="2"/>
        <v>0.2857142857142857</v>
      </c>
      <c r="AB10" s="17">
        <f t="shared" si="2"/>
        <v>0.2857142857142857</v>
      </c>
      <c r="AC10" s="17">
        <f t="shared" si="2"/>
        <v>106.71428571428571</v>
      </c>
      <c r="AD10" s="17">
        <f t="shared" si="2"/>
        <v>0.2857142857142857</v>
      </c>
      <c r="AE10" s="31">
        <f t="shared" si="2"/>
        <v>82.857142857142847</v>
      </c>
      <c r="AF10" s="31">
        <f t="shared" si="2"/>
        <v>189.57142857142856</v>
      </c>
    </row>
    <row r="11" spans="2:32" s="6" customFormat="1" ht="23.1" customHeight="1" x14ac:dyDescent="0.25">
      <c r="B11" s="23" t="s">
        <v>38</v>
      </c>
      <c r="C11" s="49">
        <f>AVERAGE('29.10 KALAGI-MUKONO'!C11,'30.10-KALAGI-MUKONO'!C11,'1.11 KALAGI-MUKONO'!C11,'3.11 KALAGI-MUKONO'!C11,'31.10 KALAGI-MUKONO-24h'!C11,'2.11 KALAGI-MUKONO-24h'!C11,'4.11 KALAGI-MUKONO'!C11)</f>
        <v>7.7142857142857144</v>
      </c>
      <c r="D11" s="49">
        <f>AVERAGE('29.10 KALAGI-MUKONO'!D11,'30.10-KALAGI-MUKONO'!D11,'1.11 KALAGI-MUKONO'!D11,'3.11 KALAGI-MUKONO'!D11,'31.10 KALAGI-MUKONO-24h'!D11,'2.11 KALAGI-MUKONO-24h'!D11,'4.11 KALAGI-MUKONO'!D11)</f>
        <v>0.7142857142857143</v>
      </c>
      <c r="E11" s="49">
        <f>AVERAGE('29.10 KALAGI-MUKONO'!E11,'30.10-KALAGI-MUKONO'!E11,'1.11 KALAGI-MUKONO'!E11,'3.11 KALAGI-MUKONO'!E11,'31.10 KALAGI-MUKONO-24h'!E11,'2.11 KALAGI-MUKONO-24h'!E11,'4.11 KALAGI-MUKONO'!E11)</f>
        <v>1.4285714285714286</v>
      </c>
      <c r="F11" s="49">
        <f>AVERAGE('29.10 KALAGI-MUKONO'!F11,'30.10-KALAGI-MUKONO'!F11,'1.11 KALAGI-MUKONO'!F11,'3.11 KALAGI-MUKONO'!F11,'31.10 KALAGI-MUKONO-24h'!F11,'2.11 KALAGI-MUKONO-24h'!F11,'4.11 KALAGI-MUKONO'!F11)</f>
        <v>9.8571428571428577</v>
      </c>
      <c r="G11" s="49">
        <f>AVERAGE('29.10 KALAGI-MUKONO'!G11,'30.10-KALAGI-MUKONO'!G11,'1.11 KALAGI-MUKONO'!G11,'3.11 KALAGI-MUKONO'!G11,'31.10 KALAGI-MUKONO-24h'!G11,'2.11 KALAGI-MUKONO-24h'!G11,'4.11 KALAGI-MUKONO'!G11)</f>
        <v>0.8571428571428571</v>
      </c>
      <c r="H11" s="49">
        <f>AVERAGE('29.10 KALAGI-MUKONO'!H11,'30.10-KALAGI-MUKONO'!H11,'1.11 KALAGI-MUKONO'!H11,'3.11 KALAGI-MUKONO'!H11,'31.10 KALAGI-MUKONO-24h'!H11,'2.11 KALAGI-MUKONO-24h'!H11,'4.11 KALAGI-MUKONO'!H11)</f>
        <v>0</v>
      </c>
      <c r="I11" s="49">
        <f>AVERAGE('29.10 KALAGI-MUKONO'!I11,'30.10-KALAGI-MUKONO'!I11,'1.11 KALAGI-MUKONO'!I11,'3.11 KALAGI-MUKONO'!I11,'31.10 KALAGI-MUKONO-24h'!I11,'2.11 KALAGI-MUKONO-24h'!I11,'4.11 KALAGI-MUKONO'!I11)</f>
        <v>2.5714285714285716</v>
      </c>
      <c r="J11" s="49">
        <f>AVERAGE('29.10 KALAGI-MUKONO'!J11,'30.10-KALAGI-MUKONO'!J11,'1.11 KALAGI-MUKONO'!J11,'3.11 KALAGI-MUKONO'!J11,'31.10 KALAGI-MUKONO-24h'!J11,'2.11 KALAGI-MUKONO-24h'!J11,'4.11 KALAGI-MUKONO'!J11)</f>
        <v>1</v>
      </c>
      <c r="K11" s="49">
        <f>AVERAGE('29.10 KALAGI-MUKONO'!K11,'30.10-KALAGI-MUKONO'!K11,'1.11 KALAGI-MUKONO'!K11,'3.11 KALAGI-MUKONO'!K11,'31.10 KALAGI-MUKONO-24h'!K11,'2.11 KALAGI-MUKONO-24h'!K11,'4.11 KALAGI-MUKONO'!K11)</f>
        <v>0.14285714285714285</v>
      </c>
      <c r="L11" s="49">
        <f>AVERAGE('29.10 KALAGI-MUKONO'!L11,'30.10-KALAGI-MUKONO'!L11,'1.11 KALAGI-MUKONO'!L11,'3.11 KALAGI-MUKONO'!L11,'31.10 KALAGI-MUKONO-24h'!L11,'2.11 KALAGI-MUKONO-24h'!L11,'4.11 KALAGI-MUKONO'!L11)</f>
        <v>0</v>
      </c>
      <c r="M11" s="49">
        <f>AVERAGE('29.10 KALAGI-MUKONO'!M11,'30.10-KALAGI-MUKONO'!M11,'1.11 KALAGI-MUKONO'!M11,'3.11 KALAGI-MUKONO'!M11,'31.10 KALAGI-MUKONO-24h'!M11,'2.11 KALAGI-MUKONO-24h'!M11,'4.11 KALAGI-MUKONO'!M11)</f>
        <v>28.714285714285715</v>
      </c>
      <c r="N11" s="49">
        <f>AVERAGE('29.10 KALAGI-MUKONO'!N11,'30.10-KALAGI-MUKONO'!N11,'1.11 KALAGI-MUKONO'!N11,'3.11 KALAGI-MUKONO'!N11,'31.10 KALAGI-MUKONO-24h'!N11,'2.11 KALAGI-MUKONO-24h'!N11,'4.11 KALAGI-MUKONO'!N11)</f>
        <v>0</v>
      </c>
      <c r="O11" s="15">
        <f t="shared" si="0"/>
        <v>24.285714285714288</v>
      </c>
      <c r="P11" s="15">
        <f t="shared" si="1"/>
        <v>53</v>
      </c>
      <c r="R11" s="1" t="s">
        <v>7</v>
      </c>
      <c r="S11" s="17">
        <f t="shared" ref="S11:AF11" si="3">SUM(C14:C17)</f>
        <v>26.714285714285715</v>
      </c>
      <c r="T11" s="17">
        <f t="shared" si="3"/>
        <v>5.8571428571428577</v>
      </c>
      <c r="U11" s="17">
        <f t="shared" si="3"/>
        <v>3.7142857142857144</v>
      </c>
      <c r="V11" s="17">
        <f t="shared" si="3"/>
        <v>36.571428571428569</v>
      </c>
      <c r="W11" s="17">
        <f t="shared" si="3"/>
        <v>0.5714285714285714</v>
      </c>
      <c r="X11" s="17">
        <f t="shared" si="3"/>
        <v>0.14285714285714285</v>
      </c>
      <c r="Y11" s="17">
        <f t="shared" si="3"/>
        <v>8.1428571428571423</v>
      </c>
      <c r="Z11" s="17">
        <f t="shared" si="3"/>
        <v>1.1428571428571428</v>
      </c>
      <c r="AA11" s="17">
        <f t="shared" si="3"/>
        <v>0</v>
      </c>
      <c r="AB11" s="17">
        <f t="shared" si="3"/>
        <v>0.2857142857142857</v>
      </c>
      <c r="AC11" s="17">
        <f t="shared" si="3"/>
        <v>110.85714285714285</v>
      </c>
      <c r="AD11" s="17">
        <f t="shared" si="3"/>
        <v>0.14285714285714285</v>
      </c>
      <c r="AE11" s="31">
        <f t="shared" si="3"/>
        <v>83.285714285714292</v>
      </c>
      <c r="AF11" s="31">
        <f t="shared" si="3"/>
        <v>194.14285714285711</v>
      </c>
    </row>
    <row r="12" spans="2:32" ht="23.1" customHeight="1" x14ac:dyDescent="0.25">
      <c r="B12" s="23" t="s">
        <v>39</v>
      </c>
      <c r="C12" s="49">
        <f>AVERAGE('29.10 KALAGI-MUKONO'!C12,'30.10-KALAGI-MUKONO'!C12,'1.11 KALAGI-MUKONO'!C12,'3.11 KALAGI-MUKONO'!C12,'31.10 KALAGI-MUKONO-24h'!C12,'2.11 KALAGI-MUKONO-24h'!C12,'4.11 KALAGI-MUKONO'!C12)</f>
        <v>5.1428571428571432</v>
      </c>
      <c r="D12" s="49">
        <f>AVERAGE('29.10 KALAGI-MUKONO'!D12,'30.10-KALAGI-MUKONO'!D12,'1.11 KALAGI-MUKONO'!D12,'3.11 KALAGI-MUKONO'!D12,'31.10 KALAGI-MUKONO-24h'!D12,'2.11 KALAGI-MUKONO-24h'!D12,'4.11 KALAGI-MUKONO'!D12)</f>
        <v>0.5714285714285714</v>
      </c>
      <c r="E12" s="49">
        <f>AVERAGE('29.10 KALAGI-MUKONO'!E12,'30.10-KALAGI-MUKONO'!E12,'1.11 KALAGI-MUKONO'!E12,'3.11 KALAGI-MUKONO'!E12,'31.10 KALAGI-MUKONO-24h'!E12,'2.11 KALAGI-MUKONO-24h'!E12,'4.11 KALAGI-MUKONO'!E12)</f>
        <v>0.7142857142857143</v>
      </c>
      <c r="F12" s="49">
        <f>AVERAGE('29.10 KALAGI-MUKONO'!F12,'30.10-KALAGI-MUKONO'!F12,'1.11 KALAGI-MUKONO'!F12,'3.11 KALAGI-MUKONO'!F12,'31.10 KALAGI-MUKONO-24h'!F12,'2.11 KALAGI-MUKONO-24h'!F12,'4.11 KALAGI-MUKONO'!F12)</f>
        <v>8.7142857142857135</v>
      </c>
      <c r="G12" s="49">
        <f>AVERAGE('29.10 KALAGI-MUKONO'!G12,'30.10-KALAGI-MUKONO'!G12,'1.11 KALAGI-MUKONO'!G12,'3.11 KALAGI-MUKONO'!G12,'31.10 KALAGI-MUKONO-24h'!G12,'2.11 KALAGI-MUKONO-24h'!G12,'4.11 KALAGI-MUKONO'!G12)</f>
        <v>0.42857142857142855</v>
      </c>
      <c r="H12" s="49">
        <f>AVERAGE('29.10 KALAGI-MUKONO'!H12,'30.10-KALAGI-MUKONO'!H12,'1.11 KALAGI-MUKONO'!H12,'3.11 KALAGI-MUKONO'!H12,'31.10 KALAGI-MUKONO-24h'!H12,'2.11 KALAGI-MUKONO-24h'!H12,'4.11 KALAGI-MUKONO'!H12)</f>
        <v>0</v>
      </c>
      <c r="I12" s="49">
        <f>AVERAGE('29.10 KALAGI-MUKONO'!I12,'30.10-KALAGI-MUKONO'!I12,'1.11 KALAGI-MUKONO'!I12,'3.11 KALAGI-MUKONO'!I12,'31.10 KALAGI-MUKONO-24h'!I12,'2.11 KALAGI-MUKONO-24h'!I12,'4.11 KALAGI-MUKONO'!I12)</f>
        <v>2</v>
      </c>
      <c r="J12" s="49">
        <f>AVERAGE('29.10 KALAGI-MUKONO'!J12,'30.10-KALAGI-MUKONO'!J12,'1.11 KALAGI-MUKONO'!J12,'3.11 KALAGI-MUKONO'!J12,'31.10 KALAGI-MUKONO-24h'!J12,'2.11 KALAGI-MUKONO-24h'!J12,'4.11 KALAGI-MUKONO'!J12)</f>
        <v>0.7142857142857143</v>
      </c>
      <c r="K12" s="49">
        <f>AVERAGE('29.10 KALAGI-MUKONO'!K12,'30.10-KALAGI-MUKONO'!K12,'1.11 KALAGI-MUKONO'!K12,'3.11 KALAGI-MUKONO'!K12,'31.10 KALAGI-MUKONO-24h'!K12,'2.11 KALAGI-MUKONO-24h'!K12,'4.11 KALAGI-MUKONO'!K12)</f>
        <v>0</v>
      </c>
      <c r="L12" s="49">
        <f>AVERAGE('29.10 KALAGI-MUKONO'!L12,'30.10-KALAGI-MUKONO'!L12,'1.11 KALAGI-MUKONO'!L12,'3.11 KALAGI-MUKONO'!L12,'31.10 KALAGI-MUKONO-24h'!L12,'2.11 KALAGI-MUKONO-24h'!L12,'4.11 KALAGI-MUKONO'!L12)</f>
        <v>0.14285714285714285</v>
      </c>
      <c r="M12" s="49">
        <f>AVERAGE('29.10 KALAGI-MUKONO'!M12,'30.10-KALAGI-MUKONO'!M12,'1.11 KALAGI-MUKONO'!M12,'3.11 KALAGI-MUKONO'!M12,'31.10 KALAGI-MUKONO-24h'!M12,'2.11 KALAGI-MUKONO-24h'!M12,'4.11 KALAGI-MUKONO'!M12)</f>
        <v>27</v>
      </c>
      <c r="N12" s="49">
        <f>AVERAGE('29.10 KALAGI-MUKONO'!N12,'30.10-KALAGI-MUKONO'!N12,'1.11 KALAGI-MUKONO'!N12,'3.11 KALAGI-MUKONO'!N12,'31.10 KALAGI-MUKONO-24h'!N12,'2.11 KALAGI-MUKONO-24h'!N12,'4.11 KALAGI-MUKONO'!N12)</f>
        <v>0.2857142857142857</v>
      </c>
      <c r="O12" s="15">
        <f t="shared" si="0"/>
        <v>18.714285714285712</v>
      </c>
      <c r="P12" s="15">
        <f t="shared" si="1"/>
        <v>45.714285714285715</v>
      </c>
      <c r="R12" s="1" t="s">
        <v>8</v>
      </c>
      <c r="S12" s="17">
        <f t="shared" ref="S12:AF12" si="4">SUM(C18:C21)</f>
        <v>25.142857142857142</v>
      </c>
      <c r="T12" s="17">
        <f t="shared" si="4"/>
        <v>5.4285714285714288</v>
      </c>
      <c r="U12" s="17">
        <f t="shared" si="4"/>
        <v>5.5714285714285712</v>
      </c>
      <c r="V12" s="17">
        <f t="shared" si="4"/>
        <v>33.428571428571423</v>
      </c>
      <c r="W12" s="17">
        <f t="shared" si="4"/>
        <v>0.8571428571428571</v>
      </c>
      <c r="X12" s="17">
        <f t="shared" si="4"/>
        <v>0</v>
      </c>
      <c r="Y12" s="17">
        <f t="shared" si="4"/>
        <v>8.8571428571428577</v>
      </c>
      <c r="Z12" s="17">
        <f t="shared" si="4"/>
        <v>0.85714285714285698</v>
      </c>
      <c r="AA12" s="17">
        <f t="shared" si="4"/>
        <v>0.71428571428571419</v>
      </c>
      <c r="AB12" s="17">
        <f t="shared" si="4"/>
        <v>0.2857142857142857</v>
      </c>
      <c r="AC12" s="17">
        <f t="shared" si="4"/>
        <v>102.42857142857143</v>
      </c>
      <c r="AD12" s="17">
        <f t="shared" si="4"/>
        <v>0.14285714285714285</v>
      </c>
      <c r="AE12" s="31">
        <f t="shared" si="4"/>
        <v>81.285714285714278</v>
      </c>
      <c r="AF12" s="31">
        <f t="shared" si="4"/>
        <v>183.71428571428572</v>
      </c>
    </row>
    <row r="13" spans="2:32" ht="23.1" customHeight="1" x14ac:dyDescent="0.25">
      <c r="B13" s="23" t="s">
        <v>40</v>
      </c>
      <c r="C13" s="49">
        <f>AVERAGE('29.10 KALAGI-MUKONO'!C13,'30.10-KALAGI-MUKONO'!C13,'1.11 KALAGI-MUKONO'!C13,'3.11 KALAGI-MUKONO'!C13,'31.10 KALAGI-MUKONO-24h'!C13,'2.11 KALAGI-MUKONO-24h'!C13,'4.11 KALAGI-MUKONO'!C13)</f>
        <v>5.8571428571428568</v>
      </c>
      <c r="D13" s="49">
        <f>AVERAGE('29.10 KALAGI-MUKONO'!D13,'30.10-KALAGI-MUKONO'!D13,'1.11 KALAGI-MUKONO'!D13,'3.11 KALAGI-MUKONO'!D13,'31.10 KALAGI-MUKONO-24h'!D13,'2.11 KALAGI-MUKONO-24h'!D13,'4.11 KALAGI-MUKONO'!D13)</f>
        <v>0.7142857142857143</v>
      </c>
      <c r="E13" s="49">
        <f>AVERAGE('29.10 KALAGI-MUKONO'!E13,'30.10-KALAGI-MUKONO'!E13,'1.11 KALAGI-MUKONO'!E13,'3.11 KALAGI-MUKONO'!E13,'31.10 KALAGI-MUKONO-24h'!E13,'2.11 KALAGI-MUKONO-24h'!E13,'4.11 KALAGI-MUKONO'!E13)</f>
        <v>1.7142857142857142</v>
      </c>
      <c r="F13" s="49">
        <f>AVERAGE('29.10 KALAGI-MUKONO'!F13,'30.10-KALAGI-MUKONO'!F13,'1.11 KALAGI-MUKONO'!F13,'3.11 KALAGI-MUKONO'!F13,'31.10 KALAGI-MUKONO-24h'!F13,'2.11 KALAGI-MUKONO-24h'!F13,'4.11 KALAGI-MUKONO'!F13)</f>
        <v>10.285714285714286</v>
      </c>
      <c r="G13" s="49">
        <f>AVERAGE('29.10 KALAGI-MUKONO'!G13,'30.10-KALAGI-MUKONO'!G13,'1.11 KALAGI-MUKONO'!G13,'3.11 KALAGI-MUKONO'!G13,'31.10 KALAGI-MUKONO-24h'!G13,'2.11 KALAGI-MUKONO-24h'!G13,'4.11 KALAGI-MUKONO'!G13)</f>
        <v>0.2857142857142857</v>
      </c>
      <c r="H13" s="49">
        <f>AVERAGE('29.10 KALAGI-MUKONO'!H13,'30.10-KALAGI-MUKONO'!H13,'1.11 KALAGI-MUKONO'!H13,'3.11 KALAGI-MUKONO'!H13,'31.10 KALAGI-MUKONO-24h'!H13,'2.11 KALAGI-MUKONO-24h'!H13,'4.11 KALAGI-MUKONO'!H13)</f>
        <v>0</v>
      </c>
      <c r="I13" s="49">
        <f>AVERAGE('29.10 KALAGI-MUKONO'!I13,'30.10-KALAGI-MUKONO'!I13,'1.11 KALAGI-MUKONO'!I13,'3.11 KALAGI-MUKONO'!I13,'31.10 KALAGI-MUKONO-24h'!I13,'2.11 KALAGI-MUKONO-24h'!I13,'4.11 KALAGI-MUKONO'!I13)</f>
        <v>2.1428571428571428</v>
      </c>
      <c r="J13" s="49">
        <f>AVERAGE('29.10 KALAGI-MUKONO'!J13,'30.10-KALAGI-MUKONO'!J13,'1.11 KALAGI-MUKONO'!J13,'3.11 KALAGI-MUKONO'!J13,'31.10 KALAGI-MUKONO-24h'!J13,'2.11 KALAGI-MUKONO-24h'!J13,'4.11 KALAGI-MUKONO'!J13)</f>
        <v>0.42857142857142855</v>
      </c>
      <c r="K13" s="49">
        <f>AVERAGE('29.10 KALAGI-MUKONO'!K13,'30.10-KALAGI-MUKONO'!K13,'1.11 KALAGI-MUKONO'!K13,'3.11 KALAGI-MUKONO'!K13,'31.10 KALAGI-MUKONO-24h'!K13,'2.11 KALAGI-MUKONO-24h'!K13,'4.11 KALAGI-MUKONO'!K13)</f>
        <v>0.14285714285714285</v>
      </c>
      <c r="L13" s="49">
        <f>AVERAGE('29.10 KALAGI-MUKONO'!L13,'30.10-KALAGI-MUKONO'!L13,'1.11 KALAGI-MUKONO'!L13,'3.11 KALAGI-MUKONO'!L13,'31.10 KALAGI-MUKONO-24h'!L13,'2.11 KALAGI-MUKONO-24h'!L13,'4.11 KALAGI-MUKONO'!L13)</f>
        <v>0.14285714285714285</v>
      </c>
      <c r="M13" s="49">
        <f>AVERAGE('29.10 KALAGI-MUKONO'!M13,'30.10-KALAGI-MUKONO'!M13,'1.11 KALAGI-MUKONO'!M13,'3.11 KALAGI-MUKONO'!M13,'31.10 KALAGI-MUKONO-24h'!M13,'2.11 KALAGI-MUKONO-24h'!M13,'4.11 KALAGI-MUKONO'!M13)</f>
        <v>28.571428571428573</v>
      </c>
      <c r="N13" s="49">
        <f>AVERAGE('29.10 KALAGI-MUKONO'!N13,'30.10-KALAGI-MUKONO'!N13,'1.11 KALAGI-MUKONO'!N13,'3.11 KALAGI-MUKONO'!N13,'31.10 KALAGI-MUKONO-24h'!N13,'2.11 KALAGI-MUKONO-24h'!N13,'4.11 KALAGI-MUKONO'!N13)</f>
        <v>0</v>
      </c>
      <c r="O13" s="15">
        <f t="shared" si="0"/>
        <v>21.714285714285708</v>
      </c>
      <c r="P13" s="15">
        <f t="shared" si="1"/>
        <v>50.285714285714278</v>
      </c>
      <c r="R13" s="1" t="s">
        <v>9</v>
      </c>
      <c r="S13" s="17">
        <f t="shared" ref="S13:AF13" si="5">SUM(C22:C25)</f>
        <v>28.000000000000004</v>
      </c>
      <c r="T13" s="17">
        <f t="shared" si="5"/>
        <v>7</v>
      </c>
      <c r="U13" s="17">
        <f t="shared" si="5"/>
        <v>6.2857142857142856</v>
      </c>
      <c r="V13" s="17">
        <f t="shared" si="5"/>
        <v>29.571428571428569</v>
      </c>
      <c r="W13" s="17">
        <f t="shared" si="5"/>
        <v>1</v>
      </c>
      <c r="X13" s="17">
        <f t="shared" si="5"/>
        <v>0.14285714285714285</v>
      </c>
      <c r="Y13" s="17">
        <f t="shared" si="5"/>
        <v>7.8571428571428577</v>
      </c>
      <c r="Z13" s="17">
        <f t="shared" si="5"/>
        <v>2.714285714285714</v>
      </c>
      <c r="AA13" s="17">
        <f t="shared" si="5"/>
        <v>1.4285714285714286</v>
      </c>
      <c r="AB13" s="17">
        <f t="shared" si="5"/>
        <v>0.5714285714285714</v>
      </c>
      <c r="AC13" s="17">
        <f t="shared" si="5"/>
        <v>101.42857142857143</v>
      </c>
      <c r="AD13" s="17">
        <f t="shared" si="5"/>
        <v>0</v>
      </c>
      <c r="AE13" s="31">
        <f t="shared" si="5"/>
        <v>84.571428571428569</v>
      </c>
      <c r="AF13" s="31">
        <f t="shared" si="5"/>
        <v>186</v>
      </c>
    </row>
    <row r="14" spans="2:32" ht="23.1" customHeight="1" x14ac:dyDescent="0.25">
      <c r="B14" s="23" t="s">
        <v>41</v>
      </c>
      <c r="C14" s="49">
        <f>AVERAGE('29.10 KALAGI-MUKONO'!C14,'30.10-KALAGI-MUKONO'!C14,'1.11 KALAGI-MUKONO'!C14,'3.11 KALAGI-MUKONO'!C14,'31.10 KALAGI-MUKONO-24h'!C14,'2.11 KALAGI-MUKONO-24h'!C14,'4.11 KALAGI-MUKONO'!C14)</f>
        <v>6.5714285714285712</v>
      </c>
      <c r="D14" s="49">
        <f>AVERAGE('29.10 KALAGI-MUKONO'!D14,'30.10-KALAGI-MUKONO'!D14,'1.11 KALAGI-MUKONO'!D14,'3.11 KALAGI-MUKONO'!D14,'31.10 KALAGI-MUKONO-24h'!D14,'2.11 KALAGI-MUKONO-24h'!D14,'4.11 KALAGI-MUKONO'!D14)</f>
        <v>1.2857142857142858</v>
      </c>
      <c r="E14" s="49">
        <f>AVERAGE('29.10 KALAGI-MUKONO'!E14,'30.10-KALAGI-MUKONO'!E14,'1.11 KALAGI-MUKONO'!E14,'3.11 KALAGI-MUKONO'!E14,'31.10 KALAGI-MUKONO-24h'!E14,'2.11 KALAGI-MUKONO-24h'!E14,'4.11 KALAGI-MUKONO'!E14)</f>
        <v>1.1428571428571428</v>
      </c>
      <c r="F14" s="49">
        <f>AVERAGE('29.10 KALAGI-MUKONO'!F14,'30.10-KALAGI-MUKONO'!F14,'1.11 KALAGI-MUKONO'!F14,'3.11 KALAGI-MUKONO'!F14,'31.10 KALAGI-MUKONO-24h'!F14,'2.11 KALAGI-MUKONO-24h'!F14,'4.11 KALAGI-MUKONO'!F14)</f>
        <v>10</v>
      </c>
      <c r="G14" s="49">
        <f>AVERAGE('29.10 KALAGI-MUKONO'!G14,'30.10-KALAGI-MUKONO'!G14,'1.11 KALAGI-MUKONO'!G14,'3.11 KALAGI-MUKONO'!G14,'31.10 KALAGI-MUKONO-24h'!G14,'2.11 KALAGI-MUKONO-24h'!G14,'4.11 KALAGI-MUKONO'!G14)</f>
        <v>0.14285714285714285</v>
      </c>
      <c r="H14" s="49">
        <f>AVERAGE('29.10 KALAGI-MUKONO'!H14,'30.10-KALAGI-MUKONO'!H14,'1.11 KALAGI-MUKONO'!H14,'3.11 KALAGI-MUKONO'!H14,'31.10 KALAGI-MUKONO-24h'!H14,'2.11 KALAGI-MUKONO-24h'!H14,'4.11 KALAGI-MUKONO'!H14)</f>
        <v>0</v>
      </c>
      <c r="I14" s="49">
        <f>AVERAGE('29.10 KALAGI-MUKONO'!I14,'30.10-KALAGI-MUKONO'!I14,'1.11 KALAGI-MUKONO'!I14,'3.11 KALAGI-MUKONO'!I14,'31.10 KALAGI-MUKONO-24h'!I14,'2.11 KALAGI-MUKONO-24h'!I14,'4.11 KALAGI-MUKONO'!I14)</f>
        <v>1.5714285714285714</v>
      </c>
      <c r="J14" s="49">
        <f>AVERAGE('29.10 KALAGI-MUKONO'!J14,'30.10-KALAGI-MUKONO'!J14,'1.11 KALAGI-MUKONO'!J14,'3.11 KALAGI-MUKONO'!J14,'31.10 KALAGI-MUKONO-24h'!J14,'2.11 KALAGI-MUKONO-24h'!J14,'4.11 KALAGI-MUKONO'!J14)</f>
        <v>0</v>
      </c>
      <c r="K14" s="49">
        <f>AVERAGE('29.10 KALAGI-MUKONO'!K14,'30.10-KALAGI-MUKONO'!K14,'1.11 KALAGI-MUKONO'!K14,'3.11 KALAGI-MUKONO'!K14,'31.10 KALAGI-MUKONO-24h'!K14,'2.11 KALAGI-MUKONO-24h'!K14,'4.11 KALAGI-MUKONO'!K14)</f>
        <v>0</v>
      </c>
      <c r="L14" s="49">
        <f>AVERAGE('29.10 KALAGI-MUKONO'!L14,'30.10-KALAGI-MUKONO'!L14,'1.11 KALAGI-MUKONO'!L14,'3.11 KALAGI-MUKONO'!L14,'31.10 KALAGI-MUKONO-24h'!L14,'2.11 KALAGI-MUKONO-24h'!L14,'4.11 KALAGI-MUKONO'!L14)</f>
        <v>0.14285714285714285</v>
      </c>
      <c r="M14" s="49">
        <f>AVERAGE('29.10 KALAGI-MUKONO'!M14,'30.10-KALAGI-MUKONO'!M14,'1.11 KALAGI-MUKONO'!M14,'3.11 KALAGI-MUKONO'!M14,'31.10 KALAGI-MUKONO-24h'!M14,'2.11 KALAGI-MUKONO-24h'!M14,'4.11 KALAGI-MUKONO'!M14)</f>
        <v>25.857142857142858</v>
      </c>
      <c r="N14" s="49">
        <f>AVERAGE('29.10 KALAGI-MUKONO'!N14,'30.10-KALAGI-MUKONO'!N14,'1.11 KALAGI-MUKONO'!N14,'3.11 KALAGI-MUKONO'!N14,'31.10 KALAGI-MUKONO-24h'!N14,'2.11 KALAGI-MUKONO-24h'!N14,'4.11 KALAGI-MUKONO'!N14)</f>
        <v>0</v>
      </c>
      <c r="O14" s="15">
        <f t="shared" si="0"/>
        <v>20.857142857142858</v>
      </c>
      <c r="P14" s="15">
        <f t="shared" si="1"/>
        <v>46.714285714285715</v>
      </c>
      <c r="R14" s="1" t="s">
        <v>10</v>
      </c>
      <c r="S14" s="17">
        <f t="shared" ref="S14:AF14" si="6">SUM(C26:C29)</f>
        <v>26.571428571428569</v>
      </c>
      <c r="T14" s="17">
        <f t="shared" si="6"/>
        <v>5.5714285714285712</v>
      </c>
      <c r="U14" s="17">
        <f t="shared" si="6"/>
        <v>6.5714285714285712</v>
      </c>
      <c r="V14" s="17">
        <f t="shared" si="6"/>
        <v>35</v>
      </c>
      <c r="W14" s="17">
        <f t="shared" si="6"/>
        <v>0.71428571428571419</v>
      </c>
      <c r="X14" s="17">
        <f t="shared" si="6"/>
        <v>0</v>
      </c>
      <c r="Y14" s="17">
        <f t="shared" si="6"/>
        <v>9.1428571428571423</v>
      </c>
      <c r="Z14" s="17">
        <f t="shared" si="6"/>
        <v>2.5714285714285712</v>
      </c>
      <c r="AA14" s="17">
        <f t="shared" si="6"/>
        <v>0.99999999999999989</v>
      </c>
      <c r="AB14" s="17">
        <f t="shared" si="6"/>
        <v>0.42857142857142855</v>
      </c>
      <c r="AC14" s="17">
        <f t="shared" si="6"/>
        <v>92</v>
      </c>
      <c r="AD14" s="17">
        <f t="shared" si="6"/>
        <v>0.2857142857142857</v>
      </c>
      <c r="AE14" s="31">
        <f t="shared" si="6"/>
        <v>87.857142857142847</v>
      </c>
      <c r="AF14" s="31">
        <f t="shared" si="6"/>
        <v>179.85714285714286</v>
      </c>
    </row>
    <row r="15" spans="2:32" ht="23.1" customHeight="1" x14ac:dyDescent="0.25">
      <c r="B15" s="23" t="s">
        <v>42</v>
      </c>
      <c r="C15" s="49">
        <f>AVERAGE('29.10 KALAGI-MUKONO'!C15,'30.10-KALAGI-MUKONO'!C15,'1.11 KALAGI-MUKONO'!C15,'3.11 KALAGI-MUKONO'!C15,'31.10 KALAGI-MUKONO-24h'!C15,'2.11 KALAGI-MUKONO-24h'!C15,'4.11 KALAGI-MUKONO'!C15)</f>
        <v>6.2857142857142856</v>
      </c>
      <c r="D15" s="49">
        <f>AVERAGE('29.10 KALAGI-MUKONO'!D15,'30.10-KALAGI-MUKONO'!D15,'1.11 KALAGI-MUKONO'!D15,'3.11 KALAGI-MUKONO'!D15,'31.10 KALAGI-MUKONO-24h'!D15,'2.11 KALAGI-MUKONO-24h'!D15,'4.11 KALAGI-MUKONO'!D15)</f>
        <v>1.1428571428571428</v>
      </c>
      <c r="E15" s="49">
        <f>AVERAGE('29.10 KALAGI-MUKONO'!E15,'30.10-KALAGI-MUKONO'!E15,'1.11 KALAGI-MUKONO'!E15,'3.11 KALAGI-MUKONO'!E15,'31.10 KALAGI-MUKONO-24h'!E15,'2.11 KALAGI-MUKONO-24h'!E15,'4.11 KALAGI-MUKONO'!E15)</f>
        <v>0.7142857142857143</v>
      </c>
      <c r="F15" s="49">
        <f>AVERAGE('29.10 KALAGI-MUKONO'!F15,'30.10-KALAGI-MUKONO'!F15,'1.11 KALAGI-MUKONO'!F15,'3.11 KALAGI-MUKONO'!F15,'31.10 KALAGI-MUKONO-24h'!F15,'2.11 KALAGI-MUKONO-24h'!F15,'4.11 KALAGI-MUKONO'!F15)</f>
        <v>7.7142857142857144</v>
      </c>
      <c r="G15" s="49">
        <f>AVERAGE('29.10 KALAGI-MUKONO'!G15,'30.10-KALAGI-MUKONO'!G15,'1.11 KALAGI-MUKONO'!G15,'3.11 KALAGI-MUKONO'!G15,'31.10 KALAGI-MUKONO-24h'!G15,'2.11 KALAGI-MUKONO-24h'!G15,'4.11 KALAGI-MUKONO'!G15)</f>
        <v>0</v>
      </c>
      <c r="H15" s="49">
        <f>AVERAGE('29.10 KALAGI-MUKONO'!H15,'30.10-KALAGI-MUKONO'!H15,'1.11 KALAGI-MUKONO'!H15,'3.11 KALAGI-MUKONO'!H15,'31.10 KALAGI-MUKONO-24h'!H15,'2.11 KALAGI-MUKONO-24h'!H15,'4.11 KALAGI-MUKONO'!H15)</f>
        <v>0</v>
      </c>
      <c r="I15" s="49">
        <f>AVERAGE('29.10 KALAGI-MUKONO'!I15,'30.10-KALAGI-MUKONO'!I15,'1.11 KALAGI-MUKONO'!I15,'3.11 KALAGI-MUKONO'!I15,'31.10 KALAGI-MUKONO-24h'!I15,'2.11 KALAGI-MUKONO-24h'!I15,'4.11 KALAGI-MUKONO'!I15)</f>
        <v>3.7142857142857144</v>
      </c>
      <c r="J15" s="49">
        <f>AVERAGE('29.10 KALAGI-MUKONO'!J15,'30.10-KALAGI-MUKONO'!J15,'1.11 KALAGI-MUKONO'!J15,'3.11 KALAGI-MUKONO'!J15,'31.10 KALAGI-MUKONO-24h'!J15,'2.11 KALAGI-MUKONO-24h'!J15,'4.11 KALAGI-MUKONO'!J15)</f>
        <v>0.5714285714285714</v>
      </c>
      <c r="K15" s="49">
        <f>AVERAGE('29.10 KALAGI-MUKONO'!K15,'30.10-KALAGI-MUKONO'!K15,'1.11 KALAGI-MUKONO'!K15,'3.11 KALAGI-MUKONO'!K15,'31.10 KALAGI-MUKONO-24h'!K15,'2.11 KALAGI-MUKONO-24h'!K15,'4.11 KALAGI-MUKONO'!K15)</f>
        <v>0</v>
      </c>
      <c r="L15" s="49">
        <f>AVERAGE('29.10 KALAGI-MUKONO'!L15,'30.10-KALAGI-MUKONO'!L15,'1.11 KALAGI-MUKONO'!L15,'3.11 KALAGI-MUKONO'!L15,'31.10 KALAGI-MUKONO-24h'!L15,'2.11 KALAGI-MUKONO-24h'!L15,'4.11 KALAGI-MUKONO'!L15)</f>
        <v>0.14285714285714285</v>
      </c>
      <c r="M15" s="49">
        <f>AVERAGE('29.10 KALAGI-MUKONO'!M15,'30.10-KALAGI-MUKONO'!M15,'1.11 KALAGI-MUKONO'!M15,'3.11 KALAGI-MUKONO'!M15,'31.10 KALAGI-MUKONO-24h'!M15,'2.11 KALAGI-MUKONO-24h'!M15,'4.11 KALAGI-MUKONO'!M15)</f>
        <v>29.714285714285715</v>
      </c>
      <c r="N15" s="49">
        <f>AVERAGE('29.10 KALAGI-MUKONO'!N15,'30.10-KALAGI-MUKONO'!N15,'1.11 KALAGI-MUKONO'!N15,'3.11 KALAGI-MUKONO'!N15,'31.10 KALAGI-MUKONO-24h'!N15,'2.11 KALAGI-MUKONO-24h'!N15,'4.11 KALAGI-MUKONO'!N15)</f>
        <v>0.14285714285714285</v>
      </c>
      <c r="O15" s="15">
        <f t="shared" si="0"/>
        <v>20.428571428571431</v>
      </c>
      <c r="P15" s="15">
        <f t="shared" si="1"/>
        <v>50.142857142857146</v>
      </c>
      <c r="R15" s="1" t="s">
        <v>11</v>
      </c>
      <c r="S15" s="17">
        <f t="shared" ref="S15:AF15" si="7">SUM(C30:C33)</f>
        <v>32.285714285714285</v>
      </c>
      <c r="T15" s="17">
        <f t="shared" si="7"/>
        <v>7.9999999999999991</v>
      </c>
      <c r="U15" s="17">
        <f t="shared" si="7"/>
        <v>6</v>
      </c>
      <c r="V15" s="17">
        <f t="shared" si="7"/>
        <v>32.285714285714285</v>
      </c>
      <c r="W15" s="17">
        <f t="shared" si="7"/>
        <v>0.71428571428571419</v>
      </c>
      <c r="X15" s="17">
        <f t="shared" si="7"/>
        <v>0</v>
      </c>
      <c r="Y15" s="17">
        <f t="shared" si="7"/>
        <v>10.428571428571429</v>
      </c>
      <c r="Z15" s="17">
        <f t="shared" si="7"/>
        <v>1.7142857142857142</v>
      </c>
      <c r="AA15" s="17">
        <f t="shared" si="7"/>
        <v>1.2857142857142856</v>
      </c>
      <c r="AB15" s="17">
        <f t="shared" si="7"/>
        <v>0.14285714285714285</v>
      </c>
      <c r="AC15" s="17">
        <f t="shared" si="7"/>
        <v>87.428571428571416</v>
      </c>
      <c r="AD15" s="17">
        <f t="shared" si="7"/>
        <v>0</v>
      </c>
      <c r="AE15" s="31">
        <f t="shared" si="7"/>
        <v>92.857142857142847</v>
      </c>
      <c r="AF15" s="31">
        <f t="shared" si="7"/>
        <v>180.28571428571428</v>
      </c>
    </row>
    <row r="16" spans="2:32" ht="23.1" customHeight="1" x14ac:dyDescent="0.25">
      <c r="B16" s="23" t="s">
        <v>43</v>
      </c>
      <c r="C16" s="49">
        <f>AVERAGE('29.10 KALAGI-MUKONO'!C16,'30.10-KALAGI-MUKONO'!C16,'1.11 KALAGI-MUKONO'!C16,'3.11 KALAGI-MUKONO'!C16,'31.10 KALAGI-MUKONO-24h'!C16,'2.11 KALAGI-MUKONO-24h'!C16,'4.11 KALAGI-MUKONO'!C16)</f>
        <v>7</v>
      </c>
      <c r="D16" s="49">
        <f>AVERAGE('29.10 KALAGI-MUKONO'!D16,'30.10-KALAGI-MUKONO'!D16,'1.11 KALAGI-MUKONO'!D16,'3.11 KALAGI-MUKONO'!D16,'31.10 KALAGI-MUKONO-24h'!D16,'2.11 KALAGI-MUKONO-24h'!D16,'4.11 KALAGI-MUKONO'!D16)</f>
        <v>1.7142857142857142</v>
      </c>
      <c r="E16" s="49">
        <f>AVERAGE('29.10 KALAGI-MUKONO'!E16,'30.10-KALAGI-MUKONO'!E16,'1.11 KALAGI-MUKONO'!E16,'3.11 KALAGI-MUKONO'!E16,'31.10 KALAGI-MUKONO-24h'!E16,'2.11 KALAGI-MUKONO-24h'!E16,'4.11 KALAGI-MUKONO'!E16)</f>
        <v>1</v>
      </c>
      <c r="F16" s="49">
        <f>AVERAGE('29.10 KALAGI-MUKONO'!F16,'30.10-KALAGI-MUKONO'!F16,'1.11 KALAGI-MUKONO'!F16,'3.11 KALAGI-MUKONO'!F16,'31.10 KALAGI-MUKONO-24h'!F16,'2.11 KALAGI-MUKONO-24h'!F16,'4.11 KALAGI-MUKONO'!F16)</f>
        <v>10.142857142857142</v>
      </c>
      <c r="G16" s="49">
        <f>AVERAGE('29.10 KALAGI-MUKONO'!G16,'30.10-KALAGI-MUKONO'!G16,'1.11 KALAGI-MUKONO'!G16,'3.11 KALAGI-MUKONO'!G16,'31.10 KALAGI-MUKONO-24h'!G16,'2.11 KALAGI-MUKONO-24h'!G16,'4.11 KALAGI-MUKONO'!G16)</f>
        <v>0.2857142857142857</v>
      </c>
      <c r="H16" s="49">
        <f>AVERAGE('29.10 KALAGI-MUKONO'!H16,'30.10-KALAGI-MUKONO'!H16,'1.11 KALAGI-MUKONO'!H16,'3.11 KALAGI-MUKONO'!H16,'31.10 KALAGI-MUKONO-24h'!H16,'2.11 KALAGI-MUKONO-24h'!H16,'4.11 KALAGI-MUKONO'!H16)</f>
        <v>0</v>
      </c>
      <c r="I16" s="49">
        <f>AVERAGE('29.10 KALAGI-MUKONO'!I16,'30.10-KALAGI-MUKONO'!I16,'1.11 KALAGI-MUKONO'!I16,'3.11 KALAGI-MUKONO'!I16,'31.10 KALAGI-MUKONO-24h'!I16,'2.11 KALAGI-MUKONO-24h'!I16,'4.11 KALAGI-MUKONO'!I16)</f>
        <v>1.4285714285714286</v>
      </c>
      <c r="J16" s="49">
        <f>AVERAGE('29.10 KALAGI-MUKONO'!J16,'30.10-KALAGI-MUKONO'!J16,'1.11 KALAGI-MUKONO'!J16,'3.11 KALAGI-MUKONO'!J16,'31.10 KALAGI-MUKONO-24h'!J16,'2.11 KALAGI-MUKONO-24h'!J16,'4.11 KALAGI-MUKONO'!J16)</f>
        <v>0</v>
      </c>
      <c r="K16" s="49">
        <f>AVERAGE('29.10 KALAGI-MUKONO'!K16,'30.10-KALAGI-MUKONO'!K16,'1.11 KALAGI-MUKONO'!K16,'3.11 KALAGI-MUKONO'!K16,'31.10 KALAGI-MUKONO-24h'!K16,'2.11 KALAGI-MUKONO-24h'!K16,'4.11 KALAGI-MUKONO'!K16)</f>
        <v>0</v>
      </c>
      <c r="L16" s="49">
        <f>AVERAGE('29.10 KALAGI-MUKONO'!L16,'30.10-KALAGI-MUKONO'!L16,'1.11 KALAGI-MUKONO'!L16,'3.11 KALAGI-MUKONO'!L16,'31.10 KALAGI-MUKONO-24h'!L16,'2.11 KALAGI-MUKONO-24h'!L16,'4.11 KALAGI-MUKONO'!L16)</f>
        <v>0</v>
      </c>
      <c r="M16" s="49">
        <f>AVERAGE('29.10 KALAGI-MUKONO'!M16,'30.10-KALAGI-MUKONO'!M16,'1.11 KALAGI-MUKONO'!M16,'3.11 KALAGI-MUKONO'!M16,'31.10 KALAGI-MUKONO-24h'!M16,'2.11 KALAGI-MUKONO-24h'!M16,'4.11 KALAGI-MUKONO'!M16)</f>
        <v>30.142857142857142</v>
      </c>
      <c r="N16" s="49">
        <f>AVERAGE('29.10 KALAGI-MUKONO'!N16,'30.10-KALAGI-MUKONO'!N16,'1.11 KALAGI-MUKONO'!N16,'3.11 KALAGI-MUKONO'!N16,'31.10 KALAGI-MUKONO-24h'!N16,'2.11 KALAGI-MUKONO-24h'!N16,'4.11 KALAGI-MUKONO'!N16)</f>
        <v>0</v>
      </c>
      <c r="O16" s="15">
        <f t="shared" si="0"/>
        <v>21.571428571428566</v>
      </c>
      <c r="P16" s="15">
        <f t="shared" si="1"/>
        <v>51.714285714285708</v>
      </c>
      <c r="R16" s="1" t="s">
        <v>12</v>
      </c>
      <c r="S16" s="17">
        <f t="shared" ref="S16:AF16" si="8">SUM(C34:C37)</f>
        <v>32.142857142857146</v>
      </c>
      <c r="T16" s="17">
        <f t="shared" si="8"/>
        <v>9.5714285714285712</v>
      </c>
      <c r="U16" s="17">
        <f t="shared" si="8"/>
        <v>7.4285714285714288</v>
      </c>
      <c r="V16" s="17">
        <f t="shared" si="8"/>
        <v>30.142857142857146</v>
      </c>
      <c r="W16" s="17">
        <f t="shared" si="8"/>
        <v>0.5714285714285714</v>
      </c>
      <c r="X16" s="17">
        <f t="shared" si="8"/>
        <v>0.14285714285714285</v>
      </c>
      <c r="Y16" s="17">
        <f t="shared" si="8"/>
        <v>11.571428571428569</v>
      </c>
      <c r="Z16" s="17">
        <f t="shared" si="8"/>
        <v>2.1428571428571428</v>
      </c>
      <c r="AA16" s="17">
        <f t="shared" si="8"/>
        <v>1.2857142857142856</v>
      </c>
      <c r="AB16" s="17">
        <f t="shared" si="8"/>
        <v>0.42857142857142855</v>
      </c>
      <c r="AC16" s="17">
        <f t="shared" si="8"/>
        <v>85.285714285714278</v>
      </c>
      <c r="AD16" s="17">
        <f t="shared" si="8"/>
        <v>0</v>
      </c>
      <c r="AE16" s="31">
        <f t="shared" si="8"/>
        <v>95.428571428571416</v>
      </c>
      <c r="AF16" s="31">
        <f t="shared" si="8"/>
        <v>180.71428571428572</v>
      </c>
    </row>
    <row r="17" spans="2:32" ht="23.1" customHeight="1" x14ac:dyDescent="0.25">
      <c r="B17" s="23" t="s">
        <v>44</v>
      </c>
      <c r="C17" s="49">
        <f>AVERAGE('29.10 KALAGI-MUKONO'!C17,'30.10-KALAGI-MUKONO'!C17,'1.11 KALAGI-MUKONO'!C17,'3.11 KALAGI-MUKONO'!C17,'31.10 KALAGI-MUKONO-24h'!C17,'2.11 KALAGI-MUKONO-24h'!C17,'4.11 KALAGI-MUKONO'!C17)</f>
        <v>6.8571428571428568</v>
      </c>
      <c r="D17" s="49">
        <f>AVERAGE('29.10 KALAGI-MUKONO'!D17,'30.10-KALAGI-MUKONO'!D17,'1.11 KALAGI-MUKONO'!D17,'3.11 KALAGI-MUKONO'!D17,'31.10 KALAGI-MUKONO-24h'!D17,'2.11 KALAGI-MUKONO-24h'!D17,'4.11 KALAGI-MUKONO'!D17)</f>
        <v>1.7142857142857142</v>
      </c>
      <c r="E17" s="49">
        <f>AVERAGE('29.10 KALAGI-MUKONO'!E17,'30.10-KALAGI-MUKONO'!E17,'1.11 KALAGI-MUKONO'!E17,'3.11 KALAGI-MUKONO'!E17,'31.10 KALAGI-MUKONO-24h'!E17,'2.11 KALAGI-MUKONO-24h'!E17,'4.11 KALAGI-MUKONO'!E17)</f>
        <v>0.8571428571428571</v>
      </c>
      <c r="F17" s="49">
        <f>AVERAGE('29.10 KALAGI-MUKONO'!F17,'30.10-KALAGI-MUKONO'!F17,'1.11 KALAGI-MUKONO'!F17,'3.11 KALAGI-MUKONO'!F17,'31.10 KALAGI-MUKONO-24h'!F17,'2.11 KALAGI-MUKONO-24h'!F17,'4.11 KALAGI-MUKONO'!F17)</f>
        <v>8.7142857142857135</v>
      </c>
      <c r="G17" s="49">
        <f>AVERAGE('29.10 KALAGI-MUKONO'!G17,'30.10-KALAGI-MUKONO'!G17,'1.11 KALAGI-MUKONO'!G17,'3.11 KALAGI-MUKONO'!G17,'31.10 KALAGI-MUKONO-24h'!G17,'2.11 KALAGI-MUKONO-24h'!G17,'4.11 KALAGI-MUKONO'!G17)</f>
        <v>0.14285714285714285</v>
      </c>
      <c r="H17" s="49">
        <f>AVERAGE('29.10 KALAGI-MUKONO'!H17,'30.10-KALAGI-MUKONO'!H17,'1.11 KALAGI-MUKONO'!H17,'3.11 KALAGI-MUKONO'!H17,'31.10 KALAGI-MUKONO-24h'!H17,'2.11 KALAGI-MUKONO-24h'!H17,'4.11 KALAGI-MUKONO'!H17)</f>
        <v>0.14285714285714285</v>
      </c>
      <c r="I17" s="49">
        <f>AVERAGE('29.10 KALAGI-MUKONO'!I17,'30.10-KALAGI-MUKONO'!I17,'1.11 KALAGI-MUKONO'!I17,'3.11 KALAGI-MUKONO'!I17,'31.10 KALAGI-MUKONO-24h'!I17,'2.11 KALAGI-MUKONO-24h'!I17,'4.11 KALAGI-MUKONO'!I17)</f>
        <v>1.4285714285714286</v>
      </c>
      <c r="J17" s="49">
        <f>AVERAGE('29.10 KALAGI-MUKONO'!J17,'30.10-KALAGI-MUKONO'!J17,'1.11 KALAGI-MUKONO'!J17,'3.11 KALAGI-MUKONO'!J17,'31.10 KALAGI-MUKONO-24h'!J17,'2.11 KALAGI-MUKONO-24h'!J17,'4.11 KALAGI-MUKONO'!J17)</f>
        <v>0.5714285714285714</v>
      </c>
      <c r="K17" s="49">
        <f>AVERAGE('29.10 KALAGI-MUKONO'!K17,'30.10-KALAGI-MUKONO'!K17,'1.11 KALAGI-MUKONO'!K17,'3.11 KALAGI-MUKONO'!K17,'31.10 KALAGI-MUKONO-24h'!K17,'2.11 KALAGI-MUKONO-24h'!K17,'4.11 KALAGI-MUKONO'!K17)</f>
        <v>0</v>
      </c>
      <c r="L17" s="49">
        <f>AVERAGE('29.10 KALAGI-MUKONO'!L17,'30.10-KALAGI-MUKONO'!L17,'1.11 KALAGI-MUKONO'!L17,'3.11 KALAGI-MUKONO'!L17,'31.10 KALAGI-MUKONO-24h'!L17,'2.11 KALAGI-MUKONO-24h'!L17,'4.11 KALAGI-MUKONO'!L17)</f>
        <v>0</v>
      </c>
      <c r="M17" s="49">
        <f>AVERAGE('29.10 KALAGI-MUKONO'!M17,'30.10-KALAGI-MUKONO'!M17,'1.11 KALAGI-MUKONO'!M17,'3.11 KALAGI-MUKONO'!M17,'31.10 KALAGI-MUKONO-24h'!M17,'2.11 KALAGI-MUKONO-24h'!M17,'4.11 KALAGI-MUKONO'!M17)</f>
        <v>25.142857142857142</v>
      </c>
      <c r="N17" s="49">
        <f>AVERAGE('29.10 KALAGI-MUKONO'!N17,'30.10-KALAGI-MUKONO'!N17,'1.11 KALAGI-MUKONO'!N17,'3.11 KALAGI-MUKONO'!N17,'31.10 KALAGI-MUKONO-24h'!N17,'2.11 KALAGI-MUKONO-24h'!N17,'4.11 KALAGI-MUKONO'!N17)</f>
        <v>0</v>
      </c>
      <c r="O17" s="15">
        <f t="shared" si="0"/>
        <v>20.428571428571427</v>
      </c>
      <c r="P17" s="15">
        <f t="shared" si="1"/>
        <v>45.571428571428569</v>
      </c>
      <c r="R17" s="1" t="s">
        <v>13</v>
      </c>
      <c r="S17" s="17">
        <f t="shared" ref="S17:AF17" si="9">SUM(C38:C41)</f>
        <v>40.285714285714292</v>
      </c>
      <c r="T17" s="17">
        <f t="shared" si="9"/>
        <v>8</v>
      </c>
      <c r="U17" s="17">
        <f t="shared" si="9"/>
        <v>7.1428571428571423</v>
      </c>
      <c r="V17" s="17">
        <f t="shared" si="9"/>
        <v>31.428571428571431</v>
      </c>
      <c r="W17" s="17">
        <f t="shared" si="9"/>
        <v>0.8571428571428571</v>
      </c>
      <c r="X17" s="17">
        <f t="shared" si="9"/>
        <v>0</v>
      </c>
      <c r="Y17" s="17">
        <f t="shared" si="9"/>
        <v>10.285714285714285</v>
      </c>
      <c r="Z17" s="17">
        <f t="shared" si="9"/>
        <v>2</v>
      </c>
      <c r="AA17" s="17">
        <f t="shared" si="9"/>
        <v>1.714285714285714</v>
      </c>
      <c r="AB17" s="17">
        <f t="shared" si="9"/>
        <v>1.1428571428571428</v>
      </c>
      <c r="AC17" s="17">
        <f t="shared" si="9"/>
        <v>88.857142857142861</v>
      </c>
      <c r="AD17" s="17">
        <f t="shared" si="9"/>
        <v>0.14285714285714285</v>
      </c>
      <c r="AE17" s="31">
        <f t="shared" si="9"/>
        <v>103</v>
      </c>
      <c r="AF17" s="31">
        <f t="shared" si="9"/>
        <v>191.85714285714286</v>
      </c>
    </row>
    <row r="18" spans="2:32" ht="23.1" customHeight="1" x14ac:dyDescent="0.25">
      <c r="B18" s="23" t="s">
        <v>45</v>
      </c>
      <c r="C18" s="49">
        <f>AVERAGE('29.10 KALAGI-MUKONO'!C18,'30.10-KALAGI-MUKONO'!C18,'1.11 KALAGI-MUKONO'!C18,'3.11 KALAGI-MUKONO'!C18,'31.10 KALAGI-MUKONO-24h'!C18,'2.11 KALAGI-MUKONO-24h'!C18,'4.11 KALAGI-MUKONO'!C18)</f>
        <v>7</v>
      </c>
      <c r="D18" s="49">
        <f>AVERAGE('29.10 KALAGI-MUKONO'!D18,'30.10-KALAGI-MUKONO'!D18,'1.11 KALAGI-MUKONO'!D18,'3.11 KALAGI-MUKONO'!D18,'31.10 KALAGI-MUKONO-24h'!D18,'2.11 KALAGI-MUKONO-24h'!D18,'4.11 KALAGI-MUKONO'!D18)</f>
        <v>0.8571428571428571</v>
      </c>
      <c r="E18" s="49">
        <f>AVERAGE('29.10 KALAGI-MUKONO'!E18,'30.10-KALAGI-MUKONO'!E18,'1.11 KALAGI-MUKONO'!E18,'3.11 KALAGI-MUKONO'!E18,'31.10 KALAGI-MUKONO-24h'!E18,'2.11 KALAGI-MUKONO-24h'!E18,'4.11 KALAGI-MUKONO'!E18)</f>
        <v>0.8571428571428571</v>
      </c>
      <c r="F18" s="49">
        <f>AVERAGE('29.10 KALAGI-MUKONO'!F18,'30.10-KALAGI-MUKONO'!F18,'1.11 KALAGI-MUKONO'!F18,'3.11 KALAGI-MUKONO'!F18,'31.10 KALAGI-MUKONO-24h'!F18,'2.11 KALAGI-MUKONO-24h'!F18,'4.11 KALAGI-MUKONO'!F18)</f>
        <v>8.7142857142857135</v>
      </c>
      <c r="G18" s="49">
        <f>AVERAGE('29.10 KALAGI-MUKONO'!G18,'30.10-KALAGI-MUKONO'!G18,'1.11 KALAGI-MUKONO'!G18,'3.11 KALAGI-MUKONO'!G18,'31.10 KALAGI-MUKONO-24h'!G18,'2.11 KALAGI-MUKONO-24h'!G18,'4.11 KALAGI-MUKONO'!G18)</f>
        <v>0.2857142857142857</v>
      </c>
      <c r="H18" s="49">
        <f>AVERAGE('29.10 KALAGI-MUKONO'!H18,'30.10-KALAGI-MUKONO'!H18,'1.11 KALAGI-MUKONO'!H18,'3.11 KALAGI-MUKONO'!H18,'31.10 KALAGI-MUKONO-24h'!H18,'2.11 KALAGI-MUKONO-24h'!H18,'4.11 KALAGI-MUKONO'!H18)</f>
        <v>0</v>
      </c>
      <c r="I18" s="49">
        <f>AVERAGE('29.10 KALAGI-MUKONO'!I18,'30.10-KALAGI-MUKONO'!I18,'1.11 KALAGI-MUKONO'!I18,'3.11 KALAGI-MUKONO'!I18,'31.10 KALAGI-MUKONO-24h'!I18,'2.11 KALAGI-MUKONO-24h'!I18,'4.11 KALAGI-MUKONO'!I18)</f>
        <v>2.2857142857142856</v>
      </c>
      <c r="J18" s="49">
        <f>AVERAGE('29.10 KALAGI-MUKONO'!J18,'30.10-KALAGI-MUKONO'!J18,'1.11 KALAGI-MUKONO'!J18,'3.11 KALAGI-MUKONO'!J18,'31.10 KALAGI-MUKONO-24h'!J18,'2.11 KALAGI-MUKONO-24h'!J18,'4.11 KALAGI-MUKONO'!J18)</f>
        <v>0.42857142857142855</v>
      </c>
      <c r="K18" s="49">
        <f>AVERAGE('29.10 KALAGI-MUKONO'!K18,'30.10-KALAGI-MUKONO'!K18,'1.11 KALAGI-MUKONO'!K18,'3.11 KALAGI-MUKONO'!K18,'31.10 KALAGI-MUKONO-24h'!K18,'2.11 KALAGI-MUKONO-24h'!K18,'4.11 KALAGI-MUKONO'!K18)</f>
        <v>0.2857142857142857</v>
      </c>
      <c r="L18" s="49">
        <f>AVERAGE('29.10 KALAGI-MUKONO'!L18,'30.10-KALAGI-MUKONO'!L18,'1.11 KALAGI-MUKONO'!L18,'3.11 KALAGI-MUKONO'!L18,'31.10 KALAGI-MUKONO-24h'!L18,'2.11 KALAGI-MUKONO-24h'!L18,'4.11 KALAGI-MUKONO'!L18)</f>
        <v>0.2857142857142857</v>
      </c>
      <c r="M18" s="49">
        <f>AVERAGE('29.10 KALAGI-MUKONO'!M18,'30.10-KALAGI-MUKONO'!M18,'1.11 KALAGI-MUKONO'!M18,'3.11 KALAGI-MUKONO'!M18,'31.10 KALAGI-MUKONO-24h'!M18,'2.11 KALAGI-MUKONO-24h'!M18,'4.11 KALAGI-MUKONO'!M18)</f>
        <v>30.714285714285715</v>
      </c>
      <c r="N18" s="49">
        <f>AVERAGE('29.10 KALAGI-MUKONO'!N18,'30.10-KALAGI-MUKONO'!N18,'1.11 KALAGI-MUKONO'!N18,'3.11 KALAGI-MUKONO'!N18,'31.10 KALAGI-MUKONO-24h'!N18,'2.11 KALAGI-MUKONO-24h'!N18,'4.11 KALAGI-MUKONO'!N18)</f>
        <v>0</v>
      </c>
      <c r="O18" s="15">
        <f t="shared" si="0"/>
        <v>20.999999999999993</v>
      </c>
      <c r="P18" s="15">
        <f t="shared" si="1"/>
        <v>51.714285714285708</v>
      </c>
      <c r="R18" s="1" t="s">
        <v>14</v>
      </c>
      <c r="S18" s="17">
        <f t="shared" ref="S18:AF18" si="10">SUM(C42:C45)</f>
        <v>41.571428571428569</v>
      </c>
      <c r="T18" s="17">
        <f t="shared" si="10"/>
        <v>12.571428571428573</v>
      </c>
      <c r="U18" s="17">
        <f t="shared" si="10"/>
        <v>7.4285714285714279</v>
      </c>
      <c r="V18" s="17">
        <f t="shared" si="10"/>
        <v>35.571428571428569</v>
      </c>
      <c r="W18" s="17">
        <f t="shared" si="10"/>
        <v>1.5714285714285712</v>
      </c>
      <c r="X18" s="17">
        <f t="shared" si="10"/>
        <v>0</v>
      </c>
      <c r="Y18" s="17">
        <f t="shared" si="10"/>
        <v>9.5714285714285712</v>
      </c>
      <c r="Z18" s="17">
        <f t="shared" si="10"/>
        <v>1.4285714285714284</v>
      </c>
      <c r="AA18" s="17">
        <f t="shared" si="10"/>
        <v>0.85714285714285698</v>
      </c>
      <c r="AB18" s="17">
        <f t="shared" si="10"/>
        <v>0.5714285714285714</v>
      </c>
      <c r="AC18" s="17">
        <f t="shared" si="10"/>
        <v>91.571428571428569</v>
      </c>
      <c r="AD18" s="17">
        <f t="shared" si="10"/>
        <v>0</v>
      </c>
      <c r="AE18" s="31">
        <f t="shared" si="10"/>
        <v>111.14285714285714</v>
      </c>
      <c r="AF18" s="31">
        <f t="shared" si="10"/>
        <v>202.71428571428569</v>
      </c>
    </row>
    <row r="19" spans="2:32" ht="23.1" customHeight="1" x14ac:dyDescent="0.25">
      <c r="B19" s="23" t="s">
        <v>46</v>
      </c>
      <c r="C19" s="49">
        <f>AVERAGE('29.10 KALAGI-MUKONO'!C19,'30.10-KALAGI-MUKONO'!C19,'1.11 KALAGI-MUKONO'!C19,'3.11 KALAGI-MUKONO'!C19,'31.10 KALAGI-MUKONO-24h'!C19,'2.11 KALAGI-MUKONO-24h'!C19,'4.11 KALAGI-MUKONO'!C19)</f>
        <v>7.7142857142857144</v>
      </c>
      <c r="D19" s="49">
        <f>AVERAGE('29.10 KALAGI-MUKONO'!D19,'30.10-KALAGI-MUKONO'!D19,'1.11 KALAGI-MUKONO'!D19,'3.11 KALAGI-MUKONO'!D19,'31.10 KALAGI-MUKONO-24h'!D19,'2.11 KALAGI-MUKONO-24h'!D19,'4.11 KALAGI-MUKONO'!D19)</f>
        <v>1.5714285714285714</v>
      </c>
      <c r="E19" s="49">
        <f>AVERAGE('29.10 KALAGI-MUKONO'!E19,'30.10-KALAGI-MUKONO'!E19,'1.11 KALAGI-MUKONO'!E19,'3.11 KALAGI-MUKONO'!E19,'31.10 KALAGI-MUKONO-24h'!E19,'2.11 KALAGI-MUKONO-24h'!E19,'4.11 KALAGI-MUKONO'!E19)</f>
        <v>1.5714285714285714</v>
      </c>
      <c r="F19" s="49">
        <f>AVERAGE('29.10 KALAGI-MUKONO'!F19,'30.10-KALAGI-MUKONO'!F19,'1.11 KALAGI-MUKONO'!F19,'3.11 KALAGI-MUKONO'!F19,'31.10 KALAGI-MUKONO-24h'!F19,'2.11 KALAGI-MUKONO-24h'!F19,'4.11 KALAGI-MUKONO'!F19)</f>
        <v>9.1428571428571423</v>
      </c>
      <c r="G19" s="49">
        <f>AVERAGE('29.10 KALAGI-MUKONO'!G19,'30.10-KALAGI-MUKONO'!G19,'1.11 KALAGI-MUKONO'!G19,'3.11 KALAGI-MUKONO'!G19,'31.10 KALAGI-MUKONO-24h'!G19,'2.11 KALAGI-MUKONO-24h'!G19,'4.11 KALAGI-MUKONO'!G19)</f>
        <v>0.14285714285714285</v>
      </c>
      <c r="H19" s="49">
        <f>AVERAGE('29.10 KALAGI-MUKONO'!H19,'30.10-KALAGI-MUKONO'!H19,'1.11 KALAGI-MUKONO'!H19,'3.11 KALAGI-MUKONO'!H19,'31.10 KALAGI-MUKONO-24h'!H19,'2.11 KALAGI-MUKONO-24h'!H19,'4.11 KALAGI-MUKONO'!H19)</f>
        <v>0</v>
      </c>
      <c r="I19" s="49">
        <f>AVERAGE('29.10 KALAGI-MUKONO'!I19,'30.10-KALAGI-MUKONO'!I19,'1.11 KALAGI-MUKONO'!I19,'3.11 KALAGI-MUKONO'!I19,'31.10 KALAGI-MUKONO-24h'!I19,'2.11 KALAGI-MUKONO-24h'!I19,'4.11 KALAGI-MUKONO'!I19)</f>
        <v>2.7142857142857144</v>
      </c>
      <c r="J19" s="49">
        <f>AVERAGE('29.10 KALAGI-MUKONO'!J19,'30.10-KALAGI-MUKONO'!J19,'1.11 KALAGI-MUKONO'!J19,'3.11 KALAGI-MUKONO'!J19,'31.10 KALAGI-MUKONO-24h'!J19,'2.11 KALAGI-MUKONO-24h'!J19,'4.11 KALAGI-MUKONO'!J19)</f>
        <v>0.14285714285714285</v>
      </c>
      <c r="K19" s="49">
        <f>AVERAGE('29.10 KALAGI-MUKONO'!K19,'30.10-KALAGI-MUKONO'!K19,'1.11 KALAGI-MUKONO'!K19,'3.11 KALAGI-MUKONO'!K19,'31.10 KALAGI-MUKONO-24h'!K19,'2.11 KALAGI-MUKONO-24h'!K19,'4.11 KALAGI-MUKONO'!K19)</f>
        <v>0</v>
      </c>
      <c r="L19" s="49">
        <f>AVERAGE('29.10 KALAGI-MUKONO'!L19,'30.10-KALAGI-MUKONO'!L19,'1.11 KALAGI-MUKONO'!L19,'3.11 KALAGI-MUKONO'!L19,'31.10 KALAGI-MUKONO-24h'!L19,'2.11 KALAGI-MUKONO-24h'!L19,'4.11 KALAGI-MUKONO'!L19)</f>
        <v>0</v>
      </c>
      <c r="M19" s="49">
        <f>AVERAGE('29.10 KALAGI-MUKONO'!M19,'30.10-KALAGI-MUKONO'!M19,'1.11 KALAGI-MUKONO'!M19,'3.11 KALAGI-MUKONO'!M19,'31.10 KALAGI-MUKONO-24h'!M19,'2.11 KALAGI-MUKONO-24h'!M19,'4.11 KALAGI-MUKONO'!M19)</f>
        <v>27.428571428571427</v>
      </c>
      <c r="N19" s="49">
        <f>AVERAGE('29.10 KALAGI-MUKONO'!N19,'30.10-KALAGI-MUKONO'!N19,'1.11 KALAGI-MUKONO'!N19,'3.11 KALAGI-MUKONO'!N19,'31.10 KALAGI-MUKONO-24h'!N19,'2.11 KALAGI-MUKONO-24h'!N19,'4.11 KALAGI-MUKONO'!N19)</f>
        <v>0.14285714285714285</v>
      </c>
      <c r="O19" s="15">
        <f t="shared" si="0"/>
        <v>23.142857142857142</v>
      </c>
      <c r="P19" s="15">
        <f t="shared" si="1"/>
        <v>50.571428571428577</v>
      </c>
      <c r="R19" s="1" t="s">
        <v>15</v>
      </c>
      <c r="S19" s="17">
        <f t="shared" ref="S19:AF19" si="11">SUM(C46:C49)</f>
        <v>41.285714285714285</v>
      </c>
      <c r="T19" s="17">
        <f t="shared" si="11"/>
        <v>9</v>
      </c>
      <c r="U19" s="17">
        <f t="shared" si="11"/>
        <v>8.1428571428571423</v>
      </c>
      <c r="V19" s="17">
        <f t="shared" si="11"/>
        <v>38.714285714285708</v>
      </c>
      <c r="W19" s="17">
        <f t="shared" si="11"/>
        <v>2</v>
      </c>
      <c r="X19" s="17">
        <f t="shared" si="11"/>
        <v>0.5714285714285714</v>
      </c>
      <c r="Y19" s="17">
        <f t="shared" si="11"/>
        <v>11.142857142857142</v>
      </c>
      <c r="Z19" s="17">
        <f t="shared" si="11"/>
        <v>3.5714285714285712</v>
      </c>
      <c r="AA19" s="17">
        <f t="shared" si="11"/>
        <v>1.5714285714285712</v>
      </c>
      <c r="AB19" s="17">
        <f t="shared" si="11"/>
        <v>0.5714285714285714</v>
      </c>
      <c r="AC19" s="17">
        <f t="shared" si="11"/>
        <v>103</v>
      </c>
      <c r="AD19" s="17">
        <f t="shared" si="11"/>
        <v>0</v>
      </c>
      <c r="AE19" s="31">
        <f t="shared" si="11"/>
        <v>116.57142857142856</v>
      </c>
      <c r="AF19" s="31">
        <f t="shared" si="11"/>
        <v>219.57142857142856</v>
      </c>
    </row>
    <row r="20" spans="2:32" ht="23.1" customHeight="1" x14ac:dyDescent="0.25">
      <c r="B20" s="23" t="s">
        <v>47</v>
      </c>
      <c r="C20" s="49">
        <f>AVERAGE('29.10 KALAGI-MUKONO'!C20,'30.10-KALAGI-MUKONO'!C20,'1.11 KALAGI-MUKONO'!C20,'3.11 KALAGI-MUKONO'!C20,'31.10 KALAGI-MUKONO-24h'!C20,'2.11 KALAGI-MUKONO-24h'!C20,'4.11 KALAGI-MUKONO'!C20)</f>
        <v>5.1428571428571432</v>
      </c>
      <c r="D20" s="49">
        <f>AVERAGE('29.10 KALAGI-MUKONO'!D20,'30.10-KALAGI-MUKONO'!D20,'1.11 KALAGI-MUKONO'!D20,'3.11 KALAGI-MUKONO'!D20,'31.10 KALAGI-MUKONO-24h'!D20,'2.11 KALAGI-MUKONO-24h'!D20,'4.11 KALAGI-MUKONO'!D20)</f>
        <v>1.5714285714285714</v>
      </c>
      <c r="E20" s="49">
        <f>AVERAGE('29.10 KALAGI-MUKONO'!E20,'30.10-KALAGI-MUKONO'!E20,'1.11 KALAGI-MUKONO'!E20,'3.11 KALAGI-MUKONO'!E20,'31.10 KALAGI-MUKONO-24h'!E20,'2.11 KALAGI-MUKONO-24h'!E20,'4.11 KALAGI-MUKONO'!E20)</f>
        <v>1.4285714285714286</v>
      </c>
      <c r="F20" s="49">
        <f>AVERAGE('29.10 KALAGI-MUKONO'!F20,'30.10-KALAGI-MUKONO'!F20,'1.11 KALAGI-MUKONO'!F20,'3.11 KALAGI-MUKONO'!F20,'31.10 KALAGI-MUKONO-24h'!F20,'2.11 KALAGI-MUKONO-24h'!F20,'4.11 KALAGI-MUKONO'!F20)</f>
        <v>7.2857142857142856</v>
      </c>
      <c r="G20" s="49">
        <f>AVERAGE('29.10 KALAGI-MUKONO'!G20,'30.10-KALAGI-MUKONO'!G20,'1.11 KALAGI-MUKONO'!G20,'3.11 KALAGI-MUKONO'!G20,'31.10 KALAGI-MUKONO-24h'!G20,'2.11 KALAGI-MUKONO-24h'!G20,'4.11 KALAGI-MUKONO'!G20)</f>
        <v>0.42857142857142855</v>
      </c>
      <c r="H20" s="49">
        <f>AVERAGE('29.10 KALAGI-MUKONO'!H20,'30.10-KALAGI-MUKONO'!H20,'1.11 KALAGI-MUKONO'!H20,'3.11 KALAGI-MUKONO'!H20,'31.10 KALAGI-MUKONO-24h'!H20,'2.11 KALAGI-MUKONO-24h'!H20,'4.11 KALAGI-MUKONO'!H20)</f>
        <v>0</v>
      </c>
      <c r="I20" s="49">
        <f>AVERAGE('29.10 KALAGI-MUKONO'!I20,'30.10-KALAGI-MUKONO'!I20,'1.11 KALAGI-MUKONO'!I20,'3.11 KALAGI-MUKONO'!I20,'31.10 KALAGI-MUKONO-24h'!I20,'2.11 KALAGI-MUKONO-24h'!I20,'4.11 KALAGI-MUKONO'!I20)</f>
        <v>1.8571428571428572</v>
      </c>
      <c r="J20" s="49">
        <f>AVERAGE('29.10 KALAGI-MUKONO'!J20,'30.10-KALAGI-MUKONO'!J20,'1.11 KALAGI-MUKONO'!J20,'3.11 KALAGI-MUKONO'!J20,'31.10 KALAGI-MUKONO-24h'!J20,'2.11 KALAGI-MUKONO-24h'!J20,'4.11 KALAGI-MUKONO'!J20)</f>
        <v>0.14285714285714285</v>
      </c>
      <c r="K20" s="49">
        <f>AVERAGE('29.10 KALAGI-MUKONO'!K20,'30.10-KALAGI-MUKONO'!K20,'1.11 KALAGI-MUKONO'!K20,'3.11 KALAGI-MUKONO'!K20,'31.10 KALAGI-MUKONO-24h'!K20,'2.11 KALAGI-MUKONO-24h'!K20,'4.11 KALAGI-MUKONO'!K20)</f>
        <v>0</v>
      </c>
      <c r="L20" s="49">
        <f>AVERAGE('29.10 KALAGI-MUKONO'!L20,'30.10-KALAGI-MUKONO'!L20,'1.11 KALAGI-MUKONO'!L20,'3.11 KALAGI-MUKONO'!L20,'31.10 KALAGI-MUKONO-24h'!L20,'2.11 KALAGI-MUKONO-24h'!L20,'4.11 KALAGI-MUKONO'!L20)</f>
        <v>0</v>
      </c>
      <c r="M20" s="49">
        <f>AVERAGE('29.10 KALAGI-MUKONO'!M20,'30.10-KALAGI-MUKONO'!M20,'1.11 KALAGI-MUKONO'!M20,'3.11 KALAGI-MUKONO'!M20,'31.10 KALAGI-MUKONO-24h'!M20,'2.11 KALAGI-MUKONO-24h'!M20,'4.11 KALAGI-MUKONO'!M20)</f>
        <v>23.857142857142858</v>
      </c>
      <c r="N20" s="49">
        <f>AVERAGE('29.10 KALAGI-MUKONO'!N20,'30.10-KALAGI-MUKONO'!N20,'1.11 KALAGI-MUKONO'!N20,'3.11 KALAGI-MUKONO'!N20,'31.10 KALAGI-MUKONO-24h'!N20,'2.11 KALAGI-MUKONO-24h'!N20,'4.11 KALAGI-MUKONO'!N20)</f>
        <v>0</v>
      </c>
      <c r="O20" s="15">
        <f t="shared" si="0"/>
        <v>17.857142857142854</v>
      </c>
      <c r="P20" s="15">
        <f t="shared" si="1"/>
        <v>41.714285714285708</v>
      </c>
      <c r="R20" s="1" t="s">
        <v>16</v>
      </c>
      <c r="S20" s="17">
        <f t="shared" ref="S20:AF20" si="12">SUM(C50:C53)</f>
        <v>49</v>
      </c>
      <c r="T20" s="17">
        <f t="shared" si="12"/>
        <v>13.714285714285715</v>
      </c>
      <c r="U20" s="17">
        <f t="shared" si="12"/>
        <v>9</v>
      </c>
      <c r="V20" s="17">
        <f t="shared" si="12"/>
        <v>39.142857142857146</v>
      </c>
      <c r="W20" s="17">
        <f t="shared" si="12"/>
        <v>1.4285714285714286</v>
      </c>
      <c r="X20" s="17">
        <f t="shared" si="12"/>
        <v>0</v>
      </c>
      <c r="Y20" s="17">
        <f t="shared" si="12"/>
        <v>10.285714285714285</v>
      </c>
      <c r="Z20" s="17">
        <f t="shared" si="12"/>
        <v>2.2857142857142856</v>
      </c>
      <c r="AA20" s="17">
        <f t="shared" si="12"/>
        <v>1</v>
      </c>
      <c r="AB20" s="17">
        <f t="shared" si="12"/>
        <v>0.2857142857142857</v>
      </c>
      <c r="AC20" s="17">
        <f t="shared" si="12"/>
        <v>104.85714285714286</v>
      </c>
      <c r="AD20" s="17">
        <f t="shared" si="12"/>
        <v>0</v>
      </c>
      <c r="AE20" s="31">
        <f t="shared" si="12"/>
        <v>126.14285714285714</v>
      </c>
      <c r="AF20" s="31">
        <f t="shared" si="12"/>
        <v>231</v>
      </c>
    </row>
    <row r="21" spans="2:32" ht="23.1" customHeight="1" x14ac:dyDescent="0.25">
      <c r="B21" s="23" t="s">
        <v>48</v>
      </c>
      <c r="C21" s="49">
        <f>AVERAGE('29.10 KALAGI-MUKONO'!C21,'30.10-KALAGI-MUKONO'!C21,'1.11 KALAGI-MUKONO'!C21,'3.11 KALAGI-MUKONO'!C21,'31.10 KALAGI-MUKONO-24h'!C21,'2.11 KALAGI-MUKONO-24h'!C21,'4.11 KALAGI-MUKONO'!C21)</f>
        <v>5.2857142857142856</v>
      </c>
      <c r="D21" s="49">
        <f>AVERAGE('29.10 KALAGI-MUKONO'!D21,'30.10-KALAGI-MUKONO'!D21,'1.11 KALAGI-MUKONO'!D21,'3.11 KALAGI-MUKONO'!D21,'31.10 KALAGI-MUKONO-24h'!D21,'2.11 KALAGI-MUKONO-24h'!D21,'4.11 KALAGI-MUKONO'!D21)</f>
        <v>1.4285714285714286</v>
      </c>
      <c r="E21" s="49">
        <f>AVERAGE('29.10 KALAGI-MUKONO'!E21,'30.10-KALAGI-MUKONO'!E21,'1.11 KALAGI-MUKONO'!E21,'3.11 KALAGI-MUKONO'!E21,'31.10 KALAGI-MUKONO-24h'!E21,'2.11 KALAGI-MUKONO-24h'!E21,'4.11 KALAGI-MUKONO'!E21)</f>
        <v>1.7142857142857142</v>
      </c>
      <c r="F21" s="49">
        <f>AVERAGE('29.10 KALAGI-MUKONO'!F21,'30.10-KALAGI-MUKONO'!F21,'1.11 KALAGI-MUKONO'!F21,'3.11 KALAGI-MUKONO'!F21,'31.10 KALAGI-MUKONO-24h'!F21,'2.11 KALAGI-MUKONO-24h'!F21,'4.11 KALAGI-MUKONO'!F21)</f>
        <v>8.2857142857142865</v>
      </c>
      <c r="G21" s="49">
        <f>AVERAGE('29.10 KALAGI-MUKONO'!G21,'30.10-KALAGI-MUKONO'!G21,'1.11 KALAGI-MUKONO'!G21,'3.11 KALAGI-MUKONO'!G21,'31.10 KALAGI-MUKONO-24h'!G21,'2.11 KALAGI-MUKONO-24h'!G21,'4.11 KALAGI-MUKONO'!G21)</f>
        <v>0</v>
      </c>
      <c r="H21" s="49">
        <f>AVERAGE('29.10 KALAGI-MUKONO'!H21,'30.10-KALAGI-MUKONO'!H21,'1.11 KALAGI-MUKONO'!H21,'3.11 KALAGI-MUKONO'!H21,'31.10 KALAGI-MUKONO-24h'!H21,'2.11 KALAGI-MUKONO-24h'!H21,'4.11 KALAGI-MUKONO'!H21)</f>
        <v>0</v>
      </c>
      <c r="I21" s="49">
        <f>AVERAGE('29.10 KALAGI-MUKONO'!I21,'30.10-KALAGI-MUKONO'!I21,'1.11 KALAGI-MUKONO'!I21,'3.11 KALAGI-MUKONO'!I21,'31.10 KALAGI-MUKONO-24h'!I21,'2.11 KALAGI-MUKONO-24h'!I21,'4.11 KALAGI-MUKONO'!I21)</f>
        <v>2</v>
      </c>
      <c r="J21" s="49">
        <f>AVERAGE('29.10 KALAGI-MUKONO'!J21,'30.10-KALAGI-MUKONO'!J21,'1.11 KALAGI-MUKONO'!J21,'3.11 KALAGI-MUKONO'!J21,'31.10 KALAGI-MUKONO-24h'!J21,'2.11 KALAGI-MUKONO-24h'!J21,'4.11 KALAGI-MUKONO'!J21)</f>
        <v>0.14285714285714285</v>
      </c>
      <c r="K21" s="49">
        <f>AVERAGE('29.10 KALAGI-MUKONO'!K21,'30.10-KALAGI-MUKONO'!K21,'1.11 KALAGI-MUKONO'!K21,'3.11 KALAGI-MUKONO'!K21,'31.10 KALAGI-MUKONO-24h'!K21,'2.11 KALAGI-MUKONO-24h'!K21,'4.11 KALAGI-MUKONO'!K21)</f>
        <v>0.42857142857142855</v>
      </c>
      <c r="L21" s="49">
        <f>AVERAGE('29.10 KALAGI-MUKONO'!L21,'30.10-KALAGI-MUKONO'!L21,'1.11 KALAGI-MUKONO'!L21,'3.11 KALAGI-MUKONO'!L21,'31.10 KALAGI-MUKONO-24h'!L21,'2.11 KALAGI-MUKONO-24h'!L21,'4.11 KALAGI-MUKONO'!L21)</f>
        <v>0</v>
      </c>
      <c r="M21" s="49">
        <f>AVERAGE('29.10 KALAGI-MUKONO'!M21,'30.10-KALAGI-MUKONO'!M21,'1.11 KALAGI-MUKONO'!M21,'3.11 KALAGI-MUKONO'!M21,'31.10 KALAGI-MUKONO-24h'!M21,'2.11 KALAGI-MUKONO-24h'!M21,'4.11 KALAGI-MUKONO'!M21)</f>
        <v>20.428571428571427</v>
      </c>
      <c r="N21" s="49">
        <f>AVERAGE('29.10 KALAGI-MUKONO'!N21,'30.10-KALAGI-MUKONO'!N21,'1.11 KALAGI-MUKONO'!N21,'3.11 KALAGI-MUKONO'!N21,'31.10 KALAGI-MUKONO-24h'!N21,'2.11 KALAGI-MUKONO-24h'!N21,'4.11 KALAGI-MUKONO'!N21)</f>
        <v>0</v>
      </c>
      <c r="O21" s="15">
        <f t="shared" si="0"/>
        <v>19.285714285714285</v>
      </c>
      <c r="P21" s="15">
        <f t="shared" si="1"/>
        <v>39.714285714285708</v>
      </c>
      <c r="R21" s="1" t="s">
        <v>20</v>
      </c>
      <c r="S21" s="34">
        <f t="shared" ref="S21:AF21" si="13">SUM(C54:C57)</f>
        <v>37.142857142857139</v>
      </c>
      <c r="T21" s="17">
        <f t="shared" si="13"/>
        <v>9.2857142857142847</v>
      </c>
      <c r="U21" s="17">
        <f t="shared" si="13"/>
        <v>11.285714285714286</v>
      </c>
      <c r="V21" s="17">
        <f t="shared" si="13"/>
        <v>42.571428571428569</v>
      </c>
      <c r="W21" s="17">
        <f t="shared" si="13"/>
        <v>1.7142857142857142</v>
      </c>
      <c r="X21" s="17">
        <f t="shared" si="13"/>
        <v>0.14285714285714285</v>
      </c>
      <c r="Y21" s="17">
        <f t="shared" si="13"/>
        <v>11.285714285714285</v>
      </c>
      <c r="Z21" s="17">
        <f t="shared" si="13"/>
        <v>2.5714285714285712</v>
      </c>
      <c r="AA21" s="17">
        <f t="shared" si="13"/>
        <v>1.7142857142857142</v>
      </c>
      <c r="AB21" s="17">
        <f t="shared" si="13"/>
        <v>1.1428571428571428</v>
      </c>
      <c r="AC21" s="17">
        <f t="shared" si="13"/>
        <v>98.714285714285722</v>
      </c>
      <c r="AD21" s="17">
        <f t="shared" si="13"/>
        <v>0.14285714285714285</v>
      </c>
      <c r="AE21" s="31">
        <f t="shared" si="13"/>
        <v>118.99999999999999</v>
      </c>
      <c r="AF21" s="31">
        <f t="shared" si="13"/>
        <v>217.71428571428572</v>
      </c>
    </row>
    <row r="22" spans="2:32" ht="23.1" customHeight="1" x14ac:dyDescent="0.25">
      <c r="B22" s="23" t="s">
        <v>49</v>
      </c>
      <c r="C22" s="49">
        <f>AVERAGE('29.10 KALAGI-MUKONO'!C22,'30.10-KALAGI-MUKONO'!C22,'1.11 KALAGI-MUKONO'!C22,'3.11 KALAGI-MUKONO'!C22,'31.10 KALAGI-MUKONO-24h'!C22,'2.11 KALAGI-MUKONO-24h'!C22,'4.11 KALAGI-MUKONO'!C22)</f>
        <v>6.7142857142857144</v>
      </c>
      <c r="D22" s="49">
        <f>AVERAGE('29.10 KALAGI-MUKONO'!D22,'30.10-KALAGI-MUKONO'!D22,'1.11 KALAGI-MUKONO'!D22,'3.11 KALAGI-MUKONO'!D22,'31.10 KALAGI-MUKONO-24h'!D22,'2.11 KALAGI-MUKONO-24h'!D22,'4.11 KALAGI-MUKONO'!D22)</f>
        <v>1</v>
      </c>
      <c r="E22" s="49">
        <f>AVERAGE('29.10 KALAGI-MUKONO'!E22,'30.10-KALAGI-MUKONO'!E22,'1.11 KALAGI-MUKONO'!E22,'3.11 KALAGI-MUKONO'!E22,'31.10 KALAGI-MUKONO-24h'!E22,'2.11 KALAGI-MUKONO-24h'!E22,'4.11 KALAGI-MUKONO'!E22)</f>
        <v>1.8571428571428572</v>
      </c>
      <c r="F22" s="49">
        <f>AVERAGE('29.10 KALAGI-MUKONO'!F22,'30.10-KALAGI-MUKONO'!F22,'1.11 KALAGI-MUKONO'!F22,'3.11 KALAGI-MUKONO'!F22,'31.10 KALAGI-MUKONO-24h'!F22,'2.11 KALAGI-MUKONO-24h'!F22,'4.11 KALAGI-MUKONO'!F22)</f>
        <v>6.4285714285714288</v>
      </c>
      <c r="G22" s="49">
        <f>AVERAGE('29.10 KALAGI-MUKONO'!G22,'30.10-KALAGI-MUKONO'!G22,'1.11 KALAGI-MUKONO'!G22,'3.11 KALAGI-MUKONO'!G22,'31.10 KALAGI-MUKONO-24h'!G22,'2.11 KALAGI-MUKONO-24h'!G22,'4.11 KALAGI-MUKONO'!G22)</f>
        <v>0.42857142857142855</v>
      </c>
      <c r="H22" s="49">
        <f>AVERAGE('29.10 KALAGI-MUKONO'!H22,'30.10-KALAGI-MUKONO'!H22,'1.11 KALAGI-MUKONO'!H22,'3.11 KALAGI-MUKONO'!H22,'31.10 KALAGI-MUKONO-24h'!H22,'2.11 KALAGI-MUKONO-24h'!H22,'4.11 KALAGI-MUKONO'!H22)</f>
        <v>0.14285714285714285</v>
      </c>
      <c r="I22" s="49">
        <f>AVERAGE('29.10 KALAGI-MUKONO'!I22,'30.10-KALAGI-MUKONO'!I22,'1.11 KALAGI-MUKONO'!I22,'3.11 KALAGI-MUKONO'!I22,'31.10 KALAGI-MUKONO-24h'!I22,'2.11 KALAGI-MUKONO-24h'!I22,'4.11 KALAGI-MUKONO'!I22)</f>
        <v>2.1428571428571428</v>
      </c>
      <c r="J22" s="49">
        <f>AVERAGE('29.10 KALAGI-MUKONO'!J22,'30.10-KALAGI-MUKONO'!J22,'1.11 KALAGI-MUKONO'!J22,'3.11 KALAGI-MUKONO'!J22,'31.10 KALAGI-MUKONO-24h'!J22,'2.11 KALAGI-MUKONO-24h'!J22,'4.11 KALAGI-MUKONO'!J22)</f>
        <v>1</v>
      </c>
      <c r="K22" s="49">
        <f>AVERAGE('29.10 KALAGI-MUKONO'!K22,'30.10-KALAGI-MUKONO'!K22,'1.11 KALAGI-MUKONO'!K22,'3.11 KALAGI-MUKONO'!K22,'31.10 KALAGI-MUKONO-24h'!K22,'2.11 KALAGI-MUKONO-24h'!K22,'4.11 KALAGI-MUKONO'!K22)</f>
        <v>0.2857142857142857</v>
      </c>
      <c r="L22" s="49">
        <f>AVERAGE('29.10 KALAGI-MUKONO'!L22,'30.10-KALAGI-MUKONO'!L22,'1.11 KALAGI-MUKONO'!L22,'3.11 KALAGI-MUKONO'!L22,'31.10 KALAGI-MUKONO-24h'!L22,'2.11 KALAGI-MUKONO-24h'!L22,'4.11 KALAGI-MUKONO'!L22)</f>
        <v>0.14285714285714285</v>
      </c>
      <c r="M22" s="49">
        <f>AVERAGE('29.10 KALAGI-MUKONO'!M22,'30.10-KALAGI-MUKONO'!M22,'1.11 KALAGI-MUKONO'!M22,'3.11 KALAGI-MUKONO'!M22,'31.10 KALAGI-MUKONO-24h'!M22,'2.11 KALAGI-MUKONO-24h'!M22,'4.11 KALAGI-MUKONO'!M22)</f>
        <v>25.142857142857142</v>
      </c>
      <c r="N22" s="49">
        <f>AVERAGE('29.10 KALAGI-MUKONO'!N22,'30.10-KALAGI-MUKONO'!N22,'1.11 KALAGI-MUKONO'!N22,'3.11 KALAGI-MUKONO'!N22,'31.10 KALAGI-MUKONO-24h'!N22,'2.11 KALAGI-MUKONO-24h'!N22,'4.11 KALAGI-MUKONO'!N22)</f>
        <v>0</v>
      </c>
      <c r="O22" s="15">
        <f t="shared" si="0"/>
        <v>20.142857142857139</v>
      </c>
      <c r="P22" s="15">
        <f t="shared" si="1"/>
        <v>45.285714285714278</v>
      </c>
      <c r="R22" s="1" t="s">
        <v>146</v>
      </c>
      <c r="S22" s="34">
        <f>SUM(C58:C61)</f>
        <v>28</v>
      </c>
      <c r="T22" s="34">
        <f t="shared" ref="T22:AF22" si="14">SUM(D58:D61)</f>
        <v>10.5</v>
      </c>
      <c r="U22" s="34">
        <f t="shared" si="14"/>
        <v>4.5</v>
      </c>
      <c r="V22" s="34">
        <f t="shared" si="14"/>
        <v>39.5</v>
      </c>
      <c r="W22" s="34">
        <f t="shared" si="14"/>
        <v>1.5</v>
      </c>
      <c r="X22" s="34">
        <f t="shared" si="14"/>
        <v>0</v>
      </c>
      <c r="Y22" s="34">
        <f t="shared" si="14"/>
        <v>11.5</v>
      </c>
      <c r="Z22" s="34">
        <f t="shared" si="14"/>
        <v>1</v>
      </c>
      <c r="AA22" s="34">
        <f t="shared" si="14"/>
        <v>1</v>
      </c>
      <c r="AB22" s="34">
        <f t="shared" si="14"/>
        <v>0.5</v>
      </c>
      <c r="AC22" s="34">
        <f t="shared" si="14"/>
        <v>95.5</v>
      </c>
      <c r="AD22" s="34">
        <f t="shared" si="14"/>
        <v>0.5</v>
      </c>
      <c r="AE22" s="31">
        <f t="shared" si="14"/>
        <v>98.5</v>
      </c>
      <c r="AF22" s="31">
        <f t="shared" si="14"/>
        <v>194</v>
      </c>
    </row>
    <row r="23" spans="2:32" ht="23.1" customHeight="1" x14ac:dyDescent="0.25">
      <c r="B23" s="23" t="s">
        <v>50</v>
      </c>
      <c r="C23" s="49">
        <f>AVERAGE('29.10 KALAGI-MUKONO'!C23,'30.10-KALAGI-MUKONO'!C23,'1.11 KALAGI-MUKONO'!C23,'3.11 KALAGI-MUKONO'!C23,'31.10 KALAGI-MUKONO-24h'!C23,'2.11 KALAGI-MUKONO-24h'!C23,'4.11 KALAGI-MUKONO'!C23)</f>
        <v>7</v>
      </c>
      <c r="D23" s="49">
        <f>AVERAGE('29.10 KALAGI-MUKONO'!D23,'30.10-KALAGI-MUKONO'!D23,'1.11 KALAGI-MUKONO'!D23,'3.11 KALAGI-MUKONO'!D23,'31.10 KALAGI-MUKONO-24h'!D23,'2.11 KALAGI-MUKONO-24h'!D23,'4.11 KALAGI-MUKONO'!D23)</f>
        <v>2.4285714285714284</v>
      </c>
      <c r="E23" s="49">
        <f>AVERAGE('29.10 KALAGI-MUKONO'!E23,'30.10-KALAGI-MUKONO'!E23,'1.11 KALAGI-MUKONO'!E23,'3.11 KALAGI-MUKONO'!E23,'31.10 KALAGI-MUKONO-24h'!E23,'2.11 KALAGI-MUKONO-24h'!E23,'4.11 KALAGI-MUKONO'!E23)</f>
        <v>2</v>
      </c>
      <c r="F23" s="49">
        <f>AVERAGE('29.10 KALAGI-MUKONO'!F23,'30.10-KALAGI-MUKONO'!F23,'1.11 KALAGI-MUKONO'!F23,'3.11 KALAGI-MUKONO'!F23,'31.10 KALAGI-MUKONO-24h'!F23,'2.11 KALAGI-MUKONO-24h'!F23,'4.11 KALAGI-MUKONO'!F23)</f>
        <v>7.7142857142857144</v>
      </c>
      <c r="G23" s="49">
        <f>AVERAGE('29.10 KALAGI-MUKONO'!G23,'30.10-KALAGI-MUKONO'!G23,'1.11 KALAGI-MUKONO'!G23,'3.11 KALAGI-MUKONO'!G23,'31.10 KALAGI-MUKONO-24h'!G23,'2.11 KALAGI-MUKONO-24h'!G23,'4.11 KALAGI-MUKONO'!G23)</f>
        <v>0.14285714285714285</v>
      </c>
      <c r="H23" s="49">
        <f>AVERAGE('29.10 KALAGI-MUKONO'!H23,'30.10-KALAGI-MUKONO'!H23,'1.11 KALAGI-MUKONO'!H23,'3.11 KALAGI-MUKONO'!H23,'31.10 KALAGI-MUKONO-24h'!H23,'2.11 KALAGI-MUKONO-24h'!H23,'4.11 KALAGI-MUKONO'!H23)</f>
        <v>0</v>
      </c>
      <c r="I23" s="49">
        <f>AVERAGE('29.10 KALAGI-MUKONO'!I23,'30.10-KALAGI-MUKONO'!I23,'1.11 KALAGI-MUKONO'!I23,'3.11 KALAGI-MUKONO'!I23,'31.10 KALAGI-MUKONO-24h'!I23,'2.11 KALAGI-MUKONO-24h'!I23,'4.11 KALAGI-MUKONO'!I23)</f>
        <v>2.1428571428571428</v>
      </c>
      <c r="J23" s="49">
        <f>AVERAGE('29.10 KALAGI-MUKONO'!J23,'30.10-KALAGI-MUKONO'!J23,'1.11 KALAGI-MUKONO'!J23,'3.11 KALAGI-MUKONO'!J23,'31.10 KALAGI-MUKONO-24h'!J23,'2.11 KALAGI-MUKONO-24h'!J23,'4.11 KALAGI-MUKONO'!J23)</f>
        <v>1</v>
      </c>
      <c r="K23" s="49">
        <f>AVERAGE('29.10 KALAGI-MUKONO'!K23,'30.10-KALAGI-MUKONO'!K23,'1.11 KALAGI-MUKONO'!K23,'3.11 KALAGI-MUKONO'!K23,'31.10 KALAGI-MUKONO-24h'!K23,'2.11 KALAGI-MUKONO-24h'!K23,'4.11 KALAGI-MUKONO'!K23)</f>
        <v>0.14285714285714285</v>
      </c>
      <c r="L23" s="49">
        <f>AVERAGE('29.10 KALAGI-MUKONO'!L23,'30.10-KALAGI-MUKONO'!L23,'1.11 KALAGI-MUKONO'!L23,'3.11 KALAGI-MUKONO'!L23,'31.10 KALAGI-MUKONO-24h'!L23,'2.11 KALAGI-MUKONO-24h'!L23,'4.11 KALAGI-MUKONO'!L23)</f>
        <v>0</v>
      </c>
      <c r="M23" s="49">
        <f>AVERAGE('29.10 KALAGI-MUKONO'!M23,'30.10-KALAGI-MUKONO'!M23,'1.11 KALAGI-MUKONO'!M23,'3.11 KALAGI-MUKONO'!M23,'31.10 KALAGI-MUKONO-24h'!M23,'2.11 KALAGI-MUKONO-24h'!M23,'4.11 KALAGI-MUKONO'!M23)</f>
        <v>25.857142857142858</v>
      </c>
      <c r="N23" s="49">
        <f>AVERAGE('29.10 KALAGI-MUKONO'!N23,'30.10-KALAGI-MUKONO'!N23,'1.11 KALAGI-MUKONO'!N23,'3.11 KALAGI-MUKONO'!N23,'31.10 KALAGI-MUKONO-24h'!N23,'2.11 KALAGI-MUKONO-24h'!N23,'4.11 KALAGI-MUKONO'!N23)</f>
        <v>0</v>
      </c>
      <c r="O23" s="15">
        <f t="shared" si="0"/>
        <v>22.571428571428569</v>
      </c>
      <c r="P23" s="15">
        <f t="shared" si="1"/>
        <v>48.428571428571431</v>
      </c>
      <c r="R23" s="1" t="s">
        <v>147</v>
      </c>
      <c r="S23" s="34">
        <f>SUM(C62:C65)</f>
        <v>31.5</v>
      </c>
      <c r="T23" s="34">
        <f t="shared" ref="T23:AF23" si="15">SUM(D62:D65)</f>
        <v>6</v>
      </c>
      <c r="U23" s="34">
        <f t="shared" si="15"/>
        <v>3.5</v>
      </c>
      <c r="V23" s="34">
        <f t="shared" si="15"/>
        <v>36</v>
      </c>
      <c r="W23" s="34">
        <f t="shared" si="15"/>
        <v>0</v>
      </c>
      <c r="X23" s="34">
        <f t="shared" si="15"/>
        <v>0</v>
      </c>
      <c r="Y23" s="34">
        <f t="shared" si="15"/>
        <v>11.5</v>
      </c>
      <c r="Z23" s="34">
        <f t="shared" si="15"/>
        <v>1</v>
      </c>
      <c r="AA23" s="34">
        <f t="shared" si="15"/>
        <v>0.5</v>
      </c>
      <c r="AB23" s="34">
        <f t="shared" si="15"/>
        <v>0</v>
      </c>
      <c r="AC23" s="34">
        <f t="shared" si="15"/>
        <v>69</v>
      </c>
      <c r="AD23" s="34">
        <f t="shared" si="15"/>
        <v>0</v>
      </c>
      <c r="AE23" s="31">
        <f t="shared" si="15"/>
        <v>90</v>
      </c>
      <c r="AF23" s="31">
        <f t="shared" si="15"/>
        <v>159</v>
      </c>
    </row>
    <row r="24" spans="2:32" ht="23.1" customHeight="1" x14ac:dyDescent="0.25">
      <c r="B24" s="23" t="s">
        <v>51</v>
      </c>
      <c r="C24" s="49">
        <f>AVERAGE('29.10 KALAGI-MUKONO'!C24,'30.10-KALAGI-MUKONO'!C24,'1.11 KALAGI-MUKONO'!C24,'3.11 KALAGI-MUKONO'!C24,'31.10 KALAGI-MUKONO-24h'!C24,'2.11 KALAGI-MUKONO-24h'!C24,'4.11 KALAGI-MUKONO'!C24)</f>
        <v>6.4285714285714288</v>
      </c>
      <c r="D24" s="49">
        <f>AVERAGE('29.10 KALAGI-MUKONO'!D24,'30.10-KALAGI-MUKONO'!D24,'1.11 KALAGI-MUKONO'!D24,'3.11 KALAGI-MUKONO'!D24,'31.10 KALAGI-MUKONO-24h'!D24,'2.11 KALAGI-MUKONO-24h'!D24,'4.11 KALAGI-MUKONO'!D24)</f>
        <v>1.8571428571428572</v>
      </c>
      <c r="E24" s="49">
        <f>AVERAGE('29.10 KALAGI-MUKONO'!E24,'30.10-KALAGI-MUKONO'!E24,'1.11 KALAGI-MUKONO'!E24,'3.11 KALAGI-MUKONO'!E24,'31.10 KALAGI-MUKONO-24h'!E24,'2.11 KALAGI-MUKONO-24h'!E24,'4.11 KALAGI-MUKONO'!E24)</f>
        <v>1.1428571428571428</v>
      </c>
      <c r="F24" s="49">
        <f>AVERAGE('29.10 KALAGI-MUKONO'!F24,'30.10-KALAGI-MUKONO'!F24,'1.11 KALAGI-MUKONO'!F24,'3.11 KALAGI-MUKONO'!F24,'31.10 KALAGI-MUKONO-24h'!F24,'2.11 KALAGI-MUKONO-24h'!F24,'4.11 KALAGI-MUKONO'!F24)</f>
        <v>7.1428571428571432</v>
      </c>
      <c r="G24" s="49">
        <f>AVERAGE('29.10 KALAGI-MUKONO'!G24,'30.10-KALAGI-MUKONO'!G24,'1.11 KALAGI-MUKONO'!G24,'3.11 KALAGI-MUKONO'!G24,'31.10 KALAGI-MUKONO-24h'!G24,'2.11 KALAGI-MUKONO-24h'!G24,'4.11 KALAGI-MUKONO'!G24)</f>
        <v>0.2857142857142857</v>
      </c>
      <c r="H24" s="49">
        <f>AVERAGE('29.10 KALAGI-MUKONO'!H24,'30.10-KALAGI-MUKONO'!H24,'1.11 KALAGI-MUKONO'!H24,'3.11 KALAGI-MUKONO'!H24,'31.10 KALAGI-MUKONO-24h'!H24,'2.11 KALAGI-MUKONO-24h'!H24,'4.11 KALAGI-MUKONO'!H24)</f>
        <v>0</v>
      </c>
      <c r="I24" s="49">
        <f>AVERAGE('29.10 KALAGI-MUKONO'!I24,'30.10-KALAGI-MUKONO'!I24,'1.11 KALAGI-MUKONO'!I24,'3.11 KALAGI-MUKONO'!I24,'31.10 KALAGI-MUKONO-24h'!I24,'2.11 KALAGI-MUKONO-24h'!I24,'4.11 KALAGI-MUKONO'!I24)</f>
        <v>1.4285714285714286</v>
      </c>
      <c r="J24" s="49">
        <f>AVERAGE('29.10 KALAGI-MUKONO'!J24,'30.10-KALAGI-MUKONO'!J24,'1.11 KALAGI-MUKONO'!J24,'3.11 KALAGI-MUKONO'!J24,'31.10 KALAGI-MUKONO-24h'!J24,'2.11 KALAGI-MUKONO-24h'!J24,'4.11 KALAGI-MUKONO'!J24)</f>
        <v>0.42857142857142855</v>
      </c>
      <c r="K24" s="49">
        <f>AVERAGE('29.10 KALAGI-MUKONO'!K24,'30.10-KALAGI-MUKONO'!K24,'1.11 KALAGI-MUKONO'!K24,'3.11 KALAGI-MUKONO'!K24,'31.10 KALAGI-MUKONO-24h'!K24,'2.11 KALAGI-MUKONO-24h'!K24,'4.11 KALAGI-MUKONO'!K24)</f>
        <v>0.5714285714285714</v>
      </c>
      <c r="L24" s="49">
        <f>AVERAGE('29.10 KALAGI-MUKONO'!L24,'30.10-KALAGI-MUKONO'!L24,'1.11 KALAGI-MUKONO'!L24,'3.11 KALAGI-MUKONO'!L24,'31.10 KALAGI-MUKONO-24h'!L24,'2.11 KALAGI-MUKONO-24h'!L24,'4.11 KALAGI-MUKONO'!L24)</f>
        <v>0.14285714285714285</v>
      </c>
      <c r="M24" s="49">
        <f>AVERAGE('29.10 KALAGI-MUKONO'!M24,'30.10-KALAGI-MUKONO'!M24,'1.11 KALAGI-MUKONO'!M24,'3.11 KALAGI-MUKONO'!M24,'31.10 KALAGI-MUKONO-24h'!M24,'2.11 KALAGI-MUKONO-24h'!M24,'4.11 KALAGI-MUKONO'!M24)</f>
        <v>23.428571428571427</v>
      </c>
      <c r="N24" s="49">
        <f>AVERAGE('29.10 KALAGI-MUKONO'!N24,'30.10-KALAGI-MUKONO'!N24,'1.11 KALAGI-MUKONO'!N24,'3.11 KALAGI-MUKONO'!N24,'31.10 KALAGI-MUKONO-24h'!N24,'2.11 KALAGI-MUKONO-24h'!N24,'4.11 KALAGI-MUKONO'!N24)</f>
        <v>0</v>
      </c>
      <c r="O24" s="15">
        <f t="shared" si="0"/>
        <v>19.428571428571427</v>
      </c>
      <c r="P24" s="15">
        <f t="shared" si="1"/>
        <v>42.857142857142854</v>
      </c>
      <c r="R24" s="1" t="s">
        <v>148</v>
      </c>
      <c r="S24" s="34">
        <f>SUM(C66:C69)</f>
        <v>23.5</v>
      </c>
      <c r="T24" s="34">
        <f t="shared" ref="T24:AF24" si="16">SUM(D66:D69)</f>
        <v>3</v>
      </c>
      <c r="U24" s="34">
        <f t="shared" si="16"/>
        <v>6</v>
      </c>
      <c r="V24" s="34">
        <f t="shared" si="16"/>
        <v>21.5</v>
      </c>
      <c r="W24" s="34">
        <f t="shared" si="16"/>
        <v>0</v>
      </c>
      <c r="X24" s="34">
        <f t="shared" si="16"/>
        <v>0</v>
      </c>
      <c r="Y24" s="34">
        <f t="shared" si="16"/>
        <v>8</v>
      </c>
      <c r="Z24" s="34">
        <f t="shared" si="16"/>
        <v>2.5</v>
      </c>
      <c r="AA24" s="34">
        <f t="shared" si="16"/>
        <v>0.5</v>
      </c>
      <c r="AB24" s="34">
        <f t="shared" si="16"/>
        <v>0</v>
      </c>
      <c r="AC24" s="34">
        <f t="shared" si="16"/>
        <v>56.5</v>
      </c>
      <c r="AD24" s="34">
        <f t="shared" si="16"/>
        <v>0</v>
      </c>
      <c r="AE24" s="31">
        <f t="shared" si="16"/>
        <v>65</v>
      </c>
      <c r="AF24" s="31">
        <f t="shared" si="16"/>
        <v>121.5</v>
      </c>
    </row>
    <row r="25" spans="2:32" ht="23.1" customHeight="1" x14ac:dyDescent="0.25">
      <c r="B25" s="23" t="s">
        <v>52</v>
      </c>
      <c r="C25" s="49">
        <f>AVERAGE('29.10 KALAGI-MUKONO'!C25,'30.10-KALAGI-MUKONO'!C25,'1.11 KALAGI-MUKONO'!C25,'3.11 KALAGI-MUKONO'!C25,'31.10 KALAGI-MUKONO-24h'!C25,'2.11 KALAGI-MUKONO-24h'!C25,'4.11 KALAGI-MUKONO'!C25)</f>
        <v>7.8571428571428568</v>
      </c>
      <c r="D25" s="49">
        <f>AVERAGE('29.10 KALAGI-MUKONO'!D25,'30.10-KALAGI-MUKONO'!D25,'1.11 KALAGI-MUKONO'!D25,'3.11 KALAGI-MUKONO'!D25,'31.10 KALAGI-MUKONO-24h'!D25,'2.11 KALAGI-MUKONO-24h'!D25,'4.11 KALAGI-MUKONO'!D25)</f>
        <v>1.7142857142857142</v>
      </c>
      <c r="E25" s="49">
        <f>AVERAGE('29.10 KALAGI-MUKONO'!E25,'30.10-KALAGI-MUKONO'!E25,'1.11 KALAGI-MUKONO'!E25,'3.11 KALAGI-MUKONO'!E25,'31.10 KALAGI-MUKONO-24h'!E25,'2.11 KALAGI-MUKONO-24h'!E25,'4.11 KALAGI-MUKONO'!E25)</f>
        <v>1.2857142857142858</v>
      </c>
      <c r="F25" s="49">
        <f>AVERAGE('29.10 KALAGI-MUKONO'!F25,'30.10-KALAGI-MUKONO'!F25,'1.11 KALAGI-MUKONO'!F25,'3.11 KALAGI-MUKONO'!F25,'31.10 KALAGI-MUKONO-24h'!F25,'2.11 KALAGI-MUKONO-24h'!F25,'4.11 KALAGI-MUKONO'!F25)</f>
        <v>8.2857142857142865</v>
      </c>
      <c r="G25" s="49">
        <f>AVERAGE('29.10 KALAGI-MUKONO'!G25,'30.10-KALAGI-MUKONO'!G25,'1.11 KALAGI-MUKONO'!G25,'3.11 KALAGI-MUKONO'!G25,'31.10 KALAGI-MUKONO-24h'!G25,'2.11 KALAGI-MUKONO-24h'!G25,'4.11 KALAGI-MUKONO'!G25)</f>
        <v>0.14285714285714285</v>
      </c>
      <c r="H25" s="49">
        <f>AVERAGE('29.10 KALAGI-MUKONO'!H25,'30.10-KALAGI-MUKONO'!H25,'1.11 KALAGI-MUKONO'!H25,'3.11 KALAGI-MUKONO'!H25,'31.10 KALAGI-MUKONO-24h'!H25,'2.11 KALAGI-MUKONO-24h'!H25,'4.11 KALAGI-MUKONO'!H25)</f>
        <v>0</v>
      </c>
      <c r="I25" s="49">
        <f>AVERAGE('29.10 KALAGI-MUKONO'!I25,'30.10-KALAGI-MUKONO'!I25,'1.11 KALAGI-MUKONO'!I25,'3.11 KALAGI-MUKONO'!I25,'31.10 KALAGI-MUKONO-24h'!I25,'2.11 KALAGI-MUKONO-24h'!I25,'4.11 KALAGI-MUKONO'!I25)</f>
        <v>2.1428571428571428</v>
      </c>
      <c r="J25" s="49">
        <f>AVERAGE('29.10 KALAGI-MUKONO'!J25,'30.10-KALAGI-MUKONO'!J25,'1.11 KALAGI-MUKONO'!J25,'3.11 KALAGI-MUKONO'!J25,'31.10 KALAGI-MUKONO-24h'!J25,'2.11 KALAGI-MUKONO-24h'!J25,'4.11 KALAGI-MUKONO'!J25)</f>
        <v>0.2857142857142857</v>
      </c>
      <c r="K25" s="49">
        <f>AVERAGE('29.10 KALAGI-MUKONO'!K25,'30.10-KALAGI-MUKONO'!K25,'1.11 KALAGI-MUKONO'!K25,'3.11 KALAGI-MUKONO'!K25,'31.10 KALAGI-MUKONO-24h'!K25,'2.11 KALAGI-MUKONO-24h'!K25,'4.11 KALAGI-MUKONO'!K25)</f>
        <v>0.42857142857142855</v>
      </c>
      <c r="L25" s="49">
        <f>AVERAGE('29.10 KALAGI-MUKONO'!L25,'30.10-KALAGI-MUKONO'!L25,'1.11 KALAGI-MUKONO'!L25,'3.11 KALAGI-MUKONO'!L25,'31.10 KALAGI-MUKONO-24h'!L25,'2.11 KALAGI-MUKONO-24h'!L25,'4.11 KALAGI-MUKONO'!L25)</f>
        <v>0.2857142857142857</v>
      </c>
      <c r="M25" s="49">
        <f>AVERAGE('29.10 KALAGI-MUKONO'!M25,'30.10-KALAGI-MUKONO'!M25,'1.11 KALAGI-MUKONO'!M25,'3.11 KALAGI-MUKONO'!M25,'31.10 KALAGI-MUKONO-24h'!M25,'2.11 KALAGI-MUKONO-24h'!M25,'4.11 KALAGI-MUKONO'!M25)</f>
        <v>27</v>
      </c>
      <c r="N25" s="49">
        <f>AVERAGE('29.10 KALAGI-MUKONO'!N25,'30.10-KALAGI-MUKONO'!N25,'1.11 KALAGI-MUKONO'!N25,'3.11 KALAGI-MUKONO'!N25,'31.10 KALAGI-MUKONO-24h'!N25,'2.11 KALAGI-MUKONO-24h'!N25,'4.11 KALAGI-MUKONO'!N25)</f>
        <v>0</v>
      </c>
      <c r="O25" s="15">
        <f t="shared" si="0"/>
        <v>22.428571428571427</v>
      </c>
      <c r="P25" s="15">
        <f t="shared" si="1"/>
        <v>49.428571428571431</v>
      </c>
      <c r="R25" s="1" t="s">
        <v>149</v>
      </c>
      <c r="S25" s="34">
        <f>SUM(C70:C73)</f>
        <v>20.5</v>
      </c>
      <c r="T25" s="34">
        <f t="shared" ref="T25:AF25" si="17">SUM(D70:D73)</f>
        <v>4.5</v>
      </c>
      <c r="U25" s="34">
        <f t="shared" si="17"/>
        <v>4</v>
      </c>
      <c r="V25" s="34">
        <f t="shared" si="17"/>
        <v>15.5</v>
      </c>
      <c r="W25" s="34">
        <f t="shared" si="17"/>
        <v>0</v>
      </c>
      <c r="X25" s="34">
        <f t="shared" si="17"/>
        <v>0</v>
      </c>
      <c r="Y25" s="34">
        <f t="shared" si="17"/>
        <v>6</v>
      </c>
      <c r="Z25" s="34">
        <f t="shared" si="17"/>
        <v>2</v>
      </c>
      <c r="AA25" s="34">
        <f t="shared" si="17"/>
        <v>0.5</v>
      </c>
      <c r="AB25" s="34">
        <f t="shared" si="17"/>
        <v>0</v>
      </c>
      <c r="AC25" s="34">
        <f t="shared" si="17"/>
        <v>25</v>
      </c>
      <c r="AD25" s="34">
        <f t="shared" si="17"/>
        <v>0</v>
      </c>
      <c r="AE25" s="31">
        <f t="shared" si="17"/>
        <v>53</v>
      </c>
      <c r="AF25" s="31">
        <f t="shared" si="17"/>
        <v>78</v>
      </c>
    </row>
    <row r="26" spans="2:32" ht="23.1" customHeight="1" x14ac:dyDescent="0.25">
      <c r="B26" s="23" t="s">
        <v>53</v>
      </c>
      <c r="C26" s="49">
        <f>AVERAGE('29.10 KALAGI-MUKONO'!C26,'30.10-KALAGI-MUKONO'!C26,'1.11 KALAGI-MUKONO'!C26,'3.11 KALAGI-MUKONO'!C26,'31.10 KALAGI-MUKONO-24h'!C26,'2.11 KALAGI-MUKONO-24h'!C26,'4.11 KALAGI-MUKONO'!C26)</f>
        <v>6.8571428571428568</v>
      </c>
      <c r="D26" s="49">
        <f>AVERAGE('29.10 KALAGI-MUKONO'!D26,'30.10-KALAGI-MUKONO'!D26,'1.11 KALAGI-MUKONO'!D26,'3.11 KALAGI-MUKONO'!D26,'31.10 KALAGI-MUKONO-24h'!D26,'2.11 KALAGI-MUKONO-24h'!D26,'4.11 KALAGI-MUKONO'!D26)</f>
        <v>1.7142857142857142</v>
      </c>
      <c r="E26" s="49">
        <f>AVERAGE('29.10 KALAGI-MUKONO'!E26,'30.10-KALAGI-MUKONO'!E26,'1.11 KALAGI-MUKONO'!E26,'3.11 KALAGI-MUKONO'!E26,'31.10 KALAGI-MUKONO-24h'!E26,'2.11 KALAGI-MUKONO-24h'!E26,'4.11 KALAGI-MUKONO'!E26)</f>
        <v>1.7142857142857142</v>
      </c>
      <c r="F26" s="49">
        <f>AVERAGE('29.10 KALAGI-MUKONO'!F26,'30.10-KALAGI-MUKONO'!F26,'1.11 KALAGI-MUKONO'!F26,'3.11 KALAGI-MUKONO'!F26,'31.10 KALAGI-MUKONO-24h'!F26,'2.11 KALAGI-MUKONO-24h'!F26,'4.11 KALAGI-MUKONO'!F26)</f>
        <v>8.1428571428571423</v>
      </c>
      <c r="G26" s="49">
        <f>AVERAGE('29.10 KALAGI-MUKONO'!G26,'30.10-KALAGI-MUKONO'!G26,'1.11 KALAGI-MUKONO'!G26,'3.11 KALAGI-MUKONO'!G26,'31.10 KALAGI-MUKONO-24h'!G26,'2.11 KALAGI-MUKONO-24h'!G26,'4.11 KALAGI-MUKONO'!G26)</f>
        <v>0.2857142857142857</v>
      </c>
      <c r="H26" s="49">
        <f>AVERAGE('29.10 KALAGI-MUKONO'!H26,'30.10-KALAGI-MUKONO'!H26,'1.11 KALAGI-MUKONO'!H26,'3.11 KALAGI-MUKONO'!H26,'31.10 KALAGI-MUKONO-24h'!H26,'2.11 KALAGI-MUKONO-24h'!H26,'4.11 KALAGI-MUKONO'!H26)</f>
        <v>0</v>
      </c>
      <c r="I26" s="49">
        <f>AVERAGE('29.10 KALAGI-MUKONO'!I26,'30.10-KALAGI-MUKONO'!I26,'1.11 KALAGI-MUKONO'!I26,'3.11 KALAGI-MUKONO'!I26,'31.10 KALAGI-MUKONO-24h'!I26,'2.11 KALAGI-MUKONO-24h'!I26,'4.11 KALAGI-MUKONO'!I26)</f>
        <v>3.1428571428571428</v>
      </c>
      <c r="J26" s="49">
        <f>AVERAGE('29.10 KALAGI-MUKONO'!J26,'30.10-KALAGI-MUKONO'!J26,'1.11 KALAGI-MUKONO'!J26,'3.11 KALAGI-MUKONO'!J26,'31.10 KALAGI-MUKONO-24h'!J26,'2.11 KALAGI-MUKONO-24h'!J26,'4.11 KALAGI-MUKONO'!J26)</f>
        <v>0.2857142857142857</v>
      </c>
      <c r="K26" s="49">
        <f>AVERAGE('29.10 KALAGI-MUKONO'!K26,'30.10-KALAGI-MUKONO'!K26,'1.11 KALAGI-MUKONO'!K26,'3.11 KALAGI-MUKONO'!K26,'31.10 KALAGI-MUKONO-24h'!K26,'2.11 KALAGI-MUKONO-24h'!K26,'4.11 KALAGI-MUKONO'!K26)</f>
        <v>0</v>
      </c>
      <c r="L26" s="49">
        <f>AVERAGE('29.10 KALAGI-MUKONO'!L26,'30.10-KALAGI-MUKONO'!L26,'1.11 KALAGI-MUKONO'!L26,'3.11 KALAGI-MUKONO'!L26,'31.10 KALAGI-MUKONO-24h'!L26,'2.11 KALAGI-MUKONO-24h'!L26,'4.11 KALAGI-MUKONO'!L26)</f>
        <v>0</v>
      </c>
      <c r="M26" s="49">
        <f>AVERAGE('29.10 KALAGI-MUKONO'!M26,'30.10-KALAGI-MUKONO'!M26,'1.11 KALAGI-MUKONO'!M26,'3.11 KALAGI-MUKONO'!M26,'31.10 KALAGI-MUKONO-24h'!M26,'2.11 KALAGI-MUKONO-24h'!M26,'4.11 KALAGI-MUKONO'!M26)</f>
        <v>21.857142857142858</v>
      </c>
      <c r="N26" s="49">
        <f>AVERAGE('29.10 KALAGI-MUKONO'!N26,'30.10-KALAGI-MUKONO'!N26,'1.11 KALAGI-MUKONO'!N26,'3.11 KALAGI-MUKONO'!N26,'31.10 KALAGI-MUKONO-24h'!N26,'2.11 KALAGI-MUKONO-24h'!N26,'4.11 KALAGI-MUKONO'!N26)</f>
        <v>0</v>
      </c>
      <c r="O26" s="15">
        <f t="shared" si="0"/>
        <v>22.142857142857139</v>
      </c>
      <c r="P26" s="15">
        <f t="shared" si="1"/>
        <v>44</v>
      </c>
      <c r="R26" s="1" t="s">
        <v>150</v>
      </c>
      <c r="S26" s="34">
        <f>SUM(C74:C77)</f>
        <v>8.5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5</v>
      </c>
      <c r="W26" s="34">
        <f t="shared" si="18"/>
        <v>0.5</v>
      </c>
      <c r="X26" s="34">
        <f t="shared" si="18"/>
        <v>0</v>
      </c>
      <c r="Y26" s="34">
        <f t="shared" si="18"/>
        <v>5</v>
      </c>
      <c r="Z26" s="34">
        <f t="shared" si="18"/>
        <v>2.5</v>
      </c>
      <c r="AA26" s="34">
        <f t="shared" si="18"/>
        <v>0.5</v>
      </c>
      <c r="AB26" s="34">
        <f t="shared" si="18"/>
        <v>0</v>
      </c>
      <c r="AC26" s="34">
        <f t="shared" si="18"/>
        <v>20</v>
      </c>
      <c r="AD26" s="34">
        <f t="shared" si="18"/>
        <v>0</v>
      </c>
      <c r="AE26" s="31">
        <f t="shared" si="18"/>
        <v>24</v>
      </c>
      <c r="AF26" s="31">
        <f t="shared" si="18"/>
        <v>44</v>
      </c>
    </row>
    <row r="27" spans="2:32" ht="23.1" customHeight="1" x14ac:dyDescent="0.25">
      <c r="B27" s="23" t="s">
        <v>54</v>
      </c>
      <c r="C27" s="49">
        <f>AVERAGE('29.10 KALAGI-MUKONO'!C27,'30.10-KALAGI-MUKONO'!C27,'1.11 KALAGI-MUKONO'!C27,'3.11 KALAGI-MUKONO'!C27,'31.10 KALAGI-MUKONO-24h'!C27,'2.11 KALAGI-MUKONO-24h'!C27,'4.11 KALAGI-MUKONO'!C27)</f>
        <v>4.8571428571428568</v>
      </c>
      <c r="D27" s="49">
        <f>AVERAGE('29.10 KALAGI-MUKONO'!D27,'30.10-KALAGI-MUKONO'!D27,'1.11 KALAGI-MUKONO'!D27,'3.11 KALAGI-MUKONO'!D27,'31.10 KALAGI-MUKONO-24h'!D27,'2.11 KALAGI-MUKONO-24h'!D27,'4.11 KALAGI-MUKONO'!D27)</f>
        <v>1.1428571428571428</v>
      </c>
      <c r="E27" s="49">
        <f>AVERAGE('29.10 KALAGI-MUKONO'!E27,'30.10-KALAGI-MUKONO'!E27,'1.11 KALAGI-MUKONO'!E27,'3.11 KALAGI-MUKONO'!E27,'31.10 KALAGI-MUKONO-24h'!E27,'2.11 KALAGI-MUKONO-24h'!E27,'4.11 KALAGI-MUKONO'!E27)</f>
        <v>2.4285714285714284</v>
      </c>
      <c r="F27" s="49">
        <f>AVERAGE('29.10 KALAGI-MUKONO'!F27,'30.10-KALAGI-MUKONO'!F27,'1.11 KALAGI-MUKONO'!F27,'3.11 KALAGI-MUKONO'!F27,'31.10 KALAGI-MUKONO-24h'!F27,'2.11 KALAGI-MUKONO-24h'!F27,'4.11 KALAGI-MUKONO'!F27)</f>
        <v>9.2857142857142865</v>
      </c>
      <c r="G27" s="49">
        <f>AVERAGE('29.10 KALAGI-MUKONO'!G27,'30.10-KALAGI-MUKONO'!G27,'1.11 KALAGI-MUKONO'!G27,'3.11 KALAGI-MUKONO'!G27,'31.10 KALAGI-MUKONO-24h'!G27,'2.11 KALAGI-MUKONO-24h'!G27,'4.11 KALAGI-MUKONO'!G27)</f>
        <v>0.14285714285714285</v>
      </c>
      <c r="H27" s="49">
        <f>AVERAGE('29.10 KALAGI-MUKONO'!H27,'30.10-KALAGI-MUKONO'!H27,'1.11 KALAGI-MUKONO'!H27,'3.11 KALAGI-MUKONO'!H27,'31.10 KALAGI-MUKONO-24h'!H27,'2.11 KALAGI-MUKONO-24h'!H27,'4.11 KALAGI-MUKONO'!H27)</f>
        <v>0</v>
      </c>
      <c r="I27" s="49">
        <f>AVERAGE('29.10 KALAGI-MUKONO'!I27,'30.10-KALAGI-MUKONO'!I27,'1.11 KALAGI-MUKONO'!I27,'3.11 KALAGI-MUKONO'!I27,'31.10 KALAGI-MUKONO-24h'!I27,'2.11 KALAGI-MUKONO-24h'!I27,'4.11 KALAGI-MUKONO'!I27)</f>
        <v>2</v>
      </c>
      <c r="J27" s="49">
        <f>AVERAGE('29.10 KALAGI-MUKONO'!J27,'30.10-KALAGI-MUKONO'!J27,'1.11 KALAGI-MUKONO'!J27,'3.11 KALAGI-MUKONO'!J27,'31.10 KALAGI-MUKONO-24h'!J27,'2.11 KALAGI-MUKONO-24h'!J27,'4.11 KALAGI-MUKONO'!J27)</f>
        <v>0.42857142857142855</v>
      </c>
      <c r="K27" s="49">
        <f>AVERAGE('29.10 KALAGI-MUKONO'!K27,'30.10-KALAGI-MUKONO'!K27,'1.11 KALAGI-MUKONO'!K27,'3.11 KALAGI-MUKONO'!K27,'31.10 KALAGI-MUKONO-24h'!K27,'2.11 KALAGI-MUKONO-24h'!K27,'4.11 KALAGI-MUKONO'!K27)</f>
        <v>0.2857142857142857</v>
      </c>
      <c r="L27" s="49">
        <f>AVERAGE('29.10 KALAGI-MUKONO'!L27,'30.10-KALAGI-MUKONO'!L27,'1.11 KALAGI-MUKONO'!L27,'3.11 KALAGI-MUKONO'!L27,'31.10 KALAGI-MUKONO-24h'!L27,'2.11 KALAGI-MUKONO-24h'!L27,'4.11 KALAGI-MUKONO'!L27)</f>
        <v>0.42857142857142855</v>
      </c>
      <c r="M27" s="49">
        <f>AVERAGE('29.10 KALAGI-MUKONO'!M27,'30.10-KALAGI-MUKONO'!M27,'1.11 KALAGI-MUKONO'!M27,'3.11 KALAGI-MUKONO'!M27,'31.10 KALAGI-MUKONO-24h'!M27,'2.11 KALAGI-MUKONO-24h'!M27,'4.11 KALAGI-MUKONO'!M27)</f>
        <v>22.428571428571427</v>
      </c>
      <c r="N27" s="49">
        <f>AVERAGE('29.10 KALAGI-MUKONO'!N27,'30.10-KALAGI-MUKONO'!N27,'1.11 KALAGI-MUKONO'!N27,'3.11 KALAGI-MUKONO'!N27,'31.10 KALAGI-MUKONO-24h'!N27,'2.11 KALAGI-MUKONO-24h'!N27,'4.11 KALAGI-MUKONO'!N27)</f>
        <v>0.14285714285714285</v>
      </c>
      <c r="O27" s="15">
        <f t="shared" si="0"/>
        <v>21.142857142857139</v>
      </c>
      <c r="P27" s="15">
        <f t="shared" si="1"/>
        <v>43.571428571428569</v>
      </c>
      <c r="R27" s="1" t="s">
        <v>151</v>
      </c>
      <c r="S27" s="34">
        <f>SUM(C78:C81)</f>
        <v>5</v>
      </c>
      <c r="T27" s="34">
        <f t="shared" ref="T27:AF27" si="19">SUM(D78:D81)</f>
        <v>2</v>
      </c>
      <c r="U27" s="34">
        <f t="shared" si="19"/>
        <v>0</v>
      </c>
      <c r="V27" s="34">
        <f t="shared" si="19"/>
        <v>1.5</v>
      </c>
      <c r="W27" s="34">
        <f t="shared" si="19"/>
        <v>0</v>
      </c>
      <c r="X27" s="34">
        <f t="shared" si="19"/>
        <v>0.5</v>
      </c>
      <c r="Y27" s="34">
        <f t="shared" si="19"/>
        <v>4.5</v>
      </c>
      <c r="Z27" s="34">
        <f t="shared" si="19"/>
        <v>1.5</v>
      </c>
      <c r="AA27" s="34">
        <f t="shared" si="19"/>
        <v>0</v>
      </c>
      <c r="AB27" s="34">
        <f t="shared" si="19"/>
        <v>0</v>
      </c>
      <c r="AC27" s="34">
        <f t="shared" si="19"/>
        <v>12</v>
      </c>
      <c r="AD27" s="34">
        <f t="shared" si="19"/>
        <v>0</v>
      </c>
      <c r="AE27" s="31">
        <f t="shared" si="19"/>
        <v>15</v>
      </c>
      <c r="AF27" s="31">
        <f t="shared" si="19"/>
        <v>27</v>
      </c>
    </row>
    <row r="28" spans="2:32" ht="23.1" customHeight="1" x14ac:dyDescent="0.25">
      <c r="B28" s="23" t="s">
        <v>55</v>
      </c>
      <c r="C28" s="49">
        <f>AVERAGE('29.10 KALAGI-MUKONO'!C28,'30.10-KALAGI-MUKONO'!C28,'1.11 KALAGI-MUKONO'!C28,'3.11 KALAGI-MUKONO'!C28,'31.10 KALAGI-MUKONO-24h'!C28,'2.11 KALAGI-MUKONO-24h'!C28,'4.11 KALAGI-MUKONO'!C28)</f>
        <v>8.4285714285714288</v>
      </c>
      <c r="D28" s="49">
        <f>AVERAGE('29.10 KALAGI-MUKONO'!D28,'30.10-KALAGI-MUKONO'!D28,'1.11 KALAGI-MUKONO'!D28,'3.11 KALAGI-MUKONO'!D28,'31.10 KALAGI-MUKONO-24h'!D28,'2.11 KALAGI-MUKONO-24h'!D28,'4.11 KALAGI-MUKONO'!D28)</f>
        <v>1.5714285714285714</v>
      </c>
      <c r="E28" s="49">
        <f>AVERAGE('29.10 KALAGI-MUKONO'!E28,'30.10-KALAGI-MUKONO'!E28,'1.11 KALAGI-MUKONO'!E28,'3.11 KALAGI-MUKONO'!E28,'31.10 KALAGI-MUKONO-24h'!E28,'2.11 KALAGI-MUKONO-24h'!E28,'4.11 KALAGI-MUKONO'!E28)</f>
        <v>1.4285714285714286</v>
      </c>
      <c r="F28" s="49">
        <f>AVERAGE('29.10 KALAGI-MUKONO'!F28,'30.10-KALAGI-MUKONO'!F28,'1.11 KALAGI-MUKONO'!F28,'3.11 KALAGI-MUKONO'!F28,'31.10 KALAGI-MUKONO-24h'!F28,'2.11 KALAGI-MUKONO-24h'!F28,'4.11 KALAGI-MUKONO'!F28)</f>
        <v>8.7142857142857135</v>
      </c>
      <c r="G28" s="49">
        <f>AVERAGE('29.10 KALAGI-MUKONO'!G28,'30.10-KALAGI-MUKONO'!G28,'1.11 KALAGI-MUKONO'!G28,'3.11 KALAGI-MUKONO'!G28,'31.10 KALAGI-MUKONO-24h'!G28,'2.11 KALAGI-MUKONO-24h'!G28,'4.11 KALAGI-MUKONO'!G28)</f>
        <v>0</v>
      </c>
      <c r="H28" s="49">
        <f>AVERAGE('29.10 KALAGI-MUKONO'!H28,'30.10-KALAGI-MUKONO'!H28,'1.11 KALAGI-MUKONO'!H28,'3.11 KALAGI-MUKONO'!H28,'31.10 KALAGI-MUKONO-24h'!H28,'2.11 KALAGI-MUKONO-24h'!H28,'4.11 KALAGI-MUKONO'!H28)</f>
        <v>0</v>
      </c>
      <c r="I28" s="49">
        <f>AVERAGE('29.10 KALAGI-MUKONO'!I28,'30.10-KALAGI-MUKONO'!I28,'1.11 KALAGI-MUKONO'!I28,'3.11 KALAGI-MUKONO'!I28,'31.10 KALAGI-MUKONO-24h'!I28,'2.11 KALAGI-MUKONO-24h'!I28,'4.11 KALAGI-MUKONO'!I28)</f>
        <v>2.2857142857142856</v>
      </c>
      <c r="J28" s="49">
        <f>AVERAGE('29.10 KALAGI-MUKONO'!J28,'30.10-KALAGI-MUKONO'!J28,'1.11 KALAGI-MUKONO'!J28,'3.11 KALAGI-MUKONO'!J28,'31.10 KALAGI-MUKONO-24h'!J28,'2.11 KALAGI-MUKONO-24h'!J28,'4.11 KALAGI-MUKONO'!J28)</f>
        <v>1.1428571428571428</v>
      </c>
      <c r="K28" s="49">
        <f>AVERAGE('29.10 KALAGI-MUKONO'!K28,'30.10-KALAGI-MUKONO'!K28,'1.11 KALAGI-MUKONO'!K28,'3.11 KALAGI-MUKONO'!K28,'31.10 KALAGI-MUKONO-24h'!K28,'2.11 KALAGI-MUKONO-24h'!K28,'4.11 KALAGI-MUKONO'!K28)</f>
        <v>0.42857142857142855</v>
      </c>
      <c r="L28" s="49">
        <f>AVERAGE('29.10 KALAGI-MUKONO'!L28,'30.10-KALAGI-MUKONO'!L28,'1.11 KALAGI-MUKONO'!L28,'3.11 KALAGI-MUKONO'!L28,'31.10 KALAGI-MUKONO-24h'!L28,'2.11 KALAGI-MUKONO-24h'!L28,'4.11 KALAGI-MUKONO'!L28)</f>
        <v>0</v>
      </c>
      <c r="M28" s="49">
        <f>AVERAGE('29.10 KALAGI-MUKONO'!M28,'30.10-KALAGI-MUKONO'!M28,'1.11 KALAGI-MUKONO'!M28,'3.11 KALAGI-MUKONO'!M28,'31.10 KALAGI-MUKONO-24h'!M28,'2.11 KALAGI-MUKONO-24h'!M28,'4.11 KALAGI-MUKONO'!M28)</f>
        <v>22.857142857142858</v>
      </c>
      <c r="N28" s="49">
        <f>AVERAGE('29.10 KALAGI-MUKONO'!N28,'30.10-KALAGI-MUKONO'!N28,'1.11 KALAGI-MUKONO'!N28,'3.11 KALAGI-MUKONO'!N28,'31.10 KALAGI-MUKONO-24h'!N28,'2.11 KALAGI-MUKONO-24h'!N28,'4.11 KALAGI-MUKONO'!N28)</f>
        <v>0</v>
      </c>
      <c r="O28" s="15">
        <f t="shared" si="0"/>
        <v>23.999999999999996</v>
      </c>
      <c r="P28" s="15">
        <f t="shared" si="1"/>
        <v>46.857142857142854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0.5</v>
      </c>
      <c r="Y28" s="34">
        <f t="shared" si="20"/>
        <v>2.5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2.5</v>
      </c>
      <c r="AD28" s="34">
        <f t="shared" si="20"/>
        <v>0</v>
      </c>
      <c r="AE28" s="31">
        <f t="shared" si="20"/>
        <v>3</v>
      </c>
      <c r="AF28" s="31">
        <f t="shared" si="20"/>
        <v>5.5</v>
      </c>
    </row>
    <row r="29" spans="2:32" ht="23.1" customHeight="1" x14ac:dyDescent="0.25">
      <c r="B29" s="23" t="s">
        <v>56</v>
      </c>
      <c r="C29" s="49">
        <f>AVERAGE('29.10 KALAGI-MUKONO'!C29,'30.10-KALAGI-MUKONO'!C29,'1.11 KALAGI-MUKONO'!C29,'3.11 KALAGI-MUKONO'!C29,'31.10 KALAGI-MUKONO-24h'!C29,'2.11 KALAGI-MUKONO-24h'!C29,'4.11 KALAGI-MUKONO'!C29)</f>
        <v>6.4285714285714288</v>
      </c>
      <c r="D29" s="49">
        <f>AVERAGE('29.10 KALAGI-MUKONO'!D29,'30.10-KALAGI-MUKONO'!D29,'1.11 KALAGI-MUKONO'!D29,'3.11 KALAGI-MUKONO'!D29,'31.10 KALAGI-MUKONO-24h'!D29,'2.11 KALAGI-MUKONO-24h'!D29,'4.11 KALAGI-MUKONO'!D29)</f>
        <v>1.1428571428571428</v>
      </c>
      <c r="E29" s="49">
        <f>AVERAGE('29.10 KALAGI-MUKONO'!E29,'30.10-KALAGI-MUKONO'!E29,'1.11 KALAGI-MUKONO'!E29,'3.11 KALAGI-MUKONO'!E29,'31.10 KALAGI-MUKONO-24h'!E29,'2.11 KALAGI-MUKONO-24h'!E29,'4.11 KALAGI-MUKONO'!E29)</f>
        <v>1</v>
      </c>
      <c r="F29" s="49">
        <f>AVERAGE('29.10 KALAGI-MUKONO'!F29,'30.10-KALAGI-MUKONO'!F29,'1.11 KALAGI-MUKONO'!F29,'3.11 KALAGI-MUKONO'!F29,'31.10 KALAGI-MUKONO-24h'!F29,'2.11 KALAGI-MUKONO-24h'!F29,'4.11 KALAGI-MUKONO'!F29)</f>
        <v>8.8571428571428577</v>
      </c>
      <c r="G29" s="49">
        <f>AVERAGE('29.10 KALAGI-MUKONO'!G29,'30.10-KALAGI-MUKONO'!G29,'1.11 KALAGI-MUKONO'!G29,'3.11 KALAGI-MUKONO'!G29,'31.10 KALAGI-MUKONO-24h'!G29,'2.11 KALAGI-MUKONO-24h'!G29,'4.11 KALAGI-MUKONO'!G29)</f>
        <v>0.2857142857142857</v>
      </c>
      <c r="H29" s="49">
        <f>AVERAGE('29.10 KALAGI-MUKONO'!H29,'30.10-KALAGI-MUKONO'!H29,'1.11 KALAGI-MUKONO'!H29,'3.11 KALAGI-MUKONO'!H29,'31.10 KALAGI-MUKONO-24h'!H29,'2.11 KALAGI-MUKONO-24h'!H29,'4.11 KALAGI-MUKONO'!H29)</f>
        <v>0</v>
      </c>
      <c r="I29" s="49">
        <f>AVERAGE('29.10 KALAGI-MUKONO'!I29,'30.10-KALAGI-MUKONO'!I29,'1.11 KALAGI-MUKONO'!I29,'3.11 KALAGI-MUKONO'!I29,'31.10 KALAGI-MUKONO-24h'!I29,'2.11 KALAGI-MUKONO-24h'!I29,'4.11 KALAGI-MUKONO'!I29)</f>
        <v>1.7142857142857142</v>
      </c>
      <c r="J29" s="49">
        <f>AVERAGE('29.10 KALAGI-MUKONO'!J29,'30.10-KALAGI-MUKONO'!J29,'1.11 KALAGI-MUKONO'!J29,'3.11 KALAGI-MUKONO'!J29,'31.10 KALAGI-MUKONO-24h'!J29,'2.11 KALAGI-MUKONO-24h'!J29,'4.11 KALAGI-MUKONO'!J29)</f>
        <v>0.7142857142857143</v>
      </c>
      <c r="K29" s="49">
        <f>AVERAGE('29.10 KALAGI-MUKONO'!K29,'30.10-KALAGI-MUKONO'!K29,'1.11 KALAGI-MUKONO'!K29,'3.11 KALAGI-MUKONO'!K29,'31.10 KALAGI-MUKONO-24h'!K29,'2.11 KALAGI-MUKONO-24h'!K29,'4.11 KALAGI-MUKONO'!K29)</f>
        <v>0.2857142857142857</v>
      </c>
      <c r="L29" s="49">
        <f>AVERAGE('29.10 KALAGI-MUKONO'!L29,'30.10-KALAGI-MUKONO'!L29,'1.11 KALAGI-MUKONO'!L29,'3.11 KALAGI-MUKONO'!L29,'31.10 KALAGI-MUKONO-24h'!L29,'2.11 KALAGI-MUKONO-24h'!L29,'4.11 KALAGI-MUKONO'!L29)</f>
        <v>0</v>
      </c>
      <c r="M29" s="49">
        <f>AVERAGE('29.10 KALAGI-MUKONO'!M29,'30.10-KALAGI-MUKONO'!M29,'1.11 KALAGI-MUKONO'!M29,'3.11 KALAGI-MUKONO'!M29,'31.10 KALAGI-MUKONO-24h'!M29,'2.11 KALAGI-MUKONO-24h'!M29,'4.11 KALAGI-MUKONO'!M29)</f>
        <v>24.857142857142858</v>
      </c>
      <c r="N29" s="49">
        <f>AVERAGE('29.10 KALAGI-MUKONO'!N29,'30.10-KALAGI-MUKONO'!N29,'1.11 KALAGI-MUKONO'!N29,'3.11 KALAGI-MUKONO'!N29,'31.10 KALAGI-MUKONO-24h'!N29,'2.11 KALAGI-MUKONO-24h'!N29,'4.11 KALAGI-MUKONO'!N29)</f>
        <v>0.14285714285714285</v>
      </c>
      <c r="O29" s="15">
        <f t="shared" si="0"/>
        <v>20.571428571428573</v>
      </c>
      <c r="P29" s="15">
        <f t="shared" si="1"/>
        <v>45.428571428571438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1.5</v>
      </c>
      <c r="W29" s="34">
        <f t="shared" si="21"/>
        <v>0</v>
      </c>
      <c r="X29" s="34">
        <f t="shared" si="21"/>
        <v>0.5</v>
      </c>
      <c r="Y29" s="34">
        <f t="shared" si="21"/>
        <v>1.5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3.5</v>
      </c>
      <c r="AF29" s="31">
        <f t="shared" si="21"/>
        <v>4.5</v>
      </c>
    </row>
    <row r="30" spans="2:32" ht="23.1" customHeight="1" x14ac:dyDescent="0.25">
      <c r="B30" s="23" t="s">
        <v>57</v>
      </c>
      <c r="C30" s="49">
        <f>AVERAGE('29.10 KALAGI-MUKONO'!C30,'30.10-KALAGI-MUKONO'!C30,'1.11 KALAGI-MUKONO'!C30,'3.11 KALAGI-MUKONO'!C30,'31.10 KALAGI-MUKONO-24h'!C30,'2.11 KALAGI-MUKONO-24h'!C30,'4.11 KALAGI-MUKONO'!C30)</f>
        <v>8.5714285714285712</v>
      </c>
      <c r="D30" s="49">
        <f>AVERAGE('29.10 KALAGI-MUKONO'!D30,'30.10-KALAGI-MUKONO'!D30,'1.11 KALAGI-MUKONO'!D30,'3.11 KALAGI-MUKONO'!D30,'31.10 KALAGI-MUKONO-24h'!D30,'2.11 KALAGI-MUKONO-24h'!D30,'4.11 KALAGI-MUKONO'!D30)</f>
        <v>1.2857142857142858</v>
      </c>
      <c r="E30" s="49">
        <f>AVERAGE('29.10 KALAGI-MUKONO'!E30,'30.10-KALAGI-MUKONO'!E30,'1.11 KALAGI-MUKONO'!E30,'3.11 KALAGI-MUKONO'!E30,'31.10 KALAGI-MUKONO-24h'!E30,'2.11 KALAGI-MUKONO-24h'!E30,'4.11 KALAGI-MUKONO'!E30)</f>
        <v>2</v>
      </c>
      <c r="F30" s="49">
        <f>AVERAGE('29.10 KALAGI-MUKONO'!F30,'30.10-KALAGI-MUKONO'!F30,'1.11 KALAGI-MUKONO'!F30,'3.11 KALAGI-MUKONO'!F30,'31.10 KALAGI-MUKONO-24h'!F30,'2.11 KALAGI-MUKONO-24h'!F30,'4.11 KALAGI-MUKONO'!F30)</f>
        <v>8.7142857142857135</v>
      </c>
      <c r="G30" s="49">
        <f>AVERAGE('29.10 KALAGI-MUKONO'!G30,'30.10-KALAGI-MUKONO'!G30,'1.11 KALAGI-MUKONO'!G30,'3.11 KALAGI-MUKONO'!G30,'31.10 KALAGI-MUKONO-24h'!G30,'2.11 KALAGI-MUKONO-24h'!G30,'4.11 KALAGI-MUKONO'!G30)</f>
        <v>0</v>
      </c>
      <c r="H30" s="49">
        <f>AVERAGE('29.10 KALAGI-MUKONO'!H30,'30.10-KALAGI-MUKONO'!H30,'1.11 KALAGI-MUKONO'!H30,'3.11 KALAGI-MUKONO'!H30,'31.10 KALAGI-MUKONO-24h'!H30,'2.11 KALAGI-MUKONO-24h'!H30,'4.11 KALAGI-MUKONO'!H30)</f>
        <v>0</v>
      </c>
      <c r="I30" s="49">
        <f>AVERAGE('29.10 KALAGI-MUKONO'!I30,'30.10-KALAGI-MUKONO'!I30,'1.11 KALAGI-MUKONO'!I30,'3.11 KALAGI-MUKONO'!I30,'31.10 KALAGI-MUKONO-24h'!I30,'2.11 KALAGI-MUKONO-24h'!I30,'4.11 KALAGI-MUKONO'!I30)</f>
        <v>2.8571428571428572</v>
      </c>
      <c r="J30" s="49">
        <f>AVERAGE('29.10 KALAGI-MUKONO'!J30,'30.10-KALAGI-MUKONO'!J30,'1.11 KALAGI-MUKONO'!J30,'3.11 KALAGI-MUKONO'!J30,'31.10 KALAGI-MUKONO-24h'!J30,'2.11 KALAGI-MUKONO-24h'!J30,'4.11 KALAGI-MUKONO'!J30)</f>
        <v>0.7142857142857143</v>
      </c>
      <c r="K30" s="49">
        <f>AVERAGE('29.10 KALAGI-MUKONO'!K30,'30.10-KALAGI-MUKONO'!K30,'1.11 KALAGI-MUKONO'!K30,'3.11 KALAGI-MUKONO'!K30,'31.10 KALAGI-MUKONO-24h'!K30,'2.11 KALAGI-MUKONO-24h'!K30,'4.11 KALAGI-MUKONO'!K30)</f>
        <v>0.5714285714285714</v>
      </c>
      <c r="L30" s="49">
        <f>AVERAGE('29.10 KALAGI-MUKONO'!L30,'30.10-KALAGI-MUKONO'!L30,'1.11 KALAGI-MUKONO'!L30,'3.11 KALAGI-MUKONO'!L30,'31.10 KALAGI-MUKONO-24h'!L30,'2.11 KALAGI-MUKONO-24h'!L30,'4.11 KALAGI-MUKONO'!L30)</f>
        <v>0.14285714285714285</v>
      </c>
      <c r="M30" s="49">
        <f>AVERAGE('29.10 KALAGI-MUKONO'!M30,'30.10-KALAGI-MUKONO'!M30,'1.11 KALAGI-MUKONO'!M30,'3.11 KALAGI-MUKONO'!M30,'31.10 KALAGI-MUKONO-24h'!M30,'2.11 KALAGI-MUKONO-24h'!M30,'4.11 KALAGI-MUKONO'!M30)</f>
        <v>23</v>
      </c>
      <c r="N30" s="49">
        <f>AVERAGE('29.10 KALAGI-MUKONO'!N30,'30.10-KALAGI-MUKONO'!N30,'1.11 KALAGI-MUKONO'!N30,'3.11 KALAGI-MUKONO'!N30,'31.10 KALAGI-MUKONO-24h'!N30,'2.11 KALAGI-MUKONO-24h'!N30,'4.11 KALAGI-MUKONO'!N30)</f>
        <v>0</v>
      </c>
      <c r="O30" s="15">
        <f t="shared" si="0"/>
        <v>24.857142857142858</v>
      </c>
      <c r="P30" s="15">
        <f t="shared" si="1"/>
        <v>47.857142857142861</v>
      </c>
      <c r="R30" s="1" t="s">
        <v>154</v>
      </c>
      <c r="S30" s="34">
        <f>SUM(C90:C93)</f>
        <v>1.5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4.5</v>
      </c>
      <c r="W30" s="34">
        <f t="shared" si="22"/>
        <v>0.5</v>
      </c>
      <c r="X30" s="34">
        <f t="shared" si="22"/>
        <v>0</v>
      </c>
      <c r="Y30" s="34">
        <f t="shared" si="22"/>
        <v>0.5</v>
      </c>
      <c r="Z30" s="34">
        <f t="shared" si="22"/>
        <v>3</v>
      </c>
      <c r="AA30" s="34">
        <f t="shared" si="22"/>
        <v>0</v>
      </c>
      <c r="AB30" s="34">
        <f t="shared" si="22"/>
        <v>0</v>
      </c>
      <c r="AC30" s="34">
        <f t="shared" si="22"/>
        <v>3.5</v>
      </c>
      <c r="AD30" s="34">
        <f t="shared" si="22"/>
        <v>0</v>
      </c>
      <c r="AE30" s="31">
        <f t="shared" si="22"/>
        <v>10</v>
      </c>
      <c r="AF30" s="31">
        <f t="shared" si="22"/>
        <v>13.5</v>
      </c>
    </row>
    <row r="31" spans="2:32" ht="23.1" customHeight="1" x14ac:dyDescent="0.25">
      <c r="B31" s="24" t="s">
        <v>58</v>
      </c>
      <c r="C31" s="49">
        <f>AVERAGE('29.10 KALAGI-MUKONO'!C31,'30.10-KALAGI-MUKONO'!C31,'1.11 KALAGI-MUKONO'!C31,'3.11 KALAGI-MUKONO'!C31,'31.10 KALAGI-MUKONO-24h'!C31,'2.11 KALAGI-MUKONO-24h'!C31,'4.11 KALAGI-MUKONO'!C31)</f>
        <v>6.4285714285714288</v>
      </c>
      <c r="D31" s="49">
        <f>AVERAGE('29.10 KALAGI-MUKONO'!D31,'30.10-KALAGI-MUKONO'!D31,'1.11 KALAGI-MUKONO'!D31,'3.11 KALAGI-MUKONO'!D31,'31.10 KALAGI-MUKONO-24h'!D31,'2.11 KALAGI-MUKONO-24h'!D31,'4.11 KALAGI-MUKONO'!D31)</f>
        <v>2</v>
      </c>
      <c r="E31" s="49">
        <f>AVERAGE('29.10 KALAGI-MUKONO'!E31,'30.10-KALAGI-MUKONO'!E31,'1.11 KALAGI-MUKONO'!E31,'3.11 KALAGI-MUKONO'!E31,'31.10 KALAGI-MUKONO-24h'!E31,'2.11 KALAGI-MUKONO-24h'!E31,'4.11 KALAGI-MUKONO'!E31)</f>
        <v>1</v>
      </c>
      <c r="F31" s="49">
        <f>AVERAGE('29.10 KALAGI-MUKONO'!F31,'30.10-KALAGI-MUKONO'!F31,'1.11 KALAGI-MUKONO'!F31,'3.11 KALAGI-MUKONO'!F31,'31.10 KALAGI-MUKONO-24h'!F31,'2.11 KALAGI-MUKONO-24h'!F31,'4.11 KALAGI-MUKONO'!F31)</f>
        <v>8.5714285714285712</v>
      </c>
      <c r="G31" s="49">
        <f>AVERAGE('29.10 KALAGI-MUKONO'!G31,'30.10-KALAGI-MUKONO'!G31,'1.11 KALAGI-MUKONO'!G31,'3.11 KALAGI-MUKONO'!G31,'31.10 KALAGI-MUKONO-24h'!G31,'2.11 KALAGI-MUKONO-24h'!G31,'4.11 KALAGI-MUKONO'!G31)</f>
        <v>0.2857142857142857</v>
      </c>
      <c r="H31" s="49">
        <f>AVERAGE('29.10 KALAGI-MUKONO'!H31,'30.10-KALAGI-MUKONO'!H31,'1.11 KALAGI-MUKONO'!H31,'3.11 KALAGI-MUKONO'!H31,'31.10 KALAGI-MUKONO-24h'!H31,'2.11 KALAGI-MUKONO-24h'!H31,'4.11 KALAGI-MUKONO'!H31)</f>
        <v>0</v>
      </c>
      <c r="I31" s="49">
        <f>AVERAGE('29.10 KALAGI-MUKONO'!I31,'30.10-KALAGI-MUKONO'!I31,'1.11 KALAGI-MUKONO'!I31,'3.11 KALAGI-MUKONO'!I31,'31.10 KALAGI-MUKONO-24h'!I31,'2.11 KALAGI-MUKONO-24h'!I31,'4.11 KALAGI-MUKONO'!I31)</f>
        <v>2.8571428571428572</v>
      </c>
      <c r="J31" s="49">
        <f>AVERAGE('29.10 KALAGI-MUKONO'!J31,'30.10-KALAGI-MUKONO'!J31,'1.11 KALAGI-MUKONO'!J31,'3.11 KALAGI-MUKONO'!J31,'31.10 KALAGI-MUKONO-24h'!J31,'2.11 KALAGI-MUKONO-24h'!J31,'4.11 KALAGI-MUKONO'!J31)</f>
        <v>0.42857142857142855</v>
      </c>
      <c r="K31" s="49">
        <f>AVERAGE('29.10 KALAGI-MUKONO'!K31,'30.10-KALAGI-MUKONO'!K31,'1.11 KALAGI-MUKONO'!K31,'3.11 KALAGI-MUKONO'!K31,'31.10 KALAGI-MUKONO-24h'!K31,'2.11 KALAGI-MUKONO-24h'!K31,'4.11 KALAGI-MUKONO'!K31)</f>
        <v>0.2857142857142857</v>
      </c>
      <c r="L31" s="49">
        <f>AVERAGE('29.10 KALAGI-MUKONO'!L31,'30.10-KALAGI-MUKONO'!L31,'1.11 KALAGI-MUKONO'!L31,'3.11 KALAGI-MUKONO'!L31,'31.10 KALAGI-MUKONO-24h'!L31,'2.11 KALAGI-MUKONO-24h'!L31,'4.11 KALAGI-MUKONO'!L31)</f>
        <v>0</v>
      </c>
      <c r="M31" s="49">
        <f>AVERAGE('29.10 KALAGI-MUKONO'!M31,'30.10-KALAGI-MUKONO'!M31,'1.11 KALAGI-MUKONO'!M31,'3.11 KALAGI-MUKONO'!M31,'31.10 KALAGI-MUKONO-24h'!M31,'2.11 KALAGI-MUKONO-24h'!M31,'4.11 KALAGI-MUKONO'!M31)</f>
        <v>24.285714285714285</v>
      </c>
      <c r="N31" s="49">
        <f>AVERAGE('29.10 KALAGI-MUKONO'!N31,'30.10-KALAGI-MUKONO'!N31,'1.11 KALAGI-MUKONO'!N31,'3.11 KALAGI-MUKONO'!N31,'31.10 KALAGI-MUKONO-24h'!N31,'2.11 KALAGI-MUKONO-24h'!N31,'4.11 KALAGI-MUKONO'!N31)</f>
        <v>0</v>
      </c>
      <c r="O31" s="15">
        <f t="shared" si="0"/>
        <v>21.857142857142854</v>
      </c>
      <c r="P31" s="15">
        <f t="shared" si="1"/>
        <v>46.142857142857139</v>
      </c>
      <c r="R31" s="1" t="s">
        <v>155</v>
      </c>
      <c r="S31" s="34">
        <f>SUM(C94:C97)</f>
        <v>2.5</v>
      </c>
      <c r="T31" s="34">
        <f t="shared" ref="T31:AF31" si="23">SUM(D94:D97)</f>
        <v>1.5</v>
      </c>
      <c r="U31" s="34">
        <f t="shared" si="23"/>
        <v>2.5</v>
      </c>
      <c r="V31" s="34">
        <f t="shared" si="23"/>
        <v>18</v>
      </c>
      <c r="W31" s="34">
        <f t="shared" si="23"/>
        <v>0</v>
      </c>
      <c r="X31" s="34">
        <f t="shared" si="23"/>
        <v>0</v>
      </c>
      <c r="Y31" s="34">
        <f t="shared" si="23"/>
        <v>6</v>
      </c>
      <c r="Z31" s="34">
        <f t="shared" si="23"/>
        <v>2</v>
      </c>
      <c r="AA31" s="34">
        <f t="shared" si="23"/>
        <v>1</v>
      </c>
      <c r="AB31" s="34">
        <f t="shared" si="23"/>
        <v>0</v>
      </c>
      <c r="AC31" s="34">
        <f t="shared" si="23"/>
        <v>4.5</v>
      </c>
      <c r="AD31" s="34">
        <f t="shared" si="23"/>
        <v>0</v>
      </c>
      <c r="AE31" s="31">
        <f t="shared" si="23"/>
        <v>33.5</v>
      </c>
      <c r="AF31" s="31">
        <f t="shared" si="23"/>
        <v>38</v>
      </c>
    </row>
    <row r="32" spans="2:32" ht="23.1" customHeight="1" x14ac:dyDescent="0.25">
      <c r="B32" s="24" t="s">
        <v>59</v>
      </c>
      <c r="C32" s="49">
        <f>AVERAGE('29.10 KALAGI-MUKONO'!C32,'30.10-KALAGI-MUKONO'!C32,'1.11 KALAGI-MUKONO'!C32,'3.11 KALAGI-MUKONO'!C32,'31.10 KALAGI-MUKONO-24h'!C32,'2.11 KALAGI-MUKONO-24h'!C32,'4.11 KALAGI-MUKONO'!C32)</f>
        <v>8.5714285714285712</v>
      </c>
      <c r="D32" s="49">
        <f>AVERAGE('29.10 KALAGI-MUKONO'!D32,'30.10-KALAGI-MUKONO'!D32,'1.11 KALAGI-MUKONO'!D32,'3.11 KALAGI-MUKONO'!D32,'31.10 KALAGI-MUKONO-24h'!D32,'2.11 KALAGI-MUKONO-24h'!D32,'4.11 KALAGI-MUKONO'!D32)</f>
        <v>2.4285714285714284</v>
      </c>
      <c r="E32" s="49">
        <f>AVERAGE('29.10 KALAGI-MUKONO'!E32,'30.10-KALAGI-MUKONO'!E32,'1.11 KALAGI-MUKONO'!E32,'3.11 KALAGI-MUKONO'!E32,'31.10 KALAGI-MUKONO-24h'!E32,'2.11 KALAGI-MUKONO-24h'!E32,'4.11 KALAGI-MUKONO'!E32)</f>
        <v>1.2857142857142858</v>
      </c>
      <c r="F32" s="49">
        <f>AVERAGE('29.10 KALAGI-MUKONO'!F32,'30.10-KALAGI-MUKONO'!F32,'1.11 KALAGI-MUKONO'!F32,'3.11 KALAGI-MUKONO'!F32,'31.10 KALAGI-MUKONO-24h'!F32,'2.11 KALAGI-MUKONO-24h'!F32,'4.11 KALAGI-MUKONO'!F32)</f>
        <v>8</v>
      </c>
      <c r="G32" s="49">
        <f>AVERAGE('29.10 KALAGI-MUKONO'!G32,'30.10-KALAGI-MUKONO'!G32,'1.11 KALAGI-MUKONO'!G32,'3.11 KALAGI-MUKONO'!G32,'31.10 KALAGI-MUKONO-24h'!G32,'2.11 KALAGI-MUKONO-24h'!G32,'4.11 KALAGI-MUKONO'!G32)</f>
        <v>0.14285714285714285</v>
      </c>
      <c r="H32" s="49">
        <f>AVERAGE('29.10 KALAGI-MUKONO'!H32,'30.10-KALAGI-MUKONO'!H32,'1.11 KALAGI-MUKONO'!H32,'3.11 KALAGI-MUKONO'!H32,'31.10 KALAGI-MUKONO-24h'!H32,'2.11 KALAGI-MUKONO-24h'!H32,'4.11 KALAGI-MUKONO'!H32)</f>
        <v>0</v>
      </c>
      <c r="I32" s="49">
        <f>AVERAGE('29.10 KALAGI-MUKONO'!I32,'30.10-KALAGI-MUKONO'!I32,'1.11 KALAGI-MUKONO'!I32,'3.11 KALAGI-MUKONO'!I32,'31.10 KALAGI-MUKONO-24h'!I32,'2.11 KALAGI-MUKONO-24h'!I32,'4.11 KALAGI-MUKONO'!I32)</f>
        <v>2.1428571428571428</v>
      </c>
      <c r="J32" s="49">
        <f>AVERAGE('29.10 KALAGI-MUKONO'!J32,'30.10-KALAGI-MUKONO'!J32,'1.11 KALAGI-MUKONO'!J32,'3.11 KALAGI-MUKONO'!J32,'31.10 KALAGI-MUKONO-24h'!J32,'2.11 KALAGI-MUKONO-24h'!J32,'4.11 KALAGI-MUKONO'!J32)</f>
        <v>0.42857142857142855</v>
      </c>
      <c r="K32" s="49">
        <f>AVERAGE('29.10 KALAGI-MUKONO'!K32,'30.10-KALAGI-MUKONO'!K32,'1.11 KALAGI-MUKONO'!K32,'3.11 KALAGI-MUKONO'!K32,'31.10 KALAGI-MUKONO-24h'!K32,'2.11 KALAGI-MUKONO-24h'!K32,'4.11 KALAGI-MUKONO'!K32)</f>
        <v>0.14285714285714285</v>
      </c>
      <c r="L32" s="49">
        <f>AVERAGE('29.10 KALAGI-MUKONO'!L32,'30.10-KALAGI-MUKONO'!L32,'1.11 KALAGI-MUKONO'!L32,'3.11 KALAGI-MUKONO'!L32,'31.10 KALAGI-MUKONO-24h'!L32,'2.11 KALAGI-MUKONO-24h'!L32,'4.11 KALAGI-MUKONO'!L32)</f>
        <v>0</v>
      </c>
      <c r="M32" s="49">
        <f>AVERAGE('29.10 KALAGI-MUKONO'!M32,'30.10-KALAGI-MUKONO'!M32,'1.11 KALAGI-MUKONO'!M32,'3.11 KALAGI-MUKONO'!M32,'31.10 KALAGI-MUKONO-24h'!M32,'2.11 KALAGI-MUKONO-24h'!M32,'4.11 KALAGI-MUKONO'!M32)</f>
        <v>20.428571428571427</v>
      </c>
      <c r="N32" s="49">
        <f>AVERAGE('29.10 KALAGI-MUKONO'!N32,'30.10-KALAGI-MUKONO'!N32,'1.11 KALAGI-MUKONO'!N32,'3.11 KALAGI-MUKONO'!N32,'31.10 KALAGI-MUKONO-24h'!N32,'2.11 KALAGI-MUKONO-24h'!N32,'4.11 KALAGI-MUKONO'!N32)</f>
        <v>0</v>
      </c>
      <c r="O32" s="15">
        <f t="shared" si="0"/>
        <v>23.142857142857139</v>
      </c>
      <c r="P32" s="15">
        <f t="shared" si="1"/>
        <v>43.571428571428569</v>
      </c>
      <c r="R32" s="1" t="s">
        <v>156</v>
      </c>
      <c r="S32" s="34">
        <f>SUM(C98:C101)</f>
        <v>23</v>
      </c>
      <c r="T32" s="34">
        <f t="shared" ref="T32:AF32" si="24">SUM(D98:D101)</f>
        <v>2.5</v>
      </c>
      <c r="U32" s="34">
        <f t="shared" si="24"/>
        <v>4</v>
      </c>
      <c r="V32" s="34">
        <f t="shared" si="24"/>
        <v>30</v>
      </c>
      <c r="W32" s="34">
        <f t="shared" si="24"/>
        <v>0</v>
      </c>
      <c r="X32" s="34">
        <f t="shared" si="24"/>
        <v>2</v>
      </c>
      <c r="Y32" s="34">
        <f t="shared" si="24"/>
        <v>7.5</v>
      </c>
      <c r="Z32" s="34">
        <f t="shared" si="24"/>
        <v>0</v>
      </c>
      <c r="AA32" s="34">
        <f t="shared" si="24"/>
        <v>0</v>
      </c>
      <c r="AB32" s="34">
        <f t="shared" si="24"/>
        <v>2.5</v>
      </c>
      <c r="AC32" s="34">
        <f t="shared" si="24"/>
        <v>18.5</v>
      </c>
      <c r="AD32" s="34">
        <f t="shared" si="24"/>
        <v>0</v>
      </c>
      <c r="AE32" s="31">
        <f t="shared" si="24"/>
        <v>71.5</v>
      </c>
      <c r="AF32" s="31">
        <f t="shared" si="24"/>
        <v>90</v>
      </c>
    </row>
    <row r="33" spans="2:32" ht="23.1" customHeight="1" x14ac:dyDescent="0.25">
      <c r="B33" s="23" t="s">
        <v>60</v>
      </c>
      <c r="C33" s="49">
        <f>AVERAGE('29.10 KALAGI-MUKONO'!C33,'30.10-KALAGI-MUKONO'!C33,'1.11 KALAGI-MUKONO'!C33,'3.11 KALAGI-MUKONO'!C33,'31.10 KALAGI-MUKONO-24h'!C33,'2.11 KALAGI-MUKONO-24h'!C33,'4.11 KALAGI-MUKONO'!C33)</f>
        <v>8.7142857142857135</v>
      </c>
      <c r="D33" s="49">
        <f>AVERAGE('29.10 KALAGI-MUKONO'!D33,'30.10-KALAGI-MUKONO'!D33,'1.11 KALAGI-MUKONO'!D33,'3.11 KALAGI-MUKONO'!D33,'31.10 KALAGI-MUKONO-24h'!D33,'2.11 KALAGI-MUKONO-24h'!D33,'4.11 KALAGI-MUKONO'!D33)</f>
        <v>2.2857142857142856</v>
      </c>
      <c r="E33" s="49">
        <f>AVERAGE('29.10 KALAGI-MUKONO'!E33,'30.10-KALAGI-MUKONO'!E33,'1.11 KALAGI-MUKONO'!E33,'3.11 KALAGI-MUKONO'!E33,'31.10 KALAGI-MUKONO-24h'!E33,'2.11 KALAGI-MUKONO-24h'!E33,'4.11 KALAGI-MUKONO'!E33)</f>
        <v>1.7142857142857142</v>
      </c>
      <c r="F33" s="49">
        <f>AVERAGE('29.10 KALAGI-MUKONO'!F33,'30.10-KALAGI-MUKONO'!F33,'1.11 KALAGI-MUKONO'!F33,'3.11 KALAGI-MUKONO'!F33,'31.10 KALAGI-MUKONO-24h'!F33,'2.11 KALAGI-MUKONO-24h'!F33,'4.11 KALAGI-MUKONO'!F33)</f>
        <v>7</v>
      </c>
      <c r="G33" s="49">
        <f>AVERAGE('29.10 KALAGI-MUKONO'!G33,'30.10-KALAGI-MUKONO'!G33,'1.11 KALAGI-MUKONO'!G33,'3.11 KALAGI-MUKONO'!G33,'31.10 KALAGI-MUKONO-24h'!G33,'2.11 KALAGI-MUKONO-24h'!G33,'4.11 KALAGI-MUKONO'!G33)</f>
        <v>0.2857142857142857</v>
      </c>
      <c r="H33" s="49">
        <f>AVERAGE('29.10 KALAGI-MUKONO'!H33,'30.10-KALAGI-MUKONO'!H33,'1.11 KALAGI-MUKONO'!H33,'3.11 KALAGI-MUKONO'!H33,'31.10 KALAGI-MUKONO-24h'!H33,'2.11 KALAGI-MUKONO-24h'!H33,'4.11 KALAGI-MUKONO'!H33)</f>
        <v>0</v>
      </c>
      <c r="I33" s="49">
        <f>AVERAGE('29.10 KALAGI-MUKONO'!I33,'30.10-KALAGI-MUKONO'!I33,'1.11 KALAGI-MUKONO'!I33,'3.11 KALAGI-MUKONO'!I33,'31.10 KALAGI-MUKONO-24h'!I33,'2.11 KALAGI-MUKONO-24h'!I33,'4.11 KALAGI-MUKONO'!I33)</f>
        <v>2.5714285714285716</v>
      </c>
      <c r="J33" s="49">
        <f>AVERAGE('29.10 KALAGI-MUKONO'!J33,'30.10-KALAGI-MUKONO'!J33,'1.11 KALAGI-MUKONO'!J33,'3.11 KALAGI-MUKONO'!J33,'31.10 KALAGI-MUKONO-24h'!J33,'2.11 KALAGI-MUKONO-24h'!J33,'4.11 KALAGI-MUKONO'!J33)</f>
        <v>0.14285714285714285</v>
      </c>
      <c r="K33" s="49">
        <f>AVERAGE('29.10 KALAGI-MUKONO'!K33,'30.10-KALAGI-MUKONO'!K33,'1.11 KALAGI-MUKONO'!K33,'3.11 KALAGI-MUKONO'!K33,'31.10 KALAGI-MUKONO-24h'!K33,'2.11 KALAGI-MUKONO-24h'!K33,'4.11 KALAGI-MUKONO'!K33)</f>
        <v>0.2857142857142857</v>
      </c>
      <c r="L33" s="49">
        <f>AVERAGE('29.10 KALAGI-MUKONO'!L33,'30.10-KALAGI-MUKONO'!L33,'1.11 KALAGI-MUKONO'!L33,'3.11 KALAGI-MUKONO'!L33,'31.10 KALAGI-MUKONO-24h'!L33,'2.11 KALAGI-MUKONO-24h'!L33,'4.11 KALAGI-MUKONO'!L33)</f>
        <v>0</v>
      </c>
      <c r="M33" s="49">
        <f>AVERAGE('29.10 KALAGI-MUKONO'!M33,'30.10-KALAGI-MUKONO'!M33,'1.11 KALAGI-MUKONO'!M33,'3.11 KALAGI-MUKONO'!M33,'31.10 KALAGI-MUKONO-24h'!M33,'2.11 KALAGI-MUKONO-24h'!M33,'4.11 KALAGI-MUKONO'!M33)</f>
        <v>19.714285714285715</v>
      </c>
      <c r="N33" s="49">
        <f>AVERAGE('29.10 KALAGI-MUKONO'!N33,'30.10-KALAGI-MUKONO'!N33,'1.11 KALAGI-MUKONO'!N33,'3.11 KALAGI-MUKONO'!N33,'31.10 KALAGI-MUKONO-24h'!N33,'2.11 KALAGI-MUKONO-24h'!N33,'4.11 KALAGI-MUKONO'!N33)</f>
        <v>0</v>
      </c>
      <c r="O33" s="15">
        <f t="shared" si="0"/>
        <v>23</v>
      </c>
      <c r="P33" s="15">
        <f t="shared" si="1"/>
        <v>42.714285714285715</v>
      </c>
      <c r="R33" s="1" t="s">
        <v>157</v>
      </c>
      <c r="S33" s="34">
        <f>SUM(C102:C105)</f>
        <v>18.5</v>
      </c>
      <c r="T33" s="34">
        <f t="shared" ref="T33:AF33" si="25">SUM(D102:D105)</f>
        <v>4.5</v>
      </c>
      <c r="U33" s="34">
        <f t="shared" si="25"/>
        <v>4.5</v>
      </c>
      <c r="V33" s="34">
        <f t="shared" si="25"/>
        <v>38.5</v>
      </c>
      <c r="W33" s="34">
        <f t="shared" si="25"/>
        <v>5</v>
      </c>
      <c r="X33" s="34">
        <f t="shared" si="25"/>
        <v>0</v>
      </c>
      <c r="Y33" s="34">
        <f t="shared" si="25"/>
        <v>12.5</v>
      </c>
      <c r="Z33" s="34">
        <f t="shared" si="25"/>
        <v>1.5</v>
      </c>
      <c r="AA33" s="34">
        <f t="shared" si="25"/>
        <v>0</v>
      </c>
      <c r="AB33" s="34">
        <f t="shared" si="25"/>
        <v>1.5</v>
      </c>
      <c r="AC33" s="34">
        <f t="shared" si="25"/>
        <v>55.5</v>
      </c>
      <c r="AD33" s="34">
        <f t="shared" si="25"/>
        <v>0</v>
      </c>
      <c r="AE33" s="31">
        <f t="shared" si="25"/>
        <v>86.5</v>
      </c>
      <c r="AF33" s="31">
        <f t="shared" si="25"/>
        <v>142</v>
      </c>
    </row>
    <row r="34" spans="2:32" ht="23.1" customHeight="1" x14ac:dyDescent="0.25">
      <c r="B34" s="24" t="s">
        <v>61</v>
      </c>
      <c r="C34" s="49">
        <f>AVERAGE('29.10 KALAGI-MUKONO'!C34,'30.10-KALAGI-MUKONO'!C34,'1.11 KALAGI-MUKONO'!C34,'3.11 KALAGI-MUKONO'!C34,'31.10 KALAGI-MUKONO-24h'!C34,'2.11 KALAGI-MUKONO-24h'!C34,'4.11 KALAGI-MUKONO'!C34)</f>
        <v>7.1428571428571432</v>
      </c>
      <c r="D34" s="49">
        <f>AVERAGE('29.10 KALAGI-MUKONO'!D34,'30.10-KALAGI-MUKONO'!D34,'1.11 KALAGI-MUKONO'!D34,'3.11 KALAGI-MUKONO'!D34,'31.10 KALAGI-MUKONO-24h'!D34,'2.11 KALAGI-MUKONO-24h'!D34,'4.11 KALAGI-MUKONO'!D34)</f>
        <v>3</v>
      </c>
      <c r="E34" s="49">
        <f>AVERAGE('29.10 KALAGI-MUKONO'!E34,'30.10-KALAGI-MUKONO'!E34,'1.11 KALAGI-MUKONO'!E34,'3.11 KALAGI-MUKONO'!E34,'31.10 KALAGI-MUKONO-24h'!E34,'2.11 KALAGI-MUKONO-24h'!E34,'4.11 KALAGI-MUKONO'!E34)</f>
        <v>1.8571428571428572</v>
      </c>
      <c r="F34" s="49">
        <f>AVERAGE('29.10 KALAGI-MUKONO'!F34,'30.10-KALAGI-MUKONO'!F34,'1.11 KALAGI-MUKONO'!F34,'3.11 KALAGI-MUKONO'!F34,'31.10 KALAGI-MUKONO-24h'!F34,'2.11 KALAGI-MUKONO-24h'!F34,'4.11 KALAGI-MUKONO'!F34)</f>
        <v>7.1428571428571432</v>
      </c>
      <c r="G34" s="49">
        <f>AVERAGE('29.10 KALAGI-MUKONO'!G34,'30.10-KALAGI-MUKONO'!G34,'1.11 KALAGI-MUKONO'!G34,'3.11 KALAGI-MUKONO'!G34,'31.10 KALAGI-MUKONO-24h'!G34,'2.11 KALAGI-MUKONO-24h'!G34,'4.11 KALAGI-MUKONO'!G34)</f>
        <v>0.2857142857142857</v>
      </c>
      <c r="H34" s="49">
        <f>AVERAGE('29.10 KALAGI-MUKONO'!H34,'30.10-KALAGI-MUKONO'!H34,'1.11 KALAGI-MUKONO'!H34,'3.11 KALAGI-MUKONO'!H34,'31.10 KALAGI-MUKONO-24h'!H34,'2.11 KALAGI-MUKONO-24h'!H34,'4.11 KALAGI-MUKONO'!H34)</f>
        <v>0</v>
      </c>
      <c r="I34" s="49">
        <f>AVERAGE('29.10 KALAGI-MUKONO'!I34,'30.10-KALAGI-MUKONO'!I34,'1.11 KALAGI-MUKONO'!I34,'3.11 KALAGI-MUKONO'!I34,'31.10 KALAGI-MUKONO-24h'!I34,'2.11 KALAGI-MUKONO-24h'!I34,'4.11 KALAGI-MUKONO'!I34)</f>
        <v>3.2857142857142856</v>
      </c>
      <c r="J34" s="49">
        <f>AVERAGE('29.10 KALAGI-MUKONO'!J34,'30.10-KALAGI-MUKONO'!J34,'1.11 KALAGI-MUKONO'!J34,'3.11 KALAGI-MUKONO'!J34,'31.10 KALAGI-MUKONO-24h'!J34,'2.11 KALAGI-MUKONO-24h'!J34,'4.11 KALAGI-MUKONO'!J34)</f>
        <v>0.7142857142857143</v>
      </c>
      <c r="K34" s="49">
        <f>AVERAGE('29.10 KALAGI-MUKONO'!K34,'30.10-KALAGI-MUKONO'!K34,'1.11 KALAGI-MUKONO'!K34,'3.11 KALAGI-MUKONO'!K34,'31.10 KALAGI-MUKONO-24h'!K34,'2.11 KALAGI-MUKONO-24h'!K34,'4.11 KALAGI-MUKONO'!K34)</f>
        <v>0.42857142857142855</v>
      </c>
      <c r="L34" s="49">
        <f>AVERAGE('29.10 KALAGI-MUKONO'!L34,'30.10-KALAGI-MUKONO'!L34,'1.11 KALAGI-MUKONO'!L34,'3.11 KALAGI-MUKONO'!L34,'31.10 KALAGI-MUKONO-24h'!L34,'2.11 KALAGI-MUKONO-24h'!L34,'4.11 KALAGI-MUKONO'!L34)</f>
        <v>0</v>
      </c>
      <c r="M34" s="49">
        <f>AVERAGE('29.10 KALAGI-MUKONO'!M34,'30.10-KALAGI-MUKONO'!M34,'1.11 KALAGI-MUKONO'!M34,'3.11 KALAGI-MUKONO'!M34,'31.10 KALAGI-MUKONO-24h'!M34,'2.11 KALAGI-MUKONO-24h'!M34,'4.11 KALAGI-MUKONO'!M34)</f>
        <v>19.142857142857142</v>
      </c>
      <c r="N34" s="49">
        <f>AVERAGE('29.10 KALAGI-MUKONO'!N34,'30.10-KALAGI-MUKONO'!N34,'1.11 KALAGI-MUKONO'!N34,'3.11 KALAGI-MUKONO'!N34,'31.10 KALAGI-MUKONO-24h'!N34,'2.11 KALAGI-MUKONO-24h'!N34,'4.11 KALAGI-MUKONO'!N34)</f>
        <v>0</v>
      </c>
      <c r="O34" s="15">
        <f t="shared" si="0"/>
        <v>23.857142857142854</v>
      </c>
      <c r="P34" s="15">
        <f t="shared" si="1"/>
        <v>43</v>
      </c>
      <c r="R34" s="38" t="s">
        <v>90</v>
      </c>
      <c r="S34" s="39">
        <f t="shared" ref="S34:AF34" si="26">MAX(S10:S12)</f>
        <v>26.714285714285715</v>
      </c>
      <c r="T34" s="39">
        <f t="shared" si="26"/>
        <v>5.8571428571428577</v>
      </c>
      <c r="U34" s="39">
        <f t="shared" si="26"/>
        <v>5.5714285714285712</v>
      </c>
      <c r="V34" s="39">
        <f t="shared" si="26"/>
        <v>36.714285714285715</v>
      </c>
      <c r="W34" s="39">
        <f t="shared" si="26"/>
        <v>2.8571428571428568</v>
      </c>
      <c r="X34" s="39">
        <f t="shared" si="26"/>
        <v>0.14285714285714285</v>
      </c>
      <c r="Y34" s="39">
        <f t="shared" si="26"/>
        <v>8.8571428571428577</v>
      </c>
      <c r="Z34" s="39">
        <f t="shared" si="26"/>
        <v>2.1428571428571428</v>
      </c>
      <c r="AA34" s="39">
        <f t="shared" si="26"/>
        <v>0.71428571428571419</v>
      </c>
      <c r="AB34" s="39">
        <f t="shared" si="26"/>
        <v>0.2857142857142857</v>
      </c>
      <c r="AC34" s="39">
        <f t="shared" si="26"/>
        <v>110.85714285714285</v>
      </c>
      <c r="AD34" s="39">
        <f t="shared" si="26"/>
        <v>0.2857142857142857</v>
      </c>
      <c r="AE34" s="40">
        <f t="shared" si="26"/>
        <v>83.285714285714292</v>
      </c>
      <c r="AF34" s="40">
        <f t="shared" si="26"/>
        <v>194.14285714285711</v>
      </c>
    </row>
    <row r="35" spans="2:32" ht="23.1" customHeight="1" x14ac:dyDescent="0.25">
      <c r="B35" s="24" t="s">
        <v>62</v>
      </c>
      <c r="C35" s="49">
        <f>AVERAGE('29.10 KALAGI-MUKONO'!C35,'30.10-KALAGI-MUKONO'!C35,'1.11 KALAGI-MUKONO'!C35,'3.11 KALAGI-MUKONO'!C35,'31.10 KALAGI-MUKONO-24h'!C35,'2.11 KALAGI-MUKONO-24h'!C35,'4.11 KALAGI-MUKONO'!C35)</f>
        <v>6.4285714285714288</v>
      </c>
      <c r="D35" s="49">
        <f>AVERAGE('29.10 KALAGI-MUKONO'!D35,'30.10-KALAGI-MUKONO'!D35,'1.11 KALAGI-MUKONO'!D35,'3.11 KALAGI-MUKONO'!D35,'31.10 KALAGI-MUKONO-24h'!D35,'2.11 KALAGI-MUKONO-24h'!D35,'4.11 KALAGI-MUKONO'!D35)</f>
        <v>2.7142857142857144</v>
      </c>
      <c r="E35" s="49">
        <f>AVERAGE('29.10 KALAGI-MUKONO'!E35,'30.10-KALAGI-MUKONO'!E35,'1.11 KALAGI-MUKONO'!E35,'3.11 KALAGI-MUKONO'!E35,'31.10 KALAGI-MUKONO-24h'!E35,'2.11 KALAGI-MUKONO-24h'!E35,'4.11 KALAGI-MUKONO'!E35)</f>
        <v>2.1428571428571428</v>
      </c>
      <c r="F35" s="49">
        <f>AVERAGE('29.10 KALAGI-MUKONO'!F35,'30.10-KALAGI-MUKONO'!F35,'1.11 KALAGI-MUKONO'!F35,'3.11 KALAGI-MUKONO'!F35,'31.10 KALAGI-MUKONO-24h'!F35,'2.11 KALAGI-MUKONO-24h'!F35,'4.11 KALAGI-MUKONO'!F35)</f>
        <v>8.5714285714285712</v>
      </c>
      <c r="G35" s="49">
        <f>AVERAGE('29.10 KALAGI-MUKONO'!G35,'30.10-KALAGI-MUKONO'!G35,'1.11 KALAGI-MUKONO'!G35,'3.11 KALAGI-MUKONO'!G35,'31.10 KALAGI-MUKONO-24h'!G35,'2.11 KALAGI-MUKONO-24h'!G35,'4.11 KALAGI-MUKONO'!G35)</f>
        <v>0</v>
      </c>
      <c r="H35" s="49">
        <f>AVERAGE('29.10 KALAGI-MUKONO'!H35,'30.10-KALAGI-MUKONO'!H35,'1.11 KALAGI-MUKONO'!H35,'3.11 KALAGI-MUKONO'!H35,'31.10 KALAGI-MUKONO-24h'!H35,'2.11 KALAGI-MUKONO-24h'!H35,'4.11 KALAGI-MUKONO'!H35)</f>
        <v>0</v>
      </c>
      <c r="I35" s="49">
        <f>AVERAGE('29.10 KALAGI-MUKONO'!I35,'30.10-KALAGI-MUKONO'!I35,'1.11 KALAGI-MUKONO'!I35,'3.11 KALAGI-MUKONO'!I35,'31.10 KALAGI-MUKONO-24h'!I35,'2.11 KALAGI-MUKONO-24h'!I35,'4.11 KALAGI-MUKONO'!I35)</f>
        <v>2.2857142857142856</v>
      </c>
      <c r="J35" s="49">
        <f>AVERAGE('29.10 KALAGI-MUKONO'!J35,'30.10-KALAGI-MUKONO'!J35,'1.11 KALAGI-MUKONO'!J35,'3.11 KALAGI-MUKONO'!J35,'31.10 KALAGI-MUKONO-24h'!J35,'2.11 KALAGI-MUKONO-24h'!J35,'4.11 KALAGI-MUKONO'!J35)</f>
        <v>0.14285714285714285</v>
      </c>
      <c r="K35" s="49">
        <f>AVERAGE('29.10 KALAGI-MUKONO'!K35,'30.10-KALAGI-MUKONO'!K35,'1.11 KALAGI-MUKONO'!K35,'3.11 KALAGI-MUKONO'!K35,'31.10 KALAGI-MUKONO-24h'!K35,'2.11 KALAGI-MUKONO-24h'!K35,'4.11 KALAGI-MUKONO'!K35)</f>
        <v>0.14285714285714285</v>
      </c>
      <c r="L35" s="49">
        <f>AVERAGE('29.10 KALAGI-MUKONO'!L35,'30.10-KALAGI-MUKONO'!L35,'1.11 KALAGI-MUKONO'!L35,'3.11 KALAGI-MUKONO'!L35,'31.10 KALAGI-MUKONO-24h'!L35,'2.11 KALAGI-MUKONO-24h'!L35,'4.11 KALAGI-MUKONO'!L35)</f>
        <v>0</v>
      </c>
      <c r="M35" s="49">
        <f>AVERAGE('29.10 KALAGI-MUKONO'!M35,'30.10-KALAGI-MUKONO'!M35,'1.11 KALAGI-MUKONO'!M35,'3.11 KALAGI-MUKONO'!M35,'31.10 KALAGI-MUKONO-24h'!M35,'2.11 KALAGI-MUKONO-24h'!M35,'4.11 KALAGI-MUKONO'!M35)</f>
        <v>19.142857142857142</v>
      </c>
      <c r="N35" s="49">
        <f>AVERAGE('29.10 KALAGI-MUKONO'!N35,'30.10-KALAGI-MUKONO'!N35,'1.11 KALAGI-MUKONO'!N35,'3.11 KALAGI-MUKONO'!N35,'31.10 KALAGI-MUKONO-24h'!N35,'2.11 KALAGI-MUKONO-24h'!N35,'4.11 KALAGI-MUKONO'!N35)</f>
        <v>0</v>
      </c>
      <c r="O35" s="15">
        <f t="shared" si="0"/>
        <v>22.428571428571423</v>
      </c>
      <c r="P35" s="15">
        <f t="shared" si="1"/>
        <v>41.571428571428569</v>
      </c>
      <c r="R35" s="38" t="s">
        <v>91</v>
      </c>
      <c r="S35" s="39">
        <f t="shared" ref="S35:AF35" si="27">MAX(S13:S18)</f>
        <v>41.571428571428569</v>
      </c>
      <c r="T35" s="39">
        <f t="shared" si="27"/>
        <v>12.571428571428573</v>
      </c>
      <c r="U35" s="39">
        <f t="shared" si="27"/>
        <v>7.4285714285714288</v>
      </c>
      <c r="V35" s="39">
        <f t="shared" si="27"/>
        <v>35.571428571428569</v>
      </c>
      <c r="W35" s="39">
        <f t="shared" si="27"/>
        <v>1.5714285714285712</v>
      </c>
      <c r="X35" s="39">
        <f t="shared" si="27"/>
        <v>0.14285714285714285</v>
      </c>
      <c r="Y35" s="39">
        <f t="shared" si="27"/>
        <v>11.571428571428569</v>
      </c>
      <c r="Z35" s="39">
        <f t="shared" si="27"/>
        <v>2.714285714285714</v>
      </c>
      <c r="AA35" s="39">
        <f t="shared" si="27"/>
        <v>1.714285714285714</v>
      </c>
      <c r="AB35" s="39">
        <f t="shared" si="27"/>
        <v>1.1428571428571428</v>
      </c>
      <c r="AC35" s="39">
        <f t="shared" si="27"/>
        <v>101.42857142857143</v>
      </c>
      <c r="AD35" s="39">
        <f t="shared" si="27"/>
        <v>0.2857142857142857</v>
      </c>
      <c r="AE35" s="40">
        <f t="shared" si="27"/>
        <v>111.14285714285714</v>
      </c>
      <c r="AF35" s="40">
        <f t="shared" si="27"/>
        <v>202.71428571428569</v>
      </c>
    </row>
    <row r="36" spans="2:32" ht="23.1" customHeight="1" x14ac:dyDescent="0.25">
      <c r="B36" s="24" t="s">
        <v>63</v>
      </c>
      <c r="C36" s="49">
        <f>AVERAGE('29.10 KALAGI-MUKONO'!C36,'30.10-KALAGI-MUKONO'!C36,'1.11 KALAGI-MUKONO'!C36,'3.11 KALAGI-MUKONO'!C36,'31.10 KALAGI-MUKONO-24h'!C36,'2.11 KALAGI-MUKONO-24h'!C36,'4.11 KALAGI-MUKONO'!C36)</f>
        <v>8.5714285714285712</v>
      </c>
      <c r="D36" s="49">
        <f>AVERAGE('29.10 KALAGI-MUKONO'!D36,'30.10-KALAGI-MUKONO'!D36,'1.11 KALAGI-MUKONO'!D36,'3.11 KALAGI-MUKONO'!D36,'31.10 KALAGI-MUKONO-24h'!D36,'2.11 KALAGI-MUKONO-24h'!D36,'4.11 KALAGI-MUKONO'!D36)</f>
        <v>2.8571428571428572</v>
      </c>
      <c r="E36" s="49">
        <f>AVERAGE('29.10 KALAGI-MUKONO'!E36,'30.10-KALAGI-MUKONO'!E36,'1.11 KALAGI-MUKONO'!E36,'3.11 KALAGI-MUKONO'!E36,'31.10 KALAGI-MUKONO-24h'!E36,'2.11 KALAGI-MUKONO-24h'!E36,'4.11 KALAGI-MUKONO'!E36)</f>
        <v>1.5714285714285714</v>
      </c>
      <c r="F36" s="49">
        <f>AVERAGE('29.10 KALAGI-MUKONO'!F36,'30.10-KALAGI-MUKONO'!F36,'1.11 KALAGI-MUKONO'!F36,'3.11 KALAGI-MUKONO'!F36,'31.10 KALAGI-MUKONO-24h'!F36,'2.11 KALAGI-MUKONO-24h'!F36,'4.11 KALAGI-MUKONO'!F36)</f>
        <v>6.8571428571428568</v>
      </c>
      <c r="G36" s="49">
        <f>AVERAGE('29.10 KALAGI-MUKONO'!G36,'30.10-KALAGI-MUKONO'!G36,'1.11 KALAGI-MUKONO'!G36,'3.11 KALAGI-MUKONO'!G36,'31.10 KALAGI-MUKONO-24h'!G36,'2.11 KALAGI-MUKONO-24h'!G36,'4.11 KALAGI-MUKONO'!G36)</f>
        <v>0</v>
      </c>
      <c r="H36" s="49">
        <f>AVERAGE('29.10 KALAGI-MUKONO'!H36,'30.10-KALAGI-MUKONO'!H36,'1.11 KALAGI-MUKONO'!H36,'3.11 KALAGI-MUKONO'!H36,'31.10 KALAGI-MUKONO-24h'!H36,'2.11 KALAGI-MUKONO-24h'!H36,'4.11 KALAGI-MUKONO'!H36)</f>
        <v>0</v>
      </c>
      <c r="I36" s="49">
        <f>AVERAGE('29.10 KALAGI-MUKONO'!I36,'30.10-KALAGI-MUKONO'!I36,'1.11 KALAGI-MUKONO'!I36,'3.11 KALAGI-MUKONO'!I36,'31.10 KALAGI-MUKONO-24h'!I36,'2.11 KALAGI-MUKONO-24h'!I36,'4.11 KALAGI-MUKONO'!I36)</f>
        <v>2.7142857142857144</v>
      </c>
      <c r="J36" s="49">
        <f>AVERAGE('29.10 KALAGI-MUKONO'!J36,'30.10-KALAGI-MUKONO'!J36,'1.11 KALAGI-MUKONO'!J36,'3.11 KALAGI-MUKONO'!J36,'31.10 KALAGI-MUKONO-24h'!J36,'2.11 KALAGI-MUKONO-24h'!J36,'4.11 KALAGI-MUKONO'!J36)</f>
        <v>0.2857142857142857</v>
      </c>
      <c r="K36" s="49">
        <f>AVERAGE('29.10 KALAGI-MUKONO'!K36,'30.10-KALAGI-MUKONO'!K36,'1.11 KALAGI-MUKONO'!K36,'3.11 KALAGI-MUKONO'!K36,'31.10 KALAGI-MUKONO-24h'!K36,'2.11 KALAGI-MUKONO-24h'!K36,'4.11 KALAGI-MUKONO'!K36)</f>
        <v>0.2857142857142857</v>
      </c>
      <c r="L36" s="49">
        <f>AVERAGE('29.10 KALAGI-MUKONO'!L36,'30.10-KALAGI-MUKONO'!L36,'1.11 KALAGI-MUKONO'!L36,'3.11 KALAGI-MUKONO'!L36,'31.10 KALAGI-MUKONO-24h'!L36,'2.11 KALAGI-MUKONO-24h'!L36,'4.11 KALAGI-MUKONO'!L36)</f>
        <v>0</v>
      </c>
      <c r="M36" s="49">
        <f>AVERAGE('29.10 KALAGI-MUKONO'!M36,'30.10-KALAGI-MUKONO'!M36,'1.11 KALAGI-MUKONO'!M36,'3.11 KALAGI-MUKONO'!M36,'31.10 KALAGI-MUKONO-24h'!M36,'2.11 KALAGI-MUKONO-24h'!M36,'4.11 KALAGI-MUKONO'!M36)</f>
        <v>23.428571428571427</v>
      </c>
      <c r="N36" s="49">
        <f>AVERAGE('29.10 KALAGI-MUKONO'!N36,'30.10-KALAGI-MUKONO'!N36,'1.11 KALAGI-MUKONO'!N36,'3.11 KALAGI-MUKONO'!N36,'31.10 KALAGI-MUKONO-24h'!N36,'2.11 KALAGI-MUKONO-24h'!N36,'4.11 KALAGI-MUKONO'!N36)</f>
        <v>0</v>
      </c>
      <c r="O36" s="15">
        <f t="shared" si="0"/>
        <v>23.142857142857142</v>
      </c>
      <c r="P36" s="15">
        <f t="shared" si="1"/>
        <v>46.571428571428569</v>
      </c>
      <c r="R36" s="38" t="s">
        <v>92</v>
      </c>
      <c r="S36" s="39">
        <f t="shared" ref="S36:AF36" si="28">MAX(S19:S21)</f>
        <v>49</v>
      </c>
      <c r="T36" s="39">
        <f t="shared" si="28"/>
        <v>13.714285714285715</v>
      </c>
      <c r="U36" s="39">
        <f t="shared" si="28"/>
        <v>11.285714285714286</v>
      </c>
      <c r="V36" s="39">
        <f t="shared" si="28"/>
        <v>42.571428571428569</v>
      </c>
      <c r="W36" s="39">
        <f t="shared" si="28"/>
        <v>2</v>
      </c>
      <c r="X36" s="39">
        <f t="shared" si="28"/>
        <v>0.5714285714285714</v>
      </c>
      <c r="Y36" s="39">
        <f t="shared" si="28"/>
        <v>11.285714285714285</v>
      </c>
      <c r="Z36" s="39">
        <f t="shared" si="28"/>
        <v>3.5714285714285712</v>
      </c>
      <c r="AA36" s="39">
        <f t="shared" si="28"/>
        <v>1.7142857142857142</v>
      </c>
      <c r="AB36" s="39">
        <f t="shared" si="28"/>
        <v>1.1428571428571428</v>
      </c>
      <c r="AC36" s="39">
        <f t="shared" si="28"/>
        <v>104.85714285714286</v>
      </c>
      <c r="AD36" s="39">
        <f t="shared" si="28"/>
        <v>0.14285714285714285</v>
      </c>
      <c r="AE36" s="40">
        <f t="shared" si="28"/>
        <v>126.14285714285714</v>
      </c>
      <c r="AF36" s="40">
        <f t="shared" si="28"/>
        <v>231</v>
      </c>
    </row>
    <row r="37" spans="2:32" ht="23.1" customHeight="1" x14ac:dyDescent="0.25">
      <c r="B37" s="23" t="s">
        <v>64</v>
      </c>
      <c r="C37" s="49">
        <f>AVERAGE('29.10 KALAGI-MUKONO'!C37,'30.10-KALAGI-MUKONO'!C37,'1.11 KALAGI-MUKONO'!C37,'3.11 KALAGI-MUKONO'!C37,'31.10 KALAGI-MUKONO-24h'!C37,'2.11 KALAGI-MUKONO-24h'!C37,'4.11 KALAGI-MUKONO'!C37)</f>
        <v>10</v>
      </c>
      <c r="D37" s="49">
        <f>AVERAGE('29.10 KALAGI-MUKONO'!D37,'30.10-KALAGI-MUKONO'!D37,'1.11 KALAGI-MUKONO'!D37,'3.11 KALAGI-MUKONO'!D37,'31.10 KALAGI-MUKONO-24h'!D37,'2.11 KALAGI-MUKONO-24h'!D37,'4.11 KALAGI-MUKONO'!D37)</f>
        <v>1</v>
      </c>
      <c r="E37" s="49">
        <f>AVERAGE('29.10 KALAGI-MUKONO'!E37,'30.10-KALAGI-MUKONO'!E37,'1.11 KALAGI-MUKONO'!E37,'3.11 KALAGI-MUKONO'!E37,'31.10 KALAGI-MUKONO-24h'!E37,'2.11 KALAGI-MUKONO-24h'!E37,'4.11 KALAGI-MUKONO'!E37)</f>
        <v>1.8571428571428572</v>
      </c>
      <c r="F37" s="49">
        <f>AVERAGE('29.10 KALAGI-MUKONO'!F37,'30.10-KALAGI-MUKONO'!F37,'1.11 KALAGI-MUKONO'!F37,'3.11 KALAGI-MUKONO'!F37,'31.10 KALAGI-MUKONO-24h'!F37,'2.11 KALAGI-MUKONO-24h'!F37,'4.11 KALAGI-MUKONO'!F37)</f>
        <v>7.5714285714285712</v>
      </c>
      <c r="G37" s="49">
        <f>AVERAGE('29.10 KALAGI-MUKONO'!G37,'30.10-KALAGI-MUKONO'!G37,'1.11 KALAGI-MUKONO'!G37,'3.11 KALAGI-MUKONO'!G37,'31.10 KALAGI-MUKONO-24h'!G37,'2.11 KALAGI-MUKONO-24h'!G37,'4.11 KALAGI-MUKONO'!G37)</f>
        <v>0.2857142857142857</v>
      </c>
      <c r="H37" s="49">
        <f>AVERAGE('29.10 KALAGI-MUKONO'!H37,'30.10-KALAGI-MUKONO'!H37,'1.11 KALAGI-MUKONO'!H37,'3.11 KALAGI-MUKONO'!H37,'31.10 KALAGI-MUKONO-24h'!H37,'2.11 KALAGI-MUKONO-24h'!H37,'4.11 KALAGI-MUKONO'!H37)</f>
        <v>0.14285714285714285</v>
      </c>
      <c r="I37" s="49">
        <f>AVERAGE('29.10 KALAGI-MUKONO'!I37,'30.10-KALAGI-MUKONO'!I37,'1.11 KALAGI-MUKONO'!I37,'3.11 KALAGI-MUKONO'!I37,'31.10 KALAGI-MUKONO-24h'!I37,'2.11 KALAGI-MUKONO-24h'!I37,'4.11 KALAGI-MUKONO'!I37)</f>
        <v>3.2857142857142856</v>
      </c>
      <c r="J37" s="49">
        <f>AVERAGE('29.10 KALAGI-MUKONO'!J37,'30.10-KALAGI-MUKONO'!J37,'1.11 KALAGI-MUKONO'!J37,'3.11 KALAGI-MUKONO'!J37,'31.10 KALAGI-MUKONO-24h'!J37,'2.11 KALAGI-MUKONO-24h'!J37,'4.11 KALAGI-MUKONO'!J37)</f>
        <v>1</v>
      </c>
      <c r="K37" s="49">
        <f>AVERAGE('29.10 KALAGI-MUKONO'!K37,'30.10-KALAGI-MUKONO'!K37,'1.11 KALAGI-MUKONO'!K37,'3.11 KALAGI-MUKONO'!K37,'31.10 KALAGI-MUKONO-24h'!K37,'2.11 KALAGI-MUKONO-24h'!K37,'4.11 KALAGI-MUKONO'!K37)</f>
        <v>0.42857142857142855</v>
      </c>
      <c r="L37" s="49">
        <f>AVERAGE('29.10 KALAGI-MUKONO'!L37,'30.10-KALAGI-MUKONO'!L37,'1.11 KALAGI-MUKONO'!L37,'3.11 KALAGI-MUKONO'!L37,'31.10 KALAGI-MUKONO-24h'!L37,'2.11 KALAGI-MUKONO-24h'!L37,'4.11 KALAGI-MUKONO'!L37)</f>
        <v>0.42857142857142855</v>
      </c>
      <c r="M37" s="49">
        <f>AVERAGE('29.10 KALAGI-MUKONO'!M37,'30.10-KALAGI-MUKONO'!M37,'1.11 KALAGI-MUKONO'!M37,'3.11 KALAGI-MUKONO'!M37,'31.10 KALAGI-MUKONO-24h'!M37,'2.11 KALAGI-MUKONO-24h'!M37,'4.11 KALAGI-MUKONO'!M37)</f>
        <v>23.571428571428573</v>
      </c>
      <c r="N37" s="49">
        <f>AVERAGE('29.10 KALAGI-MUKONO'!N37,'30.10-KALAGI-MUKONO'!N37,'1.11 KALAGI-MUKONO'!N37,'3.11 KALAGI-MUKONO'!N37,'31.10 KALAGI-MUKONO-24h'!N37,'2.11 KALAGI-MUKONO-24h'!N37,'4.11 KALAGI-MUKONO'!N37)</f>
        <v>0</v>
      </c>
      <c r="O37" s="15">
        <f t="shared" si="0"/>
        <v>25.999999999999996</v>
      </c>
      <c r="P37" s="15">
        <f t="shared" si="1"/>
        <v>49.571428571428569</v>
      </c>
      <c r="R37" s="37" t="s">
        <v>85</v>
      </c>
      <c r="S37" s="35">
        <f t="shared" ref="S37:AF37" si="29">SUM(S10:S12)</f>
        <v>75.857142857142861</v>
      </c>
      <c r="T37" s="16">
        <f t="shared" si="29"/>
        <v>14.285714285714286</v>
      </c>
      <c r="U37" s="16">
        <f t="shared" si="29"/>
        <v>14.714285714285714</v>
      </c>
      <c r="V37" s="16">
        <f t="shared" si="29"/>
        <v>106.71428571428569</v>
      </c>
      <c r="W37" s="16">
        <f t="shared" si="29"/>
        <v>4.2857142857142847</v>
      </c>
      <c r="X37" s="16">
        <f t="shared" si="29"/>
        <v>0.14285714285714285</v>
      </c>
      <c r="Y37" s="16">
        <f t="shared" si="29"/>
        <v>24.857142857142858</v>
      </c>
      <c r="Z37" s="16">
        <f t="shared" si="29"/>
        <v>4.1428571428571423</v>
      </c>
      <c r="AA37" s="16">
        <f t="shared" si="29"/>
        <v>0.99999999999999989</v>
      </c>
      <c r="AB37" s="16">
        <f t="shared" si="29"/>
        <v>0.8571428571428571</v>
      </c>
      <c r="AC37" s="16">
        <f t="shared" si="29"/>
        <v>320</v>
      </c>
      <c r="AD37" s="16">
        <f t="shared" si="29"/>
        <v>0.5714285714285714</v>
      </c>
      <c r="AE37" s="32">
        <f t="shared" si="29"/>
        <v>247.42857142857142</v>
      </c>
      <c r="AF37" s="32">
        <f t="shared" si="29"/>
        <v>567.42857142857133</v>
      </c>
    </row>
    <row r="38" spans="2:32" ht="23.1" customHeight="1" x14ac:dyDescent="0.25">
      <c r="B38" s="24" t="s">
        <v>65</v>
      </c>
      <c r="C38" s="49">
        <f>AVERAGE('29.10 KALAGI-MUKONO'!C38,'30.10-KALAGI-MUKONO'!C38,'1.11 KALAGI-MUKONO'!C38,'3.11 KALAGI-MUKONO'!C38,'31.10 KALAGI-MUKONO-24h'!C38,'2.11 KALAGI-MUKONO-24h'!C38,'4.11 KALAGI-MUKONO'!C38)</f>
        <v>10</v>
      </c>
      <c r="D38" s="49">
        <f>AVERAGE('29.10 KALAGI-MUKONO'!D38,'30.10-KALAGI-MUKONO'!D38,'1.11 KALAGI-MUKONO'!D38,'3.11 KALAGI-MUKONO'!D38,'31.10 KALAGI-MUKONO-24h'!D38,'2.11 KALAGI-MUKONO-24h'!D38,'4.11 KALAGI-MUKONO'!D38)</f>
        <v>1.7142857142857142</v>
      </c>
      <c r="E38" s="49">
        <f>AVERAGE('29.10 KALAGI-MUKONO'!E38,'30.10-KALAGI-MUKONO'!E38,'1.11 KALAGI-MUKONO'!E38,'3.11 KALAGI-MUKONO'!E38,'31.10 KALAGI-MUKONO-24h'!E38,'2.11 KALAGI-MUKONO-24h'!E38,'4.11 KALAGI-MUKONO'!E38)</f>
        <v>1.8571428571428572</v>
      </c>
      <c r="F38" s="49">
        <f>AVERAGE('29.10 KALAGI-MUKONO'!F38,'30.10-KALAGI-MUKONO'!F38,'1.11 KALAGI-MUKONO'!F38,'3.11 KALAGI-MUKONO'!F38,'31.10 KALAGI-MUKONO-24h'!F38,'2.11 KALAGI-MUKONO-24h'!F38,'4.11 KALAGI-MUKONO'!F38)</f>
        <v>8</v>
      </c>
      <c r="G38" s="49">
        <f>AVERAGE('29.10 KALAGI-MUKONO'!G38,'30.10-KALAGI-MUKONO'!G38,'1.11 KALAGI-MUKONO'!G38,'3.11 KALAGI-MUKONO'!G38,'31.10 KALAGI-MUKONO-24h'!G38,'2.11 KALAGI-MUKONO-24h'!G38,'4.11 KALAGI-MUKONO'!G38)</f>
        <v>0</v>
      </c>
      <c r="H38" s="49">
        <f>AVERAGE('29.10 KALAGI-MUKONO'!H38,'30.10-KALAGI-MUKONO'!H38,'1.11 KALAGI-MUKONO'!H38,'3.11 KALAGI-MUKONO'!H38,'31.10 KALAGI-MUKONO-24h'!H38,'2.11 KALAGI-MUKONO-24h'!H38,'4.11 KALAGI-MUKONO'!H38)</f>
        <v>0</v>
      </c>
      <c r="I38" s="49">
        <f>AVERAGE('29.10 KALAGI-MUKONO'!I38,'30.10-KALAGI-MUKONO'!I38,'1.11 KALAGI-MUKONO'!I38,'3.11 KALAGI-MUKONO'!I38,'31.10 KALAGI-MUKONO-24h'!I38,'2.11 KALAGI-MUKONO-24h'!I38,'4.11 KALAGI-MUKONO'!I38)</f>
        <v>3.1428571428571428</v>
      </c>
      <c r="J38" s="49">
        <f>AVERAGE('29.10 KALAGI-MUKONO'!J38,'30.10-KALAGI-MUKONO'!J38,'1.11 KALAGI-MUKONO'!J38,'3.11 KALAGI-MUKONO'!J38,'31.10 KALAGI-MUKONO-24h'!J38,'2.11 KALAGI-MUKONO-24h'!J38,'4.11 KALAGI-MUKONO'!J38)</f>
        <v>0.2857142857142857</v>
      </c>
      <c r="K38" s="49">
        <f>AVERAGE('29.10 KALAGI-MUKONO'!K38,'30.10-KALAGI-MUKONO'!K38,'1.11 KALAGI-MUKONO'!K38,'3.11 KALAGI-MUKONO'!K38,'31.10 KALAGI-MUKONO-24h'!K38,'2.11 KALAGI-MUKONO-24h'!K38,'4.11 KALAGI-MUKONO'!K38)</f>
        <v>0.8571428571428571</v>
      </c>
      <c r="L38" s="49">
        <f>AVERAGE('29.10 KALAGI-MUKONO'!L38,'30.10-KALAGI-MUKONO'!L38,'1.11 KALAGI-MUKONO'!L38,'3.11 KALAGI-MUKONO'!L38,'31.10 KALAGI-MUKONO-24h'!L38,'2.11 KALAGI-MUKONO-24h'!L38,'4.11 KALAGI-MUKONO'!L38)</f>
        <v>0.5714285714285714</v>
      </c>
      <c r="M38" s="49">
        <f>AVERAGE('29.10 KALAGI-MUKONO'!M38,'30.10-KALAGI-MUKONO'!M38,'1.11 KALAGI-MUKONO'!M38,'3.11 KALAGI-MUKONO'!M38,'31.10 KALAGI-MUKONO-24h'!M38,'2.11 KALAGI-MUKONO-24h'!M38,'4.11 KALAGI-MUKONO'!M38)</f>
        <v>21</v>
      </c>
      <c r="N38" s="49">
        <f>AVERAGE('29.10 KALAGI-MUKONO'!N38,'30.10-KALAGI-MUKONO'!N38,'1.11 KALAGI-MUKONO'!N38,'3.11 KALAGI-MUKONO'!N38,'31.10 KALAGI-MUKONO-24h'!N38,'2.11 KALAGI-MUKONO-24h'!N38,'4.11 KALAGI-MUKONO'!N38)</f>
        <v>0.14285714285714285</v>
      </c>
      <c r="O38" s="15">
        <f t="shared" si="0"/>
        <v>26.571428571428569</v>
      </c>
      <c r="P38" s="15">
        <f t="shared" si="1"/>
        <v>47.571428571428577</v>
      </c>
      <c r="R38" s="28" t="s">
        <v>86</v>
      </c>
      <c r="S38" s="16">
        <f t="shared" ref="S38:AF38" si="30">SUM(S13:S18)</f>
        <v>200.85714285714283</v>
      </c>
      <c r="T38" s="16">
        <f t="shared" si="30"/>
        <v>50.714285714285708</v>
      </c>
      <c r="U38" s="16">
        <f t="shared" si="30"/>
        <v>40.857142857142861</v>
      </c>
      <c r="V38" s="16">
        <f t="shared" si="30"/>
        <v>194</v>
      </c>
      <c r="W38" s="16">
        <f t="shared" si="30"/>
        <v>5.4285714285714288</v>
      </c>
      <c r="X38" s="16">
        <f t="shared" si="30"/>
        <v>0.2857142857142857</v>
      </c>
      <c r="Y38" s="16">
        <f t="shared" si="30"/>
        <v>58.857142857142854</v>
      </c>
      <c r="Z38" s="16">
        <f t="shared" si="30"/>
        <v>12.571428571428571</v>
      </c>
      <c r="AA38" s="16">
        <f t="shared" si="30"/>
        <v>7.5714285714285703</v>
      </c>
      <c r="AB38" s="16">
        <f t="shared" si="30"/>
        <v>3.2857142857142856</v>
      </c>
      <c r="AC38" s="16">
        <f t="shared" si="30"/>
        <v>546.57142857142856</v>
      </c>
      <c r="AD38" s="16">
        <f t="shared" si="30"/>
        <v>0.42857142857142855</v>
      </c>
      <c r="AE38" s="32">
        <f t="shared" si="30"/>
        <v>574.85714285714278</v>
      </c>
      <c r="AF38" s="32">
        <f t="shared" si="30"/>
        <v>1121.4285714285716</v>
      </c>
    </row>
    <row r="39" spans="2:32" ht="23.1" customHeight="1" x14ac:dyDescent="0.25">
      <c r="B39" s="24" t="s">
        <v>66</v>
      </c>
      <c r="C39" s="49">
        <f>AVERAGE('29.10 KALAGI-MUKONO'!C39,'30.10-KALAGI-MUKONO'!C39,'1.11 KALAGI-MUKONO'!C39,'3.11 KALAGI-MUKONO'!C39,'31.10 KALAGI-MUKONO-24h'!C39,'2.11 KALAGI-MUKONO-24h'!C39,'4.11 KALAGI-MUKONO'!C39)</f>
        <v>8.7142857142857135</v>
      </c>
      <c r="D39" s="49">
        <f>AVERAGE('29.10 KALAGI-MUKONO'!D39,'30.10-KALAGI-MUKONO'!D39,'1.11 KALAGI-MUKONO'!D39,'3.11 KALAGI-MUKONO'!D39,'31.10 KALAGI-MUKONO-24h'!D39,'2.11 KALAGI-MUKONO-24h'!D39,'4.11 KALAGI-MUKONO'!D39)</f>
        <v>1.7142857142857142</v>
      </c>
      <c r="E39" s="49">
        <f>AVERAGE('29.10 KALAGI-MUKONO'!E39,'30.10-KALAGI-MUKONO'!E39,'1.11 KALAGI-MUKONO'!E39,'3.11 KALAGI-MUKONO'!E39,'31.10 KALAGI-MUKONO-24h'!E39,'2.11 KALAGI-MUKONO-24h'!E39,'4.11 KALAGI-MUKONO'!E39)</f>
        <v>0.8571428571428571</v>
      </c>
      <c r="F39" s="49">
        <f>AVERAGE('29.10 KALAGI-MUKONO'!F39,'30.10-KALAGI-MUKONO'!F39,'1.11 KALAGI-MUKONO'!F39,'3.11 KALAGI-MUKONO'!F39,'31.10 KALAGI-MUKONO-24h'!F39,'2.11 KALAGI-MUKONO-24h'!F39,'4.11 KALAGI-MUKONO'!F39)</f>
        <v>8.4285714285714288</v>
      </c>
      <c r="G39" s="49">
        <f>AVERAGE('29.10 KALAGI-MUKONO'!G39,'30.10-KALAGI-MUKONO'!G39,'1.11 KALAGI-MUKONO'!G39,'3.11 KALAGI-MUKONO'!G39,'31.10 KALAGI-MUKONO-24h'!G39,'2.11 KALAGI-MUKONO-24h'!G39,'4.11 KALAGI-MUKONO'!G39)</f>
        <v>0.14285714285714285</v>
      </c>
      <c r="H39" s="49">
        <f>AVERAGE('29.10 KALAGI-MUKONO'!H39,'30.10-KALAGI-MUKONO'!H39,'1.11 KALAGI-MUKONO'!H39,'3.11 KALAGI-MUKONO'!H39,'31.10 KALAGI-MUKONO-24h'!H39,'2.11 KALAGI-MUKONO-24h'!H39,'4.11 KALAGI-MUKONO'!H39)</f>
        <v>0</v>
      </c>
      <c r="I39" s="49">
        <f>AVERAGE('29.10 KALAGI-MUKONO'!I39,'30.10-KALAGI-MUKONO'!I39,'1.11 KALAGI-MUKONO'!I39,'3.11 KALAGI-MUKONO'!I39,'31.10 KALAGI-MUKONO-24h'!I39,'2.11 KALAGI-MUKONO-24h'!I39,'4.11 KALAGI-MUKONO'!I39)</f>
        <v>2.2857142857142856</v>
      </c>
      <c r="J39" s="49">
        <f>AVERAGE('29.10 KALAGI-MUKONO'!J39,'30.10-KALAGI-MUKONO'!J39,'1.11 KALAGI-MUKONO'!J39,'3.11 KALAGI-MUKONO'!J39,'31.10 KALAGI-MUKONO-24h'!J39,'2.11 KALAGI-MUKONO-24h'!J39,'4.11 KALAGI-MUKONO'!J39)</f>
        <v>0.14285714285714285</v>
      </c>
      <c r="K39" s="49">
        <f>AVERAGE('29.10 KALAGI-MUKONO'!K39,'30.10-KALAGI-MUKONO'!K39,'1.11 KALAGI-MUKONO'!K39,'3.11 KALAGI-MUKONO'!K39,'31.10 KALAGI-MUKONO-24h'!K39,'2.11 KALAGI-MUKONO-24h'!K39,'4.11 KALAGI-MUKONO'!K39)</f>
        <v>0.42857142857142855</v>
      </c>
      <c r="L39" s="49">
        <f>AVERAGE('29.10 KALAGI-MUKONO'!L39,'30.10-KALAGI-MUKONO'!L39,'1.11 KALAGI-MUKONO'!L39,'3.11 KALAGI-MUKONO'!L39,'31.10 KALAGI-MUKONO-24h'!L39,'2.11 KALAGI-MUKONO-24h'!L39,'4.11 KALAGI-MUKONO'!L39)</f>
        <v>0.42857142857142855</v>
      </c>
      <c r="M39" s="49">
        <f>AVERAGE('29.10 KALAGI-MUKONO'!M39,'30.10-KALAGI-MUKONO'!M39,'1.11 KALAGI-MUKONO'!M39,'3.11 KALAGI-MUKONO'!M39,'31.10 KALAGI-MUKONO-24h'!M39,'2.11 KALAGI-MUKONO-24h'!M39,'4.11 KALAGI-MUKONO'!M39)</f>
        <v>26.428571428571427</v>
      </c>
      <c r="N39" s="49">
        <f>AVERAGE('29.10 KALAGI-MUKONO'!N39,'30.10-KALAGI-MUKONO'!N39,'1.11 KALAGI-MUKONO'!N39,'3.11 KALAGI-MUKONO'!N39,'31.10 KALAGI-MUKONO-24h'!N39,'2.11 KALAGI-MUKONO-24h'!N39,'4.11 KALAGI-MUKONO'!N39)</f>
        <v>0</v>
      </c>
      <c r="O39" s="15">
        <f t="shared" si="0"/>
        <v>23.142857142857139</v>
      </c>
      <c r="P39" s="15">
        <f t="shared" si="1"/>
        <v>49.571428571428569</v>
      </c>
      <c r="R39" s="29" t="s">
        <v>87</v>
      </c>
      <c r="S39" s="16">
        <f t="shared" ref="S39:AF39" si="31">SUM(S19:S21)</f>
        <v>127.42857142857142</v>
      </c>
      <c r="T39" s="16">
        <f t="shared" si="31"/>
        <v>32</v>
      </c>
      <c r="U39" s="16">
        <f t="shared" si="31"/>
        <v>28.428571428571431</v>
      </c>
      <c r="V39" s="16">
        <f t="shared" si="31"/>
        <v>120.42857142857143</v>
      </c>
      <c r="W39" s="16">
        <f t="shared" si="31"/>
        <v>5.1428571428571432</v>
      </c>
      <c r="X39" s="16">
        <f t="shared" si="31"/>
        <v>0.71428571428571419</v>
      </c>
      <c r="Y39" s="16">
        <f t="shared" si="31"/>
        <v>32.714285714285708</v>
      </c>
      <c r="Z39" s="16">
        <f t="shared" si="31"/>
        <v>8.428571428571427</v>
      </c>
      <c r="AA39" s="16">
        <f t="shared" si="31"/>
        <v>4.2857142857142856</v>
      </c>
      <c r="AB39" s="16">
        <f t="shared" si="31"/>
        <v>2</v>
      </c>
      <c r="AC39" s="16">
        <f t="shared" si="31"/>
        <v>306.57142857142856</v>
      </c>
      <c r="AD39" s="16">
        <f t="shared" si="31"/>
        <v>0.14285714285714285</v>
      </c>
      <c r="AE39" s="32">
        <f t="shared" si="31"/>
        <v>361.71428571428567</v>
      </c>
      <c r="AF39" s="32">
        <f t="shared" si="31"/>
        <v>668.28571428571422</v>
      </c>
    </row>
    <row r="40" spans="2:32" ht="23.1" customHeight="1" x14ac:dyDescent="0.25">
      <c r="B40" s="24" t="s">
        <v>67</v>
      </c>
      <c r="C40" s="49">
        <f>AVERAGE('29.10 KALAGI-MUKONO'!C40,'30.10-KALAGI-MUKONO'!C40,'1.11 KALAGI-MUKONO'!C40,'3.11 KALAGI-MUKONO'!C40,'31.10 KALAGI-MUKONO-24h'!C40,'2.11 KALAGI-MUKONO-24h'!C40,'4.11 KALAGI-MUKONO'!C40)</f>
        <v>9.4285714285714288</v>
      </c>
      <c r="D40" s="49">
        <f>AVERAGE('29.10 KALAGI-MUKONO'!D40,'30.10-KALAGI-MUKONO'!D40,'1.11 KALAGI-MUKONO'!D40,'3.11 KALAGI-MUKONO'!D40,'31.10 KALAGI-MUKONO-24h'!D40,'2.11 KALAGI-MUKONO-24h'!D40,'4.11 KALAGI-MUKONO'!D40)</f>
        <v>1.8571428571428572</v>
      </c>
      <c r="E40" s="49">
        <f>AVERAGE('29.10 KALAGI-MUKONO'!E40,'30.10-KALAGI-MUKONO'!E40,'1.11 KALAGI-MUKONO'!E40,'3.11 KALAGI-MUKONO'!E40,'31.10 KALAGI-MUKONO-24h'!E40,'2.11 KALAGI-MUKONO-24h'!E40,'4.11 KALAGI-MUKONO'!E40)</f>
        <v>1.8571428571428572</v>
      </c>
      <c r="F40" s="49">
        <f>AVERAGE('29.10 KALAGI-MUKONO'!F40,'30.10-KALAGI-MUKONO'!F40,'1.11 KALAGI-MUKONO'!F40,'3.11 KALAGI-MUKONO'!F40,'31.10 KALAGI-MUKONO-24h'!F40,'2.11 KALAGI-MUKONO-24h'!F40,'4.11 KALAGI-MUKONO'!F40)</f>
        <v>7.7142857142857144</v>
      </c>
      <c r="G40" s="49">
        <f>AVERAGE('29.10 KALAGI-MUKONO'!G40,'30.10-KALAGI-MUKONO'!G40,'1.11 KALAGI-MUKONO'!G40,'3.11 KALAGI-MUKONO'!G40,'31.10 KALAGI-MUKONO-24h'!G40,'2.11 KALAGI-MUKONO-24h'!G40,'4.11 KALAGI-MUKONO'!G40)</f>
        <v>0.14285714285714285</v>
      </c>
      <c r="H40" s="49">
        <f>AVERAGE('29.10 KALAGI-MUKONO'!H40,'30.10-KALAGI-MUKONO'!H40,'1.11 KALAGI-MUKONO'!H40,'3.11 KALAGI-MUKONO'!H40,'31.10 KALAGI-MUKONO-24h'!H40,'2.11 KALAGI-MUKONO-24h'!H40,'4.11 KALAGI-MUKONO'!H40)</f>
        <v>0</v>
      </c>
      <c r="I40" s="49">
        <f>AVERAGE('29.10 KALAGI-MUKONO'!I40,'30.10-KALAGI-MUKONO'!I40,'1.11 KALAGI-MUKONO'!I40,'3.11 KALAGI-MUKONO'!I40,'31.10 KALAGI-MUKONO-24h'!I40,'2.11 KALAGI-MUKONO-24h'!I40,'4.11 KALAGI-MUKONO'!I40)</f>
        <v>2.1428571428571428</v>
      </c>
      <c r="J40" s="49">
        <f>AVERAGE('29.10 KALAGI-MUKONO'!J40,'30.10-KALAGI-MUKONO'!J40,'1.11 KALAGI-MUKONO'!J40,'3.11 KALAGI-MUKONO'!J40,'31.10 KALAGI-MUKONO-24h'!J40,'2.11 KALAGI-MUKONO-24h'!J40,'4.11 KALAGI-MUKONO'!J40)</f>
        <v>0.5714285714285714</v>
      </c>
      <c r="K40" s="49">
        <f>AVERAGE('29.10 KALAGI-MUKONO'!K40,'30.10-KALAGI-MUKONO'!K40,'1.11 KALAGI-MUKONO'!K40,'3.11 KALAGI-MUKONO'!K40,'31.10 KALAGI-MUKONO-24h'!K40,'2.11 KALAGI-MUKONO-24h'!K40,'4.11 KALAGI-MUKONO'!K40)</f>
        <v>0.2857142857142857</v>
      </c>
      <c r="L40" s="49">
        <f>AVERAGE('29.10 KALAGI-MUKONO'!L40,'30.10-KALAGI-MUKONO'!L40,'1.11 KALAGI-MUKONO'!L40,'3.11 KALAGI-MUKONO'!L40,'31.10 KALAGI-MUKONO-24h'!L40,'2.11 KALAGI-MUKONO-24h'!L40,'4.11 KALAGI-MUKONO'!L40)</f>
        <v>0.14285714285714285</v>
      </c>
      <c r="M40" s="49">
        <f>AVERAGE('29.10 KALAGI-MUKONO'!M40,'30.10-KALAGI-MUKONO'!M40,'1.11 KALAGI-MUKONO'!M40,'3.11 KALAGI-MUKONO'!M40,'31.10 KALAGI-MUKONO-24h'!M40,'2.11 KALAGI-MUKONO-24h'!M40,'4.11 KALAGI-MUKONO'!M40)</f>
        <v>24.428571428571427</v>
      </c>
      <c r="N40" s="49">
        <f>AVERAGE('29.10 KALAGI-MUKONO'!N40,'30.10-KALAGI-MUKONO'!N40,'1.11 KALAGI-MUKONO'!N40,'3.11 KALAGI-MUKONO'!N40,'31.10 KALAGI-MUKONO-24h'!N40,'2.11 KALAGI-MUKONO-24h'!N40,'4.11 KALAGI-MUKONO'!N40)</f>
        <v>0</v>
      </c>
      <c r="O40" s="15">
        <f t="shared" si="0"/>
        <v>24.142857142857142</v>
      </c>
      <c r="P40" s="15">
        <f t="shared" si="1"/>
        <v>48.571428571428569</v>
      </c>
      <c r="R40" s="5" t="s">
        <v>17</v>
      </c>
      <c r="S40" s="16">
        <f t="shared" ref="S40:AF40" si="32">SUM(S10:S21)</f>
        <v>404.14285714285711</v>
      </c>
      <c r="T40" s="16">
        <f t="shared" si="32"/>
        <v>97</v>
      </c>
      <c r="U40" s="16">
        <f t="shared" si="32"/>
        <v>84</v>
      </c>
      <c r="V40" s="16">
        <f t="shared" si="32"/>
        <v>421.14285714285711</v>
      </c>
      <c r="W40" s="16">
        <f t="shared" si="32"/>
        <v>14.857142857142856</v>
      </c>
      <c r="X40" s="16">
        <f t="shared" si="32"/>
        <v>1.1428571428571428</v>
      </c>
      <c r="Y40" s="16">
        <f t="shared" si="32"/>
        <v>116.42857142857142</v>
      </c>
      <c r="Z40" s="16">
        <f t="shared" si="32"/>
        <v>25.142857142857139</v>
      </c>
      <c r="AA40" s="16">
        <f t="shared" si="32"/>
        <v>12.857142857142856</v>
      </c>
      <c r="AB40" s="16">
        <f t="shared" si="32"/>
        <v>6.1428571428571423</v>
      </c>
      <c r="AC40" s="16">
        <f t="shared" si="32"/>
        <v>1173.1428571428571</v>
      </c>
      <c r="AD40" s="16">
        <f t="shared" si="32"/>
        <v>1.1428571428571428</v>
      </c>
      <c r="AE40" s="32">
        <f t="shared" si="32"/>
        <v>1184</v>
      </c>
      <c r="AF40" s="32">
        <f t="shared" si="32"/>
        <v>2357.1428571428573</v>
      </c>
    </row>
    <row r="41" spans="2:32" ht="23.1" customHeight="1" x14ac:dyDescent="0.25">
      <c r="B41" s="23" t="s">
        <v>68</v>
      </c>
      <c r="C41" s="49">
        <f>AVERAGE('29.10 KALAGI-MUKONO'!C41,'30.10-KALAGI-MUKONO'!C41,'1.11 KALAGI-MUKONO'!C41,'3.11 KALAGI-MUKONO'!C41,'31.10 KALAGI-MUKONO-24h'!C41,'2.11 KALAGI-MUKONO-24h'!C41,'4.11 KALAGI-MUKONO'!C41)</f>
        <v>12.142857142857142</v>
      </c>
      <c r="D41" s="49">
        <f>AVERAGE('29.10 KALAGI-MUKONO'!D41,'30.10-KALAGI-MUKONO'!D41,'1.11 KALAGI-MUKONO'!D41,'3.11 KALAGI-MUKONO'!D41,'31.10 KALAGI-MUKONO-24h'!D41,'2.11 KALAGI-MUKONO-24h'!D41,'4.11 KALAGI-MUKONO'!D41)</f>
        <v>2.7142857142857144</v>
      </c>
      <c r="E41" s="49">
        <f>AVERAGE('29.10 KALAGI-MUKONO'!E41,'30.10-KALAGI-MUKONO'!E41,'1.11 KALAGI-MUKONO'!E41,'3.11 KALAGI-MUKONO'!E41,'31.10 KALAGI-MUKONO-24h'!E41,'2.11 KALAGI-MUKONO-24h'!E41,'4.11 KALAGI-MUKONO'!E41)</f>
        <v>2.5714285714285716</v>
      </c>
      <c r="F41" s="49">
        <f>AVERAGE('29.10 KALAGI-MUKONO'!F41,'30.10-KALAGI-MUKONO'!F41,'1.11 KALAGI-MUKONO'!F41,'3.11 KALAGI-MUKONO'!F41,'31.10 KALAGI-MUKONO-24h'!F41,'2.11 KALAGI-MUKONO-24h'!F41,'4.11 KALAGI-MUKONO'!F41)</f>
        <v>7.2857142857142856</v>
      </c>
      <c r="G41" s="49">
        <f>AVERAGE('29.10 KALAGI-MUKONO'!G41,'30.10-KALAGI-MUKONO'!G41,'1.11 KALAGI-MUKONO'!G41,'3.11 KALAGI-MUKONO'!G41,'31.10 KALAGI-MUKONO-24h'!G41,'2.11 KALAGI-MUKONO-24h'!G41,'4.11 KALAGI-MUKONO'!G41)</f>
        <v>0.5714285714285714</v>
      </c>
      <c r="H41" s="49">
        <f>AVERAGE('29.10 KALAGI-MUKONO'!H41,'30.10-KALAGI-MUKONO'!H41,'1.11 KALAGI-MUKONO'!H41,'3.11 KALAGI-MUKONO'!H41,'31.10 KALAGI-MUKONO-24h'!H41,'2.11 KALAGI-MUKONO-24h'!H41,'4.11 KALAGI-MUKONO'!H41)</f>
        <v>0</v>
      </c>
      <c r="I41" s="49">
        <f>AVERAGE('29.10 KALAGI-MUKONO'!I41,'30.10-KALAGI-MUKONO'!I41,'1.11 KALAGI-MUKONO'!I41,'3.11 KALAGI-MUKONO'!I41,'31.10 KALAGI-MUKONO-24h'!I41,'2.11 KALAGI-MUKONO-24h'!I41,'4.11 KALAGI-MUKONO'!I41)</f>
        <v>2.7142857142857144</v>
      </c>
      <c r="J41" s="49">
        <f>AVERAGE('29.10 KALAGI-MUKONO'!J41,'30.10-KALAGI-MUKONO'!J41,'1.11 KALAGI-MUKONO'!J41,'3.11 KALAGI-MUKONO'!J41,'31.10 KALAGI-MUKONO-24h'!J41,'2.11 KALAGI-MUKONO-24h'!J41,'4.11 KALAGI-MUKONO'!J41)</f>
        <v>1</v>
      </c>
      <c r="K41" s="49">
        <f>AVERAGE('29.10 KALAGI-MUKONO'!K41,'30.10-KALAGI-MUKONO'!K41,'1.11 KALAGI-MUKONO'!K41,'3.11 KALAGI-MUKONO'!K41,'31.10 KALAGI-MUKONO-24h'!K41,'2.11 KALAGI-MUKONO-24h'!K41,'4.11 KALAGI-MUKONO'!K41)</f>
        <v>0.14285714285714285</v>
      </c>
      <c r="L41" s="49">
        <f>AVERAGE('29.10 KALAGI-MUKONO'!L41,'30.10-KALAGI-MUKONO'!L41,'1.11 KALAGI-MUKONO'!L41,'3.11 KALAGI-MUKONO'!L41,'31.10 KALAGI-MUKONO-24h'!L41,'2.11 KALAGI-MUKONO-24h'!L41,'4.11 KALAGI-MUKONO'!L41)</f>
        <v>0</v>
      </c>
      <c r="M41" s="49">
        <f>AVERAGE('29.10 KALAGI-MUKONO'!M41,'30.10-KALAGI-MUKONO'!M41,'1.11 KALAGI-MUKONO'!M41,'3.11 KALAGI-MUKONO'!M41,'31.10 KALAGI-MUKONO-24h'!M41,'2.11 KALAGI-MUKONO-24h'!M41,'4.11 KALAGI-MUKONO'!M41)</f>
        <v>17</v>
      </c>
      <c r="N41" s="49">
        <f>AVERAGE('29.10 KALAGI-MUKONO'!N41,'30.10-KALAGI-MUKONO'!N41,'1.11 KALAGI-MUKONO'!N41,'3.11 KALAGI-MUKONO'!N41,'31.10 KALAGI-MUKONO-24h'!N41,'2.11 KALAGI-MUKONO-24h'!N41,'4.11 KALAGI-MUKONO'!N41)</f>
        <v>0</v>
      </c>
      <c r="O41" s="15">
        <f t="shared" si="0"/>
        <v>29.142857142857146</v>
      </c>
      <c r="P41" s="15">
        <f t="shared" si="1"/>
        <v>46.142857142857146</v>
      </c>
      <c r="R41" s="5" t="s">
        <v>177</v>
      </c>
      <c r="S41" s="16">
        <f>SUM(S10:S33)</f>
        <v>566.64285714285711</v>
      </c>
      <c r="T41" s="16">
        <f t="shared" ref="T41:AD41" si="33">SUM(T10:T33)</f>
        <v>132.5</v>
      </c>
      <c r="U41" s="16">
        <f t="shared" si="33"/>
        <v>114</v>
      </c>
      <c r="V41" s="16">
        <f t="shared" si="33"/>
        <v>632.64285714285711</v>
      </c>
      <c r="W41" s="16">
        <f t="shared" si="33"/>
        <v>22.357142857142854</v>
      </c>
      <c r="X41" s="16">
        <f t="shared" si="33"/>
        <v>4.6428571428571423</v>
      </c>
      <c r="Y41" s="16">
        <f t="shared" si="33"/>
        <v>193.42857142857142</v>
      </c>
      <c r="Z41" s="16">
        <f t="shared" si="33"/>
        <v>42.142857142857139</v>
      </c>
      <c r="AA41" s="16">
        <f t="shared" si="33"/>
        <v>16.857142857142854</v>
      </c>
      <c r="AB41" s="16">
        <f t="shared" si="33"/>
        <v>10.642857142857142</v>
      </c>
      <c r="AC41" s="16">
        <f t="shared" si="33"/>
        <v>1536.6428571428571</v>
      </c>
      <c r="AD41" s="16">
        <f t="shared" si="33"/>
        <v>1.6428571428571428</v>
      </c>
      <c r="AE41" s="32">
        <f>SUM(AE10:AE33)</f>
        <v>1737.5</v>
      </c>
      <c r="AF41" s="32">
        <f>SUM(AF10:AF33)</f>
        <v>3274.1428571428573</v>
      </c>
    </row>
    <row r="42" spans="2:32" ht="23.1" customHeight="1" x14ac:dyDescent="0.25">
      <c r="B42" s="24" t="s">
        <v>69</v>
      </c>
      <c r="C42" s="49">
        <f>AVERAGE('29.10 KALAGI-MUKONO'!C42,'30.10-KALAGI-MUKONO'!C42,'1.11 KALAGI-MUKONO'!C42,'3.11 KALAGI-MUKONO'!C42,'31.10 KALAGI-MUKONO-24h'!C42,'2.11 KALAGI-MUKONO-24h'!C42,'4.11 KALAGI-MUKONO'!C42)</f>
        <v>8.2857142857142865</v>
      </c>
      <c r="D42" s="49">
        <f>AVERAGE('29.10 KALAGI-MUKONO'!D42,'30.10-KALAGI-MUKONO'!D42,'1.11 KALAGI-MUKONO'!D42,'3.11 KALAGI-MUKONO'!D42,'31.10 KALAGI-MUKONO-24h'!D42,'2.11 KALAGI-MUKONO-24h'!D42,'4.11 KALAGI-MUKONO'!D42)</f>
        <v>2.7142857142857144</v>
      </c>
      <c r="E42" s="49">
        <f>AVERAGE('29.10 KALAGI-MUKONO'!E42,'30.10-KALAGI-MUKONO'!E42,'1.11 KALAGI-MUKONO'!E42,'3.11 KALAGI-MUKONO'!E42,'31.10 KALAGI-MUKONO-24h'!E42,'2.11 KALAGI-MUKONO-24h'!E42,'4.11 KALAGI-MUKONO'!E42)</f>
        <v>1.7142857142857142</v>
      </c>
      <c r="F42" s="49">
        <f>AVERAGE('29.10 KALAGI-MUKONO'!F42,'30.10-KALAGI-MUKONO'!F42,'1.11 KALAGI-MUKONO'!F42,'3.11 KALAGI-MUKONO'!F42,'31.10 KALAGI-MUKONO-24h'!F42,'2.11 KALAGI-MUKONO-24h'!F42,'4.11 KALAGI-MUKONO'!F42)</f>
        <v>9.2857142857142865</v>
      </c>
      <c r="G42" s="49">
        <f>AVERAGE('29.10 KALAGI-MUKONO'!G42,'30.10-KALAGI-MUKONO'!G42,'1.11 KALAGI-MUKONO'!G42,'3.11 KALAGI-MUKONO'!G42,'31.10 KALAGI-MUKONO-24h'!G42,'2.11 KALAGI-MUKONO-24h'!G42,'4.11 KALAGI-MUKONO'!G42)</f>
        <v>1</v>
      </c>
      <c r="H42" s="49">
        <f>AVERAGE('29.10 KALAGI-MUKONO'!H42,'30.10-KALAGI-MUKONO'!H42,'1.11 KALAGI-MUKONO'!H42,'3.11 KALAGI-MUKONO'!H42,'31.10 KALAGI-MUKONO-24h'!H42,'2.11 KALAGI-MUKONO-24h'!H42,'4.11 KALAGI-MUKONO'!H42)</f>
        <v>0</v>
      </c>
      <c r="I42" s="49">
        <f>AVERAGE('29.10 KALAGI-MUKONO'!I42,'30.10-KALAGI-MUKONO'!I42,'1.11 KALAGI-MUKONO'!I42,'3.11 KALAGI-MUKONO'!I42,'31.10 KALAGI-MUKONO-24h'!I42,'2.11 KALAGI-MUKONO-24h'!I42,'4.11 KALAGI-MUKONO'!I42)</f>
        <v>2.4285714285714284</v>
      </c>
      <c r="J42" s="49">
        <f>AVERAGE('29.10 KALAGI-MUKONO'!J42,'30.10-KALAGI-MUKONO'!J42,'1.11 KALAGI-MUKONO'!J42,'3.11 KALAGI-MUKONO'!J42,'31.10 KALAGI-MUKONO-24h'!J42,'2.11 KALAGI-MUKONO-24h'!J42,'4.11 KALAGI-MUKONO'!J42)</f>
        <v>0.2857142857142857</v>
      </c>
      <c r="K42" s="49">
        <f>AVERAGE('29.10 KALAGI-MUKONO'!K42,'30.10-KALAGI-MUKONO'!K42,'1.11 KALAGI-MUKONO'!K42,'3.11 KALAGI-MUKONO'!K42,'31.10 KALAGI-MUKONO-24h'!K42,'2.11 KALAGI-MUKONO-24h'!K42,'4.11 KALAGI-MUKONO'!K42)</f>
        <v>0.14285714285714285</v>
      </c>
      <c r="L42" s="49">
        <f>AVERAGE('29.10 KALAGI-MUKONO'!L42,'30.10-KALAGI-MUKONO'!L42,'1.11 KALAGI-MUKONO'!L42,'3.11 KALAGI-MUKONO'!L42,'31.10 KALAGI-MUKONO-24h'!L42,'2.11 KALAGI-MUKONO-24h'!L42,'4.11 KALAGI-MUKONO'!L42)</f>
        <v>0.14285714285714285</v>
      </c>
      <c r="M42" s="49">
        <f>AVERAGE('29.10 KALAGI-MUKONO'!M42,'30.10-KALAGI-MUKONO'!M42,'1.11 KALAGI-MUKONO'!M42,'3.11 KALAGI-MUKONO'!M42,'31.10 KALAGI-MUKONO-24h'!M42,'2.11 KALAGI-MUKONO-24h'!M42,'4.11 KALAGI-MUKONO'!M42)</f>
        <v>16.285714285714285</v>
      </c>
      <c r="N42" s="49">
        <f>AVERAGE('29.10 KALAGI-MUKONO'!N42,'30.10-KALAGI-MUKONO'!N42,'1.11 KALAGI-MUKONO'!N42,'3.11 KALAGI-MUKONO'!N42,'31.10 KALAGI-MUKONO-24h'!N42,'2.11 KALAGI-MUKONO-24h'!N42,'4.11 KALAGI-MUKONO'!N42)</f>
        <v>0</v>
      </c>
      <c r="O42" s="15">
        <f t="shared" si="0"/>
        <v>25.999999999999996</v>
      </c>
      <c r="P42" s="15">
        <f t="shared" si="1"/>
        <v>42.285714285714278</v>
      </c>
      <c r="R42" s="5" t="s">
        <v>160</v>
      </c>
      <c r="S42" s="48">
        <f>S41/S40</f>
        <v>1.4020855425945564</v>
      </c>
      <c r="T42" s="48">
        <f t="shared" ref="T42:AF42" si="34">T41/T40</f>
        <v>1.365979381443299</v>
      </c>
      <c r="U42" s="48">
        <f t="shared" si="34"/>
        <v>1.3571428571428572</v>
      </c>
      <c r="V42" s="48">
        <f t="shared" si="34"/>
        <v>1.5022048846675713</v>
      </c>
      <c r="W42" s="48">
        <f t="shared" si="34"/>
        <v>1.5048076923076923</v>
      </c>
      <c r="X42" s="48">
        <f t="shared" si="34"/>
        <v>4.0625</v>
      </c>
      <c r="Y42" s="48">
        <f t="shared" si="34"/>
        <v>1.6613496932515339</v>
      </c>
      <c r="Z42" s="48">
        <f t="shared" si="34"/>
        <v>1.6761363636363638</v>
      </c>
      <c r="AA42" s="48">
        <f t="shared" si="34"/>
        <v>1.3111111111111109</v>
      </c>
      <c r="AB42" s="48">
        <f t="shared" si="34"/>
        <v>1.7325581395348837</v>
      </c>
      <c r="AC42" s="48">
        <f t="shared" si="34"/>
        <v>1.3098514369215781</v>
      </c>
      <c r="AD42" s="48">
        <f t="shared" si="34"/>
        <v>1.4375</v>
      </c>
      <c r="AE42" s="54">
        <f t="shared" si="34"/>
        <v>1.4674831081081081</v>
      </c>
      <c r="AF42" s="54">
        <f t="shared" si="34"/>
        <v>1.3890303030303031</v>
      </c>
    </row>
    <row r="43" spans="2:32" ht="23.1" customHeight="1" x14ac:dyDescent="0.25">
      <c r="B43" s="23" t="s">
        <v>70</v>
      </c>
      <c r="C43" s="49">
        <f>AVERAGE('29.10 KALAGI-MUKONO'!C43,'30.10-KALAGI-MUKONO'!C43,'1.11 KALAGI-MUKONO'!C43,'3.11 KALAGI-MUKONO'!C43,'31.10 KALAGI-MUKONO-24h'!C43,'2.11 KALAGI-MUKONO-24h'!C43,'4.11 KALAGI-MUKONO'!C43)</f>
        <v>12</v>
      </c>
      <c r="D43" s="49">
        <f>AVERAGE('29.10 KALAGI-MUKONO'!D43,'30.10-KALAGI-MUKONO'!D43,'1.11 KALAGI-MUKONO'!D43,'3.11 KALAGI-MUKONO'!D43,'31.10 KALAGI-MUKONO-24h'!D43,'2.11 KALAGI-MUKONO-24h'!D43,'4.11 KALAGI-MUKONO'!D43)</f>
        <v>3.5714285714285716</v>
      </c>
      <c r="E43" s="49">
        <f>AVERAGE('29.10 KALAGI-MUKONO'!E43,'30.10-KALAGI-MUKONO'!E43,'1.11 KALAGI-MUKONO'!E43,'3.11 KALAGI-MUKONO'!E43,'31.10 KALAGI-MUKONO-24h'!E43,'2.11 KALAGI-MUKONO-24h'!E43,'4.11 KALAGI-MUKONO'!E43)</f>
        <v>1.5714285714285714</v>
      </c>
      <c r="F43" s="49">
        <f>AVERAGE('29.10 KALAGI-MUKONO'!F43,'30.10-KALAGI-MUKONO'!F43,'1.11 KALAGI-MUKONO'!F43,'3.11 KALAGI-MUKONO'!F43,'31.10 KALAGI-MUKONO-24h'!F43,'2.11 KALAGI-MUKONO-24h'!F43,'4.11 KALAGI-MUKONO'!F43)</f>
        <v>7.5714285714285712</v>
      </c>
      <c r="G43" s="49">
        <f>AVERAGE('29.10 KALAGI-MUKONO'!G43,'30.10-KALAGI-MUKONO'!G43,'1.11 KALAGI-MUKONO'!G43,'3.11 KALAGI-MUKONO'!G43,'31.10 KALAGI-MUKONO-24h'!G43,'2.11 KALAGI-MUKONO-24h'!G43,'4.11 KALAGI-MUKONO'!G43)</f>
        <v>0.14285714285714285</v>
      </c>
      <c r="H43" s="49">
        <f>AVERAGE('29.10 KALAGI-MUKONO'!H43,'30.10-KALAGI-MUKONO'!H43,'1.11 KALAGI-MUKONO'!H43,'3.11 KALAGI-MUKONO'!H43,'31.10 KALAGI-MUKONO-24h'!H43,'2.11 KALAGI-MUKONO-24h'!H43,'4.11 KALAGI-MUKONO'!H43)</f>
        <v>0</v>
      </c>
      <c r="I43" s="49">
        <f>AVERAGE('29.10 KALAGI-MUKONO'!I43,'30.10-KALAGI-MUKONO'!I43,'1.11 KALAGI-MUKONO'!I43,'3.11 KALAGI-MUKONO'!I43,'31.10 KALAGI-MUKONO-24h'!I43,'2.11 KALAGI-MUKONO-24h'!I43,'4.11 KALAGI-MUKONO'!I43)</f>
        <v>2.4285714285714284</v>
      </c>
      <c r="J43" s="49">
        <f>AVERAGE('29.10 KALAGI-MUKONO'!J43,'30.10-KALAGI-MUKONO'!J43,'1.11 KALAGI-MUKONO'!J43,'3.11 KALAGI-MUKONO'!J43,'31.10 KALAGI-MUKONO-24h'!J43,'2.11 KALAGI-MUKONO-24h'!J43,'4.11 KALAGI-MUKONO'!J43)</f>
        <v>0.42857142857142855</v>
      </c>
      <c r="K43" s="49">
        <f>AVERAGE('29.10 KALAGI-MUKONO'!K43,'30.10-KALAGI-MUKONO'!K43,'1.11 KALAGI-MUKONO'!K43,'3.11 KALAGI-MUKONO'!K43,'31.10 KALAGI-MUKONO-24h'!K43,'2.11 KALAGI-MUKONO-24h'!K43,'4.11 KALAGI-MUKONO'!K43)</f>
        <v>0.5714285714285714</v>
      </c>
      <c r="L43" s="49">
        <f>AVERAGE('29.10 KALAGI-MUKONO'!L43,'30.10-KALAGI-MUKONO'!L43,'1.11 KALAGI-MUKONO'!L43,'3.11 KALAGI-MUKONO'!L43,'31.10 KALAGI-MUKONO-24h'!L43,'2.11 KALAGI-MUKONO-24h'!L43,'4.11 KALAGI-MUKONO'!L43)</f>
        <v>0.2857142857142857</v>
      </c>
      <c r="M43" s="49">
        <f>AVERAGE('29.10 KALAGI-MUKONO'!M43,'30.10-KALAGI-MUKONO'!M43,'1.11 KALAGI-MUKONO'!M43,'3.11 KALAGI-MUKONO'!M43,'31.10 KALAGI-MUKONO-24h'!M43,'2.11 KALAGI-MUKONO-24h'!M43,'4.11 KALAGI-MUKONO'!M43)</f>
        <v>26.142857142857142</v>
      </c>
      <c r="N43" s="49">
        <f>AVERAGE('29.10 KALAGI-MUKONO'!N43,'30.10-KALAGI-MUKONO'!N43,'1.11 KALAGI-MUKONO'!N43,'3.11 KALAGI-MUKONO'!N43,'31.10 KALAGI-MUKONO-24h'!N43,'2.11 KALAGI-MUKONO-24h'!N43,'4.11 KALAGI-MUKONO'!N43)</f>
        <v>0</v>
      </c>
      <c r="O43" s="15">
        <f t="shared" si="0"/>
        <v>28.571428571428569</v>
      </c>
      <c r="P43" s="15">
        <f t="shared" si="1"/>
        <v>54.714285714285708</v>
      </c>
    </row>
    <row r="44" spans="2:32" ht="23.1" customHeight="1" x14ac:dyDescent="0.25">
      <c r="B44" s="25" t="s">
        <v>71</v>
      </c>
      <c r="C44" s="49">
        <f>AVERAGE('29.10 KALAGI-MUKONO'!C44,'30.10-KALAGI-MUKONO'!C44,'1.11 KALAGI-MUKONO'!C44,'3.11 KALAGI-MUKONO'!C44,'31.10 KALAGI-MUKONO-24h'!C44,'2.11 KALAGI-MUKONO-24h'!C44,'4.11 KALAGI-MUKONO'!C44)</f>
        <v>10.571428571428571</v>
      </c>
      <c r="D44" s="49">
        <f>AVERAGE('29.10 KALAGI-MUKONO'!D44,'30.10-KALAGI-MUKONO'!D44,'1.11 KALAGI-MUKONO'!D44,'3.11 KALAGI-MUKONO'!D44,'31.10 KALAGI-MUKONO-24h'!D44,'2.11 KALAGI-MUKONO-24h'!D44,'4.11 KALAGI-MUKONO'!D44)</f>
        <v>2.5714285714285716</v>
      </c>
      <c r="E44" s="49">
        <f>AVERAGE('29.10 KALAGI-MUKONO'!E44,'30.10-KALAGI-MUKONO'!E44,'1.11 KALAGI-MUKONO'!E44,'3.11 KALAGI-MUKONO'!E44,'31.10 KALAGI-MUKONO-24h'!E44,'2.11 KALAGI-MUKONO-24h'!E44,'4.11 KALAGI-MUKONO'!E44)</f>
        <v>2.4285714285714284</v>
      </c>
      <c r="F44" s="49">
        <f>AVERAGE('29.10 KALAGI-MUKONO'!F44,'30.10-KALAGI-MUKONO'!F44,'1.11 KALAGI-MUKONO'!F44,'3.11 KALAGI-MUKONO'!F44,'31.10 KALAGI-MUKONO-24h'!F44,'2.11 KALAGI-MUKONO-24h'!F44,'4.11 KALAGI-MUKONO'!F44)</f>
        <v>9.1428571428571423</v>
      </c>
      <c r="G44" s="49">
        <f>AVERAGE('29.10 KALAGI-MUKONO'!G44,'30.10-KALAGI-MUKONO'!G44,'1.11 KALAGI-MUKONO'!G44,'3.11 KALAGI-MUKONO'!G44,'31.10 KALAGI-MUKONO-24h'!G44,'2.11 KALAGI-MUKONO-24h'!G44,'4.11 KALAGI-MUKONO'!G44)</f>
        <v>0.2857142857142857</v>
      </c>
      <c r="H44" s="49">
        <f>AVERAGE('29.10 KALAGI-MUKONO'!H44,'30.10-KALAGI-MUKONO'!H44,'1.11 KALAGI-MUKONO'!H44,'3.11 KALAGI-MUKONO'!H44,'31.10 KALAGI-MUKONO-24h'!H44,'2.11 KALAGI-MUKONO-24h'!H44,'4.11 KALAGI-MUKONO'!H44)</f>
        <v>0</v>
      </c>
      <c r="I44" s="49">
        <f>AVERAGE('29.10 KALAGI-MUKONO'!I44,'30.10-KALAGI-MUKONO'!I44,'1.11 KALAGI-MUKONO'!I44,'3.11 KALAGI-MUKONO'!I44,'31.10 KALAGI-MUKONO-24h'!I44,'2.11 KALAGI-MUKONO-24h'!I44,'4.11 KALAGI-MUKONO'!I44)</f>
        <v>1.5714285714285714</v>
      </c>
      <c r="J44" s="49">
        <f>AVERAGE('29.10 KALAGI-MUKONO'!J44,'30.10-KALAGI-MUKONO'!J44,'1.11 KALAGI-MUKONO'!J44,'3.11 KALAGI-MUKONO'!J44,'31.10 KALAGI-MUKONO-24h'!J44,'2.11 KALAGI-MUKONO-24h'!J44,'4.11 KALAGI-MUKONO'!J44)</f>
        <v>0.42857142857142855</v>
      </c>
      <c r="K44" s="49">
        <f>AVERAGE('29.10 KALAGI-MUKONO'!K44,'30.10-KALAGI-MUKONO'!K44,'1.11 KALAGI-MUKONO'!K44,'3.11 KALAGI-MUKONO'!K44,'31.10 KALAGI-MUKONO-24h'!K44,'2.11 KALAGI-MUKONO-24h'!K44,'4.11 KALAGI-MUKONO'!K44)</f>
        <v>0.14285714285714285</v>
      </c>
      <c r="L44" s="49">
        <f>AVERAGE('29.10 KALAGI-MUKONO'!L44,'30.10-KALAGI-MUKONO'!L44,'1.11 KALAGI-MUKONO'!L44,'3.11 KALAGI-MUKONO'!L44,'31.10 KALAGI-MUKONO-24h'!L44,'2.11 KALAGI-MUKONO-24h'!L44,'4.11 KALAGI-MUKONO'!L44)</f>
        <v>0.14285714285714285</v>
      </c>
      <c r="M44" s="49">
        <f>AVERAGE('29.10 KALAGI-MUKONO'!M44,'30.10-KALAGI-MUKONO'!M44,'1.11 KALAGI-MUKONO'!M44,'3.11 KALAGI-MUKONO'!M44,'31.10 KALAGI-MUKONO-24h'!M44,'2.11 KALAGI-MUKONO-24h'!M44,'4.11 KALAGI-MUKONO'!M44)</f>
        <v>24.571428571428573</v>
      </c>
      <c r="N44" s="49">
        <f>AVERAGE('29.10 KALAGI-MUKONO'!N44,'30.10-KALAGI-MUKONO'!N44,'1.11 KALAGI-MUKONO'!N44,'3.11 KALAGI-MUKONO'!N44,'31.10 KALAGI-MUKONO-24h'!N44,'2.11 KALAGI-MUKONO-24h'!N44,'4.11 KALAGI-MUKONO'!N44)</f>
        <v>0</v>
      </c>
      <c r="O44" s="15">
        <f t="shared" si="0"/>
        <v>27.285714285714285</v>
      </c>
      <c r="P44" s="15">
        <f t="shared" si="1"/>
        <v>51.857142857142861</v>
      </c>
    </row>
    <row r="45" spans="2:32" ht="23.1" customHeight="1" x14ac:dyDescent="0.25">
      <c r="B45" s="23" t="s">
        <v>72</v>
      </c>
      <c r="C45" s="49">
        <f>AVERAGE('29.10 KALAGI-MUKONO'!C45,'30.10-KALAGI-MUKONO'!C45,'1.11 KALAGI-MUKONO'!C45,'3.11 KALAGI-MUKONO'!C45,'31.10 KALAGI-MUKONO-24h'!C45,'2.11 KALAGI-MUKONO-24h'!C45,'4.11 KALAGI-MUKONO'!C45)</f>
        <v>10.714285714285714</v>
      </c>
      <c r="D45" s="49">
        <f>AVERAGE('29.10 KALAGI-MUKONO'!D45,'30.10-KALAGI-MUKONO'!D45,'1.11 KALAGI-MUKONO'!D45,'3.11 KALAGI-MUKONO'!D45,'31.10 KALAGI-MUKONO-24h'!D45,'2.11 KALAGI-MUKONO-24h'!D45,'4.11 KALAGI-MUKONO'!D45)</f>
        <v>3.7142857142857144</v>
      </c>
      <c r="E45" s="49">
        <f>AVERAGE('29.10 KALAGI-MUKONO'!E45,'30.10-KALAGI-MUKONO'!E45,'1.11 KALAGI-MUKONO'!E45,'3.11 KALAGI-MUKONO'!E45,'31.10 KALAGI-MUKONO-24h'!E45,'2.11 KALAGI-MUKONO-24h'!E45,'4.11 KALAGI-MUKONO'!E45)</f>
        <v>1.7142857142857142</v>
      </c>
      <c r="F45" s="49">
        <f>AVERAGE('29.10 KALAGI-MUKONO'!F45,'30.10-KALAGI-MUKONO'!F45,'1.11 KALAGI-MUKONO'!F45,'3.11 KALAGI-MUKONO'!F45,'31.10 KALAGI-MUKONO-24h'!F45,'2.11 KALAGI-MUKONO-24h'!F45,'4.11 KALAGI-MUKONO'!F45)</f>
        <v>9.5714285714285712</v>
      </c>
      <c r="G45" s="49">
        <f>AVERAGE('29.10 KALAGI-MUKONO'!G45,'30.10-KALAGI-MUKONO'!G45,'1.11 KALAGI-MUKONO'!G45,'3.11 KALAGI-MUKONO'!G45,'31.10 KALAGI-MUKONO-24h'!G45,'2.11 KALAGI-MUKONO-24h'!G45,'4.11 KALAGI-MUKONO'!G45)</f>
        <v>0.14285714285714285</v>
      </c>
      <c r="H45" s="49">
        <f>AVERAGE('29.10 KALAGI-MUKONO'!H45,'30.10-KALAGI-MUKONO'!H45,'1.11 KALAGI-MUKONO'!H45,'3.11 KALAGI-MUKONO'!H45,'31.10 KALAGI-MUKONO-24h'!H45,'2.11 KALAGI-MUKONO-24h'!H45,'4.11 KALAGI-MUKONO'!H45)</f>
        <v>0</v>
      </c>
      <c r="I45" s="49">
        <f>AVERAGE('29.10 KALAGI-MUKONO'!I45,'30.10-KALAGI-MUKONO'!I45,'1.11 KALAGI-MUKONO'!I45,'3.11 KALAGI-MUKONO'!I45,'31.10 KALAGI-MUKONO-24h'!I45,'2.11 KALAGI-MUKONO-24h'!I45,'4.11 KALAGI-MUKONO'!I45)</f>
        <v>3.1428571428571428</v>
      </c>
      <c r="J45" s="49">
        <f>AVERAGE('29.10 KALAGI-MUKONO'!J45,'30.10-KALAGI-MUKONO'!J45,'1.11 KALAGI-MUKONO'!J45,'3.11 KALAGI-MUKONO'!J45,'31.10 KALAGI-MUKONO-24h'!J45,'2.11 KALAGI-MUKONO-24h'!J45,'4.11 KALAGI-MUKONO'!J45)</f>
        <v>0.2857142857142857</v>
      </c>
      <c r="K45" s="49">
        <f>AVERAGE('29.10 KALAGI-MUKONO'!K45,'30.10-KALAGI-MUKONO'!K45,'1.11 KALAGI-MUKONO'!K45,'3.11 KALAGI-MUKONO'!K45,'31.10 KALAGI-MUKONO-24h'!K45,'2.11 KALAGI-MUKONO-24h'!K45,'4.11 KALAGI-MUKONO'!K45)</f>
        <v>0</v>
      </c>
      <c r="L45" s="49">
        <f>AVERAGE('29.10 KALAGI-MUKONO'!L45,'30.10-KALAGI-MUKONO'!L45,'1.11 KALAGI-MUKONO'!L45,'3.11 KALAGI-MUKONO'!L45,'31.10 KALAGI-MUKONO-24h'!L45,'2.11 KALAGI-MUKONO-24h'!L45,'4.11 KALAGI-MUKONO'!L45)</f>
        <v>0</v>
      </c>
      <c r="M45" s="49">
        <f>AVERAGE('29.10 KALAGI-MUKONO'!M45,'30.10-KALAGI-MUKONO'!M45,'1.11 KALAGI-MUKONO'!M45,'3.11 KALAGI-MUKONO'!M45,'31.10 KALAGI-MUKONO-24h'!M45,'2.11 KALAGI-MUKONO-24h'!M45,'4.11 KALAGI-MUKONO'!M45)</f>
        <v>24.571428571428573</v>
      </c>
      <c r="N45" s="49">
        <f>AVERAGE('29.10 KALAGI-MUKONO'!N45,'30.10-KALAGI-MUKONO'!N45,'1.11 KALAGI-MUKONO'!N45,'3.11 KALAGI-MUKONO'!N45,'31.10 KALAGI-MUKONO-24h'!N45,'2.11 KALAGI-MUKONO-24h'!N45,'4.11 KALAGI-MUKONO'!N45)</f>
        <v>0</v>
      </c>
      <c r="O45" s="15">
        <f t="shared" si="0"/>
        <v>29.285714285714285</v>
      </c>
      <c r="P45" s="15">
        <f t="shared" si="1"/>
        <v>53.857142857142861</v>
      </c>
    </row>
    <row r="46" spans="2:32" ht="23.1" customHeight="1" x14ac:dyDescent="0.25">
      <c r="B46" s="24" t="s">
        <v>73</v>
      </c>
      <c r="C46" s="49">
        <f>AVERAGE('29.10 KALAGI-MUKONO'!C46,'30.10-KALAGI-MUKONO'!C46,'1.11 KALAGI-MUKONO'!C46,'3.11 KALAGI-MUKONO'!C46,'31.10 KALAGI-MUKONO-24h'!C46,'2.11 KALAGI-MUKONO-24h'!C46,'4.11 KALAGI-MUKONO'!C46)</f>
        <v>11.571428571428571</v>
      </c>
      <c r="D46" s="49">
        <f>AVERAGE('29.10 KALAGI-MUKONO'!D46,'30.10-KALAGI-MUKONO'!D46,'1.11 KALAGI-MUKONO'!D46,'3.11 KALAGI-MUKONO'!D46,'31.10 KALAGI-MUKONO-24h'!D46,'2.11 KALAGI-MUKONO-24h'!D46,'4.11 KALAGI-MUKONO'!D46)</f>
        <v>2.1428571428571428</v>
      </c>
      <c r="E46" s="49">
        <f>AVERAGE('29.10 KALAGI-MUKONO'!E46,'30.10-KALAGI-MUKONO'!E46,'1.11 KALAGI-MUKONO'!E46,'3.11 KALAGI-MUKONO'!E46,'31.10 KALAGI-MUKONO-24h'!E46,'2.11 KALAGI-MUKONO-24h'!E46,'4.11 KALAGI-MUKONO'!E46)</f>
        <v>2</v>
      </c>
      <c r="F46" s="49">
        <f>AVERAGE('29.10 KALAGI-MUKONO'!F46,'30.10-KALAGI-MUKONO'!F46,'1.11 KALAGI-MUKONO'!F46,'3.11 KALAGI-MUKONO'!F46,'31.10 KALAGI-MUKONO-24h'!F46,'2.11 KALAGI-MUKONO-24h'!F46,'4.11 KALAGI-MUKONO'!F46)</f>
        <v>9.8571428571428577</v>
      </c>
      <c r="G46" s="49">
        <f>AVERAGE('29.10 KALAGI-MUKONO'!G46,'30.10-KALAGI-MUKONO'!G46,'1.11 KALAGI-MUKONO'!G46,'3.11 KALAGI-MUKONO'!G46,'31.10 KALAGI-MUKONO-24h'!G46,'2.11 KALAGI-MUKONO-24h'!G46,'4.11 KALAGI-MUKONO'!G46)</f>
        <v>0.2857142857142857</v>
      </c>
      <c r="H46" s="49">
        <f>AVERAGE('29.10 KALAGI-MUKONO'!H46,'30.10-KALAGI-MUKONO'!H46,'1.11 KALAGI-MUKONO'!H46,'3.11 KALAGI-MUKONO'!H46,'31.10 KALAGI-MUKONO-24h'!H46,'2.11 KALAGI-MUKONO-24h'!H46,'4.11 KALAGI-MUKONO'!H46)</f>
        <v>0.42857142857142855</v>
      </c>
      <c r="I46" s="49">
        <f>AVERAGE('29.10 KALAGI-MUKONO'!I46,'30.10-KALAGI-MUKONO'!I46,'1.11 KALAGI-MUKONO'!I46,'3.11 KALAGI-MUKONO'!I46,'31.10 KALAGI-MUKONO-24h'!I46,'2.11 KALAGI-MUKONO-24h'!I46,'4.11 KALAGI-MUKONO'!I46)</f>
        <v>2.8571428571428572</v>
      </c>
      <c r="J46" s="49">
        <f>AVERAGE('29.10 KALAGI-MUKONO'!J46,'30.10-KALAGI-MUKONO'!J46,'1.11 KALAGI-MUKONO'!J46,'3.11 KALAGI-MUKONO'!J46,'31.10 KALAGI-MUKONO-24h'!J46,'2.11 KALAGI-MUKONO-24h'!J46,'4.11 KALAGI-MUKONO'!J46)</f>
        <v>1.1428571428571428</v>
      </c>
      <c r="K46" s="49">
        <f>AVERAGE('29.10 KALAGI-MUKONO'!K46,'30.10-KALAGI-MUKONO'!K46,'1.11 KALAGI-MUKONO'!K46,'3.11 KALAGI-MUKONO'!K46,'31.10 KALAGI-MUKONO-24h'!K46,'2.11 KALAGI-MUKONO-24h'!K46,'4.11 KALAGI-MUKONO'!K46)</f>
        <v>0.2857142857142857</v>
      </c>
      <c r="L46" s="49">
        <f>AVERAGE('29.10 KALAGI-MUKONO'!L46,'30.10-KALAGI-MUKONO'!L46,'1.11 KALAGI-MUKONO'!L46,'3.11 KALAGI-MUKONO'!L46,'31.10 KALAGI-MUKONO-24h'!L46,'2.11 KALAGI-MUKONO-24h'!L46,'4.11 KALAGI-MUKONO'!L46)</f>
        <v>0.14285714285714285</v>
      </c>
      <c r="M46" s="49">
        <f>AVERAGE('29.10 KALAGI-MUKONO'!M46,'30.10-KALAGI-MUKONO'!M46,'1.11 KALAGI-MUKONO'!M46,'3.11 KALAGI-MUKONO'!M46,'31.10 KALAGI-MUKONO-24h'!M46,'2.11 KALAGI-MUKONO-24h'!M46,'4.11 KALAGI-MUKONO'!M46)</f>
        <v>26.285714285714285</v>
      </c>
      <c r="N46" s="49">
        <f>AVERAGE('29.10 KALAGI-MUKONO'!N46,'30.10-KALAGI-MUKONO'!N46,'1.11 KALAGI-MUKONO'!N46,'3.11 KALAGI-MUKONO'!N46,'31.10 KALAGI-MUKONO-24h'!N46,'2.11 KALAGI-MUKONO-24h'!N46,'4.11 KALAGI-MUKONO'!N46)</f>
        <v>0</v>
      </c>
      <c r="O46" s="15">
        <f t="shared" si="0"/>
        <v>30.714285714285708</v>
      </c>
      <c r="P46" s="15">
        <f t="shared" si="1"/>
        <v>56.999999999999993</v>
      </c>
      <c r="R46" s="8"/>
      <c r="T46"/>
    </row>
    <row r="47" spans="2:32" ht="23.1" customHeight="1" x14ac:dyDescent="0.25">
      <c r="B47" s="24" t="s">
        <v>74</v>
      </c>
      <c r="C47" s="49">
        <f>AVERAGE('29.10 KALAGI-MUKONO'!C47,'30.10-KALAGI-MUKONO'!C47,'1.11 KALAGI-MUKONO'!C47,'3.11 KALAGI-MUKONO'!C47,'31.10 KALAGI-MUKONO-24h'!C47,'2.11 KALAGI-MUKONO-24h'!C47,'4.11 KALAGI-MUKONO'!C47)</f>
        <v>10</v>
      </c>
      <c r="D47" s="49">
        <f>AVERAGE('29.10 KALAGI-MUKONO'!D47,'30.10-KALAGI-MUKONO'!D47,'1.11 KALAGI-MUKONO'!D47,'3.11 KALAGI-MUKONO'!D47,'31.10 KALAGI-MUKONO-24h'!D47,'2.11 KALAGI-MUKONO-24h'!D47,'4.11 KALAGI-MUKONO'!D47)</f>
        <v>2</v>
      </c>
      <c r="E47" s="49">
        <f>AVERAGE('29.10 KALAGI-MUKONO'!E47,'30.10-KALAGI-MUKONO'!E47,'1.11 KALAGI-MUKONO'!E47,'3.11 KALAGI-MUKONO'!E47,'31.10 KALAGI-MUKONO-24h'!E47,'2.11 KALAGI-MUKONO-24h'!E47,'4.11 KALAGI-MUKONO'!E47)</f>
        <v>2.4285714285714284</v>
      </c>
      <c r="F47" s="49">
        <f>AVERAGE('29.10 KALAGI-MUKONO'!F47,'30.10-KALAGI-MUKONO'!F47,'1.11 KALAGI-MUKONO'!F47,'3.11 KALAGI-MUKONO'!F47,'31.10 KALAGI-MUKONO-24h'!F47,'2.11 KALAGI-MUKONO-24h'!F47,'4.11 KALAGI-MUKONO'!F47)</f>
        <v>10.428571428571429</v>
      </c>
      <c r="G47" s="49">
        <f>AVERAGE('29.10 KALAGI-MUKONO'!G47,'30.10-KALAGI-MUKONO'!G47,'1.11 KALAGI-MUKONO'!G47,'3.11 KALAGI-MUKONO'!G47,'31.10 KALAGI-MUKONO-24h'!G47,'2.11 KALAGI-MUKONO-24h'!G47,'4.11 KALAGI-MUKONO'!G47)</f>
        <v>0.7142857142857143</v>
      </c>
      <c r="H47" s="49">
        <f>AVERAGE('29.10 KALAGI-MUKONO'!H47,'30.10-KALAGI-MUKONO'!H47,'1.11 KALAGI-MUKONO'!H47,'3.11 KALAGI-MUKONO'!H47,'31.10 KALAGI-MUKONO-24h'!H47,'2.11 KALAGI-MUKONO-24h'!H47,'4.11 KALAGI-MUKONO'!H47)</f>
        <v>0</v>
      </c>
      <c r="I47" s="49">
        <f>AVERAGE('29.10 KALAGI-MUKONO'!I47,'30.10-KALAGI-MUKONO'!I47,'1.11 KALAGI-MUKONO'!I47,'3.11 KALAGI-MUKONO'!I47,'31.10 KALAGI-MUKONO-24h'!I47,'2.11 KALAGI-MUKONO-24h'!I47,'4.11 KALAGI-MUKONO'!I47)</f>
        <v>3.2857142857142856</v>
      </c>
      <c r="J47" s="49">
        <f>AVERAGE('29.10 KALAGI-MUKONO'!J47,'30.10-KALAGI-MUKONO'!J47,'1.11 KALAGI-MUKONO'!J47,'3.11 KALAGI-MUKONO'!J47,'31.10 KALAGI-MUKONO-24h'!J47,'2.11 KALAGI-MUKONO-24h'!J47,'4.11 KALAGI-MUKONO'!J47)</f>
        <v>1</v>
      </c>
      <c r="K47" s="49">
        <f>AVERAGE('29.10 KALAGI-MUKONO'!K47,'30.10-KALAGI-MUKONO'!K47,'1.11 KALAGI-MUKONO'!K47,'3.11 KALAGI-MUKONO'!K47,'31.10 KALAGI-MUKONO-24h'!K47,'2.11 KALAGI-MUKONO-24h'!K47,'4.11 KALAGI-MUKONO'!K47)</f>
        <v>0.2857142857142857</v>
      </c>
      <c r="L47" s="49">
        <f>AVERAGE('29.10 KALAGI-MUKONO'!L47,'30.10-KALAGI-MUKONO'!L47,'1.11 KALAGI-MUKONO'!L47,'3.11 KALAGI-MUKONO'!L47,'31.10 KALAGI-MUKONO-24h'!L47,'2.11 KALAGI-MUKONO-24h'!L47,'4.11 KALAGI-MUKONO'!L47)</f>
        <v>0.14285714285714285</v>
      </c>
      <c r="M47" s="49">
        <f>AVERAGE('29.10 KALAGI-MUKONO'!M47,'30.10-KALAGI-MUKONO'!M47,'1.11 KALAGI-MUKONO'!M47,'3.11 KALAGI-MUKONO'!M47,'31.10 KALAGI-MUKONO-24h'!M47,'2.11 KALAGI-MUKONO-24h'!M47,'4.11 KALAGI-MUKONO'!M47)</f>
        <v>25</v>
      </c>
      <c r="N47" s="49">
        <f>AVERAGE('29.10 KALAGI-MUKONO'!N47,'30.10-KALAGI-MUKONO'!N47,'1.11 KALAGI-MUKONO'!N47,'3.11 KALAGI-MUKONO'!N47,'31.10 KALAGI-MUKONO-24h'!N47,'2.11 KALAGI-MUKONO-24h'!N47,'4.11 KALAGI-MUKONO'!N47)</f>
        <v>0</v>
      </c>
      <c r="O47" s="15">
        <f t="shared" si="0"/>
        <v>30.285714285714285</v>
      </c>
      <c r="P47" s="15">
        <f t="shared" si="1"/>
        <v>55.285714285714285</v>
      </c>
      <c r="R47" s="8"/>
      <c r="T47"/>
    </row>
    <row r="48" spans="2:32" ht="23.1" customHeight="1" x14ac:dyDescent="0.25">
      <c r="B48" s="24" t="s">
        <v>75</v>
      </c>
      <c r="C48" s="49">
        <f>AVERAGE('29.10 KALAGI-MUKONO'!C48,'30.10-KALAGI-MUKONO'!C48,'1.11 KALAGI-MUKONO'!C48,'3.11 KALAGI-MUKONO'!C48,'31.10 KALAGI-MUKONO-24h'!C48,'2.11 KALAGI-MUKONO-24h'!C48,'4.11 KALAGI-MUKONO'!C48)</f>
        <v>10</v>
      </c>
      <c r="D48" s="49">
        <f>AVERAGE('29.10 KALAGI-MUKONO'!D48,'30.10-KALAGI-MUKONO'!D48,'1.11 KALAGI-MUKONO'!D48,'3.11 KALAGI-MUKONO'!D48,'31.10 KALAGI-MUKONO-24h'!D48,'2.11 KALAGI-MUKONO-24h'!D48,'4.11 KALAGI-MUKONO'!D48)</f>
        <v>1.8571428571428572</v>
      </c>
      <c r="E48" s="49">
        <f>AVERAGE('29.10 KALAGI-MUKONO'!E48,'30.10-KALAGI-MUKONO'!E48,'1.11 KALAGI-MUKONO'!E48,'3.11 KALAGI-MUKONO'!E48,'31.10 KALAGI-MUKONO-24h'!E48,'2.11 KALAGI-MUKONO-24h'!E48,'4.11 KALAGI-MUKONO'!E48)</f>
        <v>2.1428571428571428</v>
      </c>
      <c r="F48" s="49">
        <f>AVERAGE('29.10 KALAGI-MUKONO'!F48,'30.10-KALAGI-MUKONO'!F48,'1.11 KALAGI-MUKONO'!F48,'3.11 KALAGI-MUKONO'!F48,'31.10 KALAGI-MUKONO-24h'!F48,'2.11 KALAGI-MUKONO-24h'!F48,'4.11 KALAGI-MUKONO'!F48)</f>
        <v>9.2857142857142865</v>
      </c>
      <c r="G48" s="49">
        <f>AVERAGE('29.10 KALAGI-MUKONO'!G48,'30.10-KALAGI-MUKONO'!G48,'1.11 KALAGI-MUKONO'!G48,'3.11 KALAGI-MUKONO'!G48,'31.10 KALAGI-MUKONO-24h'!G48,'2.11 KALAGI-MUKONO-24h'!G48,'4.11 KALAGI-MUKONO'!G48)</f>
        <v>0.5714285714285714</v>
      </c>
      <c r="H48" s="49">
        <f>AVERAGE('29.10 KALAGI-MUKONO'!H48,'30.10-KALAGI-MUKONO'!H48,'1.11 KALAGI-MUKONO'!H48,'3.11 KALAGI-MUKONO'!H48,'31.10 KALAGI-MUKONO-24h'!H48,'2.11 KALAGI-MUKONO-24h'!H48,'4.11 KALAGI-MUKONO'!H48)</f>
        <v>0</v>
      </c>
      <c r="I48" s="49">
        <f>AVERAGE('29.10 KALAGI-MUKONO'!I48,'30.10-KALAGI-MUKONO'!I48,'1.11 KALAGI-MUKONO'!I48,'3.11 KALAGI-MUKONO'!I48,'31.10 KALAGI-MUKONO-24h'!I48,'2.11 KALAGI-MUKONO-24h'!I48,'4.11 KALAGI-MUKONO'!I48)</f>
        <v>2.5714285714285716</v>
      </c>
      <c r="J48" s="49">
        <f>AVERAGE('29.10 KALAGI-MUKONO'!J48,'30.10-KALAGI-MUKONO'!J48,'1.11 KALAGI-MUKONO'!J48,'3.11 KALAGI-MUKONO'!J48,'31.10 KALAGI-MUKONO-24h'!J48,'2.11 KALAGI-MUKONO-24h'!J48,'4.11 KALAGI-MUKONO'!J48)</f>
        <v>1</v>
      </c>
      <c r="K48" s="49">
        <f>AVERAGE('29.10 KALAGI-MUKONO'!K48,'30.10-KALAGI-MUKONO'!K48,'1.11 KALAGI-MUKONO'!K48,'3.11 KALAGI-MUKONO'!K48,'31.10 KALAGI-MUKONO-24h'!K48,'2.11 KALAGI-MUKONO-24h'!K48,'4.11 KALAGI-MUKONO'!K48)</f>
        <v>0.7142857142857143</v>
      </c>
      <c r="L48" s="49">
        <f>AVERAGE('29.10 KALAGI-MUKONO'!L48,'30.10-KALAGI-MUKONO'!L48,'1.11 KALAGI-MUKONO'!L48,'3.11 KALAGI-MUKONO'!L48,'31.10 KALAGI-MUKONO-24h'!L48,'2.11 KALAGI-MUKONO-24h'!L48,'4.11 KALAGI-MUKONO'!L48)</f>
        <v>0</v>
      </c>
      <c r="M48" s="49">
        <f>AVERAGE('29.10 KALAGI-MUKONO'!M48,'30.10-KALAGI-MUKONO'!M48,'1.11 KALAGI-MUKONO'!M48,'3.11 KALAGI-MUKONO'!M48,'31.10 KALAGI-MUKONO-24h'!M48,'2.11 KALAGI-MUKONO-24h'!M48,'4.11 KALAGI-MUKONO'!M48)</f>
        <v>22.428571428571427</v>
      </c>
      <c r="N48" s="49">
        <f>AVERAGE('29.10 KALAGI-MUKONO'!N48,'30.10-KALAGI-MUKONO'!N48,'1.11 KALAGI-MUKONO'!N48,'3.11 KALAGI-MUKONO'!N48,'31.10 KALAGI-MUKONO-24h'!N48,'2.11 KALAGI-MUKONO-24h'!N48,'4.11 KALAGI-MUKONO'!N48)</f>
        <v>0</v>
      </c>
      <c r="O48" s="15">
        <f t="shared" si="0"/>
        <v>28.142857142857146</v>
      </c>
      <c r="P48" s="15">
        <f t="shared" si="1"/>
        <v>50.571428571428569</v>
      </c>
      <c r="R48" s="8"/>
      <c r="T48"/>
    </row>
    <row r="49" spans="2:20" ht="23.1" customHeight="1" x14ac:dyDescent="0.25">
      <c r="B49" s="23" t="s">
        <v>76</v>
      </c>
      <c r="C49" s="49">
        <f>AVERAGE('29.10 KALAGI-MUKONO'!C49,'30.10-KALAGI-MUKONO'!C49,'1.11 KALAGI-MUKONO'!C49,'3.11 KALAGI-MUKONO'!C49,'31.10 KALAGI-MUKONO-24h'!C49,'2.11 KALAGI-MUKONO-24h'!C49,'4.11 KALAGI-MUKONO'!C49)</f>
        <v>9.7142857142857135</v>
      </c>
      <c r="D49" s="49">
        <f>AVERAGE('29.10 KALAGI-MUKONO'!D49,'30.10-KALAGI-MUKONO'!D49,'1.11 KALAGI-MUKONO'!D49,'3.11 KALAGI-MUKONO'!D49,'31.10 KALAGI-MUKONO-24h'!D49,'2.11 KALAGI-MUKONO-24h'!D49,'4.11 KALAGI-MUKONO'!D49)</f>
        <v>3</v>
      </c>
      <c r="E49" s="49">
        <f>AVERAGE('29.10 KALAGI-MUKONO'!E49,'30.10-KALAGI-MUKONO'!E49,'1.11 KALAGI-MUKONO'!E49,'3.11 KALAGI-MUKONO'!E49,'31.10 KALAGI-MUKONO-24h'!E49,'2.11 KALAGI-MUKONO-24h'!E49,'4.11 KALAGI-MUKONO'!E49)</f>
        <v>1.5714285714285714</v>
      </c>
      <c r="F49" s="49">
        <f>AVERAGE('29.10 KALAGI-MUKONO'!F49,'30.10-KALAGI-MUKONO'!F49,'1.11 KALAGI-MUKONO'!F49,'3.11 KALAGI-MUKONO'!F49,'31.10 KALAGI-MUKONO-24h'!F49,'2.11 KALAGI-MUKONO-24h'!F49,'4.11 KALAGI-MUKONO'!F49)</f>
        <v>9.1428571428571423</v>
      </c>
      <c r="G49" s="49">
        <f>AVERAGE('29.10 KALAGI-MUKONO'!G49,'30.10-KALAGI-MUKONO'!G49,'1.11 KALAGI-MUKONO'!G49,'3.11 KALAGI-MUKONO'!G49,'31.10 KALAGI-MUKONO-24h'!G49,'2.11 KALAGI-MUKONO-24h'!G49,'4.11 KALAGI-MUKONO'!G49)</f>
        <v>0.42857142857142855</v>
      </c>
      <c r="H49" s="49">
        <f>AVERAGE('29.10 KALAGI-MUKONO'!H49,'30.10-KALAGI-MUKONO'!H49,'1.11 KALAGI-MUKONO'!H49,'3.11 KALAGI-MUKONO'!H49,'31.10 KALAGI-MUKONO-24h'!H49,'2.11 KALAGI-MUKONO-24h'!H49,'4.11 KALAGI-MUKONO'!H49)</f>
        <v>0.14285714285714285</v>
      </c>
      <c r="I49" s="49">
        <f>AVERAGE('29.10 KALAGI-MUKONO'!I49,'30.10-KALAGI-MUKONO'!I49,'1.11 KALAGI-MUKONO'!I49,'3.11 KALAGI-MUKONO'!I49,'31.10 KALAGI-MUKONO-24h'!I49,'2.11 KALAGI-MUKONO-24h'!I49,'4.11 KALAGI-MUKONO'!I49)</f>
        <v>2.4285714285714284</v>
      </c>
      <c r="J49" s="49">
        <f>AVERAGE('29.10 KALAGI-MUKONO'!J49,'30.10-KALAGI-MUKONO'!J49,'1.11 KALAGI-MUKONO'!J49,'3.11 KALAGI-MUKONO'!J49,'31.10 KALAGI-MUKONO-24h'!J49,'2.11 KALAGI-MUKONO-24h'!J49,'4.11 KALAGI-MUKONO'!J49)</f>
        <v>0.42857142857142855</v>
      </c>
      <c r="K49" s="49">
        <f>AVERAGE('29.10 KALAGI-MUKONO'!K49,'30.10-KALAGI-MUKONO'!K49,'1.11 KALAGI-MUKONO'!K49,'3.11 KALAGI-MUKONO'!K49,'31.10 KALAGI-MUKONO-24h'!K49,'2.11 KALAGI-MUKONO-24h'!K49,'4.11 KALAGI-MUKONO'!K49)</f>
        <v>0.2857142857142857</v>
      </c>
      <c r="L49" s="49">
        <f>AVERAGE('29.10 KALAGI-MUKONO'!L49,'30.10-KALAGI-MUKONO'!L49,'1.11 KALAGI-MUKONO'!L49,'3.11 KALAGI-MUKONO'!L49,'31.10 KALAGI-MUKONO-24h'!L49,'2.11 KALAGI-MUKONO-24h'!L49,'4.11 KALAGI-MUKONO'!L49)</f>
        <v>0.2857142857142857</v>
      </c>
      <c r="M49" s="49">
        <f>AVERAGE('29.10 KALAGI-MUKONO'!M49,'30.10-KALAGI-MUKONO'!M49,'1.11 KALAGI-MUKONO'!M49,'3.11 KALAGI-MUKONO'!M49,'31.10 KALAGI-MUKONO-24h'!M49,'2.11 KALAGI-MUKONO-24h'!M49,'4.11 KALAGI-MUKONO'!M49)</f>
        <v>29.285714285714285</v>
      </c>
      <c r="N49" s="49">
        <f>AVERAGE('29.10 KALAGI-MUKONO'!N49,'30.10-KALAGI-MUKONO'!N49,'1.11 KALAGI-MUKONO'!N49,'3.11 KALAGI-MUKONO'!N49,'31.10 KALAGI-MUKONO-24h'!N49,'2.11 KALAGI-MUKONO-24h'!N49,'4.11 KALAGI-MUKONO'!N49)</f>
        <v>0</v>
      </c>
      <c r="O49" s="15">
        <f t="shared" si="0"/>
        <v>27.42857142857142</v>
      </c>
      <c r="P49" s="15">
        <f t="shared" si="1"/>
        <v>56.714285714285708</v>
      </c>
      <c r="R49" s="8"/>
      <c r="T49"/>
    </row>
    <row r="50" spans="2:20" ht="23.1" customHeight="1" x14ac:dyDescent="0.25">
      <c r="B50" s="24" t="s">
        <v>77</v>
      </c>
      <c r="C50" s="49">
        <f>AVERAGE('29.10 KALAGI-MUKONO'!C50,'30.10-KALAGI-MUKONO'!C50,'1.11 KALAGI-MUKONO'!C50,'3.11 KALAGI-MUKONO'!C50,'31.10 KALAGI-MUKONO-24h'!C50,'2.11 KALAGI-MUKONO-24h'!C50,'4.11 KALAGI-MUKONO'!C50)</f>
        <v>12.428571428571429</v>
      </c>
      <c r="D50" s="49">
        <f>AVERAGE('29.10 KALAGI-MUKONO'!D50,'30.10-KALAGI-MUKONO'!D50,'1.11 KALAGI-MUKONO'!D50,'3.11 KALAGI-MUKONO'!D50,'31.10 KALAGI-MUKONO-24h'!D50,'2.11 KALAGI-MUKONO-24h'!D50,'4.11 KALAGI-MUKONO'!D50)</f>
        <v>3.2857142857142856</v>
      </c>
      <c r="E50" s="49">
        <f>AVERAGE('29.10 KALAGI-MUKONO'!E50,'30.10-KALAGI-MUKONO'!E50,'1.11 KALAGI-MUKONO'!E50,'3.11 KALAGI-MUKONO'!E50,'31.10 KALAGI-MUKONO-24h'!E50,'2.11 KALAGI-MUKONO-24h'!E50,'4.11 KALAGI-MUKONO'!E50)</f>
        <v>1.5714285714285714</v>
      </c>
      <c r="F50" s="49">
        <f>AVERAGE('29.10 KALAGI-MUKONO'!F50,'30.10-KALAGI-MUKONO'!F50,'1.11 KALAGI-MUKONO'!F50,'3.11 KALAGI-MUKONO'!F50,'31.10 KALAGI-MUKONO-24h'!F50,'2.11 KALAGI-MUKONO-24h'!F50,'4.11 KALAGI-MUKONO'!F50)</f>
        <v>11</v>
      </c>
      <c r="G50" s="49">
        <f>AVERAGE('29.10 KALAGI-MUKONO'!G50,'30.10-KALAGI-MUKONO'!G50,'1.11 KALAGI-MUKONO'!G50,'3.11 KALAGI-MUKONO'!G50,'31.10 KALAGI-MUKONO-24h'!G50,'2.11 KALAGI-MUKONO-24h'!G50,'4.11 KALAGI-MUKONO'!G50)</f>
        <v>0</v>
      </c>
      <c r="H50" s="49">
        <f>AVERAGE('29.10 KALAGI-MUKONO'!H50,'30.10-KALAGI-MUKONO'!H50,'1.11 KALAGI-MUKONO'!H50,'3.11 KALAGI-MUKONO'!H50,'31.10 KALAGI-MUKONO-24h'!H50,'2.11 KALAGI-MUKONO-24h'!H50,'4.11 KALAGI-MUKONO'!H50)</f>
        <v>0</v>
      </c>
      <c r="I50" s="49">
        <f>AVERAGE('29.10 KALAGI-MUKONO'!I50,'30.10-KALAGI-MUKONO'!I50,'1.11 KALAGI-MUKONO'!I50,'3.11 KALAGI-MUKONO'!I50,'31.10 KALAGI-MUKONO-24h'!I50,'2.11 KALAGI-MUKONO-24h'!I50,'4.11 KALAGI-MUKONO'!I50)</f>
        <v>3</v>
      </c>
      <c r="J50" s="49">
        <f>AVERAGE('29.10 KALAGI-MUKONO'!J50,'30.10-KALAGI-MUKONO'!J50,'1.11 KALAGI-MUKONO'!J50,'3.11 KALAGI-MUKONO'!J50,'31.10 KALAGI-MUKONO-24h'!J50,'2.11 KALAGI-MUKONO-24h'!J50,'4.11 KALAGI-MUKONO'!J50)</f>
        <v>0.7142857142857143</v>
      </c>
      <c r="K50" s="49">
        <f>AVERAGE('29.10 KALAGI-MUKONO'!K50,'30.10-KALAGI-MUKONO'!K50,'1.11 KALAGI-MUKONO'!K50,'3.11 KALAGI-MUKONO'!K50,'31.10 KALAGI-MUKONO-24h'!K50,'2.11 KALAGI-MUKONO-24h'!K50,'4.11 KALAGI-MUKONO'!K50)</f>
        <v>0</v>
      </c>
      <c r="L50" s="49">
        <f>AVERAGE('29.10 KALAGI-MUKONO'!L50,'30.10-KALAGI-MUKONO'!L50,'1.11 KALAGI-MUKONO'!L50,'3.11 KALAGI-MUKONO'!L50,'31.10 KALAGI-MUKONO-24h'!L50,'2.11 KALAGI-MUKONO-24h'!L50,'4.11 KALAGI-MUKONO'!L50)</f>
        <v>0.14285714285714285</v>
      </c>
      <c r="M50" s="49">
        <f>AVERAGE('29.10 KALAGI-MUKONO'!M50,'30.10-KALAGI-MUKONO'!M50,'1.11 KALAGI-MUKONO'!M50,'3.11 KALAGI-MUKONO'!M50,'31.10 KALAGI-MUKONO-24h'!M50,'2.11 KALAGI-MUKONO-24h'!M50,'4.11 KALAGI-MUKONO'!M50)</f>
        <v>26.714285714285715</v>
      </c>
      <c r="N50" s="49">
        <f>AVERAGE('29.10 KALAGI-MUKONO'!N50,'30.10-KALAGI-MUKONO'!N50,'1.11 KALAGI-MUKONO'!N50,'3.11 KALAGI-MUKONO'!N50,'31.10 KALAGI-MUKONO-24h'!N50,'2.11 KALAGI-MUKONO-24h'!N50,'4.11 KALAGI-MUKONO'!N50)</f>
        <v>0</v>
      </c>
      <c r="O50" s="15">
        <f t="shared" si="0"/>
        <v>32.142857142857146</v>
      </c>
      <c r="P50" s="15">
        <f t="shared" si="1"/>
        <v>58.857142857142861</v>
      </c>
      <c r="R50" s="8"/>
      <c r="T50"/>
    </row>
    <row r="51" spans="2:20" ht="23.1" customHeight="1" x14ac:dyDescent="0.25">
      <c r="B51" s="24" t="s">
        <v>78</v>
      </c>
      <c r="C51" s="49">
        <f>AVERAGE('29.10 KALAGI-MUKONO'!C51,'30.10-KALAGI-MUKONO'!C51,'1.11 KALAGI-MUKONO'!C51,'3.11 KALAGI-MUKONO'!C51,'31.10 KALAGI-MUKONO-24h'!C51,'2.11 KALAGI-MUKONO-24h'!C51,'4.11 KALAGI-MUKONO'!C51)</f>
        <v>10.857142857142858</v>
      </c>
      <c r="D51" s="49">
        <f>AVERAGE('29.10 KALAGI-MUKONO'!D51,'30.10-KALAGI-MUKONO'!D51,'1.11 KALAGI-MUKONO'!D51,'3.11 KALAGI-MUKONO'!D51,'31.10 KALAGI-MUKONO-24h'!D51,'2.11 KALAGI-MUKONO-24h'!D51,'4.11 KALAGI-MUKONO'!D51)</f>
        <v>4</v>
      </c>
      <c r="E51" s="49">
        <f>AVERAGE('29.10 KALAGI-MUKONO'!E51,'30.10-KALAGI-MUKONO'!E51,'1.11 KALAGI-MUKONO'!E51,'3.11 KALAGI-MUKONO'!E51,'31.10 KALAGI-MUKONO-24h'!E51,'2.11 KALAGI-MUKONO-24h'!E51,'4.11 KALAGI-MUKONO'!E51)</f>
        <v>1.8571428571428572</v>
      </c>
      <c r="F51" s="49">
        <f>AVERAGE('29.10 KALAGI-MUKONO'!F51,'30.10-KALAGI-MUKONO'!F51,'1.11 KALAGI-MUKONO'!F51,'3.11 KALAGI-MUKONO'!F51,'31.10 KALAGI-MUKONO-24h'!F51,'2.11 KALAGI-MUKONO-24h'!F51,'4.11 KALAGI-MUKONO'!F51)</f>
        <v>10.428571428571429</v>
      </c>
      <c r="G51" s="49">
        <f>AVERAGE('29.10 KALAGI-MUKONO'!G51,'30.10-KALAGI-MUKONO'!G51,'1.11 KALAGI-MUKONO'!G51,'3.11 KALAGI-MUKONO'!G51,'31.10 KALAGI-MUKONO-24h'!G51,'2.11 KALAGI-MUKONO-24h'!G51,'4.11 KALAGI-MUKONO'!G51)</f>
        <v>0.7142857142857143</v>
      </c>
      <c r="H51" s="49">
        <f>AVERAGE('29.10 KALAGI-MUKONO'!H51,'30.10-KALAGI-MUKONO'!H51,'1.11 KALAGI-MUKONO'!H51,'3.11 KALAGI-MUKONO'!H51,'31.10 KALAGI-MUKONO-24h'!H51,'2.11 KALAGI-MUKONO-24h'!H51,'4.11 KALAGI-MUKONO'!H51)</f>
        <v>0</v>
      </c>
      <c r="I51" s="49">
        <f>AVERAGE('29.10 KALAGI-MUKONO'!I51,'30.10-KALAGI-MUKONO'!I51,'1.11 KALAGI-MUKONO'!I51,'3.11 KALAGI-MUKONO'!I51,'31.10 KALAGI-MUKONO-24h'!I51,'2.11 KALAGI-MUKONO-24h'!I51,'4.11 KALAGI-MUKONO'!I51)</f>
        <v>2.1428571428571428</v>
      </c>
      <c r="J51" s="49">
        <f>AVERAGE('29.10 KALAGI-MUKONO'!J51,'30.10-KALAGI-MUKONO'!J51,'1.11 KALAGI-MUKONO'!J51,'3.11 KALAGI-MUKONO'!J51,'31.10 KALAGI-MUKONO-24h'!J51,'2.11 KALAGI-MUKONO-24h'!J51,'4.11 KALAGI-MUKONO'!J51)</f>
        <v>0.8571428571428571</v>
      </c>
      <c r="K51" s="49">
        <f>AVERAGE('29.10 KALAGI-MUKONO'!K51,'30.10-KALAGI-MUKONO'!K51,'1.11 KALAGI-MUKONO'!K51,'3.11 KALAGI-MUKONO'!K51,'31.10 KALAGI-MUKONO-24h'!K51,'2.11 KALAGI-MUKONO-24h'!K51,'4.11 KALAGI-MUKONO'!K51)</f>
        <v>0.42857142857142855</v>
      </c>
      <c r="L51" s="49">
        <f>AVERAGE('29.10 KALAGI-MUKONO'!L51,'30.10-KALAGI-MUKONO'!L51,'1.11 KALAGI-MUKONO'!L51,'3.11 KALAGI-MUKONO'!L51,'31.10 KALAGI-MUKONO-24h'!L51,'2.11 KALAGI-MUKONO-24h'!L51,'4.11 KALAGI-MUKONO'!L51)</f>
        <v>0.14285714285714285</v>
      </c>
      <c r="M51" s="49">
        <f>AVERAGE('29.10 KALAGI-MUKONO'!M51,'30.10-KALAGI-MUKONO'!M51,'1.11 KALAGI-MUKONO'!M51,'3.11 KALAGI-MUKONO'!M51,'31.10 KALAGI-MUKONO-24h'!M51,'2.11 KALAGI-MUKONO-24h'!M51,'4.11 KALAGI-MUKONO'!M51)</f>
        <v>25.285714285714285</v>
      </c>
      <c r="N51" s="49">
        <f>AVERAGE('29.10 KALAGI-MUKONO'!N51,'30.10-KALAGI-MUKONO'!N51,'1.11 KALAGI-MUKONO'!N51,'3.11 KALAGI-MUKONO'!N51,'31.10 KALAGI-MUKONO-24h'!N51,'2.11 KALAGI-MUKONO-24h'!N51,'4.11 KALAGI-MUKONO'!N51)</f>
        <v>0</v>
      </c>
      <c r="O51" s="15">
        <f t="shared" si="0"/>
        <v>31.428571428571431</v>
      </c>
      <c r="P51" s="15">
        <f t="shared" si="1"/>
        <v>56.714285714285715</v>
      </c>
      <c r="R51" s="8"/>
      <c r="T51"/>
    </row>
    <row r="52" spans="2:20" ht="23.1" customHeight="1" x14ac:dyDescent="0.25">
      <c r="B52" s="24" t="s">
        <v>79</v>
      </c>
      <c r="C52" s="49">
        <f>AVERAGE('29.10 KALAGI-MUKONO'!C52,'30.10-KALAGI-MUKONO'!C52,'1.11 KALAGI-MUKONO'!C52,'3.11 KALAGI-MUKONO'!C52,'31.10 KALAGI-MUKONO-24h'!C52,'2.11 KALAGI-MUKONO-24h'!C52,'4.11 KALAGI-MUKONO'!C52)</f>
        <v>12.142857142857142</v>
      </c>
      <c r="D52" s="49">
        <f>AVERAGE('29.10 KALAGI-MUKONO'!D52,'30.10-KALAGI-MUKONO'!D52,'1.11 KALAGI-MUKONO'!D52,'3.11 KALAGI-MUKONO'!D52,'31.10 KALAGI-MUKONO-24h'!D52,'2.11 KALAGI-MUKONO-24h'!D52,'4.11 KALAGI-MUKONO'!D52)</f>
        <v>3.7142857142857144</v>
      </c>
      <c r="E52" s="49">
        <f>AVERAGE('29.10 KALAGI-MUKONO'!E52,'30.10-KALAGI-MUKONO'!E52,'1.11 KALAGI-MUKONO'!E52,'3.11 KALAGI-MUKONO'!E52,'31.10 KALAGI-MUKONO-24h'!E52,'2.11 KALAGI-MUKONO-24h'!E52,'4.11 KALAGI-MUKONO'!E52)</f>
        <v>3.2857142857142856</v>
      </c>
      <c r="F52" s="49">
        <f>AVERAGE('29.10 KALAGI-MUKONO'!F52,'30.10-KALAGI-MUKONO'!F52,'1.11 KALAGI-MUKONO'!F52,'3.11 KALAGI-MUKONO'!F52,'31.10 KALAGI-MUKONO-24h'!F52,'2.11 KALAGI-MUKONO-24h'!F52,'4.11 KALAGI-MUKONO'!F52)</f>
        <v>9</v>
      </c>
      <c r="G52" s="49">
        <f>AVERAGE('29.10 KALAGI-MUKONO'!G52,'30.10-KALAGI-MUKONO'!G52,'1.11 KALAGI-MUKONO'!G52,'3.11 KALAGI-MUKONO'!G52,'31.10 KALAGI-MUKONO-24h'!G52,'2.11 KALAGI-MUKONO-24h'!G52,'4.11 KALAGI-MUKONO'!G52)</f>
        <v>0.2857142857142857</v>
      </c>
      <c r="H52" s="49">
        <f>AVERAGE('29.10 KALAGI-MUKONO'!H52,'30.10-KALAGI-MUKONO'!H52,'1.11 KALAGI-MUKONO'!H52,'3.11 KALAGI-MUKONO'!H52,'31.10 KALAGI-MUKONO-24h'!H52,'2.11 KALAGI-MUKONO-24h'!H52,'4.11 KALAGI-MUKONO'!H52)</f>
        <v>0</v>
      </c>
      <c r="I52" s="49">
        <f>AVERAGE('29.10 KALAGI-MUKONO'!I52,'30.10-KALAGI-MUKONO'!I52,'1.11 KALAGI-MUKONO'!I52,'3.11 KALAGI-MUKONO'!I52,'31.10 KALAGI-MUKONO-24h'!I52,'2.11 KALAGI-MUKONO-24h'!I52,'4.11 KALAGI-MUKONO'!I52)</f>
        <v>2.2857142857142856</v>
      </c>
      <c r="J52" s="49">
        <f>AVERAGE('29.10 KALAGI-MUKONO'!J52,'30.10-KALAGI-MUKONO'!J52,'1.11 KALAGI-MUKONO'!J52,'3.11 KALAGI-MUKONO'!J52,'31.10 KALAGI-MUKONO-24h'!J52,'2.11 KALAGI-MUKONO-24h'!J52,'4.11 KALAGI-MUKONO'!J52)</f>
        <v>0.42857142857142855</v>
      </c>
      <c r="K52" s="49">
        <f>AVERAGE('29.10 KALAGI-MUKONO'!K52,'30.10-KALAGI-MUKONO'!K52,'1.11 KALAGI-MUKONO'!K52,'3.11 KALAGI-MUKONO'!K52,'31.10 KALAGI-MUKONO-24h'!K52,'2.11 KALAGI-MUKONO-24h'!K52,'4.11 KALAGI-MUKONO'!K52)</f>
        <v>0.14285714285714285</v>
      </c>
      <c r="L52" s="49">
        <f>AVERAGE('29.10 KALAGI-MUKONO'!L52,'30.10-KALAGI-MUKONO'!L52,'1.11 KALAGI-MUKONO'!L52,'3.11 KALAGI-MUKONO'!L52,'31.10 KALAGI-MUKONO-24h'!L52,'2.11 KALAGI-MUKONO-24h'!L52,'4.11 KALAGI-MUKONO'!L52)</f>
        <v>0</v>
      </c>
      <c r="M52" s="49">
        <f>AVERAGE('29.10 KALAGI-MUKONO'!M52,'30.10-KALAGI-MUKONO'!M52,'1.11 KALAGI-MUKONO'!M52,'3.11 KALAGI-MUKONO'!M52,'31.10 KALAGI-MUKONO-24h'!M52,'2.11 KALAGI-MUKONO-24h'!M52,'4.11 KALAGI-MUKONO'!M52)</f>
        <v>26.714285714285715</v>
      </c>
      <c r="N52" s="49">
        <f>AVERAGE('29.10 KALAGI-MUKONO'!N52,'30.10-KALAGI-MUKONO'!N52,'1.11 KALAGI-MUKONO'!N52,'3.11 KALAGI-MUKONO'!N52,'31.10 KALAGI-MUKONO-24h'!N52,'2.11 KALAGI-MUKONO-24h'!N52,'4.11 KALAGI-MUKONO'!N52)</f>
        <v>0</v>
      </c>
      <c r="O52" s="15">
        <f t="shared" si="0"/>
        <v>31.285714285714281</v>
      </c>
      <c r="P52" s="15">
        <f t="shared" si="1"/>
        <v>58</v>
      </c>
      <c r="R52" s="8"/>
      <c r="T52"/>
    </row>
    <row r="53" spans="2:20" ht="23.1" customHeight="1" x14ac:dyDescent="0.25">
      <c r="B53" s="23" t="s">
        <v>80</v>
      </c>
      <c r="C53" s="49">
        <f>AVERAGE('29.10 KALAGI-MUKONO'!C53,'30.10-KALAGI-MUKONO'!C53,'1.11 KALAGI-MUKONO'!C53,'3.11 KALAGI-MUKONO'!C53,'31.10 KALAGI-MUKONO-24h'!C53,'2.11 KALAGI-MUKONO-24h'!C53,'4.11 KALAGI-MUKONO'!C53)</f>
        <v>13.571428571428571</v>
      </c>
      <c r="D53" s="49">
        <f>AVERAGE('29.10 KALAGI-MUKONO'!D53,'30.10-KALAGI-MUKONO'!D53,'1.11 KALAGI-MUKONO'!D53,'3.11 KALAGI-MUKONO'!D53,'31.10 KALAGI-MUKONO-24h'!D53,'2.11 KALAGI-MUKONO-24h'!D53,'4.11 KALAGI-MUKONO'!D53)</f>
        <v>2.7142857142857144</v>
      </c>
      <c r="E53" s="49">
        <f>AVERAGE('29.10 KALAGI-MUKONO'!E53,'30.10-KALAGI-MUKONO'!E53,'1.11 KALAGI-MUKONO'!E53,'3.11 KALAGI-MUKONO'!E53,'31.10 KALAGI-MUKONO-24h'!E53,'2.11 KALAGI-MUKONO-24h'!E53,'4.11 KALAGI-MUKONO'!E53)</f>
        <v>2.2857142857142856</v>
      </c>
      <c r="F53" s="49">
        <f>AVERAGE('29.10 KALAGI-MUKONO'!F53,'30.10-KALAGI-MUKONO'!F53,'1.11 KALAGI-MUKONO'!F53,'3.11 KALAGI-MUKONO'!F53,'31.10 KALAGI-MUKONO-24h'!F53,'2.11 KALAGI-MUKONO-24h'!F53,'4.11 KALAGI-MUKONO'!F53)</f>
        <v>8.7142857142857135</v>
      </c>
      <c r="G53" s="49">
        <f>AVERAGE('29.10 KALAGI-MUKONO'!G53,'30.10-KALAGI-MUKONO'!G53,'1.11 KALAGI-MUKONO'!G53,'3.11 KALAGI-MUKONO'!G53,'31.10 KALAGI-MUKONO-24h'!G53,'2.11 KALAGI-MUKONO-24h'!G53,'4.11 KALAGI-MUKONO'!G53)</f>
        <v>0.42857142857142855</v>
      </c>
      <c r="H53" s="49">
        <f>AVERAGE('29.10 KALAGI-MUKONO'!H53,'30.10-KALAGI-MUKONO'!H53,'1.11 KALAGI-MUKONO'!H53,'3.11 KALAGI-MUKONO'!H53,'31.10 KALAGI-MUKONO-24h'!H53,'2.11 KALAGI-MUKONO-24h'!H53,'4.11 KALAGI-MUKONO'!H53)</f>
        <v>0</v>
      </c>
      <c r="I53" s="49">
        <f>AVERAGE('29.10 KALAGI-MUKONO'!I53,'30.10-KALAGI-MUKONO'!I53,'1.11 KALAGI-MUKONO'!I53,'3.11 KALAGI-MUKONO'!I53,'31.10 KALAGI-MUKONO-24h'!I53,'2.11 KALAGI-MUKONO-24h'!I53,'4.11 KALAGI-MUKONO'!I53)</f>
        <v>2.8571428571428572</v>
      </c>
      <c r="J53" s="49">
        <f>AVERAGE('29.10 KALAGI-MUKONO'!J53,'30.10-KALAGI-MUKONO'!J53,'1.11 KALAGI-MUKONO'!J53,'3.11 KALAGI-MUKONO'!J53,'31.10 KALAGI-MUKONO-24h'!J53,'2.11 KALAGI-MUKONO-24h'!J53,'4.11 KALAGI-MUKONO'!J53)</f>
        <v>0.2857142857142857</v>
      </c>
      <c r="K53" s="49">
        <f>AVERAGE('29.10 KALAGI-MUKONO'!K53,'30.10-KALAGI-MUKONO'!K53,'1.11 KALAGI-MUKONO'!K53,'3.11 KALAGI-MUKONO'!K53,'31.10 KALAGI-MUKONO-24h'!K53,'2.11 KALAGI-MUKONO-24h'!K53,'4.11 KALAGI-MUKONO'!K53)</f>
        <v>0.42857142857142855</v>
      </c>
      <c r="L53" s="49">
        <f>AVERAGE('29.10 KALAGI-MUKONO'!L53,'30.10-KALAGI-MUKONO'!L53,'1.11 KALAGI-MUKONO'!L53,'3.11 KALAGI-MUKONO'!L53,'31.10 KALAGI-MUKONO-24h'!L53,'2.11 KALAGI-MUKONO-24h'!L53,'4.11 KALAGI-MUKONO'!L53)</f>
        <v>0</v>
      </c>
      <c r="M53" s="49">
        <f>AVERAGE('29.10 KALAGI-MUKONO'!M53,'30.10-KALAGI-MUKONO'!M53,'1.11 KALAGI-MUKONO'!M53,'3.11 KALAGI-MUKONO'!M53,'31.10 KALAGI-MUKONO-24h'!M53,'2.11 KALAGI-MUKONO-24h'!M53,'4.11 KALAGI-MUKONO'!M53)</f>
        <v>26.142857142857142</v>
      </c>
      <c r="N53" s="49">
        <f>AVERAGE('29.10 KALAGI-MUKONO'!N53,'30.10-KALAGI-MUKONO'!N53,'1.11 KALAGI-MUKONO'!N53,'3.11 KALAGI-MUKONO'!N53,'31.10 KALAGI-MUKONO-24h'!N53,'2.11 KALAGI-MUKONO-24h'!N53,'4.11 KALAGI-MUKONO'!N53)</f>
        <v>0</v>
      </c>
      <c r="O53" s="15">
        <f t="shared" si="0"/>
        <v>31.285714285714281</v>
      </c>
      <c r="P53" s="15">
        <f t="shared" si="1"/>
        <v>57.428571428571423</v>
      </c>
      <c r="R53" s="8"/>
      <c r="T53"/>
    </row>
    <row r="54" spans="2:20" ht="23.1" customHeight="1" x14ac:dyDescent="0.25">
      <c r="B54" s="23" t="s">
        <v>81</v>
      </c>
      <c r="C54" s="49">
        <f>AVERAGE('29.10 KALAGI-MUKONO'!C54,'30.10-KALAGI-MUKONO'!C54,'1.11 KALAGI-MUKONO'!C54,'3.11 KALAGI-MUKONO'!C54,'31.10 KALAGI-MUKONO-24h'!C54,'2.11 KALAGI-MUKONO-24h'!C54,'4.11 KALAGI-MUKONO'!C54)</f>
        <v>9</v>
      </c>
      <c r="D54" s="49">
        <f>AVERAGE('29.10 KALAGI-MUKONO'!D54,'30.10-KALAGI-MUKONO'!D54,'1.11 KALAGI-MUKONO'!D54,'3.11 KALAGI-MUKONO'!D54,'31.10 KALAGI-MUKONO-24h'!D54,'2.11 KALAGI-MUKONO-24h'!D54,'4.11 KALAGI-MUKONO'!D54)</f>
        <v>2</v>
      </c>
      <c r="E54" s="49">
        <f>AVERAGE('29.10 KALAGI-MUKONO'!E54,'30.10-KALAGI-MUKONO'!E54,'1.11 KALAGI-MUKONO'!E54,'3.11 KALAGI-MUKONO'!E54,'31.10 KALAGI-MUKONO-24h'!E54,'2.11 KALAGI-MUKONO-24h'!E54,'4.11 KALAGI-MUKONO'!E54)</f>
        <v>2.7142857142857144</v>
      </c>
      <c r="F54" s="49">
        <f>AVERAGE('29.10 KALAGI-MUKONO'!F54,'30.10-KALAGI-MUKONO'!F54,'1.11 KALAGI-MUKONO'!F54,'3.11 KALAGI-MUKONO'!F54,'31.10 KALAGI-MUKONO-24h'!F54,'2.11 KALAGI-MUKONO-24h'!F54,'4.11 KALAGI-MUKONO'!F54)</f>
        <v>9.2857142857142865</v>
      </c>
      <c r="G54" s="49">
        <f>AVERAGE('29.10 KALAGI-MUKONO'!G54,'30.10-KALAGI-MUKONO'!G54,'1.11 KALAGI-MUKONO'!G54,'3.11 KALAGI-MUKONO'!G54,'31.10 KALAGI-MUKONO-24h'!G54,'2.11 KALAGI-MUKONO-24h'!G54,'4.11 KALAGI-MUKONO'!G54)</f>
        <v>0.5714285714285714</v>
      </c>
      <c r="H54" s="49">
        <f>AVERAGE('29.10 KALAGI-MUKONO'!H54,'30.10-KALAGI-MUKONO'!H54,'1.11 KALAGI-MUKONO'!H54,'3.11 KALAGI-MUKONO'!H54,'31.10 KALAGI-MUKONO-24h'!H54,'2.11 KALAGI-MUKONO-24h'!H54,'4.11 KALAGI-MUKONO'!H54)</f>
        <v>0</v>
      </c>
      <c r="I54" s="49">
        <f>AVERAGE('29.10 KALAGI-MUKONO'!I54,'30.10-KALAGI-MUKONO'!I54,'1.11 KALAGI-MUKONO'!I54,'3.11 KALAGI-MUKONO'!I54,'31.10 KALAGI-MUKONO-24h'!I54,'2.11 KALAGI-MUKONO-24h'!I54,'4.11 KALAGI-MUKONO'!I54)</f>
        <v>3.4285714285714284</v>
      </c>
      <c r="J54" s="49">
        <f>AVERAGE('29.10 KALAGI-MUKONO'!J54,'30.10-KALAGI-MUKONO'!J54,'1.11 KALAGI-MUKONO'!J54,'3.11 KALAGI-MUKONO'!J54,'31.10 KALAGI-MUKONO-24h'!J54,'2.11 KALAGI-MUKONO-24h'!J54,'4.11 KALAGI-MUKONO'!J54)</f>
        <v>1.2857142857142858</v>
      </c>
      <c r="K54" s="49">
        <f>AVERAGE('29.10 KALAGI-MUKONO'!K54,'30.10-KALAGI-MUKONO'!K54,'1.11 KALAGI-MUKONO'!K54,'3.11 KALAGI-MUKONO'!K54,'31.10 KALAGI-MUKONO-24h'!K54,'2.11 KALAGI-MUKONO-24h'!K54,'4.11 KALAGI-MUKONO'!K54)</f>
        <v>0.42857142857142855</v>
      </c>
      <c r="L54" s="49">
        <f>AVERAGE('29.10 KALAGI-MUKONO'!L54,'30.10-KALAGI-MUKONO'!L54,'1.11 KALAGI-MUKONO'!L54,'3.11 KALAGI-MUKONO'!L54,'31.10 KALAGI-MUKONO-24h'!L54,'2.11 KALAGI-MUKONO-24h'!L54,'4.11 KALAGI-MUKONO'!L54)</f>
        <v>0.14285714285714285</v>
      </c>
      <c r="M54" s="49">
        <f>AVERAGE('29.10 KALAGI-MUKONO'!M54,'30.10-KALAGI-MUKONO'!M54,'1.11 KALAGI-MUKONO'!M54,'3.11 KALAGI-MUKONO'!M54,'31.10 KALAGI-MUKONO-24h'!M54,'2.11 KALAGI-MUKONO-24h'!M54,'4.11 KALAGI-MUKONO'!M54)</f>
        <v>24.142857142857142</v>
      </c>
      <c r="N54" s="49">
        <f>AVERAGE('29.10 KALAGI-MUKONO'!N54,'30.10-KALAGI-MUKONO'!N54,'1.11 KALAGI-MUKONO'!N54,'3.11 KALAGI-MUKONO'!N54,'31.10 KALAGI-MUKONO-24h'!N54,'2.11 KALAGI-MUKONO-24h'!N54,'4.11 KALAGI-MUKONO'!N54)</f>
        <v>0</v>
      </c>
      <c r="O54" s="15">
        <f t="shared" si="0"/>
        <v>28.857142857142854</v>
      </c>
      <c r="P54" s="15">
        <f t="shared" si="1"/>
        <v>53</v>
      </c>
      <c r="R54" s="8"/>
      <c r="T54"/>
    </row>
    <row r="55" spans="2:20" ht="23.1" customHeight="1" x14ac:dyDescent="0.25">
      <c r="B55" s="23" t="s">
        <v>82</v>
      </c>
      <c r="C55" s="49">
        <f>AVERAGE('29.10 KALAGI-MUKONO'!C55,'30.10-KALAGI-MUKONO'!C55,'1.11 KALAGI-MUKONO'!C55,'3.11 KALAGI-MUKONO'!C55,'31.10 KALAGI-MUKONO-24h'!C55,'2.11 KALAGI-MUKONO-24h'!C55,'4.11 KALAGI-MUKONO'!C55)</f>
        <v>10.571428571428571</v>
      </c>
      <c r="D55" s="49">
        <f>AVERAGE('29.10 KALAGI-MUKONO'!D55,'30.10-KALAGI-MUKONO'!D55,'1.11 KALAGI-MUKONO'!D55,'3.11 KALAGI-MUKONO'!D55,'31.10 KALAGI-MUKONO-24h'!D55,'2.11 KALAGI-MUKONO-24h'!D55,'4.11 KALAGI-MUKONO'!D55)</f>
        <v>2.7142857142857144</v>
      </c>
      <c r="E55" s="49">
        <f>AVERAGE('29.10 KALAGI-MUKONO'!E55,'30.10-KALAGI-MUKONO'!E55,'1.11 KALAGI-MUKONO'!E55,'3.11 KALAGI-MUKONO'!E55,'31.10 KALAGI-MUKONO-24h'!E55,'2.11 KALAGI-MUKONO-24h'!E55,'4.11 KALAGI-MUKONO'!E55)</f>
        <v>2.5714285714285716</v>
      </c>
      <c r="F55" s="49">
        <f>AVERAGE('29.10 KALAGI-MUKONO'!F55,'30.10-KALAGI-MUKONO'!F55,'1.11 KALAGI-MUKONO'!F55,'3.11 KALAGI-MUKONO'!F55,'31.10 KALAGI-MUKONO-24h'!F55,'2.11 KALAGI-MUKONO-24h'!F55,'4.11 KALAGI-MUKONO'!F55)</f>
        <v>11.571428571428571</v>
      </c>
      <c r="G55" s="49">
        <f>AVERAGE('29.10 KALAGI-MUKONO'!G55,'30.10-KALAGI-MUKONO'!G55,'1.11 KALAGI-MUKONO'!G55,'3.11 KALAGI-MUKONO'!G55,'31.10 KALAGI-MUKONO-24h'!G55,'2.11 KALAGI-MUKONO-24h'!G55,'4.11 KALAGI-MUKONO'!G55)</f>
        <v>0.5714285714285714</v>
      </c>
      <c r="H55" s="49">
        <f>AVERAGE('29.10 KALAGI-MUKONO'!H55,'30.10-KALAGI-MUKONO'!H55,'1.11 KALAGI-MUKONO'!H55,'3.11 KALAGI-MUKONO'!H55,'31.10 KALAGI-MUKONO-24h'!H55,'2.11 KALAGI-MUKONO-24h'!H55,'4.11 KALAGI-MUKONO'!H55)</f>
        <v>0</v>
      </c>
      <c r="I55" s="49">
        <f>AVERAGE('29.10 KALAGI-MUKONO'!I55,'30.10-KALAGI-MUKONO'!I55,'1.11 KALAGI-MUKONO'!I55,'3.11 KALAGI-MUKONO'!I55,'31.10 KALAGI-MUKONO-24h'!I55,'2.11 KALAGI-MUKONO-24h'!I55,'4.11 KALAGI-MUKONO'!I55)</f>
        <v>2.8571428571428572</v>
      </c>
      <c r="J55" s="49">
        <f>AVERAGE('29.10 KALAGI-MUKONO'!J55,'30.10-KALAGI-MUKONO'!J55,'1.11 KALAGI-MUKONO'!J55,'3.11 KALAGI-MUKONO'!J55,'31.10 KALAGI-MUKONO-24h'!J55,'2.11 KALAGI-MUKONO-24h'!J55,'4.11 KALAGI-MUKONO'!J55)</f>
        <v>0.42857142857142855</v>
      </c>
      <c r="K55" s="49">
        <f>AVERAGE('29.10 KALAGI-MUKONO'!K55,'30.10-KALAGI-MUKONO'!K55,'1.11 KALAGI-MUKONO'!K55,'3.11 KALAGI-MUKONO'!K55,'31.10 KALAGI-MUKONO-24h'!K55,'2.11 KALAGI-MUKONO-24h'!K55,'4.11 KALAGI-MUKONO'!K55)</f>
        <v>0.14285714285714285</v>
      </c>
      <c r="L55" s="49">
        <f>AVERAGE('29.10 KALAGI-MUKONO'!L55,'30.10-KALAGI-MUKONO'!L55,'1.11 KALAGI-MUKONO'!L55,'3.11 KALAGI-MUKONO'!L55,'31.10 KALAGI-MUKONO-24h'!L55,'2.11 KALAGI-MUKONO-24h'!L55,'4.11 KALAGI-MUKONO'!L55)</f>
        <v>0.2857142857142857</v>
      </c>
      <c r="M55" s="49">
        <f>AVERAGE('29.10 KALAGI-MUKONO'!M55,'30.10-KALAGI-MUKONO'!M55,'1.11 KALAGI-MUKONO'!M55,'3.11 KALAGI-MUKONO'!M55,'31.10 KALAGI-MUKONO-24h'!M55,'2.11 KALAGI-MUKONO-24h'!M55,'4.11 KALAGI-MUKONO'!M55)</f>
        <v>24.142857142857142</v>
      </c>
      <c r="N55" s="49">
        <f>AVERAGE('29.10 KALAGI-MUKONO'!N55,'30.10-KALAGI-MUKONO'!N55,'1.11 KALAGI-MUKONO'!N55,'3.11 KALAGI-MUKONO'!N55,'31.10 KALAGI-MUKONO-24h'!N55,'2.11 KALAGI-MUKONO-24h'!N55,'4.11 KALAGI-MUKONO'!N55)</f>
        <v>0.14285714285714285</v>
      </c>
      <c r="O55" s="15">
        <f t="shared" si="0"/>
        <v>31.857142857142854</v>
      </c>
      <c r="P55" s="15">
        <f t="shared" si="1"/>
        <v>56</v>
      </c>
      <c r="R55" s="8"/>
      <c r="T55"/>
    </row>
    <row r="56" spans="2:20" ht="23.1" customHeight="1" x14ac:dyDescent="0.25">
      <c r="B56" s="23" t="s">
        <v>83</v>
      </c>
      <c r="C56" s="49">
        <f>AVERAGE('29.10 KALAGI-MUKONO'!C56,'30.10-KALAGI-MUKONO'!C56,'1.11 KALAGI-MUKONO'!C56,'3.11 KALAGI-MUKONO'!C56,'31.10 KALAGI-MUKONO-24h'!C56,'2.11 KALAGI-MUKONO-24h'!C56,'4.11 KALAGI-MUKONO'!C56)</f>
        <v>9.1428571428571423</v>
      </c>
      <c r="D56" s="49">
        <f>AVERAGE('29.10 KALAGI-MUKONO'!D56,'30.10-KALAGI-MUKONO'!D56,'1.11 KALAGI-MUKONO'!D56,'3.11 KALAGI-MUKONO'!D56,'31.10 KALAGI-MUKONO-24h'!D56,'2.11 KALAGI-MUKONO-24h'!D56,'4.11 KALAGI-MUKONO'!D56)</f>
        <v>2.2857142857142856</v>
      </c>
      <c r="E56" s="49">
        <f>AVERAGE('29.10 KALAGI-MUKONO'!E56,'30.10-KALAGI-MUKONO'!E56,'1.11 KALAGI-MUKONO'!E56,'3.11 KALAGI-MUKONO'!E56,'31.10 KALAGI-MUKONO-24h'!E56,'2.11 KALAGI-MUKONO-24h'!E56,'4.11 KALAGI-MUKONO'!E56)</f>
        <v>2.8571428571428572</v>
      </c>
      <c r="F56" s="49">
        <f>AVERAGE('29.10 KALAGI-MUKONO'!F56,'30.10-KALAGI-MUKONO'!F56,'1.11 KALAGI-MUKONO'!F56,'3.11 KALAGI-MUKONO'!F56,'31.10 KALAGI-MUKONO-24h'!F56,'2.11 KALAGI-MUKONO-24h'!F56,'4.11 KALAGI-MUKONO'!F56)</f>
        <v>9.8571428571428577</v>
      </c>
      <c r="G56" s="49">
        <f>AVERAGE('29.10 KALAGI-MUKONO'!G56,'30.10-KALAGI-MUKONO'!G56,'1.11 KALAGI-MUKONO'!G56,'3.11 KALAGI-MUKONO'!G56,'31.10 KALAGI-MUKONO-24h'!G56,'2.11 KALAGI-MUKONO-24h'!G56,'4.11 KALAGI-MUKONO'!G56)</f>
        <v>0</v>
      </c>
      <c r="H56" s="49">
        <f>AVERAGE('29.10 KALAGI-MUKONO'!H56,'30.10-KALAGI-MUKONO'!H56,'1.11 KALAGI-MUKONO'!H56,'3.11 KALAGI-MUKONO'!H56,'31.10 KALAGI-MUKONO-24h'!H56,'2.11 KALAGI-MUKONO-24h'!H56,'4.11 KALAGI-MUKONO'!H56)</f>
        <v>0</v>
      </c>
      <c r="I56" s="49">
        <f>AVERAGE('29.10 KALAGI-MUKONO'!I56,'30.10-KALAGI-MUKONO'!I56,'1.11 KALAGI-MUKONO'!I56,'3.11 KALAGI-MUKONO'!I56,'31.10 KALAGI-MUKONO-24h'!I56,'2.11 KALAGI-MUKONO-24h'!I56,'4.11 KALAGI-MUKONO'!I56)</f>
        <v>2.7142857142857144</v>
      </c>
      <c r="J56" s="49">
        <f>AVERAGE('29.10 KALAGI-MUKONO'!J56,'30.10-KALAGI-MUKONO'!J56,'1.11 KALAGI-MUKONO'!J56,'3.11 KALAGI-MUKONO'!J56,'31.10 KALAGI-MUKONO-24h'!J56,'2.11 KALAGI-MUKONO-24h'!J56,'4.11 KALAGI-MUKONO'!J56)</f>
        <v>0.5714285714285714</v>
      </c>
      <c r="K56" s="49">
        <f>AVERAGE('29.10 KALAGI-MUKONO'!K56,'30.10-KALAGI-MUKONO'!K56,'1.11 KALAGI-MUKONO'!K56,'3.11 KALAGI-MUKONO'!K56,'31.10 KALAGI-MUKONO-24h'!K56,'2.11 KALAGI-MUKONO-24h'!K56,'4.11 KALAGI-MUKONO'!K56)</f>
        <v>0.14285714285714285</v>
      </c>
      <c r="L56" s="49">
        <f>AVERAGE('29.10 KALAGI-MUKONO'!L56,'30.10-KALAGI-MUKONO'!L56,'1.11 KALAGI-MUKONO'!L56,'3.11 KALAGI-MUKONO'!L56,'31.10 KALAGI-MUKONO-24h'!L56,'2.11 KALAGI-MUKONO-24h'!L56,'4.11 KALAGI-MUKONO'!L56)</f>
        <v>0.14285714285714285</v>
      </c>
      <c r="M56" s="49">
        <f>AVERAGE('29.10 KALAGI-MUKONO'!M56,'30.10-KALAGI-MUKONO'!M56,'1.11 KALAGI-MUKONO'!M56,'3.11 KALAGI-MUKONO'!M56,'31.10 KALAGI-MUKONO-24h'!M56,'2.11 KALAGI-MUKONO-24h'!M56,'4.11 KALAGI-MUKONO'!M56)</f>
        <v>24.714285714285715</v>
      </c>
      <c r="N56" s="49">
        <f>AVERAGE('29.10 KALAGI-MUKONO'!N56,'30.10-KALAGI-MUKONO'!N56,'1.11 KALAGI-MUKONO'!N56,'3.11 KALAGI-MUKONO'!N56,'31.10 KALAGI-MUKONO-24h'!N56,'2.11 KALAGI-MUKONO-24h'!N56,'4.11 KALAGI-MUKONO'!N56)</f>
        <v>0</v>
      </c>
      <c r="O56" s="15">
        <f t="shared" si="0"/>
        <v>27.714285714285715</v>
      </c>
      <c r="P56" s="15">
        <f t="shared" si="1"/>
        <v>52.428571428571431</v>
      </c>
      <c r="R56" s="8"/>
      <c r="T56"/>
    </row>
    <row r="57" spans="2:20" ht="23.1" customHeight="1" x14ac:dyDescent="0.25">
      <c r="B57" s="23" t="s">
        <v>84</v>
      </c>
      <c r="C57" s="49">
        <f>AVERAGE('29.10 KALAGI-MUKONO'!C57,'30.10-KALAGI-MUKONO'!C57,'1.11 KALAGI-MUKONO'!C57,'3.11 KALAGI-MUKONO'!C57,'31.10 KALAGI-MUKONO-24h'!C57,'2.11 KALAGI-MUKONO-24h'!C57,'4.11 KALAGI-MUKONO'!C57)</f>
        <v>8.4285714285714288</v>
      </c>
      <c r="D57" s="49">
        <f>AVERAGE('29.10 KALAGI-MUKONO'!D57,'30.10-KALAGI-MUKONO'!D57,'1.11 KALAGI-MUKONO'!D57,'3.11 KALAGI-MUKONO'!D57,'31.10 KALAGI-MUKONO-24h'!D57,'2.11 KALAGI-MUKONO-24h'!D57,'4.11 KALAGI-MUKONO'!D57)</f>
        <v>2.2857142857142856</v>
      </c>
      <c r="E57" s="49">
        <f>AVERAGE('29.10 KALAGI-MUKONO'!E57,'30.10-KALAGI-MUKONO'!E57,'1.11 KALAGI-MUKONO'!E57,'3.11 KALAGI-MUKONO'!E57,'31.10 KALAGI-MUKONO-24h'!E57,'2.11 KALAGI-MUKONO-24h'!E57,'4.11 KALAGI-MUKONO'!E57)</f>
        <v>3.1428571428571428</v>
      </c>
      <c r="F57" s="49">
        <f>AVERAGE('29.10 KALAGI-MUKONO'!F57,'30.10-KALAGI-MUKONO'!F57,'1.11 KALAGI-MUKONO'!F57,'3.11 KALAGI-MUKONO'!F57,'31.10 KALAGI-MUKONO-24h'!F57,'2.11 KALAGI-MUKONO-24h'!F57,'4.11 KALAGI-MUKONO'!F57)</f>
        <v>11.857142857142858</v>
      </c>
      <c r="G57" s="49">
        <f>AVERAGE('29.10 KALAGI-MUKONO'!G57,'30.10-KALAGI-MUKONO'!G57,'1.11 KALAGI-MUKONO'!G57,'3.11 KALAGI-MUKONO'!G57,'31.10 KALAGI-MUKONO-24h'!G57,'2.11 KALAGI-MUKONO-24h'!G57,'4.11 KALAGI-MUKONO'!G57)</f>
        <v>0.5714285714285714</v>
      </c>
      <c r="H57" s="49">
        <f>AVERAGE('29.10 KALAGI-MUKONO'!H57,'30.10-KALAGI-MUKONO'!H57,'1.11 KALAGI-MUKONO'!H57,'3.11 KALAGI-MUKONO'!H57,'31.10 KALAGI-MUKONO-24h'!H57,'2.11 KALAGI-MUKONO-24h'!H57,'4.11 KALAGI-MUKONO'!H57)</f>
        <v>0.14285714285714285</v>
      </c>
      <c r="I57" s="49">
        <f>AVERAGE('29.10 KALAGI-MUKONO'!I57,'30.10-KALAGI-MUKONO'!I57,'1.11 KALAGI-MUKONO'!I57,'3.11 KALAGI-MUKONO'!I57,'31.10 KALAGI-MUKONO-24h'!I57,'2.11 KALAGI-MUKONO-24h'!I57,'4.11 KALAGI-MUKONO'!I57)</f>
        <v>2.2857142857142856</v>
      </c>
      <c r="J57" s="49">
        <f>AVERAGE('29.10 KALAGI-MUKONO'!J57,'30.10-KALAGI-MUKONO'!J57,'1.11 KALAGI-MUKONO'!J57,'3.11 KALAGI-MUKONO'!J57,'31.10 KALAGI-MUKONO-24h'!J57,'2.11 KALAGI-MUKONO-24h'!J57,'4.11 KALAGI-MUKONO'!J57)</f>
        <v>0.2857142857142857</v>
      </c>
      <c r="K57" s="49">
        <f>AVERAGE('29.10 KALAGI-MUKONO'!K57,'30.10-KALAGI-MUKONO'!K57,'1.11 KALAGI-MUKONO'!K57,'3.11 KALAGI-MUKONO'!K57,'31.10 KALAGI-MUKONO-24h'!K57,'2.11 KALAGI-MUKONO-24h'!K57,'4.11 KALAGI-MUKONO'!K57)</f>
        <v>1</v>
      </c>
      <c r="L57" s="49">
        <f>AVERAGE('29.10 KALAGI-MUKONO'!L57,'30.10-KALAGI-MUKONO'!L57,'1.11 KALAGI-MUKONO'!L57,'3.11 KALAGI-MUKONO'!L57,'31.10 KALAGI-MUKONO-24h'!L57,'2.11 KALAGI-MUKONO-24h'!L57,'4.11 KALAGI-MUKONO'!L57)</f>
        <v>0.5714285714285714</v>
      </c>
      <c r="M57" s="49">
        <f>AVERAGE('29.10 KALAGI-MUKONO'!M57,'30.10-KALAGI-MUKONO'!M57,'1.11 KALAGI-MUKONO'!M57,'3.11 KALAGI-MUKONO'!M57,'31.10 KALAGI-MUKONO-24h'!M57,'2.11 KALAGI-MUKONO-24h'!M57,'4.11 KALAGI-MUKONO'!M57)</f>
        <v>25.714285714285715</v>
      </c>
      <c r="N57" s="49">
        <f>AVERAGE('29.10 KALAGI-MUKONO'!N57,'30.10-KALAGI-MUKONO'!N57,'1.11 KALAGI-MUKONO'!N57,'3.11 KALAGI-MUKONO'!N57,'31.10 KALAGI-MUKONO-24h'!N57,'2.11 KALAGI-MUKONO-24h'!N57,'4.11 KALAGI-MUKONO'!N57)</f>
        <v>0</v>
      </c>
      <c r="O57" s="15">
        <f t="shared" si="0"/>
        <v>30.571428571428573</v>
      </c>
      <c r="P57" s="15">
        <f t="shared" si="1"/>
        <v>56.285714285714292</v>
      </c>
      <c r="R57" s="8"/>
      <c r="T57"/>
    </row>
    <row r="58" spans="2:20" ht="23.1" customHeight="1" x14ac:dyDescent="0.25">
      <c r="B58" s="23" t="s">
        <v>99</v>
      </c>
      <c r="C58" s="49">
        <f>AVERAGE('31.10 KALAGI-MUKONO-24h'!C58,'2.11 KALAGI-MUKONO-24h'!C58)</f>
        <v>7</v>
      </c>
      <c r="D58" s="49">
        <f>AVERAGE('31.10 KALAGI-MUKONO-24h'!D58,'2.11 KALAGI-MUKONO-24h'!D58)</f>
        <v>4</v>
      </c>
      <c r="E58" s="49">
        <f>AVERAGE('31.10 KALAGI-MUKONO-24h'!E58,'2.11 KALAGI-MUKONO-24h'!E58)</f>
        <v>0.5</v>
      </c>
      <c r="F58" s="49">
        <f>AVERAGE('31.10 KALAGI-MUKONO-24h'!F58,'2.11 KALAGI-MUKONO-24h'!F58)</f>
        <v>8</v>
      </c>
      <c r="G58" s="49">
        <f>AVERAGE('31.10 KALAGI-MUKONO-24h'!G58,'2.11 KALAGI-MUKONO-24h'!G58)</f>
        <v>0.5</v>
      </c>
      <c r="H58" s="49">
        <f>AVERAGE('31.10 KALAGI-MUKONO-24h'!H58,'2.11 KALAGI-MUKONO-24h'!H58)</f>
        <v>0</v>
      </c>
      <c r="I58" s="49">
        <f>AVERAGE('31.10 KALAGI-MUKONO-24h'!I58,'2.11 KALAGI-MUKONO-24h'!I58)</f>
        <v>3</v>
      </c>
      <c r="J58" s="49">
        <f>AVERAGE('31.10 KALAGI-MUKONO-24h'!J58,'2.11 KALAGI-MUKONO-24h'!J58)</f>
        <v>0</v>
      </c>
      <c r="K58" s="49">
        <f>AVERAGE('31.10 KALAGI-MUKONO-24h'!K58,'2.11 KALAGI-MUKONO-24h'!K58)</f>
        <v>0</v>
      </c>
      <c r="L58" s="49">
        <f>AVERAGE('31.10 KALAGI-MUKONO-24h'!L58,'2.11 KALAGI-MUKONO-24h'!L58)</f>
        <v>0.5</v>
      </c>
      <c r="M58" s="49">
        <f>AVERAGE('31.10 KALAGI-MUKONO-24h'!M58,'2.11 KALAGI-MUKONO-24h'!M58)</f>
        <v>22.5</v>
      </c>
      <c r="N58" s="49">
        <f>AVERAGE('31.10 KALAGI-MUKONO-24h'!N58,'2.11 KALAGI-MUKONO-24h'!N58)</f>
        <v>0</v>
      </c>
      <c r="O58" s="15">
        <f t="shared" si="0"/>
        <v>23.5</v>
      </c>
      <c r="P58" s="15">
        <f t="shared" si="1"/>
        <v>46</v>
      </c>
      <c r="R58" s="8"/>
      <c r="T58"/>
    </row>
    <row r="59" spans="2:20" ht="23.1" customHeight="1" x14ac:dyDescent="0.25">
      <c r="B59" s="23" t="s">
        <v>100</v>
      </c>
      <c r="C59" s="49">
        <f>AVERAGE('31.10 KALAGI-MUKONO-24h'!C59,'2.11 KALAGI-MUKONO-24h'!C59)</f>
        <v>8.5</v>
      </c>
      <c r="D59" s="49">
        <f>AVERAGE('31.10 KALAGI-MUKONO-24h'!D59,'2.11 KALAGI-MUKONO-24h'!D59)</f>
        <v>3</v>
      </c>
      <c r="E59" s="49">
        <f>AVERAGE('31.10 KALAGI-MUKONO-24h'!E59,'2.11 KALAGI-MUKONO-24h'!E59)</f>
        <v>0.5</v>
      </c>
      <c r="F59" s="49">
        <f>AVERAGE('31.10 KALAGI-MUKONO-24h'!F59,'2.11 KALAGI-MUKONO-24h'!F59)</f>
        <v>11.5</v>
      </c>
      <c r="G59" s="49">
        <f>AVERAGE('31.10 KALAGI-MUKONO-24h'!G59,'2.11 KALAGI-MUKONO-24h'!G59)</f>
        <v>1</v>
      </c>
      <c r="H59" s="49">
        <f>AVERAGE('31.10 KALAGI-MUKONO-24h'!H59,'2.11 KALAGI-MUKONO-24h'!H59)</f>
        <v>0</v>
      </c>
      <c r="I59" s="49">
        <f>AVERAGE('31.10 KALAGI-MUKONO-24h'!I59,'2.11 KALAGI-MUKONO-24h'!I59)</f>
        <v>2</v>
      </c>
      <c r="J59" s="49">
        <f>AVERAGE('31.10 KALAGI-MUKONO-24h'!J59,'2.11 KALAGI-MUKONO-24h'!J59)</f>
        <v>1</v>
      </c>
      <c r="K59" s="49">
        <f>AVERAGE('31.10 KALAGI-MUKONO-24h'!K59,'2.11 KALAGI-MUKONO-24h'!K59)</f>
        <v>0</v>
      </c>
      <c r="L59" s="49">
        <f>AVERAGE('31.10 KALAGI-MUKONO-24h'!L59,'2.11 KALAGI-MUKONO-24h'!L59)</f>
        <v>0</v>
      </c>
      <c r="M59" s="49">
        <f>AVERAGE('31.10 KALAGI-MUKONO-24h'!M59,'2.11 KALAGI-MUKONO-24h'!M59)</f>
        <v>25</v>
      </c>
      <c r="N59" s="49">
        <f>AVERAGE('31.10 KALAGI-MUKONO-24h'!N59,'2.11 KALAGI-MUKONO-24h'!N59)</f>
        <v>0</v>
      </c>
      <c r="O59" s="15">
        <f t="shared" si="0"/>
        <v>27.5</v>
      </c>
      <c r="P59" s="15">
        <f t="shared" si="1"/>
        <v>52.5</v>
      </c>
      <c r="R59" s="8"/>
      <c r="T59"/>
    </row>
    <row r="60" spans="2:20" ht="23.1" customHeight="1" x14ac:dyDescent="0.25">
      <c r="B60" s="23" t="s">
        <v>101</v>
      </c>
      <c r="C60" s="49">
        <f>AVERAGE('31.10 KALAGI-MUKONO-24h'!C60,'2.11 KALAGI-MUKONO-24h'!C60)</f>
        <v>5</v>
      </c>
      <c r="D60" s="49">
        <f>AVERAGE('31.10 KALAGI-MUKONO-24h'!D60,'2.11 KALAGI-MUKONO-24h'!D60)</f>
        <v>2.5</v>
      </c>
      <c r="E60" s="49">
        <f>AVERAGE('31.10 KALAGI-MUKONO-24h'!E60,'2.11 KALAGI-MUKONO-24h'!E60)</f>
        <v>2.5</v>
      </c>
      <c r="F60" s="49">
        <f>AVERAGE('31.10 KALAGI-MUKONO-24h'!F60,'2.11 KALAGI-MUKONO-24h'!F60)</f>
        <v>11.5</v>
      </c>
      <c r="G60" s="49">
        <f>AVERAGE('31.10 KALAGI-MUKONO-24h'!G60,'2.11 KALAGI-MUKONO-24h'!G60)</f>
        <v>0</v>
      </c>
      <c r="H60" s="49">
        <f>AVERAGE('31.10 KALAGI-MUKONO-24h'!H60,'2.11 KALAGI-MUKONO-24h'!H60)</f>
        <v>0</v>
      </c>
      <c r="I60" s="49">
        <f>AVERAGE('31.10 KALAGI-MUKONO-24h'!I60,'2.11 KALAGI-MUKONO-24h'!I60)</f>
        <v>3.5</v>
      </c>
      <c r="J60" s="49">
        <f>AVERAGE('31.10 KALAGI-MUKONO-24h'!J60,'2.11 KALAGI-MUKONO-24h'!J60)</f>
        <v>0</v>
      </c>
      <c r="K60" s="49">
        <f>AVERAGE('31.10 KALAGI-MUKONO-24h'!K60,'2.11 KALAGI-MUKONO-24h'!K60)</f>
        <v>0.5</v>
      </c>
      <c r="L60" s="49">
        <f>AVERAGE('31.10 KALAGI-MUKONO-24h'!L60,'2.11 KALAGI-MUKONO-24h'!L60)</f>
        <v>0</v>
      </c>
      <c r="M60" s="49">
        <f>AVERAGE('31.10 KALAGI-MUKONO-24h'!M60,'2.11 KALAGI-MUKONO-24h'!M60)</f>
        <v>26.5</v>
      </c>
      <c r="N60" s="49">
        <f>AVERAGE('31.10 KALAGI-MUKONO-24h'!N60,'2.11 KALAGI-MUKONO-24h'!N60)</f>
        <v>0.5</v>
      </c>
      <c r="O60" s="15">
        <f t="shared" si="0"/>
        <v>26</v>
      </c>
      <c r="P60" s="15">
        <f t="shared" si="1"/>
        <v>52.5</v>
      </c>
      <c r="R60" s="8"/>
      <c r="T60"/>
    </row>
    <row r="61" spans="2:20" ht="23.1" customHeight="1" x14ac:dyDescent="0.25">
      <c r="B61" s="23" t="s">
        <v>102</v>
      </c>
      <c r="C61" s="49">
        <f>AVERAGE('31.10 KALAGI-MUKONO-24h'!C61,'2.11 KALAGI-MUKONO-24h'!C61)</f>
        <v>7.5</v>
      </c>
      <c r="D61" s="49">
        <f>AVERAGE('31.10 KALAGI-MUKONO-24h'!D61,'2.11 KALAGI-MUKONO-24h'!D61)</f>
        <v>1</v>
      </c>
      <c r="E61" s="49">
        <f>AVERAGE('31.10 KALAGI-MUKONO-24h'!E61,'2.11 KALAGI-MUKONO-24h'!E61)</f>
        <v>1</v>
      </c>
      <c r="F61" s="49">
        <f>AVERAGE('31.10 KALAGI-MUKONO-24h'!F61,'2.11 KALAGI-MUKONO-24h'!F61)</f>
        <v>8.5</v>
      </c>
      <c r="G61" s="49">
        <f>AVERAGE('31.10 KALAGI-MUKONO-24h'!G61,'2.11 KALAGI-MUKONO-24h'!G61)</f>
        <v>0</v>
      </c>
      <c r="H61" s="49">
        <f>AVERAGE('31.10 KALAGI-MUKONO-24h'!H61,'2.11 KALAGI-MUKONO-24h'!H61)</f>
        <v>0</v>
      </c>
      <c r="I61" s="49">
        <f>AVERAGE('31.10 KALAGI-MUKONO-24h'!I61,'2.11 KALAGI-MUKONO-24h'!I61)</f>
        <v>3</v>
      </c>
      <c r="J61" s="49">
        <f>AVERAGE('31.10 KALAGI-MUKONO-24h'!J61,'2.11 KALAGI-MUKONO-24h'!J61)</f>
        <v>0</v>
      </c>
      <c r="K61" s="49">
        <f>AVERAGE('31.10 KALAGI-MUKONO-24h'!K61,'2.11 KALAGI-MUKONO-24h'!K61)</f>
        <v>0.5</v>
      </c>
      <c r="L61" s="49">
        <f>AVERAGE('31.10 KALAGI-MUKONO-24h'!L61,'2.11 KALAGI-MUKONO-24h'!L61)</f>
        <v>0</v>
      </c>
      <c r="M61" s="49">
        <f>AVERAGE('31.10 KALAGI-MUKONO-24h'!M61,'2.11 KALAGI-MUKONO-24h'!M61)</f>
        <v>21.5</v>
      </c>
      <c r="N61" s="49">
        <f>AVERAGE('31.10 KALAGI-MUKONO-24h'!N61,'2.11 KALAGI-MUKONO-24h'!N61)</f>
        <v>0</v>
      </c>
      <c r="O61" s="15">
        <f t="shared" si="0"/>
        <v>21.5</v>
      </c>
      <c r="P61" s="15">
        <f t="shared" si="1"/>
        <v>43</v>
      </c>
      <c r="R61" s="8"/>
      <c r="T61"/>
    </row>
    <row r="62" spans="2:20" ht="23.1" customHeight="1" x14ac:dyDescent="0.25">
      <c r="B62" s="23" t="s">
        <v>107</v>
      </c>
      <c r="C62" s="49">
        <f>AVERAGE('31.10 KALAGI-MUKONO-24h'!C62,'2.11 KALAGI-MUKONO-24h'!C62)</f>
        <v>8</v>
      </c>
      <c r="D62" s="49">
        <f>AVERAGE('31.10 KALAGI-MUKONO-24h'!D62,'2.11 KALAGI-MUKONO-24h'!D62)</f>
        <v>2</v>
      </c>
      <c r="E62" s="49">
        <f>AVERAGE('31.10 KALAGI-MUKONO-24h'!E62,'2.11 KALAGI-MUKONO-24h'!E62)</f>
        <v>2</v>
      </c>
      <c r="F62" s="49">
        <f>AVERAGE('31.10 KALAGI-MUKONO-24h'!F62,'2.11 KALAGI-MUKONO-24h'!F62)</f>
        <v>9.5</v>
      </c>
      <c r="G62" s="49">
        <f>AVERAGE('31.10 KALAGI-MUKONO-24h'!G62,'2.11 KALAGI-MUKONO-24h'!G62)</f>
        <v>0</v>
      </c>
      <c r="H62" s="49">
        <f>AVERAGE('31.10 KALAGI-MUKONO-24h'!H62,'2.11 KALAGI-MUKONO-24h'!H62)</f>
        <v>0</v>
      </c>
      <c r="I62" s="49">
        <f>AVERAGE('31.10 KALAGI-MUKONO-24h'!I62,'2.11 KALAGI-MUKONO-24h'!I62)</f>
        <v>2.5</v>
      </c>
      <c r="J62" s="49">
        <f>AVERAGE('31.10 KALAGI-MUKONO-24h'!J62,'2.11 KALAGI-MUKONO-24h'!J62)</f>
        <v>0.5</v>
      </c>
      <c r="K62" s="49">
        <f>AVERAGE('31.10 KALAGI-MUKONO-24h'!K62,'2.11 KALAGI-MUKONO-24h'!K62)</f>
        <v>0</v>
      </c>
      <c r="L62" s="49">
        <f>AVERAGE('31.10 KALAGI-MUKONO-24h'!L62,'2.11 KALAGI-MUKONO-24h'!L62)</f>
        <v>0</v>
      </c>
      <c r="M62" s="49">
        <f>AVERAGE('31.10 KALAGI-MUKONO-24h'!M62,'2.11 KALAGI-MUKONO-24h'!M62)</f>
        <v>18.5</v>
      </c>
      <c r="N62" s="49">
        <f>AVERAGE('31.10 KALAGI-MUKONO-24h'!N62,'2.11 KALAGI-MUKONO-24h'!N62)</f>
        <v>0</v>
      </c>
      <c r="O62" s="15">
        <f t="shared" si="0"/>
        <v>24.5</v>
      </c>
      <c r="P62" s="15">
        <f t="shared" si="1"/>
        <v>43</v>
      </c>
      <c r="R62" s="8"/>
      <c r="T62"/>
    </row>
    <row r="63" spans="2:20" ht="23.1" customHeight="1" x14ac:dyDescent="0.25">
      <c r="B63" s="23" t="s">
        <v>108</v>
      </c>
      <c r="C63" s="49">
        <f>AVERAGE('31.10 KALAGI-MUKONO-24h'!C63,'2.11 KALAGI-MUKONO-24h'!C63)</f>
        <v>10.5</v>
      </c>
      <c r="D63" s="49">
        <f>AVERAGE('31.10 KALAGI-MUKONO-24h'!D63,'2.11 KALAGI-MUKONO-24h'!D63)</f>
        <v>2</v>
      </c>
      <c r="E63" s="49">
        <f>AVERAGE('31.10 KALAGI-MUKONO-24h'!E63,'2.11 KALAGI-MUKONO-24h'!E63)</f>
        <v>0</v>
      </c>
      <c r="F63" s="49">
        <f>AVERAGE('31.10 KALAGI-MUKONO-24h'!F63,'2.11 KALAGI-MUKONO-24h'!F63)</f>
        <v>9.5</v>
      </c>
      <c r="G63" s="49">
        <f>AVERAGE('31.10 KALAGI-MUKONO-24h'!G63,'2.11 KALAGI-MUKONO-24h'!G63)</f>
        <v>0</v>
      </c>
      <c r="H63" s="49">
        <f>AVERAGE('31.10 KALAGI-MUKONO-24h'!H63,'2.11 KALAGI-MUKONO-24h'!H63)</f>
        <v>0</v>
      </c>
      <c r="I63" s="49">
        <f>AVERAGE('31.10 KALAGI-MUKONO-24h'!I63,'2.11 KALAGI-MUKONO-24h'!I63)</f>
        <v>3</v>
      </c>
      <c r="J63" s="49">
        <f>AVERAGE('31.10 KALAGI-MUKONO-24h'!J63,'2.11 KALAGI-MUKONO-24h'!J63)</f>
        <v>0.5</v>
      </c>
      <c r="K63" s="49">
        <f>AVERAGE('31.10 KALAGI-MUKONO-24h'!K63,'2.11 KALAGI-MUKONO-24h'!K63)</f>
        <v>0.5</v>
      </c>
      <c r="L63" s="49">
        <f>AVERAGE('31.10 KALAGI-MUKONO-24h'!L63,'2.11 KALAGI-MUKONO-24h'!L63)</f>
        <v>0</v>
      </c>
      <c r="M63" s="49">
        <f>AVERAGE('31.10 KALAGI-MUKONO-24h'!M63,'2.11 KALAGI-MUKONO-24h'!M63)</f>
        <v>19</v>
      </c>
      <c r="N63" s="49">
        <f>AVERAGE('31.10 KALAGI-MUKONO-24h'!N63,'2.11 KALAGI-MUKONO-24h'!N63)</f>
        <v>0</v>
      </c>
      <c r="O63" s="15">
        <f t="shared" si="0"/>
        <v>26</v>
      </c>
      <c r="P63" s="15">
        <f t="shared" si="1"/>
        <v>45</v>
      </c>
      <c r="R63" s="8"/>
      <c r="T63"/>
    </row>
    <row r="64" spans="2:20" ht="23.1" customHeight="1" x14ac:dyDescent="0.25">
      <c r="B64" s="23" t="s">
        <v>109</v>
      </c>
      <c r="C64" s="49">
        <f>AVERAGE('31.10 KALAGI-MUKONO-24h'!C64,'2.11 KALAGI-MUKONO-24h'!C64)</f>
        <v>8.5</v>
      </c>
      <c r="D64" s="49">
        <f>AVERAGE('31.10 KALAGI-MUKONO-24h'!D64,'2.11 KALAGI-MUKONO-24h'!D64)</f>
        <v>1</v>
      </c>
      <c r="E64" s="49">
        <f>AVERAGE('31.10 KALAGI-MUKONO-24h'!E64,'2.11 KALAGI-MUKONO-24h'!E64)</f>
        <v>1</v>
      </c>
      <c r="F64" s="49">
        <f>AVERAGE('31.10 KALAGI-MUKONO-24h'!F64,'2.11 KALAGI-MUKONO-24h'!F64)</f>
        <v>8</v>
      </c>
      <c r="G64" s="49">
        <f>AVERAGE('31.10 KALAGI-MUKONO-24h'!G64,'2.11 KALAGI-MUKONO-24h'!G64)</f>
        <v>0</v>
      </c>
      <c r="H64" s="49">
        <f>AVERAGE('31.10 KALAGI-MUKONO-24h'!H64,'2.11 KALAGI-MUKONO-24h'!H64)</f>
        <v>0</v>
      </c>
      <c r="I64" s="49">
        <f>AVERAGE('31.10 KALAGI-MUKONO-24h'!I64,'2.11 KALAGI-MUKONO-24h'!I64)</f>
        <v>2</v>
      </c>
      <c r="J64" s="49">
        <f>AVERAGE('31.10 KALAGI-MUKONO-24h'!J64,'2.11 KALAGI-MUKONO-24h'!J64)</f>
        <v>0</v>
      </c>
      <c r="K64" s="49">
        <f>AVERAGE('31.10 KALAGI-MUKONO-24h'!K64,'2.11 KALAGI-MUKONO-24h'!K64)</f>
        <v>0</v>
      </c>
      <c r="L64" s="49">
        <f>AVERAGE('31.10 KALAGI-MUKONO-24h'!L64,'2.11 KALAGI-MUKONO-24h'!L64)</f>
        <v>0</v>
      </c>
      <c r="M64" s="49">
        <f>AVERAGE('31.10 KALAGI-MUKONO-24h'!M64,'2.11 KALAGI-MUKONO-24h'!M64)</f>
        <v>17</v>
      </c>
      <c r="N64" s="49">
        <f>AVERAGE('31.10 KALAGI-MUKONO-24h'!N64,'2.11 KALAGI-MUKONO-24h'!N64)</f>
        <v>0</v>
      </c>
      <c r="O64" s="15">
        <f t="shared" si="0"/>
        <v>20.5</v>
      </c>
      <c r="P64" s="15">
        <f t="shared" si="1"/>
        <v>37.5</v>
      </c>
      <c r="R64" s="8"/>
      <c r="T64"/>
    </row>
    <row r="65" spans="2:20" ht="23.1" customHeight="1" x14ac:dyDescent="0.25">
      <c r="B65" s="23" t="s">
        <v>158</v>
      </c>
      <c r="C65" s="49">
        <f>AVERAGE('31.10 KALAGI-MUKONO-24h'!C65,'2.11 KALAGI-MUKONO-24h'!C65)</f>
        <v>4.5</v>
      </c>
      <c r="D65" s="49">
        <f>AVERAGE('31.10 KALAGI-MUKONO-24h'!D65,'2.11 KALAGI-MUKONO-24h'!D65)</f>
        <v>1</v>
      </c>
      <c r="E65" s="49">
        <f>AVERAGE('31.10 KALAGI-MUKONO-24h'!E65,'2.11 KALAGI-MUKONO-24h'!E65)</f>
        <v>0.5</v>
      </c>
      <c r="F65" s="49">
        <f>AVERAGE('31.10 KALAGI-MUKONO-24h'!F65,'2.11 KALAGI-MUKONO-24h'!F65)</f>
        <v>9</v>
      </c>
      <c r="G65" s="49">
        <f>AVERAGE('31.10 KALAGI-MUKONO-24h'!G65,'2.11 KALAGI-MUKONO-24h'!G65)</f>
        <v>0</v>
      </c>
      <c r="H65" s="49">
        <f>AVERAGE('31.10 KALAGI-MUKONO-24h'!H65,'2.11 KALAGI-MUKONO-24h'!H65)</f>
        <v>0</v>
      </c>
      <c r="I65" s="49">
        <f>AVERAGE('31.10 KALAGI-MUKONO-24h'!I65,'2.11 KALAGI-MUKONO-24h'!I65)</f>
        <v>4</v>
      </c>
      <c r="J65" s="49">
        <f>AVERAGE('31.10 KALAGI-MUKONO-24h'!J65,'2.11 KALAGI-MUKONO-24h'!J65)</f>
        <v>0</v>
      </c>
      <c r="K65" s="49">
        <f>AVERAGE('31.10 KALAGI-MUKONO-24h'!K65,'2.11 KALAGI-MUKONO-24h'!K65)</f>
        <v>0</v>
      </c>
      <c r="L65" s="49">
        <f>AVERAGE('31.10 KALAGI-MUKONO-24h'!L65,'2.11 KALAGI-MUKONO-24h'!L65)</f>
        <v>0</v>
      </c>
      <c r="M65" s="49">
        <f>AVERAGE('31.10 KALAGI-MUKONO-24h'!M65,'2.11 KALAGI-MUKONO-24h'!M65)</f>
        <v>14.5</v>
      </c>
      <c r="N65" s="49">
        <f>AVERAGE('31.10 KALAGI-MUKONO-24h'!N65,'2.11 KALAGI-MUKONO-24h'!N65)</f>
        <v>0</v>
      </c>
      <c r="O65" s="15">
        <f t="shared" si="0"/>
        <v>19</v>
      </c>
      <c r="P65" s="15">
        <f t="shared" si="1"/>
        <v>33.5</v>
      </c>
      <c r="R65" s="8"/>
      <c r="T65"/>
    </row>
    <row r="66" spans="2:20" ht="23.1" customHeight="1" x14ac:dyDescent="0.25">
      <c r="B66" s="23" t="s">
        <v>103</v>
      </c>
      <c r="C66" s="49">
        <f>AVERAGE('31.10 KALAGI-MUKONO-24h'!C66,'2.11 KALAGI-MUKONO-24h'!C66)</f>
        <v>5.5</v>
      </c>
      <c r="D66" s="49">
        <f>AVERAGE('31.10 KALAGI-MUKONO-24h'!D66,'2.11 KALAGI-MUKONO-24h'!D66)</f>
        <v>1</v>
      </c>
      <c r="E66" s="49">
        <f>AVERAGE('31.10 KALAGI-MUKONO-24h'!E66,'2.11 KALAGI-MUKONO-24h'!E66)</f>
        <v>2.5</v>
      </c>
      <c r="F66" s="49">
        <f>AVERAGE('31.10 KALAGI-MUKONO-24h'!F66,'2.11 KALAGI-MUKONO-24h'!F66)</f>
        <v>6.5</v>
      </c>
      <c r="G66" s="49">
        <f>AVERAGE('31.10 KALAGI-MUKONO-24h'!G66,'2.11 KALAGI-MUKONO-24h'!G66)</f>
        <v>0</v>
      </c>
      <c r="H66" s="49">
        <f>AVERAGE('31.10 KALAGI-MUKONO-24h'!H66,'2.11 KALAGI-MUKONO-24h'!H66)</f>
        <v>0</v>
      </c>
      <c r="I66" s="49">
        <f>AVERAGE('31.10 KALAGI-MUKONO-24h'!I66,'2.11 KALAGI-MUKONO-24h'!I66)</f>
        <v>3</v>
      </c>
      <c r="J66" s="49">
        <f>AVERAGE('31.10 KALAGI-MUKONO-24h'!J66,'2.11 KALAGI-MUKONO-24h'!J66)</f>
        <v>1.5</v>
      </c>
      <c r="K66" s="49">
        <f>AVERAGE('31.10 KALAGI-MUKONO-24h'!K66,'2.11 KALAGI-MUKONO-24h'!K66)</f>
        <v>0</v>
      </c>
      <c r="L66" s="49">
        <f>AVERAGE('31.10 KALAGI-MUKONO-24h'!L66,'2.11 KALAGI-MUKONO-24h'!L66)</f>
        <v>0</v>
      </c>
      <c r="M66" s="49">
        <f>AVERAGE('31.10 KALAGI-MUKONO-24h'!M66,'2.11 KALAGI-MUKONO-24h'!M66)</f>
        <v>21</v>
      </c>
      <c r="N66" s="49">
        <f>AVERAGE('31.10 KALAGI-MUKONO-24h'!N66,'2.11 KALAGI-MUKONO-24h'!N66)</f>
        <v>0</v>
      </c>
      <c r="O66" s="15">
        <f t="shared" si="0"/>
        <v>20</v>
      </c>
      <c r="P66" s="15">
        <f t="shared" si="1"/>
        <v>41</v>
      </c>
      <c r="R66" s="8"/>
      <c r="T66"/>
    </row>
    <row r="67" spans="2:20" ht="23.1" customHeight="1" x14ac:dyDescent="0.25">
      <c r="B67" s="23" t="s">
        <v>104</v>
      </c>
      <c r="C67" s="49">
        <f>AVERAGE('31.10 KALAGI-MUKONO-24h'!C67,'2.11 KALAGI-MUKONO-24h'!C67)</f>
        <v>6.5</v>
      </c>
      <c r="D67" s="49">
        <f>AVERAGE('31.10 KALAGI-MUKONO-24h'!D67,'2.11 KALAGI-MUKONO-24h'!D67)</f>
        <v>1.5</v>
      </c>
      <c r="E67" s="49">
        <f>AVERAGE('31.10 KALAGI-MUKONO-24h'!E67,'2.11 KALAGI-MUKONO-24h'!E67)</f>
        <v>1</v>
      </c>
      <c r="F67" s="49">
        <f>AVERAGE('31.10 KALAGI-MUKONO-24h'!F67,'2.11 KALAGI-MUKONO-24h'!F67)</f>
        <v>6</v>
      </c>
      <c r="G67" s="49">
        <f>AVERAGE('31.10 KALAGI-MUKONO-24h'!G67,'2.11 KALAGI-MUKONO-24h'!G67)</f>
        <v>0</v>
      </c>
      <c r="H67" s="49">
        <f>AVERAGE('31.10 KALAGI-MUKONO-24h'!H67,'2.11 KALAGI-MUKONO-24h'!H67)</f>
        <v>0</v>
      </c>
      <c r="I67" s="49">
        <f>AVERAGE('31.10 KALAGI-MUKONO-24h'!I67,'2.11 KALAGI-MUKONO-24h'!I67)</f>
        <v>2.5</v>
      </c>
      <c r="J67" s="49">
        <f>AVERAGE('31.10 KALAGI-MUKONO-24h'!J67,'2.11 KALAGI-MUKONO-24h'!J67)</f>
        <v>0.5</v>
      </c>
      <c r="K67" s="49">
        <f>AVERAGE('31.10 KALAGI-MUKONO-24h'!K67,'2.11 KALAGI-MUKONO-24h'!K67)</f>
        <v>0</v>
      </c>
      <c r="L67" s="49">
        <f>AVERAGE('31.10 KALAGI-MUKONO-24h'!L67,'2.11 KALAGI-MUKONO-24h'!L67)</f>
        <v>0</v>
      </c>
      <c r="M67" s="49">
        <f>AVERAGE('31.10 KALAGI-MUKONO-24h'!M67,'2.11 KALAGI-MUKONO-24h'!M67)</f>
        <v>12</v>
      </c>
      <c r="N67" s="49">
        <f>AVERAGE('31.10 KALAGI-MUKONO-24h'!N67,'2.11 KALAGI-MUKONO-24h'!N67)</f>
        <v>0</v>
      </c>
      <c r="O67" s="15">
        <f t="shared" si="0"/>
        <v>18</v>
      </c>
      <c r="P67" s="15">
        <f t="shared" si="1"/>
        <v>30</v>
      </c>
      <c r="R67" s="8"/>
      <c r="T67"/>
    </row>
    <row r="68" spans="2:20" ht="23.1" customHeight="1" x14ac:dyDescent="0.25">
      <c r="B68" s="23" t="s">
        <v>105</v>
      </c>
      <c r="C68" s="49">
        <f>AVERAGE('31.10 KALAGI-MUKONO-24h'!C68,'2.11 KALAGI-MUKONO-24h'!C68)</f>
        <v>7</v>
      </c>
      <c r="D68" s="49">
        <f>AVERAGE('31.10 KALAGI-MUKONO-24h'!D68,'2.11 KALAGI-MUKONO-24h'!D68)</f>
        <v>0</v>
      </c>
      <c r="E68" s="49">
        <f>AVERAGE('31.10 KALAGI-MUKONO-24h'!E68,'2.11 KALAGI-MUKONO-24h'!E68)</f>
        <v>2</v>
      </c>
      <c r="F68" s="49">
        <f>AVERAGE('31.10 KALAGI-MUKONO-24h'!F68,'2.11 KALAGI-MUKONO-24h'!F68)</f>
        <v>4</v>
      </c>
      <c r="G68" s="49">
        <f>AVERAGE('31.10 KALAGI-MUKONO-24h'!G68,'2.11 KALAGI-MUKONO-24h'!G68)</f>
        <v>0</v>
      </c>
      <c r="H68" s="49">
        <f>AVERAGE('31.10 KALAGI-MUKONO-24h'!H68,'2.11 KALAGI-MUKONO-24h'!H68)</f>
        <v>0</v>
      </c>
      <c r="I68" s="49">
        <f>AVERAGE('31.10 KALAGI-MUKONO-24h'!I68,'2.11 KALAGI-MUKONO-24h'!I68)</f>
        <v>2</v>
      </c>
      <c r="J68" s="49">
        <f>AVERAGE('31.10 KALAGI-MUKONO-24h'!J68,'2.11 KALAGI-MUKONO-24h'!J68)</f>
        <v>0</v>
      </c>
      <c r="K68" s="49">
        <f>AVERAGE('31.10 KALAGI-MUKONO-24h'!K68,'2.11 KALAGI-MUKONO-24h'!K68)</f>
        <v>0</v>
      </c>
      <c r="L68" s="49">
        <f>AVERAGE('31.10 KALAGI-MUKONO-24h'!L68,'2.11 KALAGI-MUKONO-24h'!L68)</f>
        <v>0</v>
      </c>
      <c r="M68" s="49">
        <f>AVERAGE('31.10 KALAGI-MUKONO-24h'!M68,'2.11 KALAGI-MUKONO-24h'!M68)</f>
        <v>12</v>
      </c>
      <c r="N68" s="49">
        <f>AVERAGE('31.10 KALAGI-MUKONO-24h'!N68,'2.11 KALAGI-MUKONO-24h'!N68)</f>
        <v>0</v>
      </c>
      <c r="O68" s="15">
        <f t="shared" si="0"/>
        <v>15</v>
      </c>
      <c r="P68" s="15">
        <f t="shared" si="1"/>
        <v>27</v>
      </c>
      <c r="R68" s="8"/>
      <c r="T68"/>
    </row>
    <row r="69" spans="2:20" ht="23.1" customHeight="1" x14ac:dyDescent="0.25">
      <c r="B69" s="23" t="s">
        <v>106</v>
      </c>
      <c r="C69" s="49">
        <f>AVERAGE('31.10 KALAGI-MUKONO-24h'!C69,'2.11 KALAGI-MUKONO-24h'!C69)</f>
        <v>4.5</v>
      </c>
      <c r="D69" s="49">
        <f>AVERAGE('31.10 KALAGI-MUKONO-24h'!D69,'2.11 KALAGI-MUKONO-24h'!D69)</f>
        <v>0.5</v>
      </c>
      <c r="E69" s="49">
        <f>AVERAGE('31.10 KALAGI-MUKONO-24h'!E69,'2.11 KALAGI-MUKONO-24h'!E69)</f>
        <v>0.5</v>
      </c>
      <c r="F69" s="49">
        <f>AVERAGE('31.10 KALAGI-MUKONO-24h'!F69,'2.11 KALAGI-MUKONO-24h'!F69)</f>
        <v>5</v>
      </c>
      <c r="G69" s="49">
        <f>AVERAGE('31.10 KALAGI-MUKONO-24h'!G69,'2.11 KALAGI-MUKONO-24h'!G69)</f>
        <v>0</v>
      </c>
      <c r="H69" s="49">
        <f>AVERAGE('31.10 KALAGI-MUKONO-24h'!H69,'2.11 KALAGI-MUKONO-24h'!H69)</f>
        <v>0</v>
      </c>
      <c r="I69" s="49">
        <f>AVERAGE('31.10 KALAGI-MUKONO-24h'!I69,'2.11 KALAGI-MUKONO-24h'!I69)</f>
        <v>0.5</v>
      </c>
      <c r="J69" s="49">
        <f>AVERAGE('31.10 KALAGI-MUKONO-24h'!J69,'2.11 KALAGI-MUKONO-24h'!J69)</f>
        <v>0.5</v>
      </c>
      <c r="K69" s="49">
        <f>AVERAGE('31.10 KALAGI-MUKONO-24h'!K69,'2.11 KALAGI-MUKONO-24h'!K69)</f>
        <v>0.5</v>
      </c>
      <c r="L69" s="49">
        <f>AVERAGE('31.10 KALAGI-MUKONO-24h'!L69,'2.11 KALAGI-MUKONO-24h'!L69)</f>
        <v>0</v>
      </c>
      <c r="M69" s="49">
        <f>AVERAGE('31.10 KALAGI-MUKONO-24h'!M69,'2.11 KALAGI-MUKONO-24h'!M69)</f>
        <v>11.5</v>
      </c>
      <c r="N69" s="49">
        <f>AVERAGE('31.10 KALAGI-MUKONO-24h'!N69,'2.11 KALAGI-MUKONO-24h'!N69)</f>
        <v>0</v>
      </c>
      <c r="O69" s="15">
        <f t="shared" si="0"/>
        <v>12</v>
      </c>
      <c r="P69" s="15">
        <f t="shared" si="1"/>
        <v>23.5</v>
      </c>
      <c r="R69" s="8"/>
      <c r="T69"/>
    </row>
    <row r="70" spans="2:20" ht="23.1" customHeight="1" x14ac:dyDescent="0.25">
      <c r="B70" s="23" t="s">
        <v>110</v>
      </c>
      <c r="C70" s="49">
        <f>AVERAGE('31.10 KALAGI-MUKONO-24h'!C70,'2.11 KALAGI-MUKONO-24h'!C70)</f>
        <v>6.5</v>
      </c>
      <c r="D70" s="49">
        <f>AVERAGE('31.10 KALAGI-MUKONO-24h'!D70,'2.11 KALAGI-MUKONO-24h'!D70)</f>
        <v>1</v>
      </c>
      <c r="E70" s="49">
        <f>AVERAGE('31.10 KALAGI-MUKONO-24h'!E70,'2.11 KALAGI-MUKONO-24h'!E70)</f>
        <v>1</v>
      </c>
      <c r="F70" s="49">
        <f>AVERAGE('31.10 KALAGI-MUKONO-24h'!F70,'2.11 KALAGI-MUKONO-24h'!F70)</f>
        <v>5</v>
      </c>
      <c r="G70" s="49">
        <f>AVERAGE('31.10 KALAGI-MUKONO-24h'!G70,'2.11 KALAGI-MUKONO-24h'!G70)</f>
        <v>0</v>
      </c>
      <c r="H70" s="49">
        <f>AVERAGE('31.10 KALAGI-MUKONO-24h'!H70,'2.11 KALAGI-MUKONO-24h'!H70)</f>
        <v>0</v>
      </c>
      <c r="I70" s="49">
        <f>AVERAGE('31.10 KALAGI-MUKONO-24h'!I70,'2.11 KALAGI-MUKONO-24h'!I70)</f>
        <v>2</v>
      </c>
      <c r="J70" s="49">
        <f>AVERAGE('31.10 KALAGI-MUKONO-24h'!J70,'2.11 KALAGI-MUKONO-24h'!J70)</f>
        <v>0</v>
      </c>
      <c r="K70" s="49">
        <f>AVERAGE('31.10 KALAGI-MUKONO-24h'!K70,'2.11 KALAGI-MUKONO-24h'!K70)</f>
        <v>0.5</v>
      </c>
      <c r="L70" s="49">
        <f>AVERAGE('31.10 KALAGI-MUKONO-24h'!L70,'2.11 KALAGI-MUKONO-24h'!L70)</f>
        <v>0</v>
      </c>
      <c r="M70" s="49">
        <f>AVERAGE('31.10 KALAGI-MUKONO-24h'!M70,'2.11 KALAGI-MUKONO-24h'!M70)</f>
        <v>6</v>
      </c>
      <c r="N70" s="49">
        <f>AVERAGE('31.10 KALAGI-MUKONO-24h'!N70,'2.11 KALAGI-MUKONO-24h'!N70)</f>
        <v>0</v>
      </c>
      <c r="O70" s="15">
        <f t="shared" si="0"/>
        <v>16</v>
      </c>
      <c r="P70" s="15">
        <f t="shared" si="1"/>
        <v>22</v>
      </c>
      <c r="R70" s="8"/>
      <c r="T70"/>
    </row>
    <row r="71" spans="2:20" ht="23.1" customHeight="1" x14ac:dyDescent="0.25">
      <c r="B71" s="23" t="s">
        <v>111</v>
      </c>
      <c r="C71" s="49">
        <f>AVERAGE('31.10 KALAGI-MUKONO-24h'!C71,'2.11 KALAGI-MUKONO-24h'!C71)</f>
        <v>7.5</v>
      </c>
      <c r="D71" s="49">
        <f>AVERAGE('31.10 KALAGI-MUKONO-24h'!D71,'2.11 KALAGI-MUKONO-24h'!D71)</f>
        <v>2.5</v>
      </c>
      <c r="E71" s="49">
        <f>AVERAGE('31.10 KALAGI-MUKONO-24h'!E71,'2.11 KALAGI-MUKONO-24h'!E71)</f>
        <v>1</v>
      </c>
      <c r="F71" s="49">
        <f>AVERAGE('31.10 KALAGI-MUKONO-24h'!F71,'2.11 KALAGI-MUKONO-24h'!F71)</f>
        <v>4.5</v>
      </c>
      <c r="G71" s="49">
        <f>AVERAGE('31.10 KALAGI-MUKONO-24h'!G71,'2.11 KALAGI-MUKONO-24h'!G71)</f>
        <v>0</v>
      </c>
      <c r="H71" s="49">
        <f>AVERAGE('31.10 KALAGI-MUKONO-24h'!H71,'2.11 KALAGI-MUKONO-24h'!H71)</f>
        <v>0</v>
      </c>
      <c r="I71" s="49">
        <f>AVERAGE('31.10 KALAGI-MUKONO-24h'!I71,'2.11 KALAGI-MUKONO-24h'!I71)</f>
        <v>1</v>
      </c>
      <c r="J71" s="49">
        <f>AVERAGE('31.10 KALAGI-MUKONO-24h'!J71,'2.11 KALAGI-MUKONO-24h'!J71)</f>
        <v>1</v>
      </c>
      <c r="K71" s="49">
        <f>AVERAGE('31.10 KALAGI-MUKONO-24h'!K71,'2.11 KALAGI-MUKONO-24h'!K71)</f>
        <v>0</v>
      </c>
      <c r="L71" s="49">
        <f>AVERAGE('31.10 KALAGI-MUKONO-24h'!L71,'2.11 KALAGI-MUKONO-24h'!L71)</f>
        <v>0</v>
      </c>
      <c r="M71" s="49">
        <f>AVERAGE('31.10 KALAGI-MUKONO-24h'!M71,'2.11 KALAGI-MUKONO-24h'!M71)</f>
        <v>7.5</v>
      </c>
      <c r="N71" s="49">
        <f>AVERAGE('31.10 KALAGI-MUKONO-24h'!N71,'2.11 KALAGI-MUKONO-24h'!N71)</f>
        <v>0</v>
      </c>
      <c r="O71" s="15">
        <f t="shared" si="0"/>
        <v>17.5</v>
      </c>
      <c r="P71" s="15">
        <f t="shared" si="1"/>
        <v>25</v>
      </c>
      <c r="R71" s="8"/>
      <c r="T71"/>
    </row>
    <row r="72" spans="2:20" ht="23.1" customHeight="1" x14ac:dyDescent="0.25">
      <c r="B72" s="23" t="s">
        <v>112</v>
      </c>
      <c r="C72" s="49">
        <f>AVERAGE('31.10 KALAGI-MUKONO-24h'!C72,'2.11 KALAGI-MUKONO-24h'!C72)</f>
        <v>5</v>
      </c>
      <c r="D72" s="49">
        <f>AVERAGE('31.10 KALAGI-MUKONO-24h'!D72,'2.11 KALAGI-MUKONO-24h'!D72)</f>
        <v>0.5</v>
      </c>
      <c r="E72" s="49">
        <f>AVERAGE('31.10 KALAGI-MUKONO-24h'!E72,'2.11 KALAGI-MUKONO-24h'!E72)</f>
        <v>2</v>
      </c>
      <c r="F72" s="49">
        <f>AVERAGE('31.10 KALAGI-MUKONO-24h'!F72,'2.11 KALAGI-MUKONO-24h'!F72)</f>
        <v>4</v>
      </c>
      <c r="G72" s="49">
        <f>AVERAGE('31.10 KALAGI-MUKONO-24h'!G72,'2.11 KALAGI-MUKONO-24h'!G72)</f>
        <v>0</v>
      </c>
      <c r="H72" s="49">
        <f>AVERAGE('31.10 KALAGI-MUKONO-24h'!H72,'2.11 KALAGI-MUKONO-24h'!H72)</f>
        <v>0</v>
      </c>
      <c r="I72" s="49">
        <f>AVERAGE('31.10 KALAGI-MUKONO-24h'!I72,'2.11 KALAGI-MUKONO-24h'!I72)</f>
        <v>2.5</v>
      </c>
      <c r="J72" s="49">
        <f>AVERAGE('31.10 KALAGI-MUKONO-24h'!J72,'2.11 KALAGI-MUKONO-24h'!J72)</f>
        <v>1</v>
      </c>
      <c r="K72" s="49">
        <f>AVERAGE('31.10 KALAGI-MUKONO-24h'!K72,'2.11 KALAGI-MUKONO-24h'!K72)</f>
        <v>0</v>
      </c>
      <c r="L72" s="49">
        <f>AVERAGE('31.10 KALAGI-MUKONO-24h'!L72,'2.11 KALAGI-MUKONO-24h'!L72)</f>
        <v>0</v>
      </c>
      <c r="M72" s="49">
        <f>AVERAGE('31.10 KALAGI-MUKONO-24h'!M72,'2.11 KALAGI-MUKONO-24h'!M72)</f>
        <v>7.5</v>
      </c>
      <c r="N72" s="49">
        <f>AVERAGE('31.10 KALAGI-MUKONO-24h'!N72,'2.11 KALAGI-MUKONO-24h'!N72)</f>
        <v>0</v>
      </c>
      <c r="O72" s="15">
        <f t="shared" si="0"/>
        <v>15</v>
      </c>
      <c r="P72" s="15">
        <f t="shared" si="1"/>
        <v>22.5</v>
      </c>
      <c r="R72" s="8"/>
      <c r="T72"/>
    </row>
    <row r="73" spans="2:20" ht="23.1" customHeight="1" x14ac:dyDescent="0.25">
      <c r="B73" s="23" t="s">
        <v>113</v>
      </c>
      <c r="C73" s="49">
        <f>AVERAGE('31.10 KALAGI-MUKONO-24h'!C73,'2.11 KALAGI-MUKONO-24h'!C73)</f>
        <v>1.5</v>
      </c>
      <c r="D73" s="49">
        <f>AVERAGE('31.10 KALAGI-MUKONO-24h'!D73,'2.11 KALAGI-MUKONO-24h'!D73)</f>
        <v>0.5</v>
      </c>
      <c r="E73" s="49">
        <f>AVERAGE('31.10 KALAGI-MUKONO-24h'!E73,'2.11 KALAGI-MUKONO-24h'!E73)</f>
        <v>0</v>
      </c>
      <c r="F73" s="49">
        <f>AVERAGE('31.10 KALAGI-MUKONO-24h'!F73,'2.11 KALAGI-MUKONO-24h'!F73)</f>
        <v>2</v>
      </c>
      <c r="G73" s="49">
        <f>AVERAGE('31.10 KALAGI-MUKONO-24h'!G73,'2.11 KALAGI-MUKONO-24h'!G73)</f>
        <v>0</v>
      </c>
      <c r="H73" s="49">
        <f>AVERAGE('31.10 KALAGI-MUKONO-24h'!H73,'2.11 KALAGI-MUKONO-24h'!H73)</f>
        <v>0</v>
      </c>
      <c r="I73" s="49">
        <f>AVERAGE('31.10 KALAGI-MUKONO-24h'!I73,'2.11 KALAGI-MUKONO-24h'!I73)</f>
        <v>0.5</v>
      </c>
      <c r="J73" s="49">
        <f>AVERAGE('31.10 KALAGI-MUKONO-24h'!J73,'2.11 KALAGI-MUKONO-24h'!J73)</f>
        <v>0</v>
      </c>
      <c r="K73" s="49">
        <f>AVERAGE('31.10 KALAGI-MUKONO-24h'!K73,'2.11 KALAGI-MUKONO-24h'!K73)</f>
        <v>0</v>
      </c>
      <c r="L73" s="49">
        <f>AVERAGE('31.10 KALAGI-MUKONO-24h'!L73,'2.11 KALAGI-MUKONO-24h'!L73)</f>
        <v>0</v>
      </c>
      <c r="M73" s="49">
        <f>AVERAGE('31.10 KALAGI-MUKONO-24h'!M73,'2.11 KALAGI-MUKONO-24h'!M73)</f>
        <v>4</v>
      </c>
      <c r="N73" s="49">
        <f>AVERAGE('31.10 KALAGI-MUKONO-24h'!N73,'2.11 KALAGI-MUKONO-24h'!N73)</f>
        <v>0</v>
      </c>
      <c r="O73" s="15">
        <f t="shared" si="0"/>
        <v>4.5</v>
      </c>
      <c r="P73" s="15">
        <f t="shared" si="1"/>
        <v>8.5</v>
      </c>
      <c r="R73" s="8"/>
      <c r="T73"/>
    </row>
    <row r="74" spans="2:20" ht="23.1" customHeight="1" x14ac:dyDescent="0.25">
      <c r="B74" s="23" t="s">
        <v>114</v>
      </c>
      <c r="C74" s="49">
        <f>AVERAGE('31.10 KALAGI-MUKONO-24h'!C74,'2.11 KALAGI-MUKONO-24h'!C74)</f>
        <v>1.5</v>
      </c>
      <c r="D74" s="49">
        <f>AVERAGE('31.10 KALAGI-MUKONO-24h'!D74,'2.11 KALAGI-MUKONO-24h'!D74)</f>
        <v>0</v>
      </c>
      <c r="E74" s="49">
        <f>AVERAGE('31.10 KALAGI-MUKONO-24h'!E74,'2.11 KALAGI-MUKONO-24h'!E74)</f>
        <v>0.5</v>
      </c>
      <c r="F74" s="49">
        <f>AVERAGE('31.10 KALAGI-MUKONO-24h'!F74,'2.11 KALAGI-MUKONO-24h'!F74)</f>
        <v>1.5</v>
      </c>
      <c r="G74" s="49">
        <f>AVERAGE('31.10 KALAGI-MUKONO-24h'!G74,'2.11 KALAGI-MUKONO-24h'!G74)</f>
        <v>0.5</v>
      </c>
      <c r="H74" s="49">
        <f>AVERAGE('31.10 KALAGI-MUKONO-24h'!H74,'2.11 KALAGI-MUKONO-24h'!H74)</f>
        <v>0</v>
      </c>
      <c r="I74" s="49">
        <f>AVERAGE('31.10 KALAGI-MUKONO-24h'!I74,'2.11 KALAGI-MUKONO-24h'!I74)</f>
        <v>0.5</v>
      </c>
      <c r="J74" s="49">
        <f>AVERAGE('31.10 KALAGI-MUKONO-24h'!J74,'2.11 KALAGI-MUKONO-24h'!J74)</f>
        <v>0.5</v>
      </c>
      <c r="K74" s="49">
        <f>AVERAGE('31.10 KALAGI-MUKONO-24h'!K74,'2.11 KALAGI-MUKONO-24h'!K74)</f>
        <v>0</v>
      </c>
      <c r="L74" s="49">
        <f>AVERAGE('31.10 KALAGI-MUKONO-24h'!L74,'2.11 KALAGI-MUKONO-24h'!L74)</f>
        <v>0</v>
      </c>
      <c r="M74" s="49">
        <f>AVERAGE('31.10 KALAGI-MUKONO-24h'!M74,'2.11 KALAGI-MUKONO-24h'!M74)</f>
        <v>10</v>
      </c>
      <c r="N74" s="49">
        <f>AVERAGE('31.10 KALAGI-MUKONO-24h'!N74,'2.11 KALAGI-MUKONO-24h'!N74)</f>
        <v>0</v>
      </c>
      <c r="O74" s="15">
        <f t="shared" ref="O74:O104" si="35">SUM(C74:L74,N74)</f>
        <v>5</v>
      </c>
      <c r="P74" s="15">
        <f t="shared" ref="P74:P104" si="36">SUM(C74:N74)</f>
        <v>15</v>
      </c>
      <c r="R74" s="8"/>
      <c r="T74"/>
    </row>
    <row r="75" spans="2:20" ht="23.1" customHeight="1" x14ac:dyDescent="0.25">
      <c r="B75" s="23" t="s">
        <v>115</v>
      </c>
      <c r="C75" s="49">
        <f>AVERAGE('31.10 KALAGI-MUKONO-24h'!C75,'2.11 KALAGI-MUKONO-24h'!C75)</f>
        <v>4</v>
      </c>
      <c r="D75" s="49">
        <f>AVERAGE('31.10 KALAGI-MUKONO-24h'!D75,'2.11 KALAGI-MUKONO-24h'!D75)</f>
        <v>1</v>
      </c>
      <c r="E75" s="49">
        <f>AVERAGE('31.10 KALAGI-MUKONO-24h'!E75,'2.11 KALAGI-MUKONO-24h'!E75)</f>
        <v>0</v>
      </c>
      <c r="F75" s="49">
        <f>AVERAGE('31.10 KALAGI-MUKONO-24h'!F75,'2.11 KALAGI-MUKONO-24h'!F75)</f>
        <v>1</v>
      </c>
      <c r="G75" s="49">
        <f>AVERAGE('31.10 KALAGI-MUKONO-24h'!G75,'2.11 KALAGI-MUKONO-24h'!G75)</f>
        <v>0</v>
      </c>
      <c r="H75" s="49">
        <f>AVERAGE('31.10 KALAGI-MUKONO-24h'!H75,'2.11 KALAGI-MUKONO-24h'!H75)</f>
        <v>0</v>
      </c>
      <c r="I75" s="49">
        <f>AVERAGE('31.10 KALAGI-MUKONO-24h'!I75,'2.11 KALAGI-MUKONO-24h'!I75)</f>
        <v>1.5</v>
      </c>
      <c r="J75" s="49">
        <f>AVERAGE('31.10 KALAGI-MUKONO-24h'!J75,'2.11 KALAGI-MUKONO-24h'!J75)</f>
        <v>0.5</v>
      </c>
      <c r="K75" s="49">
        <f>AVERAGE('31.10 KALAGI-MUKONO-24h'!K75,'2.11 KALAGI-MUKONO-24h'!K75)</f>
        <v>0.5</v>
      </c>
      <c r="L75" s="49">
        <f>AVERAGE('31.10 KALAGI-MUKONO-24h'!L75,'2.11 KALAGI-MUKONO-24h'!L75)</f>
        <v>0</v>
      </c>
      <c r="M75" s="49">
        <f>AVERAGE('31.10 KALAGI-MUKONO-24h'!M75,'2.11 KALAGI-MUKONO-24h'!M75)</f>
        <v>5</v>
      </c>
      <c r="N75" s="49">
        <f>AVERAGE('31.10 KALAGI-MUKONO-24h'!N75,'2.11 KALAGI-MUKONO-24h'!N75)</f>
        <v>0</v>
      </c>
      <c r="O75" s="15">
        <f t="shared" si="35"/>
        <v>8.5</v>
      </c>
      <c r="P75" s="15">
        <f t="shared" si="36"/>
        <v>13.5</v>
      </c>
      <c r="R75" s="8"/>
      <c r="T75"/>
    </row>
    <row r="76" spans="2:20" ht="23.1" customHeight="1" x14ac:dyDescent="0.25">
      <c r="B76" s="23" t="s">
        <v>116</v>
      </c>
      <c r="C76" s="49">
        <f>AVERAGE('31.10 KALAGI-MUKONO-24h'!C76,'2.11 KALAGI-MUKONO-24h'!C76)</f>
        <v>1.5</v>
      </c>
      <c r="D76" s="49">
        <f>AVERAGE('31.10 KALAGI-MUKONO-24h'!D76,'2.11 KALAGI-MUKONO-24h'!D76)</f>
        <v>0</v>
      </c>
      <c r="E76" s="49">
        <f>AVERAGE('31.10 KALAGI-MUKONO-24h'!E76,'2.11 KALAGI-MUKONO-24h'!E76)</f>
        <v>0.5</v>
      </c>
      <c r="F76" s="49">
        <f>AVERAGE('31.10 KALAGI-MUKONO-24h'!F76,'2.11 KALAGI-MUKONO-24h'!F76)</f>
        <v>2</v>
      </c>
      <c r="G76" s="49">
        <f>AVERAGE('31.10 KALAGI-MUKONO-24h'!G76,'2.11 KALAGI-MUKONO-24h'!G76)</f>
        <v>0</v>
      </c>
      <c r="H76" s="49">
        <f>AVERAGE('31.10 KALAGI-MUKONO-24h'!H76,'2.11 KALAGI-MUKONO-24h'!H76)</f>
        <v>0</v>
      </c>
      <c r="I76" s="49">
        <f>AVERAGE('31.10 KALAGI-MUKONO-24h'!I76,'2.11 KALAGI-MUKONO-24h'!I76)</f>
        <v>1</v>
      </c>
      <c r="J76" s="49">
        <f>AVERAGE('31.10 KALAGI-MUKONO-24h'!J76,'2.11 KALAGI-MUKONO-24h'!J76)</f>
        <v>1</v>
      </c>
      <c r="K76" s="49">
        <f>AVERAGE('31.10 KALAGI-MUKONO-24h'!K76,'2.11 KALAGI-MUKONO-24h'!K76)</f>
        <v>0</v>
      </c>
      <c r="L76" s="49">
        <f>AVERAGE('31.10 KALAGI-MUKONO-24h'!L76,'2.11 KALAGI-MUKONO-24h'!L76)</f>
        <v>0</v>
      </c>
      <c r="M76" s="49">
        <f>AVERAGE('31.10 KALAGI-MUKONO-24h'!M76,'2.11 KALAGI-MUKONO-24h'!M76)</f>
        <v>2</v>
      </c>
      <c r="N76" s="49">
        <f>AVERAGE('31.10 KALAGI-MUKONO-24h'!N76,'2.11 KALAGI-MUKONO-24h'!N76)</f>
        <v>0</v>
      </c>
      <c r="O76" s="15">
        <f t="shared" si="35"/>
        <v>6</v>
      </c>
      <c r="P76" s="15">
        <f t="shared" si="36"/>
        <v>8</v>
      </c>
      <c r="R76" s="8"/>
      <c r="T76"/>
    </row>
    <row r="77" spans="2:20" ht="23.1" customHeight="1" x14ac:dyDescent="0.25">
      <c r="B77" s="23" t="s">
        <v>117</v>
      </c>
      <c r="C77" s="49">
        <f>AVERAGE('31.10 KALAGI-MUKONO-24h'!C77,'2.11 KALAGI-MUKONO-24h'!C77)</f>
        <v>1.5</v>
      </c>
      <c r="D77" s="49">
        <f>AVERAGE('31.10 KALAGI-MUKONO-24h'!D77,'2.11 KALAGI-MUKONO-24h'!D77)</f>
        <v>0</v>
      </c>
      <c r="E77" s="49">
        <f>AVERAGE('31.10 KALAGI-MUKONO-24h'!E77,'2.11 KALAGI-MUKONO-24h'!E77)</f>
        <v>0</v>
      </c>
      <c r="F77" s="49">
        <f>AVERAGE('31.10 KALAGI-MUKONO-24h'!F77,'2.11 KALAGI-MUKONO-24h'!F77)</f>
        <v>0.5</v>
      </c>
      <c r="G77" s="49">
        <f>AVERAGE('31.10 KALAGI-MUKONO-24h'!G77,'2.11 KALAGI-MUKONO-24h'!G77)</f>
        <v>0</v>
      </c>
      <c r="H77" s="49">
        <f>AVERAGE('31.10 KALAGI-MUKONO-24h'!H77,'2.11 KALAGI-MUKONO-24h'!H77)</f>
        <v>0</v>
      </c>
      <c r="I77" s="49">
        <f>AVERAGE('31.10 KALAGI-MUKONO-24h'!I77,'2.11 KALAGI-MUKONO-24h'!I77)</f>
        <v>2</v>
      </c>
      <c r="J77" s="49">
        <f>AVERAGE('31.10 KALAGI-MUKONO-24h'!J77,'2.11 KALAGI-MUKONO-24h'!J77)</f>
        <v>0.5</v>
      </c>
      <c r="K77" s="49">
        <f>AVERAGE('31.10 KALAGI-MUKONO-24h'!K77,'2.11 KALAGI-MUKONO-24h'!K77)</f>
        <v>0</v>
      </c>
      <c r="L77" s="49">
        <f>AVERAGE('31.10 KALAGI-MUKONO-24h'!L77,'2.11 KALAGI-MUKONO-24h'!L77)</f>
        <v>0</v>
      </c>
      <c r="M77" s="49">
        <f>AVERAGE('31.10 KALAGI-MUKONO-24h'!M77,'2.11 KALAGI-MUKONO-24h'!M77)</f>
        <v>3</v>
      </c>
      <c r="N77" s="49">
        <f>AVERAGE('31.10 KALAGI-MUKONO-24h'!N77,'2.11 KALAGI-MUKONO-24h'!N77)</f>
        <v>0</v>
      </c>
      <c r="O77" s="15">
        <f t="shared" si="35"/>
        <v>4.5</v>
      </c>
      <c r="P77" s="15">
        <f t="shared" si="36"/>
        <v>7.5</v>
      </c>
      <c r="R77" s="8"/>
      <c r="T77"/>
    </row>
    <row r="78" spans="2:20" ht="23.1" customHeight="1" x14ac:dyDescent="0.25">
      <c r="B78" s="24" t="s">
        <v>118</v>
      </c>
      <c r="C78" s="49">
        <f>AVERAGE('31.10 KALAGI-MUKONO-24h'!C78,'2.11 KALAGI-MUKONO-24h'!C78)</f>
        <v>1.5</v>
      </c>
      <c r="D78" s="49">
        <f>AVERAGE('31.10 KALAGI-MUKONO-24h'!D78,'2.11 KALAGI-MUKONO-24h'!D78)</f>
        <v>0</v>
      </c>
      <c r="E78" s="49">
        <f>AVERAGE('31.10 KALAGI-MUKONO-24h'!E78,'2.11 KALAGI-MUKONO-24h'!E78)</f>
        <v>0</v>
      </c>
      <c r="F78" s="49">
        <f>AVERAGE('31.10 KALAGI-MUKONO-24h'!F78,'2.11 KALAGI-MUKONO-24h'!F78)</f>
        <v>1</v>
      </c>
      <c r="G78" s="49">
        <f>AVERAGE('31.10 KALAGI-MUKONO-24h'!G78,'2.11 KALAGI-MUKONO-24h'!G78)</f>
        <v>0</v>
      </c>
      <c r="H78" s="49">
        <f>AVERAGE('31.10 KALAGI-MUKONO-24h'!H78,'2.11 KALAGI-MUKONO-24h'!H78)</f>
        <v>0.5</v>
      </c>
      <c r="I78" s="49">
        <f>AVERAGE('31.10 KALAGI-MUKONO-24h'!I78,'2.11 KALAGI-MUKONO-24h'!I78)</f>
        <v>1</v>
      </c>
      <c r="J78" s="49">
        <f>AVERAGE('31.10 KALAGI-MUKONO-24h'!J78,'2.11 KALAGI-MUKONO-24h'!J78)</f>
        <v>0</v>
      </c>
      <c r="K78" s="49">
        <f>AVERAGE('31.10 KALAGI-MUKONO-24h'!K78,'2.11 KALAGI-MUKONO-24h'!K78)</f>
        <v>0</v>
      </c>
      <c r="L78" s="49">
        <f>AVERAGE('31.10 KALAGI-MUKONO-24h'!L78,'2.11 KALAGI-MUKONO-24h'!L78)</f>
        <v>0</v>
      </c>
      <c r="M78" s="49">
        <f>AVERAGE('31.10 KALAGI-MUKONO-24h'!M78,'2.11 KALAGI-MUKONO-24h'!M78)</f>
        <v>4</v>
      </c>
      <c r="N78" s="49">
        <f>AVERAGE('31.10 KALAGI-MUKONO-24h'!N78,'2.11 KALAGI-MUKONO-24h'!N78)</f>
        <v>0</v>
      </c>
      <c r="O78" s="15">
        <f t="shared" si="35"/>
        <v>4</v>
      </c>
      <c r="P78" s="15">
        <f t="shared" si="36"/>
        <v>8</v>
      </c>
      <c r="R78" s="8"/>
      <c r="T78"/>
    </row>
    <row r="79" spans="2:20" ht="23.1" customHeight="1" x14ac:dyDescent="0.25">
      <c r="B79" s="23" t="s">
        <v>119</v>
      </c>
      <c r="C79" s="49">
        <f>AVERAGE('31.10 KALAGI-MUKONO-24h'!C79,'2.11 KALAGI-MUKONO-24h'!C79)</f>
        <v>1.5</v>
      </c>
      <c r="D79" s="49">
        <f>AVERAGE('31.10 KALAGI-MUKONO-24h'!D79,'2.11 KALAGI-MUKONO-24h'!D79)</f>
        <v>0.5</v>
      </c>
      <c r="E79" s="49">
        <f>AVERAGE('31.10 KALAGI-MUKONO-24h'!E79,'2.11 KALAGI-MUKONO-24h'!E79)</f>
        <v>0</v>
      </c>
      <c r="F79" s="49">
        <f>AVERAGE('31.10 KALAGI-MUKONO-24h'!F79,'2.11 KALAGI-MUKONO-24h'!F79)</f>
        <v>0.5</v>
      </c>
      <c r="G79" s="49">
        <f>AVERAGE('31.10 KALAGI-MUKONO-24h'!G79,'2.11 KALAGI-MUKONO-24h'!G79)</f>
        <v>0</v>
      </c>
      <c r="H79" s="49">
        <f>AVERAGE('31.10 KALAGI-MUKONO-24h'!H79,'2.11 KALAGI-MUKONO-24h'!H79)</f>
        <v>0</v>
      </c>
      <c r="I79" s="49">
        <f>AVERAGE('31.10 KALAGI-MUKONO-24h'!I79,'2.11 KALAGI-MUKONO-24h'!I79)</f>
        <v>1</v>
      </c>
      <c r="J79" s="49">
        <f>AVERAGE('31.10 KALAGI-MUKONO-24h'!J79,'2.11 KALAGI-MUKONO-24h'!J79)</f>
        <v>0</v>
      </c>
      <c r="K79" s="49">
        <f>AVERAGE('31.10 KALAGI-MUKONO-24h'!K79,'2.11 KALAGI-MUKONO-24h'!K79)</f>
        <v>0</v>
      </c>
      <c r="L79" s="49">
        <f>AVERAGE('31.10 KALAGI-MUKONO-24h'!L79,'2.11 KALAGI-MUKONO-24h'!L79)</f>
        <v>0</v>
      </c>
      <c r="M79" s="49">
        <f>AVERAGE('31.10 KALAGI-MUKONO-24h'!M79,'2.11 KALAGI-MUKONO-24h'!M79)</f>
        <v>3.5</v>
      </c>
      <c r="N79" s="49">
        <f>AVERAGE('31.10 KALAGI-MUKONO-24h'!N79,'2.11 KALAGI-MUKONO-24h'!N79)</f>
        <v>0</v>
      </c>
      <c r="O79" s="15">
        <f t="shared" si="35"/>
        <v>3.5</v>
      </c>
      <c r="P79" s="15">
        <f t="shared" si="36"/>
        <v>7</v>
      </c>
      <c r="R79" s="8"/>
      <c r="T79"/>
    </row>
    <row r="80" spans="2:20" ht="23.1" customHeight="1" x14ac:dyDescent="0.25">
      <c r="B80" s="25" t="s">
        <v>120</v>
      </c>
      <c r="C80" s="49">
        <f>AVERAGE('31.10 KALAGI-MUKONO-24h'!C80,'2.11 KALAGI-MUKONO-24h'!C80)</f>
        <v>1.5</v>
      </c>
      <c r="D80" s="49">
        <f>AVERAGE('31.10 KALAGI-MUKONO-24h'!D80,'2.11 KALAGI-MUKONO-24h'!D80)</f>
        <v>1.5</v>
      </c>
      <c r="E80" s="49">
        <f>AVERAGE('31.10 KALAGI-MUKONO-24h'!E80,'2.11 KALAGI-MUKONO-24h'!E80)</f>
        <v>0</v>
      </c>
      <c r="F80" s="49">
        <f>AVERAGE('31.10 KALAGI-MUKONO-24h'!F80,'2.11 KALAGI-MUKONO-24h'!F80)</f>
        <v>0</v>
      </c>
      <c r="G80" s="49">
        <f>AVERAGE('31.10 KALAGI-MUKONO-24h'!G80,'2.11 KALAGI-MUKONO-24h'!G80)</f>
        <v>0</v>
      </c>
      <c r="H80" s="49">
        <f>AVERAGE('31.10 KALAGI-MUKONO-24h'!H80,'2.11 KALAGI-MUKONO-24h'!H80)</f>
        <v>0</v>
      </c>
      <c r="I80" s="49">
        <f>AVERAGE('31.10 KALAGI-MUKONO-24h'!I80,'2.11 KALAGI-MUKONO-24h'!I80)</f>
        <v>1</v>
      </c>
      <c r="J80" s="49">
        <f>AVERAGE('31.10 KALAGI-MUKONO-24h'!J80,'2.11 KALAGI-MUKONO-24h'!J80)</f>
        <v>0</v>
      </c>
      <c r="K80" s="49">
        <f>AVERAGE('31.10 KALAGI-MUKONO-24h'!K80,'2.11 KALAGI-MUKONO-24h'!K80)</f>
        <v>0</v>
      </c>
      <c r="L80" s="49">
        <f>AVERAGE('31.10 KALAGI-MUKONO-24h'!L80,'2.11 KALAGI-MUKONO-24h'!L80)</f>
        <v>0</v>
      </c>
      <c r="M80" s="49">
        <f>AVERAGE('31.10 KALAGI-MUKONO-24h'!M80,'2.11 KALAGI-MUKONO-24h'!M80)</f>
        <v>3</v>
      </c>
      <c r="N80" s="49">
        <f>AVERAGE('31.10 KALAGI-MUKONO-24h'!N80,'2.11 KALAGI-MUKONO-24h'!N80)</f>
        <v>0</v>
      </c>
      <c r="O80" s="15">
        <f t="shared" si="35"/>
        <v>4</v>
      </c>
      <c r="P80" s="15">
        <f t="shared" si="36"/>
        <v>7</v>
      </c>
      <c r="R80" s="8"/>
      <c r="T80"/>
    </row>
    <row r="81" spans="2:20" ht="23.1" customHeight="1" x14ac:dyDescent="0.25">
      <c r="B81" s="23" t="s">
        <v>121</v>
      </c>
      <c r="C81" s="49">
        <f>AVERAGE('31.10 KALAGI-MUKONO-24h'!C81,'2.11 KALAGI-MUKONO-24h'!C81)</f>
        <v>0.5</v>
      </c>
      <c r="D81" s="49">
        <f>AVERAGE('31.10 KALAGI-MUKONO-24h'!D81,'2.11 KALAGI-MUKONO-24h'!D81)</f>
        <v>0</v>
      </c>
      <c r="E81" s="49">
        <f>AVERAGE('31.10 KALAGI-MUKONO-24h'!E81,'2.11 KALAGI-MUKONO-24h'!E81)</f>
        <v>0</v>
      </c>
      <c r="F81" s="49">
        <f>AVERAGE('31.10 KALAGI-MUKONO-24h'!F81,'2.11 KALAGI-MUKONO-24h'!F81)</f>
        <v>0</v>
      </c>
      <c r="G81" s="49">
        <f>AVERAGE('31.10 KALAGI-MUKONO-24h'!G81,'2.11 KALAGI-MUKONO-24h'!G81)</f>
        <v>0</v>
      </c>
      <c r="H81" s="49">
        <f>AVERAGE('31.10 KALAGI-MUKONO-24h'!H81,'2.11 KALAGI-MUKONO-24h'!H81)</f>
        <v>0</v>
      </c>
      <c r="I81" s="49">
        <f>AVERAGE('31.10 KALAGI-MUKONO-24h'!I81,'2.11 KALAGI-MUKONO-24h'!I81)</f>
        <v>1.5</v>
      </c>
      <c r="J81" s="49">
        <f>AVERAGE('31.10 KALAGI-MUKONO-24h'!J81,'2.11 KALAGI-MUKONO-24h'!J81)</f>
        <v>1.5</v>
      </c>
      <c r="K81" s="49">
        <f>AVERAGE('31.10 KALAGI-MUKONO-24h'!K81,'2.11 KALAGI-MUKONO-24h'!K81)</f>
        <v>0</v>
      </c>
      <c r="L81" s="49">
        <f>AVERAGE('31.10 KALAGI-MUKONO-24h'!L81,'2.11 KALAGI-MUKONO-24h'!L81)</f>
        <v>0</v>
      </c>
      <c r="M81" s="49">
        <f>AVERAGE('31.10 KALAGI-MUKONO-24h'!M81,'2.11 KALAGI-MUKONO-24h'!M81)</f>
        <v>1.5</v>
      </c>
      <c r="N81" s="49">
        <f>AVERAGE('31.10 KALAGI-MUKONO-24h'!N81,'2.11 KALAGI-MUKONO-24h'!N81)</f>
        <v>0</v>
      </c>
      <c r="O81" s="15">
        <f t="shared" si="35"/>
        <v>3.5</v>
      </c>
      <c r="P81" s="15">
        <f t="shared" si="36"/>
        <v>5</v>
      </c>
      <c r="R81" s="8"/>
      <c r="T81"/>
    </row>
    <row r="82" spans="2:20" ht="23.1" customHeight="1" x14ac:dyDescent="0.25">
      <c r="B82" s="24" t="s">
        <v>122</v>
      </c>
      <c r="C82" s="49">
        <f>AVERAGE('31.10 KALAGI-MUKONO-24h'!C82,'2.11 KALAGI-MUKONO-24h'!C82)</f>
        <v>0</v>
      </c>
      <c r="D82" s="49">
        <f>AVERAGE('31.10 KALAGI-MUKONO-24h'!D82,'2.11 KALAGI-MUKONO-24h'!D82)</f>
        <v>0</v>
      </c>
      <c r="E82" s="49">
        <f>AVERAGE('31.10 KALAGI-MUKONO-24h'!E82,'2.11 KALAGI-MUKONO-24h'!E82)</f>
        <v>0</v>
      </c>
      <c r="F82" s="49">
        <f>AVERAGE('31.10 KALAGI-MUKONO-24h'!F82,'2.11 KALAGI-MUKONO-24h'!F82)</f>
        <v>0</v>
      </c>
      <c r="G82" s="49">
        <f>AVERAGE('31.10 KALAGI-MUKONO-24h'!G82,'2.11 KALAGI-MUKONO-24h'!G82)</f>
        <v>0</v>
      </c>
      <c r="H82" s="49">
        <f>AVERAGE('31.10 KALAGI-MUKONO-24h'!H82,'2.11 KALAGI-MUKONO-24h'!H82)</f>
        <v>0</v>
      </c>
      <c r="I82" s="49">
        <f>AVERAGE('31.10 KALAGI-MUKONO-24h'!I82,'2.11 KALAGI-MUKONO-24h'!I82)</f>
        <v>1</v>
      </c>
      <c r="J82" s="49">
        <f>AVERAGE('31.10 KALAGI-MUKONO-24h'!J82,'2.11 KALAGI-MUKONO-24h'!J82)</f>
        <v>0</v>
      </c>
      <c r="K82" s="49">
        <f>AVERAGE('31.10 KALAGI-MUKONO-24h'!K82,'2.11 KALAGI-MUKONO-24h'!K82)</f>
        <v>0</v>
      </c>
      <c r="L82" s="49">
        <f>AVERAGE('31.10 KALAGI-MUKONO-24h'!L82,'2.11 KALAGI-MUKONO-24h'!L82)</f>
        <v>0</v>
      </c>
      <c r="M82" s="49">
        <f>AVERAGE('31.10 KALAGI-MUKONO-24h'!M82,'2.11 KALAGI-MUKONO-24h'!M82)</f>
        <v>0</v>
      </c>
      <c r="N82" s="49">
        <f>AVERAGE('31.10 KALAGI-MUKONO-24h'!N82,'2.11 KALAGI-MUKONO-24h'!N82)</f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23" t="s">
        <v>123</v>
      </c>
      <c r="C83" s="49">
        <f>AVERAGE('31.10 KALAGI-MUKONO-24h'!C83,'2.11 KALAGI-MUKONO-24h'!C83)</f>
        <v>0</v>
      </c>
      <c r="D83" s="49">
        <f>AVERAGE('31.10 KALAGI-MUKONO-24h'!D83,'2.11 KALAGI-MUKONO-24h'!D83)</f>
        <v>0</v>
      </c>
      <c r="E83" s="49">
        <f>AVERAGE('31.10 KALAGI-MUKONO-24h'!E83,'2.11 KALAGI-MUKONO-24h'!E83)</f>
        <v>0</v>
      </c>
      <c r="F83" s="49">
        <f>AVERAGE('31.10 KALAGI-MUKONO-24h'!F83,'2.11 KALAGI-MUKONO-24h'!F83)</f>
        <v>0</v>
      </c>
      <c r="G83" s="49">
        <f>AVERAGE('31.10 KALAGI-MUKONO-24h'!G83,'2.11 KALAGI-MUKONO-24h'!G83)</f>
        <v>0</v>
      </c>
      <c r="H83" s="49">
        <f>AVERAGE('31.10 KALAGI-MUKONO-24h'!H83,'2.11 KALAGI-MUKONO-24h'!H83)</f>
        <v>0.5</v>
      </c>
      <c r="I83" s="49">
        <f>AVERAGE('31.10 KALAGI-MUKONO-24h'!I83,'2.11 KALAGI-MUKONO-24h'!I83)</f>
        <v>0</v>
      </c>
      <c r="J83" s="49">
        <f>AVERAGE('31.10 KALAGI-MUKONO-24h'!J83,'2.11 KALAGI-MUKONO-24h'!J83)</f>
        <v>0</v>
      </c>
      <c r="K83" s="49">
        <f>AVERAGE('31.10 KALAGI-MUKONO-24h'!K83,'2.11 KALAGI-MUKONO-24h'!K83)</f>
        <v>0</v>
      </c>
      <c r="L83" s="49">
        <f>AVERAGE('31.10 KALAGI-MUKONO-24h'!L83,'2.11 KALAGI-MUKONO-24h'!L83)</f>
        <v>0</v>
      </c>
      <c r="M83" s="49">
        <f>AVERAGE('31.10 KALAGI-MUKONO-24h'!M83,'2.11 KALAGI-MUKONO-24h'!M83)</f>
        <v>2.5</v>
      </c>
      <c r="N83" s="49">
        <f>AVERAGE('31.10 KALAGI-MUKONO-24h'!N83,'2.11 KALAGI-MUKONO-24h'!N83)</f>
        <v>0</v>
      </c>
      <c r="O83" s="15">
        <f t="shared" si="35"/>
        <v>0.5</v>
      </c>
      <c r="P83" s="15">
        <f t="shared" si="36"/>
        <v>3</v>
      </c>
      <c r="R83" s="8"/>
      <c r="T83"/>
    </row>
    <row r="84" spans="2:20" ht="23.1" customHeight="1" x14ac:dyDescent="0.25">
      <c r="B84" s="25" t="s">
        <v>124</v>
      </c>
      <c r="C84" s="49">
        <f>AVERAGE('31.10 KALAGI-MUKONO-24h'!C84,'2.11 KALAGI-MUKONO-24h'!C84)</f>
        <v>0</v>
      </c>
      <c r="D84" s="49">
        <f>AVERAGE('31.10 KALAGI-MUKONO-24h'!D84,'2.11 KALAGI-MUKONO-24h'!D84)</f>
        <v>0</v>
      </c>
      <c r="E84" s="49">
        <f>AVERAGE('31.10 KALAGI-MUKONO-24h'!E84,'2.11 KALAGI-MUKONO-24h'!E84)</f>
        <v>0</v>
      </c>
      <c r="F84" s="49">
        <f>AVERAGE('31.10 KALAGI-MUKONO-24h'!F84,'2.11 KALAGI-MUKONO-24h'!F84)</f>
        <v>0</v>
      </c>
      <c r="G84" s="49">
        <f>AVERAGE('31.10 KALAGI-MUKONO-24h'!G84,'2.11 KALAGI-MUKONO-24h'!G84)</f>
        <v>0</v>
      </c>
      <c r="H84" s="49">
        <f>AVERAGE('31.10 KALAGI-MUKONO-24h'!H84,'2.11 KALAGI-MUKONO-24h'!H84)</f>
        <v>0</v>
      </c>
      <c r="I84" s="49">
        <f>AVERAGE('31.10 KALAGI-MUKONO-24h'!I84,'2.11 KALAGI-MUKONO-24h'!I84)</f>
        <v>0</v>
      </c>
      <c r="J84" s="49">
        <f>AVERAGE('31.10 KALAGI-MUKONO-24h'!J84,'2.11 KALAGI-MUKONO-24h'!J84)</f>
        <v>0</v>
      </c>
      <c r="K84" s="49">
        <f>AVERAGE('31.10 KALAGI-MUKONO-24h'!K84,'2.11 KALAGI-MUKONO-24h'!K84)</f>
        <v>0</v>
      </c>
      <c r="L84" s="49">
        <f>AVERAGE('31.10 KALAGI-MUKONO-24h'!L84,'2.11 KALAGI-MUKONO-24h'!L84)</f>
        <v>0</v>
      </c>
      <c r="M84" s="49">
        <f>AVERAGE('31.10 KALAGI-MUKONO-24h'!M84,'2.11 KALAGI-MUKONO-24h'!M84)</f>
        <v>0</v>
      </c>
      <c r="N84" s="49">
        <f>AVERAGE('31.10 KALAGI-MUKONO-24h'!N84,'2.11 KALAGI-MUKONO-24h'!N84)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AVERAGE('31.10 KALAGI-MUKONO-24h'!C85,'2.11 KALAGI-MUKONO-24h'!C85)</f>
        <v>0</v>
      </c>
      <c r="D85" s="49">
        <f>AVERAGE('31.10 KALAGI-MUKONO-24h'!D85,'2.11 KALAGI-MUKONO-24h'!D85)</f>
        <v>0</v>
      </c>
      <c r="E85" s="49">
        <f>AVERAGE('31.10 KALAGI-MUKONO-24h'!E85,'2.11 KALAGI-MUKONO-24h'!E85)</f>
        <v>0</v>
      </c>
      <c r="F85" s="49">
        <f>AVERAGE('31.10 KALAGI-MUKONO-24h'!F85,'2.11 KALAGI-MUKONO-24h'!F85)</f>
        <v>0</v>
      </c>
      <c r="G85" s="49">
        <f>AVERAGE('31.10 KALAGI-MUKONO-24h'!G85,'2.11 KALAGI-MUKONO-24h'!G85)</f>
        <v>0</v>
      </c>
      <c r="H85" s="49">
        <f>AVERAGE('31.10 KALAGI-MUKONO-24h'!H85,'2.11 KALAGI-MUKONO-24h'!H85)</f>
        <v>0</v>
      </c>
      <c r="I85" s="49">
        <f>AVERAGE('31.10 KALAGI-MUKONO-24h'!I85,'2.11 KALAGI-MUKONO-24h'!I85)</f>
        <v>1.5</v>
      </c>
      <c r="J85" s="49">
        <f>AVERAGE('31.10 KALAGI-MUKONO-24h'!J85,'2.11 KALAGI-MUKONO-24h'!J85)</f>
        <v>0</v>
      </c>
      <c r="K85" s="49">
        <f>AVERAGE('31.10 KALAGI-MUKONO-24h'!K85,'2.11 KALAGI-MUKONO-24h'!K85)</f>
        <v>0</v>
      </c>
      <c r="L85" s="49">
        <f>AVERAGE('31.10 KALAGI-MUKONO-24h'!L85,'2.11 KALAGI-MUKONO-24h'!L85)</f>
        <v>0</v>
      </c>
      <c r="M85" s="49">
        <f>AVERAGE('31.10 KALAGI-MUKONO-24h'!M85,'2.11 KALAGI-MUKONO-24h'!M85)</f>
        <v>0</v>
      </c>
      <c r="N85" s="49">
        <f>AVERAGE('31.10 KALAGI-MUKONO-24h'!N85,'2.11 KALAGI-MUKONO-24h'!N85)</f>
        <v>0</v>
      </c>
      <c r="O85" s="15">
        <f t="shared" si="35"/>
        <v>1.5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AVERAGE('31.10 KALAGI-MUKONO-24h'!C86,'2.11 KALAGI-MUKONO-24h'!C86)</f>
        <v>0</v>
      </c>
      <c r="D86" s="49">
        <f>AVERAGE('31.10 KALAGI-MUKONO-24h'!D86,'2.11 KALAGI-MUKONO-24h'!D86)</f>
        <v>0</v>
      </c>
      <c r="E86" s="49">
        <f>AVERAGE('31.10 KALAGI-MUKONO-24h'!E86,'2.11 KALAGI-MUKONO-24h'!E86)</f>
        <v>0</v>
      </c>
      <c r="F86" s="49">
        <f>AVERAGE('31.10 KALAGI-MUKONO-24h'!F86,'2.11 KALAGI-MUKONO-24h'!F86)</f>
        <v>0</v>
      </c>
      <c r="G86" s="49">
        <f>AVERAGE('31.10 KALAGI-MUKONO-24h'!G86,'2.11 KALAGI-MUKONO-24h'!G86)</f>
        <v>0</v>
      </c>
      <c r="H86" s="49">
        <f>AVERAGE('31.10 KALAGI-MUKONO-24h'!H86,'2.11 KALAGI-MUKONO-24h'!H86)</f>
        <v>0</v>
      </c>
      <c r="I86" s="49">
        <f>AVERAGE('31.10 KALAGI-MUKONO-24h'!I86,'2.11 KALAGI-MUKONO-24h'!I86)</f>
        <v>0</v>
      </c>
      <c r="J86" s="49">
        <f>AVERAGE('31.10 KALAGI-MUKONO-24h'!J86,'2.11 KALAGI-MUKONO-24h'!J86)</f>
        <v>0</v>
      </c>
      <c r="K86" s="49">
        <f>AVERAGE('31.10 KALAGI-MUKONO-24h'!K86,'2.11 KALAGI-MUKONO-24h'!K86)</f>
        <v>0</v>
      </c>
      <c r="L86" s="49">
        <f>AVERAGE('31.10 KALAGI-MUKONO-24h'!L86,'2.11 KALAGI-MUKONO-24h'!L86)</f>
        <v>0</v>
      </c>
      <c r="M86" s="49">
        <f>AVERAGE('31.10 KALAGI-MUKONO-24h'!M86,'2.11 KALAGI-MUKONO-24h'!M86)</f>
        <v>0</v>
      </c>
      <c r="N86" s="49">
        <f>AVERAGE('31.10 KALAGI-MUKONO-24h'!N86,'2.11 KALAGI-MUKONO-24h'!N86)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AVERAGE('31.10 KALAGI-MUKONO-24h'!C87,'2.11 KALAGI-MUKONO-24h'!C87)</f>
        <v>0</v>
      </c>
      <c r="D87" s="49">
        <f>AVERAGE('31.10 KALAGI-MUKONO-24h'!D87,'2.11 KALAGI-MUKONO-24h'!D87)</f>
        <v>0</v>
      </c>
      <c r="E87" s="49">
        <f>AVERAGE('31.10 KALAGI-MUKONO-24h'!E87,'2.11 KALAGI-MUKONO-24h'!E87)</f>
        <v>0</v>
      </c>
      <c r="F87" s="49">
        <f>AVERAGE('31.10 KALAGI-MUKONO-24h'!F87,'2.11 KALAGI-MUKONO-24h'!F87)</f>
        <v>0.5</v>
      </c>
      <c r="G87" s="49">
        <f>AVERAGE('31.10 KALAGI-MUKONO-24h'!G87,'2.11 KALAGI-MUKONO-24h'!G87)</f>
        <v>0</v>
      </c>
      <c r="H87" s="49">
        <f>AVERAGE('31.10 KALAGI-MUKONO-24h'!H87,'2.11 KALAGI-MUKONO-24h'!H87)</f>
        <v>0.5</v>
      </c>
      <c r="I87" s="49">
        <f>AVERAGE('31.10 KALAGI-MUKONO-24h'!I87,'2.11 KALAGI-MUKONO-24h'!I87)</f>
        <v>0</v>
      </c>
      <c r="J87" s="49">
        <f>AVERAGE('31.10 KALAGI-MUKONO-24h'!J87,'2.11 KALAGI-MUKONO-24h'!J87)</f>
        <v>0</v>
      </c>
      <c r="K87" s="49">
        <f>AVERAGE('31.10 KALAGI-MUKONO-24h'!K87,'2.11 KALAGI-MUKONO-24h'!K87)</f>
        <v>0</v>
      </c>
      <c r="L87" s="49">
        <f>AVERAGE('31.10 KALAGI-MUKONO-24h'!L87,'2.11 KALAGI-MUKONO-24h'!L87)</f>
        <v>0</v>
      </c>
      <c r="M87" s="49">
        <f>AVERAGE('31.10 KALAGI-MUKONO-24h'!M87,'2.11 KALAGI-MUKONO-24h'!M87)</f>
        <v>0</v>
      </c>
      <c r="N87" s="49">
        <f>AVERAGE('31.10 KALAGI-MUKONO-24h'!N87,'2.11 KALAGI-MUKONO-24h'!N87)</f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AVERAGE('31.10 KALAGI-MUKONO-24h'!C88,'2.11 KALAGI-MUKONO-24h'!C88)</f>
        <v>0</v>
      </c>
      <c r="D88" s="49">
        <f>AVERAGE('31.10 KALAGI-MUKONO-24h'!D88,'2.11 KALAGI-MUKONO-24h'!D88)</f>
        <v>0</v>
      </c>
      <c r="E88" s="49">
        <f>AVERAGE('31.10 KALAGI-MUKONO-24h'!E88,'2.11 KALAGI-MUKONO-24h'!E88)</f>
        <v>0</v>
      </c>
      <c r="F88" s="49">
        <f>AVERAGE('31.10 KALAGI-MUKONO-24h'!F88,'2.11 KALAGI-MUKONO-24h'!F88)</f>
        <v>0</v>
      </c>
      <c r="G88" s="49">
        <f>AVERAGE('31.10 KALAGI-MUKONO-24h'!G88,'2.11 KALAGI-MUKONO-24h'!G88)</f>
        <v>0</v>
      </c>
      <c r="H88" s="49">
        <f>AVERAGE('31.10 KALAGI-MUKONO-24h'!H88,'2.11 KALAGI-MUKONO-24h'!H88)</f>
        <v>0</v>
      </c>
      <c r="I88" s="49">
        <f>AVERAGE('31.10 KALAGI-MUKONO-24h'!I88,'2.11 KALAGI-MUKONO-24h'!I88)</f>
        <v>0.5</v>
      </c>
      <c r="J88" s="49">
        <f>AVERAGE('31.10 KALAGI-MUKONO-24h'!J88,'2.11 KALAGI-MUKONO-24h'!J88)</f>
        <v>0</v>
      </c>
      <c r="K88" s="49">
        <f>AVERAGE('31.10 KALAGI-MUKONO-24h'!K88,'2.11 KALAGI-MUKONO-24h'!K88)</f>
        <v>0</v>
      </c>
      <c r="L88" s="49">
        <f>AVERAGE('31.10 KALAGI-MUKONO-24h'!L88,'2.11 KALAGI-MUKONO-24h'!L88)</f>
        <v>0</v>
      </c>
      <c r="M88" s="49">
        <f>AVERAGE('31.10 KALAGI-MUKONO-24h'!M88,'2.11 KALAGI-MUKONO-24h'!M88)</f>
        <v>0</v>
      </c>
      <c r="N88" s="49">
        <f>AVERAGE('31.10 KALAGI-MUKONO-24h'!N88,'2.11 KALAGI-MUKONO-24h'!N88)</f>
        <v>0</v>
      </c>
      <c r="O88" s="15">
        <f t="shared" si="35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AVERAGE('31.10 KALAGI-MUKONO-24h'!C89,'2.11 KALAGI-MUKONO-24h'!C89)</f>
        <v>0</v>
      </c>
      <c r="D89" s="49">
        <f>AVERAGE('31.10 KALAGI-MUKONO-24h'!D89,'2.11 KALAGI-MUKONO-24h'!D89)</f>
        <v>0</v>
      </c>
      <c r="E89" s="49">
        <f>AVERAGE('31.10 KALAGI-MUKONO-24h'!E89,'2.11 KALAGI-MUKONO-24h'!E89)</f>
        <v>0</v>
      </c>
      <c r="F89" s="49">
        <f>AVERAGE('31.10 KALAGI-MUKONO-24h'!F89,'2.11 KALAGI-MUKONO-24h'!F89)</f>
        <v>1</v>
      </c>
      <c r="G89" s="49">
        <f>AVERAGE('31.10 KALAGI-MUKONO-24h'!G89,'2.11 KALAGI-MUKONO-24h'!G89)</f>
        <v>0</v>
      </c>
      <c r="H89" s="49">
        <f>AVERAGE('31.10 KALAGI-MUKONO-24h'!H89,'2.11 KALAGI-MUKONO-24h'!H89)</f>
        <v>0</v>
      </c>
      <c r="I89" s="49">
        <f>AVERAGE('31.10 KALAGI-MUKONO-24h'!I89,'2.11 KALAGI-MUKONO-24h'!I89)</f>
        <v>1</v>
      </c>
      <c r="J89" s="49">
        <f>AVERAGE('31.10 KALAGI-MUKONO-24h'!J89,'2.11 KALAGI-MUKONO-24h'!J89)</f>
        <v>0</v>
      </c>
      <c r="K89" s="49">
        <f>AVERAGE('31.10 KALAGI-MUKONO-24h'!K89,'2.11 KALAGI-MUKONO-24h'!K89)</f>
        <v>0</v>
      </c>
      <c r="L89" s="49">
        <f>AVERAGE('31.10 KALAGI-MUKONO-24h'!L89,'2.11 KALAGI-MUKONO-24h'!L89)</f>
        <v>0</v>
      </c>
      <c r="M89" s="49">
        <f>AVERAGE('31.10 KALAGI-MUKONO-24h'!M89,'2.11 KALAGI-MUKONO-24h'!M89)</f>
        <v>1</v>
      </c>
      <c r="N89" s="49">
        <f>AVERAGE('31.10 KALAGI-MUKONO-24h'!N89,'2.11 KALAGI-MUKONO-24h'!N89)</f>
        <v>0</v>
      </c>
      <c r="O89" s="15">
        <f t="shared" si="35"/>
        <v>2</v>
      </c>
      <c r="P89" s="15">
        <f t="shared" si="36"/>
        <v>3</v>
      </c>
      <c r="R89" s="8"/>
      <c r="T89"/>
    </row>
    <row r="90" spans="2:20" ht="23.1" customHeight="1" x14ac:dyDescent="0.25">
      <c r="B90" s="24" t="s">
        <v>130</v>
      </c>
      <c r="C90" s="49">
        <f>AVERAGE('31.10 KALAGI-MUKONO-24h'!C90,'2.11 KALAGI-MUKONO-24h'!C90)</f>
        <v>0.5</v>
      </c>
      <c r="D90" s="49">
        <f>AVERAGE('31.10 KALAGI-MUKONO-24h'!D90,'2.11 KALAGI-MUKONO-24h'!D90)</f>
        <v>0</v>
      </c>
      <c r="E90" s="49">
        <f>AVERAGE('31.10 KALAGI-MUKONO-24h'!E90,'2.11 KALAGI-MUKONO-24h'!E90)</f>
        <v>0</v>
      </c>
      <c r="F90" s="49">
        <f>AVERAGE('31.10 KALAGI-MUKONO-24h'!F90,'2.11 KALAGI-MUKONO-24h'!F90)</f>
        <v>1</v>
      </c>
      <c r="G90" s="49">
        <f>AVERAGE('31.10 KALAGI-MUKONO-24h'!G90,'2.11 KALAGI-MUKONO-24h'!G90)</f>
        <v>0</v>
      </c>
      <c r="H90" s="49">
        <f>AVERAGE('31.10 KALAGI-MUKONO-24h'!H90,'2.11 KALAGI-MUKONO-24h'!H90)</f>
        <v>0</v>
      </c>
      <c r="I90" s="49">
        <f>AVERAGE('31.10 KALAGI-MUKONO-24h'!I90,'2.11 KALAGI-MUKONO-24h'!I90)</f>
        <v>0</v>
      </c>
      <c r="J90" s="49">
        <f>AVERAGE('31.10 KALAGI-MUKONO-24h'!J90,'2.11 KALAGI-MUKONO-24h'!J90)</f>
        <v>1.5</v>
      </c>
      <c r="K90" s="49">
        <f>AVERAGE('31.10 KALAGI-MUKONO-24h'!K90,'2.11 KALAGI-MUKONO-24h'!K90)</f>
        <v>0</v>
      </c>
      <c r="L90" s="49">
        <f>AVERAGE('31.10 KALAGI-MUKONO-24h'!L90,'2.11 KALAGI-MUKONO-24h'!L90)</f>
        <v>0</v>
      </c>
      <c r="M90" s="49">
        <f>AVERAGE('31.10 KALAGI-MUKONO-24h'!M90,'2.11 KALAGI-MUKONO-24h'!M90)</f>
        <v>0</v>
      </c>
      <c r="N90" s="49">
        <f>AVERAGE('31.10 KALAGI-MUKONO-24h'!N90,'2.11 KALAGI-MUKONO-24h'!N90)</f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AVERAGE('31.10 KALAGI-MUKONO-24h'!C91,'2.11 KALAGI-MUKONO-24h'!C91)</f>
        <v>1</v>
      </c>
      <c r="D91" s="49">
        <f>AVERAGE('31.10 KALAGI-MUKONO-24h'!D91,'2.11 KALAGI-MUKONO-24h'!D91)</f>
        <v>0</v>
      </c>
      <c r="E91" s="49">
        <f>AVERAGE('31.10 KALAGI-MUKONO-24h'!E91,'2.11 KALAGI-MUKONO-24h'!E91)</f>
        <v>0</v>
      </c>
      <c r="F91" s="49">
        <f>AVERAGE('31.10 KALAGI-MUKONO-24h'!F91,'2.11 KALAGI-MUKONO-24h'!F91)</f>
        <v>1.5</v>
      </c>
      <c r="G91" s="49">
        <f>AVERAGE('31.10 KALAGI-MUKONO-24h'!G91,'2.11 KALAGI-MUKONO-24h'!G91)</f>
        <v>0</v>
      </c>
      <c r="H91" s="49">
        <f>AVERAGE('31.10 KALAGI-MUKONO-24h'!H91,'2.11 KALAGI-MUKONO-24h'!H91)</f>
        <v>0</v>
      </c>
      <c r="I91" s="49">
        <f>AVERAGE('31.10 KALAGI-MUKONO-24h'!I91,'2.11 KALAGI-MUKONO-24h'!I91)</f>
        <v>0.5</v>
      </c>
      <c r="J91" s="49">
        <f>AVERAGE('31.10 KALAGI-MUKONO-24h'!J91,'2.11 KALAGI-MUKONO-24h'!J91)</f>
        <v>1.5</v>
      </c>
      <c r="K91" s="49">
        <f>AVERAGE('31.10 KALAGI-MUKONO-24h'!K91,'2.11 KALAGI-MUKONO-24h'!K91)</f>
        <v>0</v>
      </c>
      <c r="L91" s="49">
        <f>AVERAGE('31.10 KALAGI-MUKONO-24h'!L91,'2.11 KALAGI-MUKONO-24h'!L91)</f>
        <v>0</v>
      </c>
      <c r="M91" s="49">
        <f>AVERAGE('31.10 KALAGI-MUKONO-24h'!M91,'2.11 KALAGI-MUKONO-24h'!M91)</f>
        <v>1</v>
      </c>
      <c r="N91" s="49">
        <f>AVERAGE('31.10 KALAGI-MUKONO-24h'!N91,'2.11 KALAGI-MUKONO-24h'!N91)</f>
        <v>0</v>
      </c>
      <c r="O91" s="15">
        <f t="shared" si="35"/>
        <v>4.5</v>
      </c>
      <c r="P91" s="15">
        <f t="shared" si="36"/>
        <v>5.5</v>
      </c>
      <c r="R91" s="8"/>
      <c r="T91"/>
    </row>
    <row r="92" spans="2:20" ht="23.1" customHeight="1" x14ac:dyDescent="0.25">
      <c r="B92" s="25" t="s">
        <v>132</v>
      </c>
      <c r="C92" s="49">
        <f>AVERAGE('31.10 KALAGI-MUKONO-24h'!C92,'2.11 KALAGI-MUKONO-24h'!C92)</f>
        <v>0</v>
      </c>
      <c r="D92" s="49">
        <f>AVERAGE('31.10 KALAGI-MUKONO-24h'!D92,'2.11 KALAGI-MUKONO-24h'!D92)</f>
        <v>0</v>
      </c>
      <c r="E92" s="49">
        <f>AVERAGE('31.10 KALAGI-MUKONO-24h'!E92,'2.11 KALAGI-MUKONO-24h'!E92)</f>
        <v>0</v>
      </c>
      <c r="F92" s="49">
        <f>AVERAGE('31.10 KALAGI-MUKONO-24h'!F92,'2.11 KALAGI-MUKONO-24h'!F92)</f>
        <v>2</v>
      </c>
      <c r="G92" s="49">
        <f>AVERAGE('31.10 KALAGI-MUKONO-24h'!G92,'2.11 KALAGI-MUKONO-24h'!G92)</f>
        <v>0.5</v>
      </c>
      <c r="H92" s="49">
        <f>AVERAGE('31.10 KALAGI-MUKONO-24h'!H92,'2.11 KALAGI-MUKONO-24h'!H92)</f>
        <v>0</v>
      </c>
      <c r="I92" s="49">
        <f>AVERAGE('31.10 KALAGI-MUKONO-24h'!I92,'2.11 KALAGI-MUKONO-24h'!I92)</f>
        <v>0</v>
      </c>
      <c r="J92" s="49">
        <f>AVERAGE('31.10 KALAGI-MUKONO-24h'!J92,'2.11 KALAGI-MUKONO-24h'!J92)</f>
        <v>0</v>
      </c>
      <c r="K92" s="49">
        <f>AVERAGE('31.10 KALAGI-MUKONO-24h'!K92,'2.11 KALAGI-MUKONO-24h'!K92)</f>
        <v>0</v>
      </c>
      <c r="L92" s="49">
        <f>AVERAGE('31.10 KALAGI-MUKONO-24h'!L92,'2.11 KALAGI-MUKONO-24h'!L92)</f>
        <v>0</v>
      </c>
      <c r="M92" s="49">
        <f>AVERAGE('31.10 KALAGI-MUKONO-24h'!M92,'2.11 KALAGI-MUKONO-24h'!M92)</f>
        <v>2</v>
      </c>
      <c r="N92" s="49">
        <f>AVERAGE('31.10 KALAGI-MUKONO-24h'!N92,'2.11 KALAGI-MUKONO-24h'!N92)</f>
        <v>0</v>
      </c>
      <c r="O92" s="15">
        <f t="shared" si="35"/>
        <v>2.5</v>
      </c>
      <c r="P92" s="15">
        <f t="shared" si="36"/>
        <v>4.5</v>
      </c>
      <c r="R92" s="8"/>
      <c r="T92"/>
    </row>
    <row r="93" spans="2:20" ht="23.1" customHeight="1" x14ac:dyDescent="0.25">
      <c r="B93" s="23" t="s">
        <v>133</v>
      </c>
      <c r="C93" s="49">
        <f>AVERAGE('31.10 KALAGI-MUKONO-24h'!C93,'2.11 KALAGI-MUKONO-24h'!C93)</f>
        <v>0</v>
      </c>
      <c r="D93" s="49">
        <f>AVERAGE('31.10 KALAGI-MUKONO-24h'!D93,'2.11 KALAGI-MUKONO-24h'!D93)</f>
        <v>0</v>
      </c>
      <c r="E93" s="49">
        <f>AVERAGE('31.10 KALAGI-MUKONO-24h'!E93,'2.11 KALAGI-MUKONO-24h'!E93)</f>
        <v>0</v>
      </c>
      <c r="F93" s="49">
        <f>AVERAGE('31.10 KALAGI-MUKONO-24h'!F93,'2.11 KALAGI-MUKONO-24h'!F93)</f>
        <v>0</v>
      </c>
      <c r="G93" s="49">
        <f>AVERAGE('31.10 KALAGI-MUKONO-24h'!G93,'2.11 KALAGI-MUKONO-24h'!G93)</f>
        <v>0</v>
      </c>
      <c r="H93" s="49">
        <f>AVERAGE('31.10 KALAGI-MUKONO-24h'!H93,'2.11 KALAGI-MUKONO-24h'!H93)</f>
        <v>0</v>
      </c>
      <c r="I93" s="49">
        <f>AVERAGE('31.10 KALAGI-MUKONO-24h'!I93,'2.11 KALAGI-MUKONO-24h'!I93)</f>
        <v>0</v>
      </c>
      <c r="J93" s="49">
        <f>AVERAGE('31.10 KALAGI-MUKONO-24h'!J93,'2.11 KALAGI-MUKONO-24h'!J93)</f>
        <v>0</v>
      </c>
      <c r="K93" s="49">
        <f>AVERAGE('31.10 KALAGI-MUKONO-24h'!K93,'2.11 KALAGI-MUKONO-24h'!K93)</f>
        <v>0</v>
      </c>
      <c r="L93" s="49">
        <f>AVERAGE('31.10 KALAGI-MUKONO-24h'!L93,'2.11 KALAGI-MUKONO-24h'!L93)</f>
        <v>0</v>
      </c>
      <c r="M93" s="49">
        <f>AVERAGE('31.10 KALAGI-MUKONO-24h'!M93,'2.11 KALAGI-MUKONO-24h'!M93)</f>
        <v>0.5</v>
      </c>
      <c r="N93" s="49">
        <f>AVERAGE('31.10 KALAGI-MUKONO-24h'!N93,'2.11 KALAGI-MUKONO-24h'!N93)</f>
        <v>0</v>
      </c>
      <c r="O93" s="15">
        <f t="shared" si="35"/>
        <v>0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AVERAGE('31.10 KALAGI-MUKONO-24h'!C94,'2.11 KALAGI-MUKONO-24h'!C94)</f>
        <v>1</v>
      </c>
      <c r="D94" s="49">
        <f>AVERAGE('31.10 KALAGI-MUKONO-24h'!D94,'2.11 KALAGI-MUKONO-24h'!D94)</f>
        <v>1.5</v>
      </c>
      <c r="E94" s="49">
        <f>AVERAGE('31.10 KALAGI-MUKONO-24h'!E94,'2.11 KALAGI-MUKONO-24h'!E94)</f>
        <v>0</v>
      </c>
      <c r="F94" s="49">
        <f>AVERAGE('31.10 KALAGI-MUKONO-24h'!F94,'2.11 KALAGI-MUKONO-24h'!F94)</f>
        <v>2.5</v>
      </c>
      <c r="G94" s="49">
        <f>AVERAGE('31.10 KALAGI-MUKONO-24h'!G94,'2.11 KALAGI-MUKONO-24h'!G94)</f>
        <v>0</v>
      </c>
      <c r="H94" s="49">
        <f>AVERAGE('31.10 KALAGI-MUKONO-24h'!H94,'2.11 KALAGI-MUKONO-24h'!H94)</f>
        <v>0</v>
      </c>
      <c r="I94" s="49">
        <f>AVERAGE('31.10 KALAGI-MUKONO-24h'!I94,'2.11 KALAGI-MUKONO-24h'!I94)</f>
        <v>2.5</v>
      </c>
      <c r="J94" s="49">
        <f>AVERAGE('31.10 KALAGI-MUKONO-24h'!J94,'2.11 KALAGI-MUKONO-24h'!J94)</f>
        <v>0</v>
      </c>
      <c r="K94" s="49">
        <f>AVERAGE('31.10 KALAGI-MUKONO-24h'!K94,'2.11 KALAGI-MUKONO-24h'!K94)</f>
        <v>0</v>
      </c>
      <c r="L94" s="49">
        <f>AVERAGE('31.10 KALAGI-MUKONO-24h'!L94,'2.11 KALAGI-MUKONO-24h'!L94)</f>
        <v>0</v>
      </c>
      <c r="M94" s="49">
        <f>AVERAGE('31.10 KALAGI-MUKONO-24h'!M94,'2.11 KALAGI-MUKONO-24h'!M94)</f>
        <v>0</v>
      </c>
      <c r="N94" s="49">
        <f>AVERAGE('31.10 KALAGI-MUKONO-24h'!N94,'2.11 KALAGI-MUKONO-24h'!N94)</f>
        <v>0</v>
      </c>
      <c r="O94" s="15">
        <f t="shared" si="35"/>
        <v>7.5</v>
      </c>
      <c r="P94" s="15">
        <f t="shared" si="36"/>
        <v>7.5</v>
      </c>
      <c r="R94" s="8"/>
      <c r="T94"/>
    </row>
    <row r="95" spans="2:20" ht="23.1" customHeight="1" x14ac:dyDescent="0.25">
      <c r="B95" s="23" t="s">
        <v>135</v>
      </c>
      <c r="C95" s="49">
        <f>AVERAGE('31.10 KALAGI-MUKONO-24h'!C95,'2.11 KALAGI-MUKONO-24h'!C95)</f>
        <v>0</v>
      </c>
      <c r="D95" s="49">
        <f>AVERAGE('31.10 KALAGI-MUKONO-24h'!D95,'2.11 KALAGI-MUKONO-24h'!D95)</f>
        <v>0</v>
      </c>
      <c r="E95" s="49">
        <f>AVERAGE('31.10 KALAGI-MUKONO-24h'!E95,'2.11 KALAGI-MUKONO-24h'!E95)</f>
        <v>0</v>
      </c>
      <c r="F95" s="49">
        <f>AVERAGE('31.10 KALAGI-MUKONO-24h'!F95,'2.11 KALAGI-MUKONO-24h'!F95)</f>
        <v>4.5</v>
      </c>
      <c r="G95" s="49">
        <f>AVERAGE('31.10 KALAGI-MUKONO-24h'!G95,'2.11 KALAGI-MUKONO-24h'!G95)</f>
        <v>0</v>
      </c>
      <c r="H95" s="49">
        <f>AVERAGE('31.10 KALAGI-MUKONO-24h'!H95,'2.11 KALAGI-MUKONO-24h'!H95)</f>
        <v>0</v>
      </c>
      <c r="I95" s="49">
        <f>AVERAGE('31.10 KALAGI-MUKONO-24h'!I95,'2.11 KALAGI-MUKONO-24h'!I95)</f>
        <v>0.5</v>
      </c>
      <c r="J95" s="49">
        <f>AVERAGE('31.10 KALAGI-MUKONO-24h'!J95,'2.11 KALAGI-MUKONO-24h'!J95)</f>
        <v>1</v>
      </c>
      <c r="K95" s="49">
        <f>AVERAGE('31.10 KALAGI-MUKONO-24h'!K95,'2.11 KALAGI-MUKONO-24h'!K95)</f>
        <v>1</v>
      </c>
      <c r="L95" s="49">
        <f>AVERAGE('31.10 KALAGI-MUKONO-24h'!L95,'2.11 KALAGI-MUKONO-24h'!L95)</f>
        <v>0</v>
      </c>
      <c r="M95" s="49">
        <f>AVERAGE('31.10 KALAGI-MUKONO-24h'!M95,'2.11 KALAGI-MUKONO-24h'!M95)</f>
        <v>0.5</v>
      </c>
      <c r="N95" s="49">
        <f>AVERAGE('31.10 KALAGI-MUKONO-24h'!N95,'2.11 KALAGI-MUKONO-24h'!N95)</f>
        <v>0</v>
      </c>
      <c r="O95" s="15">
        <f t="shared" si="35"/>
        <v>7</v>
      </c>
      <c r="P95" s="15">
        <f t="shared" si="36"/>
        <v>7.5</v>
      </c>
      <c r="R95" s="8"/>
      <c r="T95"/>
    </row>
    <row r="96" spans="2:20" ht="23.1" customHeight="1" x14ac:dyDescent="0.25">
      <c r="B96" s="25" t="s">
        <v>136</v>
      </c>
      <c r="C96" s="49">
        <f>AVERAGE('31.10 KALAGI-MUKONO-24h'!C96,'2.11 KALAGI-MUKONO-24h'!C96)</f>
        <v>1.5</v>
      </c>
      <c r="D96" s="49">
        <f>AVERAGE('31.10 KALAGI-MUKONO-24h'!D96,'2.11 KALAGI-MUKONO-24h'!D96)</f>
        <v>0</v>
      </c>
      <c r="E96" s="49">
        <f>AVERAGE('31.10 KALAGI-MUKONO-24h'!E96,'2.11 KALAGI-MUKONO-24h'!E96)</f>
        <v>1</v>
      </c>
      <c r="F96" s="49">
        <f>AVERAGE('31.10 KALAGI-MUKONO-24h'!F96,'2.11 KALAGI-MUKONO-24h'!F96)</f>
        <v>7</v>
      </c>
      <c r="G96" s="49">
        <f>AVERAGE('31.10 KALAGI-MUKONO-24h'!G96,'2.11 KALAGI-MUKONO-24h'!G96)</f>
        <v>0</v>
      </c>
      <c r="H96" s="49">
        <f>AVERAGE('31.10 KALAGI-MUKONO-24h'!H96,'2.11 KALAGI-MUKONO-24h'!H96)</f>
        <v>0</v>
      </c>
      <c r="I96" s="49">
        <f>AVERAGE('31.10 KALAGI-MUKONO-24h'!I96,'2.11 KALAGI-MUKONO-24h'!I96)</f>
        <v>2.5</v>
      </c>
      <c r="J96" s="49">
        <f>AVERAGE('31.10 KALAGI-MUKONO-24h'!J96,'2.11 KALAGI-MUKONO-24h'!J96)</f>
        <v>0</v>
      </c>
      <c r="K96" s="49">
        <f>AVERAGE('31.10 KALAGI-MUKONO-24h'!K96,'2.11 KALAGI-MUKONO-24h'!K96)</f>
        <v>0</v>
      </c>
      <c r="L96" s="49">
        <f>AVERAGE('31.10 KALAGI-MUKONO-24h'!L96,'2.11 KALAGI-MUKONO-24h'!L96)</f>
        <v>0</v>
      </c>
      <c r="M96" s="49">
        <f>AVERAGE('31.10 KALAGI-MUKONO-24h'!M96,'2.11 KALAGI-MUKONO-24h'!M96)</f>
        <v>4</v>
      </c>
      <c r="N96" s="49">
        <f>AVERAGE('31.10 KALAGI-MUKONO-24h'!N96,'2.11 KALAGI-MUKONO-24h'!N96)</f>
        <v>0</v>
      </c>
      <c r="O96" s="15">
        <f t="shared" si="35"/>
        <v>12</v>
      </c>
      <c r="P96" s="15">
        <f t="shared" si="36"/>
        <v>16</v>
      </c>
      <c r="R96" s="8"/>
      <c r="T96"/>
    </row>
    <row r="97" spans="2:20" ht="23.1" customHeight="1" x14ac:dyDescent="0.25">
      <c r="B97" s="23" t="s">
        <v>137</v>
      </c>
      <c r="C97" s="49">
        <f>AVERAGE('31.10 KALAGI-MUKONO-24h'!C97,'2.11 KALAGI-MUKONO-24h'!C97)</f>
        <v>0</v>
      </c>
      <c r="D97" s="49">
        <f>AVERAGE('31.10 KALAGI-MUKONO-24h'!D97,'2.11 KALAGI-MUKONO-24h'!D97)</f>
        <v>0</v>
      </c>
      <c r="E97" s="49">
        <f>AVERAGE('31.10 KALAGI-MUKONO-24h'!E97,'2.11 KALAGI-MUKONO-24h'!E97)</f>
        <v>1.5</v>
      </c>
      <c r="F97" s="49">
        <f>AVERAGE('31.10 KALAGI-MUKONO-24h'!F97,'2.11 KALAGI-MUKONO-24h'!F97)</f>
        <v>4</v>
      </c>
      <c r="G97" s="49">
        <f>AVERAGE('31.10 KALAGI-MUKONO-24h'!G97,'2.11 KALAGI-MUKONO-24h'!G97)</f>
        <v>0</v>
      </c>
      <c r="H97" s="49">
        <f>AVERAGE('31.10 KALAGI-MUKONO-24h'!H97,'2.11 KALAGI-MUKONO-24h'!H97)</f>
        <v>0</v>
      </c>
      <c r="I97" s="49">
        <f>AVERAGE('31.10 KALAGI-MUKONO-24h'!I97,'2.11 KALAGI-MUKONO-24h'!I97)</f>
        <v>0.5</v>
      </c>
      <c r="J97" s="49">
        <f>AVERAGE('31.10 KALAGI-MUKONO-24h'!J97,'2.11 KALAGI-MUKONO-24h'!J97)</f>
        <v>1</v>
      </c>
      <c r="K97" s="49">
        <f>AVERAGE('31.10 KALAGI-MUKONO-24h'!K97,'2.11 KALAGI-MUKONO-24h'!K97)</f>
        <v>0</v>
      </c>
      <c r="L97" s="49">
        <f>AVERAGE('31.10 KALAGI-MUKONO-24h'!L97,'2.11 KALAGI-MUKONO-24h'!L97)</f>
        <v>0</v>
      </c>
      <c r="M97" s="49">
        <f>AVERAGE('31.10 KALAGI-MUKONO-24h'!M97,'2.11 KALAGI-MUKONO-24h'!M97)</f>
        <v>0</v>
      </c>
      <c r="N97" s="49">
        <f>AVERAGE('31.10 KALAGI-MUKONO-24h'!N97,'2.11 KALAGI-MUKONO-24h'!N97)</f>
        <v>0</v>
      </c>
      <c r="O97" s="15">
        <f t="shared" si="35"/>
        <v>7</v>
      </c>
      <c r="P97" s="15">
        <f t="shared" si="36"/>
        <v>7</v>
      </c>
      <c r="R97" s="8"/>
      <c r="T97"/>
    </row>
    <row r="98" spans="2:20" ht="23.1" customHeight="1" x14ac:dyDescent="0.25">
      <c r="B98" s="24" t="s">
        <v>138</v>
      </c>
      <c r="C98" s="49">
        <f>AVERAGE('31.10 KALAGI-MUKONO-24h'!C98,'2.11 KALAGI-MUKONO-24h'!C98)</f>
        <v>3.5</v>
      </c>
      <c r="D98" s="49">
        <f>AVERAGE('31.10 KALAGI-MUKONO-24h'!D98,'2.11 KALAGI-MUKONO-24h'!D98)</f>
        <v>1</v>
      </c>
      <c r="E98" s="49">
        <f>AVERAGE('31.10 KALAGI-MUKONO-24h'!E98,'2.11 KALAGI-MUKONO-24h'!E98)</f>
        <v>0.5</v>
      </c>
      <c r="F98" s="49">
        <f>AVERAGE('31.10 KALAGI-MUKONO-24h'!F98,'2.11 KALAGI-MUKONO-24h'!F98)</f>
        <v>8</v>
      </c>
      <c r="G98" s="49">
        <f>AVERAGE('31.10 KALAGI-MUKONO-24h'!G98,'2.11 KALAGI-MUKONO-24h'!G98)</f>
        <v>0</v>
      </c>
      <c r="H98" s="49">
        <f>AVERAGE('31.10 KALAGI-MUKONO-24h'!H98,'2.11 KALAGI-MUKONO-24h'!H98)</f>
        <v>0</v>
      </c>
      <c r="I98" s="49">
        <f>AVERAGE('31.10 KALAGI-MUKONO-24h'!I98,'2.11 KALAGI-MUKONO-24h'!I98)</f>
        <v>1</v>
      </c>
      <c r="J98" s="49">
        <f>AVERAGE('31.10 KALAGI-MUKONO-24h'!J98,'2.11 KALAGI-MUKONO-24h'!J98)</f>
        <v>0</v>
      </c>
      <c r="K98" s="49">
        <f>AVERAGE('31.10 KALAGI-MUKONO-24h'!K98,'2.11 KALAGI-MUKONO-24h'!K98)</f>
        <v>0</v>
      </c>
      <c r="L98" s="49">
        <f>AVERAGE('31.10 KALAGI-MUKONO-24h'!L98,'2.11 KALAGI-MUKONO-24h'!L98)</f>
        <v>0</v>
      </c>
      <c r="M98" s="49">
        <f>AVERAGE('31.10 KALAGI-MUKONO-24h'!M98,'2.11 KALAGI-MUKONO-24h'!M98)</f>
        <v>2.5</v>
      </c>
      <c r="N98" s="49">
        <f>AVERAGE('31.10 KALAGI-MUKONO-24h'!N98,'2.11 KALAGI-MUKONO-24h'!N98)</f>
        <v>0</v>
      </c>
      <c r="O98" s="15">
        <f t="shared" si="35"/>
        <v>14</v>
      </c>
      <c r="P98" s="15">
        <f t="shared" si="36"/>
        <v>16.5</v>
      </c>
      <c r="R98" s="8"/>
      <c r="T98"/>
    </row>
    <row r="99" spans="2:20" ht="23.1" customHeight="1" x14ac:dyDescent="0.25">
      <c r="B99" s="23" t="s">
        <v>139</v>
      </c>
      <c r="C99" s="49">
        <f>AVERAGE('31.10 KALAGI-MUKONO-24h'!C99,'2.11 KALAGI-MUKONO-24h'!C99)</f>
        <v>8.5</v>
      </c>
      <c r="D99" s="49">
        <f>AVERAGE('31.10 KALAGI-MUKONO-24h'!D99,'2.11 KALAGI-MUKONO-24h'!D99)</f>
        <v>0</v>
      </c>
      <c r="E99" s="49">
        <f>AVERAGE('31.10 KALAGI-MUKONO-24h'!E99,'2.11 KALAGI-MUKONO-24h'!E99)</f>
        <v>0</v>
      </c>
      <c r="F99" s="49">
        <f>AVERAGE('31.10 KALAGI-MUKONO-24h'!F99,'2.11 KALAGI-MUKONO-24h'!F99)</f>
        <v>10.5</v>
      </c>
      <c r="G99" s="49">
        <f>AVERAGE('31.10 KALAGI-MUKONO-24h'!G99,'2.11 KALAGI-MUKONO-24h'!G99)</f>
        <v>0</v>
      </c>
      <c r="H99" s="49">
        <f>AVERAGE('31.10 KALAGI-MUKONO-24h'!H99,'2.11 KALAGI-MUKONO-24h'!H99)</f>
        <v>0</v>
      </c>
      <c r="I99" s="49">
        <f>AVERAGE('31.10 KALAGI-MUKONO-24h'!I99,'2.11 KALAGI-MUKONO-24h'!I99)</f>
        <v>0</v>
      </c>
      <c r="J99" s="49">
        <f>AVERAGE('31.10 KALAGI-MUKONO-24h'!J99,'2.11 KALAGI-MUKONO-24h'!J99)</f>
        <v>0</v>
      </c>
      <c r="K99" s="49">
        <f>AVERAGE('31.10 KALAGI-MUKONO-24h'!K99,'2.11 KALAGI-MUKONO-24h'!K99)</f>
        <v>0</v>
      </c>
      <c r="L99" s="49">
        <f>AVERAGE('31.10 KALAGI-MUKONO-24h'!L99,'2.11 KALAGI-MUKONO-24h'!L99)</f>
        <v>0</v>
      </c>
      <c r="M99" s="49">
        <f>AVERAGE('31.10 KALAGI-MUKONO-24h'!M99,'2.11 KALAGI-MUKONO-24h'!M99)</f>
        <v>8.5</v>
      </c>
      <c r="N99" s="49">
        <f>AVERAGE('31.10 KALAGI-MUKONO-24h'!N99,'2.11 KALAGI-MUKONO-24h'!N99)</f>
        <v>0</v>
      </c>
      <c r="O99" s="15">
        <f t="shared" si="35"/>
        <v>19</v>
      </c>
      <c r="P99" s="15">
        <f t="shared" si="36"/>
        <v>27.5</v>
      </c>
      <c r="R99" s="8"/>
      <c r="T99"/>
    </row>
    <row r="100" spans="2:20" ht="23.1" customHeight="1" x14ac:dyDescent="0.25">
      <c r="B100" s="25" t="s">
        <v>140</v>
      </c>
      <c r="C100" s="49">
        <f>AVERAGE('31.10 KALAGI-MUKONO-24h'!C100,'2.11 KALAGI-MUKONO-24h'!C100)</f>
        <v>4</v>
      </c>
      <c r="D100" s="49">
        <f>AVERAGE('31.10 KALAGI-MUKONO-24h'!D100,'2.11 KALAGI-MUKONO-24h'!D100)</f>
        <v>1.5</v>
      </c>
      <c r="E100" s="49">
        <f>AVERAGE('31.10 KALAGI-MUKONO-24h'!E100,'2.11 KALAGI-MUKONO-24h'!E100)</f>
        <v>3.5</v>
      </c>
      <c r="F100" s="49">
        <f>AVERAGE('31.10 KALAGI-MUKONO-24h'!F100,'2.11 KALAGI-MUKONO-24h'!F100)</f>
        <v>3</v>
      </c>
      <c r="G100" s="49">
        <f>AVERAGE('31.10 KALAGI-MUKONO-24h'!G100,'2.11 KALAGI-MUKONO-24h'!G100)</f>
        <v>0</v>
      </c>
      <c r="H100" s="49">
        <f>AVERAGE('31.10 KALAGI-MUKONO-24h'!H100,'2.11 KALAGI-MUKONO-24h'!H100)</f>
        <v>2</v>
      </c>
      <c r="I100" s="49">
        <f>AVERAGE('31.10 KALAGI-MUKONO-24h'!I100,'2.11 KALAGI-MUKONO-24h'!I100)</f>
        <v>1.5</v>
      </c>
      <c r="J100" s="49">
        <f>AVERAGE('31.10 KALAGI-MUKONO-24h'!J100,'2.11 KALAGI-MUKONO-24h'!J100)</f>
        <v>0</v>
      </c>
      <c r="K100" s="49">
        <f>AVERAGE('31.10 KALAGI-MUKONO-24h'!K100,'2.11 KALAGI-MUKONO-24h'!K100)</f>
        <v>0</v>
      </c>
      <c r="L100" s="49">
        <f>AVERAGE('31.10 KALAGI-MUKONO-24h'!L100,'2.11 KALAGI-MUKONO-24h'!L100)</f>
        <v>2.5</v>
      </c>
      <c r="M100" s="49">
        <f>AVERAGE('31.10 KALAGI-MUKONO-24h'!M100,'2.11 KALAGI-MUKONO-24h'!M100)</f>
        <v>2.5</v>
      </c>
      <c r="N100" s="49">
        <f>AVERAGE('31.10 KALAGI-MUKONO-24h'!N100,'2.11 KALAGI-MUKONO-24h'!N100)</f>
        <v>0</v>
      </c>
      <c r="O100" s="15">
        <f t="shared" si="35"/>
        <v>18</v>
      </c>
      <c r="P100" s="15">
        <f t="shared" si="36"/>
        <v>20.5</v>
      </c>
      <c r="R100" s="8"/>
      <c r="T100"/>
    </row>
    <row r="101" spans="2:20" ht="23.1" customHeight="1" x14ac:dyDescent="0.25">
      <c r="B101" s="23" t="s">
        <v>141</v>
      </c>
      <c r="C101" s="49">
        <f>AVERAGE('31.10 KALAGI-MUKONO-24h'!C101,'2.11 KALAGI-MUKONO-24h'!C101)</f>
        <v>7</v>
      </c>
      <c r="D101" s="49">
        <f>AVERAGE('31.10 KALAGI-MUKONO-24h'!D101,'2.11 KALAGI-MUKONO-24h'!D101)</f>
        <v>0</v>
      </c>
      <c r="E101" s="49">
        <f>AVERAGE('31.10 KALAGI-MUKONO-24h'!E101,'2.11 KALAGI-MUKONO-24h'!E101)</f>
        <v>0</v>
      </c>
      <c r="F101" s="49">
        <f>AVERAGE('31.10 KALAGI-MUKONO-24h'!F101,'2.11 KALAGI-MUKONO-24h'!F101)</f>
        <v>8.5</v>
      </c>
      <c r="G101" s="49">
        <f>AVERAGE('31.10 KALAGI-MUKONO-24h'!G101,'2.11 KALAGI-MUKONO-24h'!G101)</f>
        <v>0</v>
      </c>
      <c r="H101" s="49">
        <f>AVERAGE('31.10 KALAGI-MUKONO-24h'!H101,'2.11 KALAGI-MUKONO-24h'!H101)</f>
        <v>0</v>
      </c>
      <c r="I101" s="49">
        <f>AVERAGE('31.10 KALAGI-MUKONO-24h'!I101,'2.11 KALAGI-MUKONO-24h'!I101)</f>
        <v>5</v>
      </c>
      <c r="J101" s="49">
        <f>AVERAGE('31.10 KALAGI-MUKONO-24h'!J101,'2.11 KALAGI-MUKONO-24h'!J101)</f>
        <v>0</v>
      </c>
      <c r="K101" s="49">
        <f>AVERAGE('31.10 KALAGI-MUKONO-24h'!K101,'2.11 KALAGI-MUKONO-24h'!K101)</f>
        <v>0</v>
      </c>
      <c r="L101" s="49">
        <f>AVERAGE('31.10 KALAGI-MUKONO-24h'!L101,'2.11 KALAGI-MUKONO-24h'!L101)</f>
        <v>0</v>
      </c>
      <c r="M101" s="49">
        <f>AVERAGE('31.10 KALAGI-MUKONO-24h'!M101,'2.11 KALAGI-MUKONO-24h'!M101)</f>
        <v>5</v>
      </c>
      <c r="N101" s="49">
        <f>AVERAGE('31.10 KALAGI-MUKONO-24h'!N101,'2.11 KALAGI-MUKONO-24h'!N101)</f>
        <v>0</v>
      </c>
      <c r="O101" s="15">
        <f t="shared" si="35"/>
        <v>20.5</v>
      </c>
      <c r="P101" s="15">
        <f t="shared" si="36"/>
        <v>25.5</v>
      </c>
      <c r="R101" s="8"/>
      <c r="T101"/>
    </row>
    <row r="102" spans="2:20" ht="23.1" customHeight="1" x14ac:dyDescent="0.25">
      <c r="B102" s="24" t="s">
        <v>142</v>
      </c>
      <c r="C102" s="49">
        <f>AVERAGE('31.10 KALAGI-MUKONO-24h'!C102,'2.11 KALAGI-MUKONO-24h'!C102)</f>
        <v>4</v>
      </c>
      <c r="D102" s="49">
        <f>AVERAGE('31.10 KALAGI-MUKONO-24h'!D102,'2.11 KALAGI-MUKONO-24h'!D102)</f>
        <v>0</v>
      </c>
      <c r="E102" s="49">
        <f>AVERAGE('31.10 KALAGI-MUKONO-24h'!E102,'2.11 KALAGI-MUKONO-24h'!E102)</f>
        <v>1.5</v>
      </c>
      <c r="F102" s="49">
        <f>AVERAGE('31.10 KALAGI-MUKONO-24h'!F102,'2.11 KALAGI-MUKONO-24h'!F102)</f>
        <v>6.5</v>
      </c>
      <c r="G102" s="49">
        <f>AVERAGE('31.10 KALAGI-MUKONO-24h'!G102,'2.11 KALAGI-MUKONO-24h'!G102)</f>
        <v>1.5</v>
      </c>
      <c r="H102" s="49">
        <f>AVERAGE('31.10 KALAGI-MUKONO-24h'!H102,'2.11 KALAGI-MUKONO-24h'!H102)</f>
        <v>0</v>
      </c>
      <c r="I102" s="49">
        <f>AVERAGE('31.10 KALAGI-MUKONO-24h'!I102,'2.11 KALAGI-MUKONO-24h'!I102)</f>
        <v>3</v>
      </c>
      <c r="J102" s="49">
        <f>AVERAGE('31.10 KALAGI-MUKONO-24h'!J102,'2.11 KALAGI-MUKONO-24h'!J102)</f>
        <v>1.5</v>
      </c>
      <c r="K102" s="49">
        <f>AVERAGE('31.10 KALAGI-MUKONO-24h'!K102,'2.11 KALAGI-MUKONO-24h'!K102)</f>
        <v>0</v>
      </c>
      <c r="L102" s="49">
        <f>AVERAGE('31.10 KALAGI-MUKONO-24h'!L102,'2.11 KALAGI-MUKONO-24h'!L102)</f>
        <v>0</v>
      </c>
      <c r="M102" s="49">
        <f>AVERAGE('31.10 KALAGI-MUKONO-24h'!M102,'2.11 KALAGI-MUKONO-24h'!M102)</f>
        <v>6.5</v>
      </c>
      <c r="N102" s="49">
        <f>AVERAGE('31.10 KALAGI-MUKONO-24h'!N102,'2.11 KALAGI-MUKONO-24h'!N102)</f>
        <v>0</v>
      </c>
      <c r="O102" s="15">
        <f t="shared" si="35"/>
        <v>18</v>
      </c>
      <c r="P102" s="15">
        <f t="shared" si="36"/>
        <v>24.5</v>
      </c>
      <c r="R102" s="8"/>
      <c r="T102"/>
    </row>
    <row r="103" spans="2:20" ht="23.1" customHeight="1" x14ac:dyDescent="0.25">
      <c r="B103" s="23" t="s">
        <v>143</v>
      </c>
      <c r="C103" s="49">
        <f>AVERAGE('31.10 KALAGI-MUKONO-24h'!C103,'2.11 KALAGI-MUKONO-24h'!C103)</f>
        <v>3.5</v>
      </c>
      <c r="D103" s="49">
        <f>AVERAGE('31.10 KALAGI-MUKONO-24h'!D103,'2.11 KALAGI-MUKONO-24h'!D103)</f>
        <v>1</v>
      </c>
      <c r="E103" s="49">
        <f>AVERAGE('31.10 KALAGI-MUKONO-24h'!E103,'2.11 KALAGI-MUKONO-24h'!E103)</f>
        <v>0.5</v>
      </c>
      <c r="F103" s="49">
        <f>AVERAGE('31.10 KALAGI-MUKONO-24h'!F103,'2.11 KALAGI-MUKONO-24h'!F103)</f>
        <v>10</v>
      </c>
      <c r="G103" s="49">
        <f>AVERAGE('31.10 KALAGI-MUKONO-24h'!G103,'2.11 KALAGI-MUKONO-24h'!G103)</f>
        <v>1</v>
      </c>
      <c r="H103" s="49">
        <f>AVERAGE('31.10 KALAGI-MUKONO-24h'!H103,'2.11 KALAGI-MUKONO-24h'!H103)</f>
        <v>0</v>
      </c>
      <c r="I103" s="49">
        <f>AVERAGE('31.10 KALAGI-MUKONO-24h'!I103,'2.11 KALAGI-MUKONO-24h'!I103)</f>
        <v>2.5</v>
      </c>
      <c r="J103" s="49">
        <f>AVERAGE('31.10 KALAGI-MUKONO-24h'!J103,'2.11 KALAGI-MUKONO-24h'!J103)</f>
        <v>0</v>
      </c>
      <c r="K103" s="49">
        <f>AVERAGE('31.10 KALAGI-MUKONO-24h'!K103,'2.11 KALAGI-MUKONO-24h'!K103)</f>
        <v>0</v>
      </c>
      <c r="L103" s="49">
        <f>AVERAGE('31.10 KALAGI-MUKONO-24h'!L103,'2.11 KALAGI-MUKONO-24h'!L103)</f>
        <v>1</v>
      </c>
      <c r="M103" s="49">
        <f>AVERAGE('31.10 KALAGI-MUKONO-24h'!M103,'2.11 KALAGI-MUKONO-24h'!M103)</f>
        <v>15.5</v>
      </c>
      <c r="N103" s="49">
        <f>AVERAGE('31.10 KALAGI-MUKONO-24h'!N103,'2.11 KALAGI-MUKONO-24h'!N103)</f>
        <v>0</v>
      </c>
      <c r="O103" s="15">
        <f t="shared" si="35"/>
        <v>19.5</v>
      </c>
      <c r="P103" s="15">
        <f t="shared" si="36"/>
        <v>35</v>
      </c>
      <c r="R103" s="8"/>
      <c r="T103"/>
    </row>
    <row r="104" spans="2:20" ht="23.1" customHeight="1" x14ac:dyDescent="0.25">
      <c r="B104" s="25" t="s">
        <v>144</v>
      </c>
      <c r="C104" s="49">
        <f>AVERAGE('31.10 KALAGI-MUKONO-24h'!C104,'2.11 KALAGI-MUKONO-24h'!C104)</f>
        <v>5.5</v>
      </c>
      <c r="D104" s="49">
        <f>AVERAGE('31.10 KALAGI-MUKONO-24h'!D104,'2.11 KALAGI-MUKONO-24h'!D104)</f>
        <v>1.5</v>
      </c>
      <c r="E104" s="49">
        <f>AVERAGE('31.10 KALAGI-MUKONO-24h'!E104,'2.11 KALAGI-MUKONO-24h'!E104)</f>
        <v>1.5</v>
      </c>
      <c r="F104" s="49">
        <f>AVERAGE('31.10 KALAGI-MUKONO-24h'!F104,'2.11 KALAGI-MUKONO-24h'!F104)</f>
        <v>11.5</v>
      </c>
      <c r="G104" s="49">
        <f>AVERAGE('31.10 KALAGI-MUKONO-24h'!G104,'2.11 KALAGI-MUKONO-24h'!G104)</f>
        <v>1</v>
      </c>
      <c r="H104" s="49">
        <f>AVERAGE('31.10 KALAGI-MUKONO-24h'!H104,'2.11 KALAGI-MUKONO-24h'!H104)</f>
        <v>0</v>
      </c>
      <c r="I104" s="49">
        <f>AVERAGE('31.10 KALAGI-MUKONO-24h'!I104,'2.11 KALAGI-MUKONO-24h'!I104)</f>
        <v>3</v>
      </c>
      <c r="J104" s="49">
        <f>AVERAGE('31.10 KALAGI-MUKONO-24h'!J104,'2.11 KALAGI-MUKONO-24h'!J104)</f>
        <v>0</v>
      </c>
      <c r="K104" s="49">
        <f>AVERAGE('31.10 KALAGI-MUKONO-24h'!K104,'2.11 KALAGI-MUKONO-24h'!K104)</f>
        <v>0</v>
      </c>
      <c r="L104" s="49">
        <f>AVERAGE('31.10 KALAGI-MUKONO-24h'!L104,'2.11 KALAGI-MUKONO-24h'!L104)</f>
        <v>0.5</v>
      </c>
      <c r="M104" s="49">
        <f>AVERAGE('31.10 KALAGI-MUKONO-24h'!M104,'2.11 KALAGI-MUKONO-24h'!M104)</f>
        <v>18</v>
      </c>
      <c r="N104" s="49">
        <f>AVERAGE('31.10 KALAGI-MUKONO-24h'!N104,'2.11 KALAGI-MUKONO-24h'!N104)</f>
        <v>0</v>
      </c>
      <c r="O104" s="15">
        <f t="shared" si="35"/>
        <v>24.5</v>
      </c>
      <c r="P104" s="15">
        <f t="shared" si="36"/>
        <v>42.5</v>
      </c>
      <c r="R104" s="8"/>
      <c r="T104"/>
    </row>
    <row r="105" spans="2:20" ht="23.1" customHeight="1" x14ac:dyDescent="0.25">
      <c r="B105" s="23" t="s">
        <v>145</v>
      </c>
      <c r="C105" s="49">
        <f>AVERAGE('31.10 KALAGI-MUKONO-24h'!C105,'2.11 KALAGI-MUKONO-24h'!C105)</f>
        <v>5.5</v>
      </c>
      <c r="D105" s="49">
        <f>AVERAGE('31.10 KALAGI-MUKONO-24h'!D105,'2.11 KALAGI-MUKONO-24h'!D105)</f>
        <v>2</v>
      </c>
      <c r="E105" s="49">
        <f>AVERAGE('31.10 KALAGI-MUKONO-24h'!E105,'2.11 KALAGI-MUKONO-24h'!E105)</f>
        <v>1</v>
      </c>
      <c r="F105" s="49">
        <f>AVERAGE('31.10 KALAGI-MUKONO-24h'!F105,'2.11 KALAGI-MUKONO-24h'!F105)</f>
        <v>10.5</v>
      </c>
      <c r="G105" s="49">
        <f>AVERAGE('31.10 KALAGI-MUKONO-24h'!G105,'2.11 KALAGI-MUKONO-24h'!G105)</f>
        <v>1.5</v>
      </c>
      <c r="H105" s="49">
        <f>AVERAGE('31.10 KALAGI-MUKONO-24h'!H105,'2.11 KALAGI-MUKONO-24h'!H105)</f>
        <v>0</v>
      </c>
      <c r="I105" s="49">
        <f>AVERAGE('31.10 KALAGI-MUKONO-24h'!I105,'2.11 KALAGI-MUKONO-24h'!I105)</f>
        <v>4</v>
      </c>
      <c r="J105" s="49">
        <f>AVERAGE('31.10 KALAGI-MUKONO-24h'!J105,'2.11 KALAGI-MUKONO-24h'!J105)</f>
        <v>0</v>
      </c>
      <c r="K105" s="49">
        <f>AVERAGE('31.10 KALAGI-MUKONO-24h'!K105,'2.11 KALAGI-MUKONO-24h'!K105)</f>
        <v>0</v>
      </c>
      <c r="L105" s="49">
        <f>AVERAGE('31.10 KALAGI-MUKONO-24h'!L105,'2.11 KALAGI-MUKONO-24h'!L105)</f>
        <v>0</v>
      </c>
      <c r="M105" s="49">
        <f>AVERAGE('31.10 KALAGI-MUKONO-24h'!M105,'2.11 KALAGI-MUKONO-24h'!M105)</f>
        <v>15.5</v>
      </c>
      <c r="N105" s="49">
        <f>AVERAGE('31.10 KALAGI-MUKONO-24h'!N105,'2.11 KALAGI-MUKONO-24h'!N105)</f>
        <v>0</v>
      </c>
      <c r="O105" s="15">
        <f>SUM(C105:L105,N105)</f>
        <v>24.5</v>
      </c>
      <c r="P105" s="15">
        <f>SUM(C105:N105)</f>
        <v>40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566.64285714285711</v>
      </c>
      <c r="D106" s="16">
        <f t="shared" ref="D106:P106" si="37">SUM(D10:D105)</f>
        <v>132.5</v>
      </c>
      <c r="E106" s="16">
        <f t="shared" si="37"/>
        <v>113.99999999999999</v>
      </c>
      <c r="F106" s="16">
        <f t="shared" si="37"/>
        <v>632.64285714285711</v>
      </c>
      <c r="G106" s="16">
        <f t="shared" si="37"/>
        <v>22.357142857142858</v>
      </c>
      <c r="H106" s="16">
        <f t="shared" si="37"/>
        <v>4.6428571428571423</v>
      </c>
      <c r="I106" s="16">
        <f t="shared" si="37"/>
        <v>193.42857142857144</v>
      </c>
      <c r="J106" s="16">
        <f t="shared" si="37"/>
        <v>42.142857142857139</v>
      </c>
      <c r="K106" s="16">
        <f t="shared" si="37"/>
        <v>16.857142857142858</v>
      </c>
      <c r="L106" s="16">
        <f t="shared" si="37"/>
        <v>10.642857142857144</v>
      </c>
      <c r="M106" s="16">
        <f t="shared" si="37"/>
        <v>1536.6428571428573</v>
      </c>
      <c r="N106" s="16">
        <f t="shared" si="37"/>
        <v>1.6428571428571426</v>
      </c>
      <c r="O106" s="16">
        <f t="shared" si="37"/>
        <v>1737.5</v>
      </c>
      <c r="P106" s="16">
        <f t="shared" si="37"/>
        <v>3274.1428571428582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0.17306601509664463</v>
      </c>
      <c r="D107" s="43">
        <f t="shared" si="38"/>
        <v>4.0468606832758831E-2</v>
      </c>
      <c r="E107" s="43">
        <f t="shared" si="38"/>
        <v>3.4818273048562311E-2</v>
      </c>
      <c r="F107" s="43">
        <f t="shared" si="38"/>
        <v>0.19322396265107544</v>
      </c>
      <c r="G107" s="43">
        <f t="shared" si="38"/>
        <v>6.8283956542606553E-3</v>
      </c>
      <c r="H107" s="43">
        <f t="shared" si="38"/>
        <v>1.4180374361883147E-3</v>
      </c>
      <c r="I107" s="43">
        <f t="shared" si="38"/>
        <v>5.9077621187660877E-2</v>
      </c>
      <c r="J107" s="43">
        <f t="shared" si="38"/>
        <v>1.287141672847855E-2</v>
      </c>
      <c r="K107" s="43">
        <f t="shared" si="38"/>
        <v>5.1485666913914201E-3</v>
      </c>
      <c r="L107" s="43">
        <f t="shared" si="38"/>
        <v>3.2505781229547528E-3</v>
      </c>
      <c r="M107" s="43">
        <f t="shared" si="38"/>
        <v>0.4693267594572188</v>
      </c>
      <c r="N107" s="43">
        <f t="shared" si="38"/>
        <v>5.0176709280509593E-4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0.32612538540596092</v>
      </c>
      <c r="D108" s="44">
        <f t="shared" ref="D108:N108" si="39">D106/$O$106</f>
        <v>7.6258992805755391E-2</v>
      </c>
      <c r="E108" s="44">
        <f t="shared" si="39"/>
        <v>6.56115107913669E-2</v>
      </c>
      <c r="F108" s="44">
        <f t="shared" si="39"/>
        <v>0.36411099691675231</v>
      </c>
      <c r="G108" s="44">
        <f t="shared" si="39"/>
        <v>1.2867420349434739E-2</v>
      </c>
      <c r="H108" s="44">
        <f t="shared" si="39"/>
        <v>2.6721479958890029E-3</v>
      </c>
      <c r="I108" s="44">
        <f t="shared" si="39"/>
        <v>0.11132579650565264</v>
      </c>
      <c r="J108" s="44">
        <f t="shared" si="39"/>
        <v>2.4254881808838641E-2</v>
      </c>
      <c r="K108" s="44">
        <f t="shared" si="39"/>
        <v>9.701952723535457E-3</v>
      </c>
      <c r="L108" s="44">
        <f t="shared" si="39"/>
        <v>6.125385405960946E-3</v>
      </c>
      <c r="M108" s="44"/>
      <c r="N108" s="44">
        <f t="shared" si="39"/>
        <v>9.4552929085303173E-4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L70" zoomScale="60" workbookViewId="0">
      <selection activeCell="AF74" sqref="AF7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1" t="str">
        <f>'4.11 KALAGI-MUKONO'!C3:G3</f>
        <v>MCC - C2 - STN075- KALAGI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4" t="s">
        <v>162</v>
      </c>
      <c r="E5" s="65"/>
      <c r="F5" s="41" t="s">
        <v>1</v>
      </c>
      <c r="G5" s="62" t="str">
        <f>'Avg Week KALAGI-MUKONO'!G5:H5</f>
        <v>KABEMBE</v>
      </c>
      <c r="H5" s="63"/>
      <c r="I5" s="14"/>
      <c r="J5" s="2" t="s">
        <v>5</v>
      </c>
      <c r="K5" s="62" t="str">
        <f>'Avg Week KALAGI-MUKONO'!K5:L5</f>
        <v>BEATRICE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161</v>
      </c>
      <c r="E6" s="67"/>
      <c r="F6" s="2" t="s">
        <v>2</v>
      </c>
      <c r="G6" s="66" t="s">
        <v>161</v>
      </c>
      <c r="H6" s="67"/>
      <c r="J6" s="2" t="s">
        <v>21</v>
      </c>
      <c r="K6" s="62" t="str">
        <f>'Avg Week KALAGI-MUKONO'!K6:L6</f>
        <v>BEATRICE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MUKONO-KALAGI'!C10+'Avg Week KALAGI-MUKONO'!C10</f>
        <v>8.8571428571428577</v>
      </c>
      <c r="D10" s="49">
        <f>'Avg Week MUKONO-KALAGI'!D10+'Avg Week KALAGI-MUKONO'!D10</f>
        <v>2.4285714285714288</v>
      </c>
      <c r="E10" s="49">
        <f>'Avg Week MUKONO-KALAGI'!E10+'Avg Week KALAGI-MUKONO'!E10</f>
        <v>2.5714285714285712</v>
      </c>
      <c r="F10" s="49">
        <f>'Avg Week MUKONO-KALAGI'!F10+'Avg Week KALAGI-MUKONO'!F10</f>
        <v>15.714285714285714</v>
      </c>
      <c r="G10" s="49">
        <f>'Avg Week MUKONO-KALAGI'!G10+'Avg Week KALAGI-MUKONO'!G10</f>
        <v>1.7142857142857144</v>
      </c>
      <c r="H10" s="49">
        <f>'Avg Week MUKONO-KALAGI'!H10+'Avg Week KALAGI-MUKONO'!H10</f>
        <v>0.14285714285714285</v>
      </c>
      <c r="I10" s="49">
        <f>'Avg Week MUKONO-KALAGI'!I10+'Avg Week KALAGI-MUKONO'!I10</f>
        <v>3.7142857142857144</v>
      </c>
      <c r="J10" s="49">
        <f>'Avg Week MUKONO-KALAGI'!J10+'Avg Week KALAGI-MUKONO'!J10</f>
        <v>0.14285714285714285</v>
      </c>
      <c r="K10" s="49">
        <f>'Avg Week MUKONO-KALAGI'!K10+'Avg Week KALAGI-MUKONO'!K10</f>
        <v>0</v>
      </c>
      <c r="L10" s="49">
        <f>'Avg Week MUKONO-KALAGI'!L10+'Avg Week KALAGI-MUKONO'!L10</f>
        <v>0</v>
      </c>
      <c r="M10" s="49">
        <f>'Avg Week MUKONO-KALAGI'!M10+'Avg Week KALAGI-MUKONO'!M10</f>
        <v>34</v>
      </c>
      <c r="N10" s="49">
        <f>'Avg Week MUKONO-KALAGI'!N10+'Avg Week KALAGI-MUKONO'!N10</f>
        <v>0</v>
      </c>
      <c r="O10" s="15">
        <f t="shared" ref="O10:O73" si="0">SUM(C10:L10,N10)</f>
        <v>35.285714285714285</v>
      </c>
      <c r="P10" s="15">
        <f t="shared" ref="P10:P73" si="1">SUM(C10:N10)</f>
        <v>69.285714285714278</v>
      </c>
      <c r="R10" s="1" t="s">
        <v>6</v>
      </c>
      <c r="S10" s="17">
        <f t="shared" ref="S10:AF10" si="2">SUM(C10:C13)</f>
        <v>48.285714285714285</v>
      </c>
      <c r="T10" s="17">
        <f t="shared" si="2"/>
        <v>8.1428571428571441</v>
      </c>
      <c r="U10" s="17">
        <f t="shared" si="2"/>
        <v>9.7142857142857135</v>
      </c>
      <c r="V10" s="17">
        <f t="shared" si="2"/>
        <v>71.428571428571431</v>
      </c>
      <c r="W10" s="17">
        <f t="shared" si="2"/>
        <v>3.5714285714285712</v>
      </c>
      <c r="X10" s="17">
        <f t="shared" si="2"/>
        <v>0.2857142857142857</v>
      </c>
      <c r="Y10" s="17">
        <f t="shared" si="2"/>
        <v>16.428571428571431</v>
      </c>
      <c r="Z10" s="17">
        <f t="shared" si="2"/>
        <v>2.4285714285714288</v>
      </c>
      <c r="AA10" s="17">
        <f t="shared" si="2"/>
        <v>0.8571428571428571</v>
      </c>
      <c r="AB10" s="17">
        <f t="shared" si="2"/>
        <v>0.71428571428571419</v>
      </c>
      <c r="AC10" s="17">
        <f t="shared" si="2"/>
        <v>162.14285714285714</v>
      </c>
      <c r="AD10" s="17">
        <f t="shared" si="2"/>
        <v>0.2857142857142857</v>
      </c>
      <c r="AE10" s="31">
        <f t="shared" si="2"/>
        <v>162.14285714285717</v>
      </c>
      <c r="AF10" s="31">
        <f t="shared" si="2"/>
        <v>324.28571428571428</v>
      </c>
    </row>
    <row r="11" spans="2:32" s="6" customFormat="1" ht="23.1" customHeight="1" x14ac:dyDescent="0.25">
      <c r="B11" s="23" t="s">
        <v>38</v>
      </c>
      <c r="C11" s="49">
        <f>'Avg Week MUKONO-KALAGI'!C11+'Avg Week KALAGI-MUKONO'!C11</f>
        <v>16</v>
      </c>
      <c r="D11" s="49">
        <f>'Avg Week MUKONO-KALAGI'!D11+'Avg Week KALAGI-MUKONO'!D11</f>
        <v>1.8571428571428572</v>
      </c>
      <c r="E11" s="49">
        <f>'Avg Week MUKONO-KALAGI'!E11+'Avg Week KALAGI-MUKONO'!E11</f>
        <v>2.5714285714285712</v>
      </c>
      <c r="F11" s="49">
        <f>'Avg Week MUKONO-KALAGI'!F11+'Avg Week KALAGI-MUKONO'!F11</f>
        <v>19.428571428571431</v>
      </c>
      <c r="G11" s="49">
        <f>'Avg Week MUKONO-KALAGI'!G11+'Avg Week KALAGI-MUKONO'!G11</f>
        <v>0.8571428571428571</v>
      </c>
      <c r="H11" s="49">
        <f>'Avg Week MUKONO-KALAGI'!H11+'Avg Week KALAGI-MUKONO'!H11</f>
        <v>0</v>
      </c>
      <c r="I11" s="49">
        <f>'Avg Week MUKONO-KALAGI'!I11+'Avg Week KALAGI-MUKONO'!I11</f>
        <v>4.2857142857142856</v>
      </c>
      <c r="J11" s="49">
        <f>'Avg Week MUKONO-KALAGI'!J11+'Avg Week KALAGI-MUKONO'!J11</f>
        <v>1</v>
      </c>
      <c r="K11" s="49">
        <f>'Avg Week MUKONO-KALAGI'!K11+'Avg Week KALAGI-MUKONO'!K11</f>
        <v>0.14285714285714285</v>
      </c>
      <c r="L11" s="49">
        <f>'Avg Week MUKONO-KALAGI'!L11+'Avg Week KALAGI-MUKONO'!L11</f>
        <v>0.2857142857142857</v>
      </c>
      <c r="M11" s="49">
        <f>'Avg Week MUKONO-KALAGI'!M11+'Avg Week KALAGI-MUKONO'!M11</f>
        <v>45.142857142857139</v>
      </c>
      <c r="N11" s="49">
        <f>'Avg Week MUKONO-KALAGI'!N11+'Avg Week KALAGI-MUKONO'!N11</f>
        <v>0</v>
      </c>
      <c r="O11" s="15">
        <f t="shared" si="0"/>
        <v>46.428571428571431</v>
      </c>
      <c r="P11" s="15">
        <f t="shared" si="1"/>
        <v>91.571428571428569</v>
      </c>
      <c r="R11" s="1" t="s">
        <v>7</v>
      </c>
      <c r="S11" s="17">
        <f t="shared" ref="S11:AF11" si="3">SUM(C14:C17)</f>
        <v>55.714285714285715</v>
      </c>
      <c r="T11" s="17">
        <f t="shared" si="3"/>
        <v>14.000000000000002</v>
      </c>
      <c r="U11" s="17">
        <f t="shared" si="3"/>
        <v>10.142857142857142</v>
      </c>
      <c r="V11" s="17">
        <f t="shared" si="3"/>
        <v>77.714285714285708</v>
      </c>
      <c r="W11" s="17">
        <f t="shared" si="3"/>
        <v>0.71428571428571419</v>
      </c>
      <c r="X11" s="17">
        <f t="shared" si="3"/>
        <v>0.14285714285714285</v>
      </c>
      <c r="Y11" s="17">
        <f t="shared" si="3"/>
        <v>18.571428571428573</v>
      </c>
      <c r="Z11" s="17">
        <f t="shared" si="3"/>
        <v>1.857142857142857</v>
      </c>
      <c r="AA11" s="17">
        <f t="shared" si="3"/>
        <v>1.2857142857142856</v>
      </c>
      <c r="AB11" s="17">
        <f t="shared" si="3"/>
        <v>0.99999999999999989</v>
      </c>
      <c r="AC11" s="17">
        <f t="shared" si="3"/>
        <v>181.85714285714283</v>
      </c>
      <c r="AD11" s="17">
        <f t="shared" si="3"/>
        <v>0.14285714285714285</v>
      </c>
      <c r="AE11" s="31">
        <f t="shared" si="3"/>
        <v>181.28571428571431</v>
      </c>
      <c r="AF11" s="31">
        <f t="shared" si="3"/>
        <v>363.14285714285722</v>
      </c>
    </row>
    <row r="12" spans="2:32" ht="23.1" customHeight="1" x14ac:dyDescent="0.25">
      <c r="B12" s="23" t="s">
        <v>39</v>
      </c>
      <c r="C12" s="49">
        <f>'Avg Week MUKONO-KALAGI'!C12+'Avg Week KALAGI-MUKONO'!C12</f>
        <v>10.857142857142858</v>
      </c>
      <c r="D12" s="49">
        <f>'Avg Week MUKONO-KALAGI'!D12+'Avg Week KALAGI-MUKONO'!D12</f>
        <v>1.4285714285714284</v>
      </c>
      <c r="E12" s="49">
        <f>'Avg Week MUKONO-KALAGI'!E12+'Avg Week KALAGI-MUKONO'!E12</f>
        <v>1.7142857142857144</v>
      </c>
      <c r="F12" s="49">
        <f>'Avg Week MUKONO-KALAGI'!F12+'Avg Week KALAGI-MUKONO'!F12</f>
        <v>17</v>
      </c>
      <c r="G12" s="49">
        <f>'Avg Week MUKONO-KALAGI'!G12+'Avg Week KALAGI-MUKONO'!G12</f>
        <v>0.71428571428571419</v>
      </c>
      <c r="H12" s="49">
        <f>'Avg Week MUKONO-KALAGI'!H12+'Avg Week KALAGI-MUKONO'!H12</f>
        <v>0</v>
      </c>
      <c r="I12" s="49">
        <f>'Avg Week MUKONO-KALAGI'!I12+'Avg Week KALAGI-MUKONO'!I12</f>
        <v>4</v>
      </c>
      <c r="J12" s="49">
        <f>'Avg Week MUKONO-KALAGI'!J12+'Avg Week KALAGI-MUKONO'!J12</f>
        <v>0.7142857142857143</v>
      </c>
      <c r="K12" s="49">
        <f>'Avg Week MUKONO-KALAGI'!K12+'Avg Week KALAGI-MUKONO'!K12</f>
        <v>0.42857142857142855</v>
      </c>
      <c r="L12" s="49">
        <f>'Avg Week MUKONO-KALAGI'!L12+'Avg Week KALAGI-MUKONO'!L12</f>
        <v>0.14285714285714285</v>
      </c>
      <c r="M12" s="49">
        <f>'Avg Week MUKONO-KALAGI'!M12+'Avg Week KALAGI-MUKONO'!M12</f>
        <v>39.428571428571431</v>
      </c>
      <c r="N12" s="49">
        <f>'Avg Week MUKONO-KALAGI'!N12+'Avg Week KALAGI-MUKONO'!N12</f>
        <v>0.2857142857142857</v>
      </c>
      <c r="O12" s="15">
        <f t="shared" si="0"/>
        <v>37.285714285714292</v>
      </c>
      <c r="P12" s="15">
        <f t="shared" si="1"/>
        <v>76.714285714285737</v>
      </c>
      <c r="R12" s="1" t="s">
        <v>8</v>
      </c>
      <c r="S12" s="17">
        <f t="shared" ref="S12:AF12" si="4">SUM(C18:C21)</f>
        <v>57.285714285714285</v>
      </c>
      <c r="T12" s="17">
        <f t="shared" si="4"/>
        <v>14.428571428571429</v>
      </c>
      <c r="U12" s="17">
        <f t="shared" si="4"/>
        <v>13.142857142857142</v>
      </c>
      <c r="V12" s="17">
        <f t="shared" si="4"/>
        <v>68.428571428571416</v>
      </c>
      <c r="W12" s="17">
        <f t="shared" si="4"/>
        <v>1.4285714285714284</v>
      </c>
      <c r="X12" s="17">
        <f t="shared" si="4"/>
        <v>0.14285714285714285</v>
      </c>
      <c r="Y12" s="17">
        <f t="shared" si="4"/>
        <v>22.571428571428573</v>
      </c>
      <c r="Z12" s="17">
        <f t="shared" si="4"/>
        <v>1.9999999999999998</v>
      </c>
      <c r="AA12" s="17">
        <f t="shared" si="4"/>
        <v>1.1428571428571428</v>
      </c>
      <c r="AB12" s="17">
        <f t="shared" si="4"/>
        <v>1.2857142857142856</v>
      </c>
      <c r="AC12" s="17">
        <f t="shared" si="4"/>
        <v>174.71428571428572</v>
      </c>
      <c r="AD12" s="17">
        <f t="shared" si="4"/>
        <v>0.14285714285714285</v>
      </c>
      <c r="AE12" s="31">
        <f t="shared" si="4"/>
        <v>182</v>
      </c>
      <c r="AF12" s="31">
        <f t="shared" si="4"/>
        <v>356.71428571428572</v>
      </c>
    </row>
    <row r="13" spans="2:32" ht="23.1" customHeight="1" x14ac:dyDescent="0.25">
      <c r="B13" s="23" t="s">
        <v>40</v>
      </c>
      <c r="C13" s="49">
        <f>'Avg Week MUKONO-KALAGI'!C13+'Avg Week KALAGI-MUKONO'!C13</f>
        <v>12.571428571428571</v>
      </c>
      <c r="D13" s="49">
        <f>'Avg Week MUKONO-KALAGI'!D13+'Avg Week KALAGI-MUKONO'!D13</f>
        <v>2.4285714285714284</v>
      </c>
      <c r="E13" s="49">
        <f>'Avg Week MUKONO-KALAGI'!E13+'Avg Week KALAGI-MUKONO'!E13</f>
        <v>2.8571428571428568</v>
      </c>
      <c r="F13" s="49">
        <f>'Avg Week MUKONO-KALAGI'!F13+'Avg Week KALAGI-MUKONO'!F13</f>
        <v>19.285714285714285</v>
      </c>
      <c r="G13" s="49">
        <f>'Avg Week MUKONO-KALAGI'!G13+'Avg Week KALAGI-MUKONO'!G13</f>
        <v>0.2857142857142857</v>
      </c>
      <c r="H13" s="49">
        <f>'Avg Week MUKONO-KALAGI'!H13+'Avg Week KALAGI-MUKONO'!H13</f>
        <v>0.14285714285714285</v>
      </c>
      <c r="I13" s="49">
        <f>'Avg Week MUKONO-KALAGI'!I13+'Avg Week KALAGI-MUKONO'!I13</f>
        <v>4.4285714285714288</v>
      </c>
      <c r="J13" s="49">
        <f>'Avg Week MUKONO-KALAGI'!J13+'Avg Week KALAGI-MUKONO'!J13</f>
        <v>0.5714285714285714</v>
      </c>
      <c r="K13" s="49">
        <f>'Avg Week MUKONO-KALAGI'!K13+'Avg Week KALAGI-MUKONO'!K13</f>
        <v>0.2857142857142857</v>
      </c>
      <c r="L13" s="49">
        <f>'Avg Week MUKONO-KALAGI'!L13+'Avg Week KALAGI-MUKONO'!L13</f>
        <v>0.2857142857142857</v>
      </c>
      <c r="M13" s="49">
        <f>'Avg Week MUKONO-KALAGI'!M13+'Avg Week KALAGI-MUKONO'!M13</f>
        <v>43.571428571428569</v>
      </c>
      <c r="N13" s="49">
        <f>'Avg Week MUKONO-KALAGI'!N13+'Avg Week KALAGI-MUKONO'!N13</f>
        <v>0</v>
      </c>
      <c r="O13" s="15">
        <f t="shared" si="0"/>
        <v>43.142857142857139</v>
      </c>
      <c r="P13" s="15">
        <f t="shared" si="1"/>
        <v>86.714285714285708</v>
      </c>
      <c r="R13" s="1" t="s">
        <v>9</v>
      </c>
      <c r="S13" s="17">
        <f t="shared" ref="S13:AF13" si="5">SUM(C22:C25)</f>
        <v>62.428571428571423</v>
      </c>
      <c r="T13" s="17">
        <f t="shared" si="5"/>
        <v>16.428571428571431</v>
      </c>
      <c r="U13" s="17">
        <f t="shared" si="5"/>
        <v>13.999999999999998</v>
      </c>
      <c r="V13" s="17">
        <f t="shared" si="5"/>
        <v>70.857142857142861</v>
      </c>
      <c r="W13" s="17">
        <f t="shared" si="5"/>
        <v>1.2857142857142856</v>
      </c>
      <c r="X13" s="17">
        <f t="shared" si="5"/>
        <v>0.14285714285714285</v>
      </c>
      <c r="Y13" s="17">
        <f t="shared" si="5"/>
        <v>21</v>
      </c>
      <c r="Z13" s="17">
        <f t="shared" si="5"/>
        <v>4.2857142857142856</v>
      </c>
      <c r="AA13" s="17">
        <f t="shared" si="5"/>
        <v>1.857142857142857</v>
      </c>
      <c r="AB13" s="17">
        <f t="shared" si="5"/>
        <v>1.7142857142857142</v>
      </c>
      <c r="AC13" s="17">
        <f t="shared" si="5"/>
        <v>179.42857142857142</v>
      </c>
      <c r="AD13" s="17">
        <f t="shared" si="5"/>
        <v>0.14285714285714285</v>
      </c>
      <c r="AE13" s="31">
        <f t="shared" si="5"/>
        <v>194.14285714285714</v>
      </c>
      <c r="AF13" s="31">
        <f t="shared" si="5"/>
        <v>373.57142857142856</v>
      </c>
    </row>
    <row r="14" spans="2:32" ht="23.1" customHeight="1" x14ac:dyDescent="0.25">
      <c r="B14" s="23" t="s">
        <v>41</v>
      </c>
      <c r="C14" s="49">
        <f>'Avg Week MUKONO-KALAGI'!C14+'Avg Week KALAGI-MUKONO'!C14</f>
        <v>17.285714285714285</v>
      </c>
      <c r="D14" s="49">
        <f>'Avg Week MUKONO-KALAGI'!D14+'Avg Week KALAGI-MUKONO'!D14</f>
        <v>2.7142857142857144</v>
      </c>
      <c r="E14" s="49">
        <f>'Avg Week MUKONO-KALAGI'!E14+'Avg Week KALAGI-MUKONO'!E14</f>
        <v>2.7142857142857144</v>
      </c>
      <c r="F14" s="49">
        <f>'Avg Week MUKONO-KALAGI'!F14+'Avg Week KALAGI-MUKONO'!F14</f>
        <v>22.428571428571431</v>
      </c>
      <c r="G14" s="49">
        <f>'Avg Week MUKONO-KALAGI'!G14+'Avg Week KALAGI-MUKONO'!G14</f>
        <v>0.2857142857142857</v>
      </c>
      <c r="H14" s="49">
        <f>'Avg Week MUKONO-KALAGI'!H14+'Avg Week KALAGI-MUKONO'!H14</f>
        <v>0</v>
      </c>
      <c r="I14" s="49">
        <f>'Avg Week MUKONO-KALAGI'!I14+'Avg Week KALAGI-MUKONO'!I14</f>
        <v>3.4285714285714288</v>
      </c>
      <c r="J14" s="49">
        <f>'Avg Week MUKONO-KALAGI'!J14+'Avg Week KALAGI-MUKONO'!J14</f>
        <v>0.14285714285714285</v>
      </c>
      <c r="K14" s="49">
        <f>'Avg Week MUKONO-KALAGI'!K14+'Avg Week KALAGI-MUKONO'!K14</f>
        <v>0.7142857142857143</v>
      </c>
      <c r="L14" s="49">
        <f>'Avg Week MUKONO-KALAGI'!L14+'Avg Week KALAGI-MUKONO'!L14</f>
        <v>0.42857142857142855</v>
      </c>
      <c r="M14" s="49">
        <f>'Avg Week MUKONO-KALAGI'!M14+'Avg Week KALAGI-MUKONO'!M14</f>
        <v>42.428571428571431</v>
      </c>
      <c r="N14" s="49">
        <f>'Avg Week MUKONO-KALAGI'!N14+'Avg Week KALAGI-MUKONO'!N14</f>
        <v>0</v>
      </c>
      <c r="O14" s="15">
        <f t="shared" si="0"/>
        <v>50.142857142857153</v>
      </c>
      <c r="P14" s="15">
        <f t="shared" si="1"/>
        <v>92.571428571428584</v>
      </c>
      <c r="R14" s="1" t="s">
        <v>10</v>
      </c>
      <c r="S14" s="17">
        <f t="shared" ref="S14:AF14" si="6">SUM(C26:C29)</f>
        <v>60.142857142857139</v>
      </c>
      <c r="T14" s="17">
        <f t="shared" si="6"/>
        <v>17.285714285714285</v>
      </c>
      <c r="U14" s="17">
        <f t="shared" si="6"/>
        <v>16.142857142857139</v>
      </c>
      <c r="V14" s="17">
        <f t="shared" si="6"/>
        <v>72.714285714285708</v>
      </c>
      <c r="W14" s="17">
        <f t="shared" si="6"/>
        <v>1.1428571428571428</v>
      </c>
      <c r="X14" s="17">
        <f t="shared" si="6"/>
        <v>0.14285714285714285</v>
      </c>
      <c r="Y14" s="17">
        <f t="shared" si="6"/>
        <v>23.428571428571431</v>
      </c>
      <c r="Z14" s="17">
        <f t="shared" si="6"/>
        <v>3.8571428571428568</v>
      </c>
      <c r="AA14" s="17">
        <f t="shared" si="6"/>
        <v>1.5714285714285714</v>
      </c>
      <c r="AB14" s="17">
        <f t="shared" si="6"/>
        <v>1.4285714285714284</v>
      </c>
      <c r="AC14" s="17">
        <f t="shared" si="6"/>
        <v>183.42857142857142</v>
      </c>
      <c r="AD14" s="17">
        <f t="shared" si="6"/>
        <v>0.2857142857142857</v>
      </c>
      <c r="AE14" s="31">
        <f t="shared" si="6"/>
        <v>198.14285714285714</v>
      </c>
      <c r="AF14" s="31">
        <f t="shared" si="6"/>
        <v>381.57142857142856</v>
      </c>
    </row>
    <row r="15" spans="2:32" ht="23.1" customHeight="1" x14ac:dyDescent="0.25">
      <c r="B15" s="23" t="s">
        <v>42</v>
      </c>
      <c r="C15" s="49">
        <f>'Avg Week MUKONO-KALAGI'!C15+'Avg Week KALAGI-MUKONO'!C15</f>
        <v>11.571428571428571</v>
      </c>
      <c r="D15" s="49">
        <f>'Avg Week MUKONO-KALAGI'!D15+'Avg Week KALAGI-MUKONO'!D15</f>
        <v>3.1428571428571428</v>
      </c>
      <c r="E15" s="49">
        <f>'Avg Week MUKONO-KALAGI'!E15+'Avg Week KALAGI-MUKONO'!E15</f>
        <v>2.5714285714285716</v>
      </c>
      <c r="F15" s="49">
        <f>'Avg Week MUKONO-KALAGI'!F15+'Avg Week KALAGI-MUKONO'!F15</f>
        <v>17.571428571428573</v>
      </c>
      <c r="G15" s="49">
        <f>'Avg Week MUKONO-KALAGI'!G15+'Avg Week KALAGI-MUKONO'!G15</f>
        <v>0</v>
      </c>
      <c r="H15" s="49">
        <f>'Avg Week MUKONO-KALAGI'!H15+'Avg Week KALAGI-MUKONO'!H15</f>
        <v>0</v>
      </c>
      <c r="I15" s="49">
        <f>'Avg Week MUKONO-KALAGI'!I15+'Avg Week KALAGI-MUKONO'!I15</f>
        <v>5.8571428571428577</v>
      </c>
      <c r="J15" s="49">
        <f>'Avg Week MUKONO-KALAGI'!J15+'Avg Week KALAGI-MUKONO'!J15</f>
        <v>0.8571428571428571</v>
      </c>
      <c r="K15" s="49">
        <f>'Avg Week MUKONO-KALAGI'!K15+'Avg Week KALAGI-MUKONO'!K15</f>
        <v>0.14285714285714285</v>
      </c>
      <c r="L15" s="49">
        <f>'Avg Week MUKONO-KALAGI'!L15+'Avg Week KALAGI-MUKONO'!L15</f>
        <v>0.2857142857142857</v>
      </c>
      <c r="M15" s="49">
        <f>'Avg Week MUKONO-KALAGI'!M15+'Avg Week KALAGI-MUKONO'!M15</f>
        <v>46.428571428571431</v>
      </c>
      <c r="N15" s="49">
        <f>'Avg Week MUKONO-KALAGI'!N15+'Avg Week KALAGI-MUKONO'!N15</f>
        <v>0.14285714285714285</v>
      </c>
      <c r="O15" s="15">
        <f t="shared" si="0"/>
        <v>42.142857142857153</v>
      </c>
      <c r="P15" s="15">
        <f t="shared" si="1"/>
        <v>88.571428571428584</v>
      </c>
      <c r="R15" s="1" t="s">
        <v>11</v>
      </c>
      <c r="S15" s="17">
        <f t="shared" ref="S15:AF15" si="7">SUM(C30:C33)</f>
        <v>65.428571428571431</v>
      </c>
      <c r="T15" s="17">
        <f t="shared" si="7"/>
        <v>21.714285714285712</v>
      </c>
      <c r="U15" s="17">
        <f t="shared" si="7"/>
        <v>13.714285714285714</v>
      </c>
      <c r="V15" s="17">
        <f t="shared" si="7"/>
        <v>70.285714285714292</v>
      </c>
      <c r="W15" s="17">
        <f t="shared" si="7"/>
        <v>1</v>
      </c>
      <c r="X15" s="17">
        <f t="shared" si="7"/>
        <v>0.14285714285714285</v>
      </c>
      <c r="Y15" s="17">
        <f t="shared" si="7"/>
        <v>23.571428571428573</v>
      </c>
      <c r="Z15" s="17">
        <f t="shared" si="7"/>
        <v>3.4285714285714288</v>
      </c>
      <c r="AA15" s="17">
        <f t="shared" si="7"/>
        <v>1.714285714285714</v>
      </c>
      <c r="AB15" s="17">
        <f t="shared" si="7"/>
        <v>0.85714285714285698</v>
      </c>
      <c r="AC15" s="17">
        <f t="shared" si="7"/>
        <v>182.14285714285717</v>
      </c>
      <c r="AD15" s="17">
        <f t="shared" si="7"/>
        <v>0</v>
      </c>
      <c r="AE15" s="31">
        <f t="shared" si="7"/>
        <v>201.85714285714289</v>
      </c>
      <c r="AF15" s="31">
        <f t="shared" si="7"/>
        <v>384</v>
      </c>
    </row>
    <row r="16" spans="2:32" ht="23.1" customHeight="1" x14ac:dyDescent="0.25">
      <c r="B16" s="23" t="s">
        <v>43</v>
      </c>
      <c r="C16" s="49">
        <f>'Avg Week MUKONO-KALAGI'!C16+'Avg Week KALAGI-MUKONO'!C16</f>
        <v>13.142857142857142</v>
      </c>
      <c r="D16" s="49">
        <f>'Avg Week MUKONO-KALAGI'!D16+'Avg Week KALAGI-MUKONO'!D16</f>
        <v>2.7142857142857144</v>
      </c>
      <c r="E16" s="49">
        <f>'Avg Week MUKONO-KALAGI'!E16+'Avg Week KALAGI-MUKONO'!E16</f>
        <v>2.2857142857142856</v>
      </c>
      <c r="F16" s="49">
        <f>'Avg Week MUKONO-KALAGI'!F16+'Avg Week KALAGI-MUKONO'!F16</f>
        <v>19.142857142857142</v>
      </c>
      <c r="G16" s="49">
        <f>'Avg Week MUKONO-KALAGI'!G16+'Avg Week KALAGI-MUKONO'!G16</f>
        <v>0.2857142857142857</v>
      </c>
      <c r="H16" s="49">
        <f>'Avg Week MUKONO-KALAGI'!H16+'Avg Week KALAGI-MUKONO'!H16</f>
        <v>0</v>
      </c>
      <c r="I16" s="49">
        <f>'Avg Week MUKONO-KALAGI'!I16+'Avg Week KALAGI-MUKONO'!I16</f>
        <v>5</v>
      </c>
      <c r="J16" s="49">
        <f>'Avg Week MUKONO-KALAGI'!J16+'Avg Week KALAGI-MUKONO'!J16</f>
        <v>0.14285714285714285</v>
      </c>
      <c r="K16" s="49">
        <f>'Avg Week MUKONO-KALAGI'!K16+'Avg Week KALAGI-MUKONO'!K16</f>
        <v>0.14285714285714285</v>
      </c>
      <c r="L16" s="49">
        <f>'Avg Week MUKONO-KALAGI'!L16+'Avg Week KALAGI-MUKONO'!L16</f>
        <v>0.2857142857142857</v>
      </c>
      <c r="M16" s="49">
        <f>'Avg Week MUKONO-KALAGI'!M16+'Avg Week KALAGI-MUKONO'!M16</f>
        <v>48.428571428571431</v>
      </c>
      <c r="N16" s="49">
        <f>'Avg Week MUKONO-KALAGI'!N16+'Avg Week KALAGI-MUKONO'!N16</f>
        <v>0</v>
      </c>
      <c r="O16" s="15">
        <f t="shared" si="0"/>
        <v>43.142857142857146</v>
      </c>
      <c r="P16" s="15">
        <f t="shared" si="1"/>
        <v>91.571428571428584</v>
      </c>
      <c r="R16" s="1" t="s">
        <v>12</v>
      </c>
      <c r="S16" s="17">
        <f t="shared" ref="S16:AF16" si="8">SUM(C34:C37)</f>
        <v>71.571428571428569</v>
      </c>
      <c r="T16" s="17">
        <f t="shared" si="8"/>
        <v>18.857142857142858</v>
      </c>
      <c r="U16" s="17">
        <f t="shared" si="8"/>
        <v>18</v>
      </c>
      <c r="V16" s="17">
        <f t="shared" si="8"/>
        <v>71</v>
      </c>
      <c r="W16" s="17">
        <f t="shared" si="8"/>
        <v>1.2857142857142856</v>
      </c>
      <c r="X16" s="17">
        <f t="shared" si="8"/>
        <v>0.2857142857142857</v>
      </c>
      <c r="Y16" s="17">
        <f t="shared" si="8"/>
        <v>24.142857142857146</v>
      </c>
      <c r="Z16" s="17">
        <f t="shared" si="8"/>
        <v>3.5714285714285712</v>
      </c>
      <c r="AA16" s="17">
        <f t="shared" si="8"/>
        <v>2.1428571428571428</v>
      </c>
      <c r="AB16" s="17">
        <f t="shared" si="8"/>
        <v>1.5714285714285714</v>
      </c>
      <c r="AC16" s="17">
        <f t="shared" si="8"/>
        <v>172.57142857142856</v>
      </c>
      <c r="AD16" s="17">
        <f t="shared" si="8"/>
        <v>0.2857142857142857</v>
      </c>
      <c r="AE16" s="31">
        <f t="shared" si="8"/>
        <v>212.71428571428572</v>
      </c>
      <c r="AF16" s="31">
        <f t="shared" si="8"/>
        <v>385.28571428571422</v>
      </c>
    </row>
    <row r="17" spans="2:32" ht="23.1" customHeight="1" x14ac:dyDescent="0.25">
      <c r="B17" s="23" t="s">
        <v>44</v>
      </c>
      <c r="C17" s="49">
        <f>'Avg Week MUKONO-KALAGI'!C17+'Avg Week KALAGI-MUKONO'!C17</f>
        <v>13.714285714285714</v>
      </c>
      <c r="D17" s="49">
        <f>'Avg Week MUKONO-KALAGI'!D17+'Avg Week KALAGI-MUKONO'!D17</f>
        <v>5.4285714285714288</v>
      </c>
      <c r="E17" s="49">
        <f>'Avg Week MUKONO-KALAGI'!E17+'Avg Week KALAGI-MUKONO'!E17</f>
        <v>2.5714285714285712</v>
      </c>
      <c r="F17" s="49">
        <f>'Avg Week MUKONO-KALAGI'!F17+'Avg Week KALAGI-MUKONO'!F17</f>
        <v>18.571428571428569</v>
      </c>
      <c r="G17" s="49">
        <f>'Avg Week MUKONO-KALAGI'!G17+'Avg Week KALAGI-MUKONO'!G17</f>
        <v>0.14285714285714285</v>
      </c>
      <c r="H17" s="49">
        <f>'Avg Week MUKONO-KALAGI'!H17+'Avg Week KALAGI-MUKONO'!H17</f>
        <v>0.14285714285714285</v>
      </c>
      <c r="I17" s="49">
        <f>'Avg Week MUKONO-KALAGI'!I17+'Avg Week KALAGI-MUKONO'!I17</f>
        <v>4.2857142857142856</v>
      </c>
      <c r="J17" s="49">
        <f>'Avg Week MUKONO-KALAGI'!J17+'Avg Week KALAGI-MUKONO'!J17</f>
        <v>0.71428571428571419</v>
      </c>
      <c r="K17" s="49">
        <f>'Avg Week MUKONO-KALAGI'!K17+'Avg Week KALAGI-MUKONO'!K17</f>
        <v>0.2857142857142857</v>
      </c>
      <c r="L17" s="49">
        <f>'Avg Week MUKONO-KALAGI'!L17+'Avg Week KALAGI-MUKONO'!L17</f>
        <v>0</v>
      </c>
      <c r="M17" s="49">
        <f>'Avg Week MUKONO-KALAGI'!M17+'Avg Week KALAGI-MUKONO'!M17</f>
        <v>44.571428571428569</v>
      </c>
      <c r="N17" s="49">
        <f>'Avg Week MUKONO-KALAGI'!N17+'Avg Week KALAGI-MUKONO'!N17</f>
        <v>0</v>
      </c>
      <c r="O17" s="15">
        <f t="shared" si="0"/>
        <v>45.857142857142861</v>
      </c>
      <c r="P17" s="15">
        <f t="shared" si="1"/>
        <v>90.428571428571431</v>
      </c>
      <c r="R17" s="1" t="s">
        <v>13</v>
      </c>
      <c r="S17" s="17">
        <f t="shared" ref="S17:AF17" si="9">SUM(C38:C41)</f>
        <v>79.857142857142861</v>
      </c>
      <c r="T17" s="17">
        <f t="shared" si="9"/>
        <v>21</v>
      </c>
      <c r="U17" s="17">
        <f t="shared" si="9"/>
        <v>13.714285714285715</v>
      </c>
      <c r="V17" s="17">
        <f t="shared" si="9"/>
        <v>72.571428571428569</v>
      </c>
      <c r="W17" s="17">
        <f t="shared" si="9"/>
        <v>2.1428571428571428</v>
      </c>
      <c r="X17" s="17">
        <f t="shared" si="9"/>
        <v>0</v>
      </c>
      <c r="Y17" s="17">
        <f t="shared" si="9"/>
        <v>24</v>
      </c>
      <c r="Z17" s="17">
        <f t="shared" si="9"/>
        <v>2.1428571428571428</v>
      </c>
      <c r="AA17" s="17">
        <f t="shared" si="9"/>
        <v>3</v>
      </c>
      <c r="AB17" s="17">
        <f t="shared" si="9"/>
        <v>2</v>
      </c>
      <c r="AC17" s="17">
        <f t="shared" si="9"/>
        <v>168.42857142857144</v>
      </c>
      <c r="AD17" s="17">
        <f t="shared" si="9"/>
        <v>0.14285714285714285</v>
      </c>
      <c r="AE17" s="31">
        <f t="shared" si="9"/>
        <v>220.57142857142856</v>
      </c>
      <c r="AF17" s="31">
        <f t="shared" si="9"/>
        <v>388.99999999999989</v>
      </c>
    </row>
    <row r="18" spans="2:32" ht="23.1" customHeight="1" x14ac:dyDescent="0.25">
      <c r="B18" s="23" t="s">
        <v>45</v>
      </c>
      <c r="C18" s="49">
        <f>'Avg Week MUKONO-KALAGI'!C18+'Avg Week KALAGI-MUKONO'!C18</f>
        <v>15.714285714285714</v>
      </c>
      <c r="D18" s="49">
        <f>'Avg Week MUKONO-KALAGI'!D18+'Avg Week KALAGI-MUKONO'!D18</f>
        <v>3.5714285714285716</v>
      </c>
      <c r="E18" s="49">
        <f>'Avg Week MUKONO-KALAGI'!E18+'Avg Week KALAGI-MUKONO'!E18</f>
        <v>2.4285714285714284</v>
      </c>
      <c r="F18" s="49">
        <f>'Avg Week MUKONO-KALAGI'!F18+'Avg Week KALAGI-MUKONO'!F18</f>
        <v>17</v>
      </c>
      <c r="G18" s="49">
        <f>'Avg Week MUKONO-KALAGI'!G18+'Avg Week KALAGI-MUKONO'!G18</f>
        <v>0.2857142857142857</v>
      </c>
      <c r="H18" s="49">
        <f>'Avg Week MUKONO-KALAGI'!H18+'Avg Week KALAGI-MUKONO'!H18</f>
        <v>0</v>
      </c>
      <c r="I18" s="49">
        <f>'Avg Week MUKONO-KALAGI'!I18+'Avg Week KALAGI-MUKONO'!I18</f>
        <v>5.4285714285714288</v>
      </c>
      <c r="J18" s="49">
        <f>'Avg Week MUKONO-KALAGI'!J18+'Avg Week KALAGI-MUKONO'!J18</f>
        <v>0.5714285714285714</v>
      </c>
      <c r="K18" s="49">
        <f>'Avg Week MUKONO-KALAGI'!K18+'Avg Week KALAGI-MUKONO'!K18</f>
        <v>0.42857142857142855</v>
      </c>
      <c r="L18" s="49">
        <f>'Avg Week MUKONO-KALAGI'!L18+'Avg Week KALAGI-MUKONO'!L18</f>
        <v>1</v>
      </c>
      <c r="M18" s="49">
        <f>'Avg Week MUKONO-KALAGI'!M18+'Avg Week KALAGI-MUKONO'!M18</f>
        <v>49.857142857142861</v>
      </c>
      <c r="N18" s="49">
        <f>'Avg Week MUKONO-KALAGI'!N18+'Avg Week KALAGI-MUKONO'!N18</f>
        <v>0</v>
      </c>
      <c r="O18" s="15">
        <f t="shared" si="0"/>
        <v>46.428571428571423</v>
      </c>
      <c r="P18" s="15">
        <f t="shared" si="1"/>
        <v>96.285714285714278</v>
      </c>
      <c r="R18" s="1" t="s">
        <v>14</v>
      </c>
      <c r="S18" s="17">
        <f t="shared" ref="S18:AF18" si="10">SUM(C42:C45)</f>
        <v>77.428571428571431</v>
      </c>
      <c r="T18" s="17">
        <f t="shared" si="10"/>
        <v>31.714285714285712</v>
      </c>
      <c r="U18" s="17">
        <f t="shared" si="10"/>
        <v>15.571428571428571</v>
      </c>
      <c r="V18" s="17">
        <f t="shared" si="10"/>
        <v>72</v>
      </c>
      <c r="W18" s="17">
        <f t="shared" si="10"/>
        <v>1.8571428571428568</v>
      </c>
      <c r="X18" s="17">
        <f t="shared" si="10"/>
        <v>0</v>
      </c>
      <c r="Y18" s="17">
        <f t="shared" si="10"/>
        <v>23.571428571428573</v>
      </c>
      <c r="Z18" s="17">
        <f t="shared" si="10"/>
        <v>1.8571428571428568</v>
      </c>
      <c r="AA18" s="17">
        <f t="shared" si="10"/>
        <v>1.5714285714285714</v>
      </c>
      <c r="AB18" s="17">
        <f t="shared" si="10"/>
        <v>1.7142857142857142</v>
      </c>
      <c r="AC18" s="17">
        <f t="shared" si="10"/>
        <v>169.42857142857142</v>
      </c>
      <c r="AD18" s="17">
        <f t="shared" si="10"/>
        <v>0.42857142857142855</v>
      </c>
      <c r="AE18" s="31">
        <f t="shared" si="10"/>
        <v>227.71428571428572</v>
      </c>
      <c r="AF18" s="31">
        <f t="shared" si="10"/>
        <v>397.14285714285711</v>
      </c>
    </row>
    <row r="19" spans="2:32" ht="23.1" customHeight="1" x14ac:dyDescent="0.25">
      <c r="B19" s="23" t="s">
        <v>46</v>
      </c>
      <c r="C19" s="49">
        <f>'Avg Week MUKONO-KALAGI'!C19+'Avg Week KALAGI-MUKONO'!C19</f>
        <v>17.571428571428573</v>
      </c>
      <c r="D19" s="49">
        <f>'Avg Week MUKONO-KALAGI'!D19+'Avg Week KALAGI-MUKONO'!D19</f>
        <v>4</v>
      </c>
      <c r="E19" s="49">
        <f>'Avg Week MUKONO-KALAGI'!E19+'Avg Week KALAGI-MUKONO'!E19</f>
        <v>3.7142857142857144</v>
      </c>
      <c r="F19" s="49">
        <f>'Avg Week MUKONO-KALAGI'!F19+'Avg Week KALAGI-MUKONO'!F19</f>
        <v>18.857142857142854</v>
      </c>
      <c r="G19" s="49">
        <f>'Avg Week MUKONO-KALAGI'!G19+'Avg Week KALAGI-MUKONO'!G19</f>
        <v>0.5714285714285714</v>
      </c>
      <c r="H19" s="49">
        <f>'Avg Week MUKONO-KALAGI'!H19+'Avg Week KALAGI-MUKONO'!H19</f>
        <v>0</v>
      </c>
      <c r="I19" s="49">
        <f>'Avg Week MUKONO-KALAGI'!I19+'Avg Week KALAGI-MUKONO'!I19</f>
        <v>6.5714285714285712</v>
      </c>
      <c r="J19" s="49">
        <f>'Avg Week MUKONO-KALAGI'!J19+'Avg Week KALAGI-MUKONO'!J19</f>
        <v>0.2857142857142857</v>
      </c>
      <c r="K19" s="49">
        <f>'Avg Week MUKONO-KALAGI'!K19+'Avg Week KALAGI-MUKONO'!K19</f>
        <v>0</v>
      </c>
      <c r="L19" s="49">
        <f>'Avg Week MUKONO-KALAGI'!L19+'Avg Week KALAGI-MUKONO'!L19</f>
        <v>0.14285714285714285</v>
      </c>
      <c r="M19" s="49">
        <f>'Avg Week MUKONO-KALAGI'!M19+'Avg Week KALAGI-MUKONO'!M19</f>
        <v>46</v>
      </c>
      <c r="N19" s="49">
        <f>'Avg Week MUKONO-KALAGI'!N19+'Avg Week KALAGI-MUKONO'!N19</f>
        <v>0.14285714285714285</v>
      </c>
      <c r="O19" s="15">
        <f t="shared" si="0"/>
        <v>51.857142857142854</v>
      </c>
      <c r="P19" s="15">
        <f t="shared" si="1"/>
        <v>97.857142857142847</v>
      </c>
      <c r="R19" s="1" t="s">
        <v>15</v>
      </c>
      <c r="S19" s="17">
        <f t="shared" ref="S19:AF19" si="11">SUM(C46:C49)</f>
        <v>86</v>
      </c>
      <c r="T19" s="17">
        <f t="shared" si="11"/>
        <v>24.857142857142854</v>
      </c>
      <c r="U19" s="17">
        <f t="shared" si="11"/>
        <v>17.857142857142854</v>
      </c>
      <c r="V19" s="17">
        <f t="shared" si="11"/>
        <v>81.285714285714278</v>
      </c>
      <c r="W19" s="17">
        <f t="shared" si="11"/>
        <v>4</v>
      </c>
      <c r="X19" s="17">
        <f t="shared" si="11"/>
        <v>0.5714285714285714</v>
      </c>
      <c r="Y19" s="17">
        <f t="shared" si="11"/>
        <v>25</v>
      </c>
      <c r="Z19" s="17">
        <f t="shared" si="11"/>
        <v>4</v>
      </c>
      <c r="AA19" s="17">
        <f t="shared" si="11"/>
        <v>2.2857142857142856</v>
      </c>
      <c r="AB19" s="17">
        <f t="shared" si="11"/>
        <v>1.2857142857142856</v>
      </c>
      <c r="AC19" s="17">
        <f t="shared" si="11"/>
        <v>196.71428571428572</v>
      </c>
      <c r="AD19" s="17">
        <f t="shared" si="11"/>
        <v>0</v>
      </c>
      <c r="AE19" s="31">
        <f t="shared" si="11"/>
        <v>247.14285714285714</v>
      </c>
      <c r="AF19" s="31">
        <f t="shared" si="11"/>
        <v>443.85714285714283</v>
      </c>
    </row>
    <row r="20" spans="2:32" ht="23.1" customHeight="1" x14ac:dyDescent="0.25">
      <c r="B20" s="23" t="s">
        <v>47</v>
      </c>
      <c r="C20" s="49">
        <f>'Avg Week MUKONO-KALAGI'!C20+'Avg Week KALAGI-MUKONO'!C20</f>
        <v>12</v>
      </c>
      <c r="D20" s="49">
        <f>'Avg Week MUKONO-KALAGI'!D20+'Avg Week KALAGI-MUKONO'!D20</f>
        <v>2.8571428571428572</v>
      </c>
      <c r="E20" s="49">
        <f>'Avg Week MUKONO-KALAGI'!E20+'Avg Week KALAGI-MUKONO'!E20</f>
        <v>3.1428571428571428</v>
      </c>
      <c r="F20" s="49">
        <f>'Avg Week MUKONO-KALAGI'!F20+'Avg Week KALAGI-MUKONO'!F20</f>
        <v>15.857142857142858</v>
      </c>
      <c r="G20" s="49">
        <f>'Avg Week MUKONO-KALAGI'!G20+'Avg Week KALAGI-MUKONO'!G20</f>
        <v>0.42857142857142855</v>
      </c>
      <c r="H20" s="49">
        <f>'Avg Week MUKONO-KALAGI'!H20+'Avg Week KALAGI-MUKONO'!H20</f>
        <v>0.14285714285714285</v>
      </c>
      <c r="I20" s="49">
        <f>'Avg Week MUKONO-KALAGI'!I20+'Avg Week KALAGI-MUKONO'!I20</f>
        <v>5.7142857142857144</v>
      </c>
      <c r="J20" s="49">
        <f>'Avg Week MUKONO-KALAGI'!J20+'Avg Week KALAGI-MUKONO'!J20</f>
        <v>0.5714285714285714</v>
      </c>
      <c r="K20" s="49">
        <f>'Avg Week MUKONO-KALAGI'!K20+'Avg Week KALAGI-MUKONO'!K20</f>
        <v>0</v>
      </c>
      <c r="L20" s="49">
        <f>'Avg Week MUKONO-KALAGI'!L20+'Avg Week KALAGI-MUKONO'!L20</f>
        <v>0</v>
      </c>
      <c r="M20" s="49">
        <f>'Avg Week MUKONO-KALAGI'!M20+'Avg Week KALAGI-MUKONO'!M20</f>
        <v>39.428571428571431</v>
      </c>
      <c r="N20" s="49">
        <f>'Avg Week MUKONO-KALAGI'!N20+'Avg Week KALAGI-MUKONO'!N20</f>
        <v>0</v>
      </c>
      <c r="O20" s="15">
        <f t="shared" si="0"/>
        <v>40.714285714285722</v>
      </c>
      <c r="P20" s="15">
        <f t="shared" si="1"/>
        <v>80.142857142857153</v>
      </c>
      <c r="R20" s="1" t="s">
        <v>16</v>
      </c>
      <c r="S20" s="17">
        <f t="shared" ref="S20:AF20" si="12">SUM(C50:C53)</f>
        <v>93.571428571428569</v>
      </c>
      <c r="T20" s="17">
        <f t="shared" si="12"/>
        <v>29.285714285714285</v>
      </c>
      <c r="U20" s="17">
        <f t="shared" si="12"/>
        <v>18.714285714285715</v>
      </c>
      <c r="V20" s="17">
        <f t="shared" si="12"/>
        <v>83.857142857142861</v>
      </c>
      <c r="W20" s="17">
        <f t="shared" si="12"/>
        <v>2.7142857142857144</v>
      </c>
      <c r="X20" s="17">
        <f t="shared" si="12"/>
        <v>0.2857142857142857</v>
      </c>
      <c r="Y20" s="17">
        <f t="shared" si="12"/>
        <v>22.285714285714285</v>
      </c>
      <c r="Z20" s="17">
        <f t="shared" si="12"/>
        <v>2.8571428571428572</v>
      </c>
      <c r="AA20" s="17">
        <f t="shared" si="12"/>
        <v>1.5714285714285714</v>
      </c>
      <c r="AB20" s="17">
        <f t="shared" si="12"/>
        <v>0.71428571428571419</v>
      </c>
      <c r="AC20" s="17">
        <f t="shared" si="12"/>
        <v>204.71428571428572</v>
      </c>
      <c r="AD20" s="17">
        <f t="shared" si="12"/>
        <v>0.2857142857142857</v>
      </c>
      <c r="AE20" s="31">
        <f t="shared" si="12"/>
        <v>256.14285714285717</v>
      </c>
      <c r="AF20" s="31">
        <f t="shared" si="12"/>
        <v>460.85714285714283</v>
      </c>
    </row>
    <row r="21" spans="2:32" ht="23.1" customHeight="1" x14ac:dyDescent="0.25">
      <c r="B21" s="23" t="s">
        <v>48</v>
      </c>
      <c r="C21" s="49">
        <f>'Avg Week MUKONO-KALAGI'!C21+'Avg Week KALAGI-MUKONO'!C21</f>
        <v>12</v>
      </c>
      <c r="D21" s="49">
        <f>'Avg Week MUKONO-KALAGI'!D21+'Avg Week KALAGI-MUKONO'!D21</f>
        <v>4</v>
      </c>
      <c r="E21" s="49">
        <f>'Avg Week MUKONO-KALAGI'!E21+'Avg Week KALAGI-MUKONO'!E21</f>
        <v>3.8571428571428568</v>
      </c>
      <c r="F21" s="49">
        <f>'Avg Week MUKONO-KALAGI'!F21+'Avg Week KALAGI-MUKONO'!F21</f>
        <v>16.714285714285715</v>
      </c>
      <c r="G21" s="49">
        <f>'Avg Week MUKONO-KALAGI'!G21+'Avg Week KALAGI-MUKONO'!G21</f>
        <v>0.14285714285714285</v>
      </c>
      <c r="H21" s="49">
        <f>'Avg Week MUKONO-KALAGI'!H21+'Avg Week KALAGI-MUKONO'!H21</f>
        <v>0</v>
      </c>
      <c r="I21" s="49">
        <f>'Avg Week MUKONO-KALAGI'!I21+'Avg Week KALAGI-MUKONO'!I21</f>
        <v>4.8571428571428577</v>
      </c>
      <c r="J21" s="49">
        <f>'Avg Week MUKONO-KALAGI'!J21+'Avg Week KALAGI-MUKONO'!J21</f>
        <v>0.5714285714285714</v>
      </c>
      <c r="K21" s="49">
        <f>'Avg Week MUKONO-KALAGI'!K21+'Avg Week KALAGI-MUKONO'!K21</f>
        <v>0.71428571428571419</v>
      </c>
      <c r="L21" s="49">
        <f>'Avg Week MUKONO-KALAGI'!L21+'Avg Week KALAGI-MUKONO'!L21</f>
        <v>0.14285714285714285</v>
      </c>
      <c r="M21" s="49">
        <f>'Avg Week MUKONO-KALAGI'!M21+'Avg Week KALAGI-MUKONO'!M21</f>
        <v>39.428571428571431</v>
      </c>
      <c r="N21" s="49">
        <f>'Avg Week MUKONO-KALAGI'!N21+'Avg Week KALAGI-MUKONO'!N21</f>
        <v>0</v>
      </c>
      <c r="O21" s="15">
        <f t="shared" si="0"/>
        <v>43</v>
      </c>
      <c r="P21" s="15">
        <f t="shared" si="1"/>
        <v>82.428571428571431</v>
      </c>
      <c r="R21" s="1" t="s">
        <v>20</v>
      </c>
      <c r="S21" s="34">
        <f t="shared" ref="S21:AF21" si="13">SUM(C54:C57)</f>
        <v>77.285714285714278</v>
      </c>
      <c r="T21" s="17">
        <f t="shared" si="13"/>
        <v>20.714285714285712</v>
      </c>
      <c r="U21" s="17">
        <f t="shared" si="13"/>
        <v>20.285714285714285</v>
      </c>
      <c r="V21" s="17">
        <f t="shared" si="13"/>
        <v>84</v>
      </c>
      <c r="W21" s="17">
        <f t="shared" si="13"/>
        <v>2.5714285714285712</v>
      </c>
      <c r="X21" s="17">
        <f t="shared" si="13"/>
        <v>0.5714285714285714</v>
      </c>
      <c r="Y21" s="17">
        <f t="shared" si="13"/>
        <v>20.857142857142854</v>
      </c>
      <c r="Z21" s="17">
        <f t="shared" si="13"/>
        <v>3.1428571428571432</v>
      </c>
      <c r="AA21" s="17">
        <f t="shared" si="13"/>
        <v>2.4285714285714284</v>
      </c>
      <c r="AB21" s="17">
        <f t="shared" si="13"/>
        <v>1.857142857142857</v>
      </c>
      <c r="AC21" s="17">
        <f t="shared" si="13"/>
        <v>199.42857142857144</v>
      </c>
      <c r="AD21" s="17">
        <f t="shared" si="13"/>
        <v>0.42857142857142855</v>
      </c>
      <c r="AE21" s="31">
        <f t="shared" si="13"/>
        <v>234.14285714285717</v>
      </c>
      <c r="AF21" s="31">
        <f t="shared" si="13"/>
        <v>433.57142857142856</v>
      </c>
    </row>
    <row r="22" spans="2:32" ht="23.1" customHeight="1" x14ac:dyDescent="0.25">
      <c r="B22" s="23" t="s">
        <v>49</v>
      </c>
      <c r="C22" s="49">
        <f>'Avg Week MUKONO-KALAGI'!C22+'Avg Week KALAGI-MUKONO'!C22</f>
        <v>15.428571428571427</v>
      </c>
      <c r="D22" s="49">
        <f>'Avg Week MUKONO-KALAGI'!D22+'Avg Week KALAGI-MUKONO'!D22</f>
        <v>2.4285714285714288</v>
      </c>
      <c r="E22" s="49">
        <f>'Avg Week MUKONO-KALAGI'!E22+'Avg Week KALAGI-MUKONO'!E22</f>
        <v>3.7142857142857144</v>
      </c>
      <c r="F22" s="49">
        <f>'Avg Week MUKONO-KALAGI'!F22+'Avg Week KALAGI-MUKONO'!F22</f>
        <v>17.714285714285715</v>
      </c>
      <c r="G22" s="49">
        <f>'Avg Week MUKONO-KALAGI'!G22+'Avg Week KALAGI-MUKONO'!G22</f>
        <v>0.42857142857142855</v>
      </c>
      <c r="H22" s="49">
        <f>'Avg Week MUKONO-KALAGI'!H22+'Avg Week KALAGI-MUKONO'!H22</f>
        <v>0.14285714285714285</v>
      </c>
      <c r="I22" s="49">
        <f>'Avg Week MUKONO-KALAGI'!I22+'Avg Week KALAGI-MUKONO'!I22</f>
        <v>5.7142857142857144</v>
      </c>
      <c r="J22" s="49">
        <f>'Avg Week MUKONO-KALAGI'!J22+'Avg Week KALAGI-MUKONO'!J22</f>
        <v>1.2857142857142856</v>
      </c>
      <c r="K22" s="49">
        <f>'Avg Week MUKONO-KALAGI'!K22+'Avg Week KALAGI-MUKONO'!K22</f>
        <v>0.2857142857142857</v>
      </c>
      <c r="L22" s="49">
        <f>'Avg Week MUKONO-KALAGI'!L22+'Avg Week KALAGI-MUKONO'!L22</f>
        <v>0.2857142857142857</v>
      </c>
      <c r="M22" s="49">
        <f>'Avg Week MUKONO-KALAGI'!M22+'Avg Week KALAGI-MUKONO'!M22</f>
        <v>45.571428571428569</v>
      </c>
      <c r="N22" s="49">
        <f>'Avg Week MUKONO-KALAGI'!N22+'Avg Week KALAGI-MUKONO'!N22</f>
        <v>0.14285714285714285</v>
      </c>
      <c r="O22" s="15">
        <f t="shared" si="0"/>
        <v>47.571428571428577</v>
      </c>
      <c r="P22" s="15">
        <f t="shared" si="1"/>
        <v>93.142857142857139</v>
      </c>
      <c r="R22" s="1" t="s">
        <v>146</v>
      </c>
      <c r="S22" s="34">
        <f>SUM(C58:C61)</f>
        <v>65</v>
      </c>
      <c r="T22" s="34">
        <f t="shared" ref="T22:AF22" si="14">SUM(D58:D61)</f>
        <v>17.5</v>
      </c>
      <c r="U22" s="34">
        <f t="shared" si="14"/>
        <v>10.5</v>
      </c>
      <c r="V22" s="34">
        <f t="shared" si="14"/>
        <v>80.5</v>
      </c>
      <c r="W22" s="34">
        <f t="shared" si="14"/>
        <v>4</v>
      </c>
      <c r="X22" s="34">
        <f t="shared" si="14"/>
        <v>0.5</v>
      </c>
      <c r="Y22" s="34">
        <f t="shared" si="14"/>
        <v>22.5</v>
      </c>
      <c r="Z22" s="34">
        <f t="shared" si="14"/>
        <v>1</v>
      </c>
      <c r="AA22" s="34">
        <f t="shared" si="14"/>
        <v>1</v>
      </c>
      <c r="AB22" s="34">
        <f t="shared" si="14"/>
        <v>0.5</v>
      </c>
      <c r="AC22" s="34">
        <f t="shared" si="14"/>
        <v>190</v>
      </c>
      <c r="AD22" s="34">
        <f t="shared" si="14"/>
        <v>0.5</v>
      </c>
      <c r="AE22" s="31">
        <f t="shared" si="14"/>
        <v>203.5</v>
      </c>
      <c r="AF22" s="31">
        <f t="shared" si="14"/>
        <v>393.5</v>
      </c>
    </row>
    <row r="23" spans="2:32" ht="23.1" customHeight="1" x14ac:dyDescent="0.25">
      <c r="B23" s="23" t="s">
        <v>50</v>
      </c>
      <c r="C23" s="49">
        <f>'Avg Week MUKONO-KALAGI'!C23+'Avg Week KALAGI-MUKONO'!C23</f>
        <v>15.428571428571429</v>
      </c>
      <c r="D23" s="49">
        <f>'Avg Week MUKONO-KALAGI'!D23+'Avg Week KALAGI-MUKONO'!D23</f>
        <v>4.2857142857142856</v>
      </c>
      <c r="E23" s="49">
        <f>'Avg Week MUKONO-KALAGI'!E23+'Avg Week KALAGI-MUKONO'!E23</f>
        <v>3.8571428571428572</v>
      </c>
      <c r="F23" s="49">
        <f>'Avg Week MUKONO-KALAGI'!F23+'Avg Week KALAGI-MUKONO'!F23</f>
        <v>19.714285714285715</v>
      </c>
      <c r="G23" s="49">
        <f>'Avg Week MUKONO-KALAGI'!G23+'Avg Week KALAGI-MUKONO'!G23</f>
        <v>0.14285714285714285</v>
      </c>
      <c r="H23" s="49">
        <f>'Avg Week MUKONO-KALAGI'!H23+'Avg Week KALAGI-MUKONO'!H23</f>
        <v>0</v>
      </c>
      <c r="I23" s="49">
        <f>'Avg Week MUKONO-KALAGI'!I23+'Avg Week KALAGI-MUKONO'!I23</f>
        <v>6</v>
      </c>
      <c r="J23" s="49">
        <f>'Avg Week MUKONO-KALAGI'!J23+'Avg Week KALAGI-MUKONO'!J23</f>
        <v>1.7142857142857144</v>
      </c>
      <c r="K23" s="49">
        <f>'Avg Week MUKONO-KALAGI'!K23+'Avg Week KALAGI-MUKONO'!K23</f>
        <v>0.14285714285714285</v>
      </c>
      <c r="L23" s="49">
        <f>'Avg Week MUKONO-KALAGI'!L23+'Avg Week KALAGI-MUKONO'!L23</f>
        <v>0</v>
      </c>
      <c r="M23" s="49">
        <f>'Avg Week MUKONO-KALAGI'!M23+'Avg Week KALAGI-MUKONO'!M23</f>
        <v>42.571428571428569</v>
      </c>
      <c r="N23" s="49">
        <f>'Avg Week MUKONO-KALAGI'!N23+'Avg Week KALAGI-MUKONO'!N23</f>
        <v>0</v>
      </c>
      <c r="O23" s="15">
        <f t="shared" si="0"/>
        <v>51.285714285714299</v>
      </c>
      <c r="P23" s="15">
        <f t="shared" si="1"/>
        <v>93.857142857142861</v>
      </c>
      <c r="R23" s="1" t="s">
        <v>147</v>
      </c>
      <c r="S23" s="34">
        <f>SUM(C62:C65)</f>
        <v>58.5</v>
      </c>
      <c r="T23" s="34">
        <f t="shared" ref="T23:AF23" si="15">SUM(D62:D65)</f>
        <v>18.5</v>
      </c>
      <c r="U23" s="34">
        <f t="shared" si="15"/>
        <v>11</v>
      </c>
      <c r="V23" s="34">
        <f t="shared" si="15"/>
        <v>77</v>
      </c>
      <c r="W23" s="34">
        <f t="shared" si="15"/>
        <v>0.5</v>
      </c>
      <c r="X23" s="34">
        <f t="shared" si="15"/>
        <v>0</v>
      </c>
      <c r="Y23" s="34">
        <f t="shared" si="15"/>
        <v>22.5</v>
      </c>
      <c r="Z23" s="34">
        <f t="shared" si="15"/>
        <v>1.5</v>
      </c>
      <c r="AA23" s="34">
        <f t="shared" si="15"/>
        <v>0.5</v>
      </c>
      <c r="AB23" s="34">
        <f t="shared" si="15"/>
        <v>0.5</v>
      </c>
      <c r="AC23" s="34">
        <f t="shared" si="15"/>
        <v>187</v>
      </c>
      <c r="AD23" s="34">
        <f t="shared" si="15"/>
        <v>0</v>
      </c>
      <c r="AE23" s="31">
        <f t="shared" si="15"/>
        <v>190.5</v>
      </c>
      <c r="AF23" s="31">
        <f t="shared" si="15"/>
        <v>377.5</v>
      </c>
    </row>
    <row r="24" spans="2:32" ht="23.1" customHeight="1" x14ac:dyDescent="0.25">
      <c r="B24" s="23" t="s">
        <v>51</v>
      </c>
      <c r="C24" s="49">
        <f>'Avg Week MUKONO-KALAGI'!C24+'Avg Week KALAGI-MUKONO'!C24</f>
        <v>14.285714285714285</v>
      </c>
      <c r="D24" s="49">
        <f>'Avg Week MUKONO-KALAGI'!D24+'Avg Week KALAGI-MUKONO'!D24</f>
        <v>5.7142857142857144</v>
      </c>
      <c r="E24" s="49">
        <f>'Avg Week MUKONO-KALAGI'!E24+'Avg Week KALAGI-MUKONO'!E24</f>
        <v>2.8571428571428568</v>
      </c>
      <c r="F24" s="49">
        <f>'Avg Week MUKONO-KALAGI'!F24+'Avg Week KALAGI-MUKONO'!F24</f>
        <v>16.571428571428573</v>
      </c>
      <c r="G24" s="49">
        <f>'Avg Week MUKONO-KALAGI'!G24+'Avg Week KALAGI-MUKONO'!G24</f>
        <v>0.42857142857142855</v>
      </c>
      <c r="H24" s="49">
        <f>'Avg Week MUKONO-KALAGI'!H24+'Avg Week KALAGI-MUKONO'!H24</f>
        <v>0</v>
      </c>
      <c r="I24" s="49">
        <f>'Avg Week MUKONO-KALAGI'!I24+'Avg Week KALAGI-MUKONO'!I24</f>
        <v>4.5714285714285712</v>
      </c>
      <c r="J24" s="49">
        <f>'Avg Week MUKONO-KALAGI'!J24+'Avg Week KALAGI-MUKONO'!J24</f>
        <v>0.71428571428571419</v>
      </c>
      <c r="K24" s="49">
        <f>'Avg Week MUKONO-KALAGI'!K24+'Avg Week KALAGI-MUKONO'!K24</f>
        <v>0.8571428571428571</v>
      </c>
      <c r="L24" s="49">
        <f>'Avg Week MUKONO-KALAGI'!L24+'Avg Week KALAGI-MUKONO'!L24</f>
        <v>0.85714285714285721</v>
      </c>
      <c r="M24" s="49">
        <f>'Avg Week MUKONO-KALAGI'!M24+'Avg Week KALAGI-MUKONO'!M24</f>
        <v>46.428571428571431</v>
      </c>
      <c r="N24" s="49">
        <f>'Avg Week MUKONO-KALAGI'!N24+'Avg Week KALAGI-MUKONO'!N24</f>
        <v>0</v>
      </c>
      <c r="O24" s="15">
        <f t="shared" si="0"/>
        <v>46.857142857142854</v>
      </c>
      <c r="P24" s="15">
        <f t="shared" si="1"/>
        <v>93.285714285714278</v>
      </c>
      <c r="R24" s="1" t="s">
        <v>148</v>
      </c>
      <c r="S24" s="34">
        <f>SUM(C66:C69)</f>
        <v>49</v>
      </c>
      <c r="T24" s="34">
        <f t="shared" ref="T24:AF24" si="16">SUM(D66:D69)</f>
        <v>8</v>
      </c>
      <c r="U24" s="34">
        <f t="shared" si="16"/>
        <v>10.5</v>
      </c>
      <c r="V24" s="34">
        <f t="shared" si="16"/>
        <v>58.5</v>
      </c>
      <c r="W24" s="34">
        <f t="shared" si="16"/>
        <v>5</v>
      </c>
      <c r="X24" s="34">
        <f t="shared" si="16"/>
        <v>1.5</v>
      </c>
      <c r="Y24" s="34">
        <f t="shared" si="16"/>
        <v>19</v>
      </c>
      <c r="Z24" s="34">
        <f t="shared" si="16"/>
        <v>2.5</v>
      </c>
      <c r="AA24" s="34">
        <f t="shared" si="16"/>
        <v>0.5</v>
      </c>
      <c r="AB24" s="34">
        <f t="shared" si="16"/>
        <v>0</v>
      </c>
      <c r="AC24" s="34">
        <f t="shared" si="16"/>
        <v>133.5</v>
      </c>
      <c r="AD24" s="34">
        <f t="shared" si="16"/>
        <v>0</v>
      </c>
      <c r="AE24" s="31">
        <f t="shared" si="16"/>
        <v>154.5</v>
      </c>
      <c r="AF24" s="31">
        <f t="shared" si="16"/>
        <v>288</v>
      </c>
    </row>
    <row r="25" spans="2:32" ht="23.1" customHeight="1" x14ac:dyDescent="0.25">
      <c r="B25" s="23" t="s">
        <v>52</v>
      </c>
      <c r="C25" s="49">
        <f>'Avg Week MUKONO-KALAGI'!C25+'Avg Week KALAGI-MUKONO'!C25</f>
        <v>17.285714285714285</v>
      </c>
      <c r="D25" s="49">
        <f>'Avg Week MUKONO-KALAGI'!D25+'Avg Week KALAGI-MUKONO'!D25</f>
        <v>4</v>
      </c>
      <c r="E25" s="49">
        <f>'Avg Week MUKONO-KALAGI'!E25+'Avg Week KALAGI-MUKONO'!E25</f>
        <v>3.5714285714285712</v>
      </c>
      <c r="F25" s="49">
        <f>'Avg Week MUKONO-KALAGI'!F25+'Avg Week KALAGI-MUKONO'!F25</f>
        <v>16.857142857142858</v>
      </c>
      <c r="G25" s="49">
        <f>'Avg Week MUKONO-KALAGI'!G25+'Avg Week KALAGI-MUKONO'!G25</f>
        <v>0.2857142857142857</v>
      </c>
      <c r="H25" s="49">
        <f>'Avg Week MUKONO-KALAGI'!H25+'Avg Week KALAGI-MUKONO'!H25</f>
        <v>0</v>
      </c>
      <c r="I25" s="49">
        <f>'Avg Week MUKONO-KALAGI'!I25+'Avg Week KALAGI-MUKONO'!I25</f>
        <v>4.7142857142857144</v>
      </c>
      <c r="J25" s="49">
        <f>'Avg Week MUKONO-KALAGI'!J25+'Avg Week KALAGI-MUKONO'!J25</f>
        <v>0.5714285714285714</v>
      </c>
      <c r="K25" s="49">
        <f>'Avg Week MUKONO-KALAGI'!K25+'Avg Week KALAGI-MUKONO'!K25</f>
        <v>0.5714285714285714</v>
      </c>
      <c r="L25" s="49">
        <f>'Avg Week MUKONO-KALAGI'!L25+'Avg Week KALAGI-MUKONO'!L25</f>
        <v>0.5714285714285714</v>
      </c>
      <c r="M25" s="49">
        <f>'Avg Week MUKONO-KALAGI'!M25+'Avg Week KALAGI-MUKONO'!M25</f>
        <v>44.857142857142861</v>
      </c>
      <c r="N25" s="49">
        <f>'Avg Week MUKONO-KALAGI'!N25+'Avg Week KALAGI-MUKONO'!N25</f>
        <v>0</v>
      </c>
      <c r="O25" s="15">
        <f t="shared" si="0"/>
        <v>48.428571428571416</v>
      </c>
      <c r="P25" s="15">
        <f t="shared" si="1"/>
        <v>93.285714285714278</v>
      </c>
      <c r="R25" s="1" t="s">
        <v>149</v>
      </c>
      <c r="S25" s="34">
        <f>SUM(C70:C73)</f>
        <v>35.5</v>
      </c>
      <c r="T25" s="34">
        <f t="shared" ref="T25:AF25" si="17">SUM(D70:D73)</f>
        <v>11.5</v>
      </c>
      <c r="U25" s="34">
        <f t="shared" si="17"/>
        <v>6.5</v>
      </c>
      <c r="V25" s="34">
        <f t="shared" si="17"/>
        <v>40.5</v>
      </c>
      <c r="W25" s="34">
        <f t="shared" si="17"/>
        <v>0.5</v>
      </c>
      <c r="X25" s="34">
        <f t="shared" si="17"/>
        <v>0</v>
      </c>
      <c r="Y25" s="34">
        <f t="shared" si="17"/>
        <v>10</v>
      </c>
      <c r="Z25" s="34">
        <f t="shared" si="17"/>
        <v>2</v>
      </c>
      <c r="AA25" s="34">
        <f t="shared" si="17"/>
        <v>0.5</v>
      </c>
      <c r="AB25" s="34">
        <f t="shared" si="17"/>
        <v>0.5</v>
      </c>
      <c r="AC25" s="34">
        <f t="shared" si="17"/>
        <v>84.5</v>
      </c>
      <c r="AD25" s="34">
        <f t="shared" si="17"/>
        <v>0</v>
      </c>
      <c r="AE25" s="31">
        <f t="shared" si="17"/>
        <v>107.5</v>
      </c>
      <c r="AF25" s="31">
        <f t="shared" si="17"/>
        <v>192</v>
      </c>
    </row>
    <row r="26" spans="2:32" ht="23.1" customHeight="1" x14ac:dyDescent="0.25">
      <c r="B26" s="23" t="s">
        <v>53</v>
      </c>
      <c r="C26" s="49">
        <f>'Avg Week MUKONO-KALAGI'!C26+'Avg Week KALAGI-MUKONO'!C26</f>
        <v>16.428571428571427</v>
      </c>
      <c r="D26" s="49">
        <f>'Avg Week MUKONO-KALAGI'!D26+'Avg Week KALAGI-MUKONO'!D26</f>
        <v>4.2857142857142856</v>
      </c>
      <c r="E26" s="49">
        <f>'Avg Week MUKONO-KALAGI'!E26+'Avg Week KALAGI-MUKONO'!E26</f>
        <v>3.7142857142857144</v>
      </c>
      <c r="F26" s="49">
        <f>'Avg Week MUKONO-KALAGI'!F26+'Avg Week KALAGI-MUKONO'!F26</f>
        <v>18.571428571428569</v>
      </c>
      <c r="G26" s="49">
        <f>'Avg Week MUKONO-KALAGI'!G26+'Avg Week KALAGI-MUKONO'!G26</f>
        <v>0.42857142857142855</v>
      </c>
      <c r="H26" s="49">
        <f>'Avg Week MUKONO-KALAGI'!H26+'Avg Week KALAGI-MUKONO'!H26</f>
        <v>0.14285714285714285</v>
      </c>
      <c r="I26" s="49">
        <f>'Avg Week MUKONO-KALAGI'!I26+'Avg Week KALAGI-MUKONO'!I26</f>
        <v>7.4285714285714288</v>
      </c>
      <c r="J26" s="49">
        <f>'Avg Week MUKONO-KALAGI'!J26+'Avg Week KALAGI-MUKONO'!J26</f>
        <v>0.8571428571428571</v>
      </c>
      <c r="K26" s="49">
        <f>'Avg Week MUKONO-KALAGI'!K26+'Avg Week KALAGI-MUKONO'!K26</f>
        <v>0</v>
      </c>
      <c r="L26" s="49">
        <f>'Avg Week MUKONO-KALAGI'!L26+'Avg Week KALAGI-MUKONO'!L26</f>
        <v>0.2857142857142857</v>
      </c>
      <c r="M26" s="49">
        <f>'Avg Week MUKONO-KALAGI'!M26+'Avg Week KALAGI-MUKONO'!M26</f>
        <v>47.857142857142861</v>
      </c>
      <c r="N26" s="49">
        <f>'Avg Week MUKONO-KALAGI'!N26+'Avg Week KALAGI-MUKONO'!N26</f>
        <v>0</v>
      </c>
      <c r="O26" s="15">
        <f t="shared" si="0"/>
        <v>52.142857142857146</v>
      </c>
      <c r="P26" s="15">
        <f t="shared" si="1"/>
        <v>100</v>
      </c>
      <c r="R26" s="1" t="s">
        <v>150</v>
      </c>
      <c r="S26" s="34">
        <f>SUM(C74:C77)</f>
        <v>18.5</v>
      </c>
      <c r="T26" s="34">
        <f t="shared" ref="T26:AF26" si="18">SUM(D74:D77)</f>
        <v>2.5</v>
      </c>
      <c r="U26" s="34">
        <f t="shared" si="18"/>
        <v>2.5</v>
      </c>
      <c r="V26" s="34">
        <f t="shared" si="18"/>
        <v>20.5</v>
      </c>
      <c r="W26" s="34">
        <f t="shared" si="18"/>
        <v>0.5</v>
      </c>
      <c r="X26" s="34">
        <f t="shared" si="18"/>
        <v>0</v>
      </c>
      <c r="Y26" s="34">
        <f t="shared" si="18"/>
        <v>7.5</v>
      </c>
      <c r="Z26" s="34">
        <f t="shared" si="18"/>
        <v>2.5</v>
      </c>
      <c r="AA26" s="34">
        <f t="shared" si="18"/>
        <v>0.5</v>
      </c>
      <c r="AB26" s="34">
        <f t="shared" si="18"/>
        <v>0</v>
      </c>
      <c r="AC26" s="34">
        <f t="shared" si="18"/>
        <v>59.5</v>
      </c>
      <c r="AD26" s="34">
        <f t="shared" si="18"/>
        <v>0</v>
      </c>
      <c r="AE26" s="31">
        <f t="shared" si="18"/>
        <v>55</v>
      </c>
      <c r="AF26" s="31">
        <f t="shared" si="18"/>
        <v>114.5</v>
      </c>
    </row>
    <row r="27" spans="2:32" ht="23.1" customHeight="1" x14ac:dyDescent="0.25">
      <c r="B27" s="23" t="s">
        <v>54</v>
      </c>
      <c r="C27" s="49">
        <f>'Avg Week MUKONO-KALAGI'!C27+'Avg Week KALAGI-MUKONO'!C27</f>
        <v>12.571428571428571</v>
      </c>
      <c r="D27" s="49">
        <f>'Avg Week MUKONO-KALAGI'!D27+'Avg Week KALAGI-MUKONO'!D27</f>
        <v>3.4285714285714284</v>
      </c>
      <c r="E27" s="49">
        <f>'Avg Week MUKONO-KALAGI'!E27+'Avg Week KALAGI-MUKONO'!E27</f>
        <v>4.7142857142857135</v>
      </c>
      <c r="F27" s="49">
        <f>'Avg Week MUKONO-KALAGI'!F27+'Avg Week KALAGI-MUKONO'!F27</f>
        <v>18.571428571428573</v>
      </c>
      <c r="G27" s="49">
        <f>'Avg Week MUKONO-KALAGI'!G27+'Avg Week KALAGI-MUKONO'!G27</f>
        <v>0.2857142857142857</v>
      </c>
      <c r="H27" s="49">
        <f>'Avg Week MUKONO-KALAGI'!H27+'Avg Week KALAGI-MUKONO'!H27</f>
        <v>0</v>
      </c>
      <c r="I27" s="49">
        <f>'Avg Week MUKONO-KALAGI'!I27+'Avg Week KALAGI-MUKONO'!I27</f>
        <v>5</v>
      </c>
      <c r="J27" s="49">
        <f>'Avg Week MUKONO-KALAGI'!J27+'Avg Week KALAGI-MUKONO'!J27</f>
        <v>0.5714285714285714</v>
      </c>
      <c r="K27" s="49">
        <f>'Avg Week MUKONO-KALAGI'!K27+'Avg Week KALAGI-MUKONO'!K27</f>
        <v>0.42857142857142855</v>
      </c>
      <c r="L27" s="49">
        <f>'Avg Week MUKONO-KALAGI'!L27+'Avg Week KALAGI-MUKONO'!L27</f>
        <v>0.71428571428571419</v>
      </c>
      <c r="M27" s="49">
        <f>'Avg Week MUKONO-KALAGI'!M27+'Avg Week KALAGI-MUKONO'!M27</f>
        <v>44.571428571428569</v>
      </c>
      <c r="N27" s="49">
        <f>'Avg Week MUKONO-KALAGI'!N27+'Avg Week KALAGI-MUKONO'!N27</f>
        <v>0.14285714285714285</v>
      </c>
      <c r="O27" s="15">
        <f t="shared" si="0"/>
        <v>46.428571428571438</v>
      </c>
      <c r="P27" s="15">
        <f t="shared" si="1"/>
        <v>91</v>
      </c>
      <c r="R27" s="1" t="s">
        <v>151</v>
      </c>
      <c r="S27" s="34">
        <f>SUM(C78:C81)</f>
        <v>14.5</v>
      </c>
      <c r="T27" s="34">
        <f t="shared" ref="T27:AF27" si="19">SUM(D78:D81)</f>
        <v>4</v>
      </c>
      <c r="U27" s="34">
        <f t="shared" si="19"/>
        <v>1</v>
      </c>
      <c r="V27" s="34">
        <f t="shared" si="19"/>
        <v>7</v>
      </c>
      <c r="W27" s="34">
        <f t="shared" si="19"/>
        <v>0</v>
      </c>
      <c r="X27" s="34">
        <f t="shared" si="19"/>
        <v>0.5</v>
      </c>
      <c r="Y27" s="34">
        <f t="shared" si="19"/>
        <v>6</v>
      </c>
      <c r="Z27" s="34">
        <f t="shared" si="19"/>
        <v>1.5</v>
      </c>
      <c r="AA27" s="34">
        <f t="shared" si="19"/>
        <v>0</v>
      </c>
      <c r="AB27" s="34">
        <f t="shared" si="19"/>
        <v>0</v>
      </c>
      <c r="AC27" s="34">
        <f t="shared" si="19"/>
        <v>28.5</v>
      </c>
      <c r="AD27" s="34">
        <f t="shared" si="19"/>
        <v>0</v>
      </c>
      <c r="AE27" s="31">
        <f t="shared" si="19"/>
        <v>34.5</v>
      </c>
      <c r="AF27" s="31">
        <f t="shared" si="19"/>
        <v>63</v>
      </c>
    </row>
    <row r="28" spans="2:32" ht="23.1" customHeight="1" x14ac:dyDescent="0.25">
      <c r="B28" s="23" t="s">
        <v>55</v>
      </c>
      <c r="C28" s="49">
        <f>'Avg Week MUKONO-KALAGI'!C28+'Avg Week KALAGI-MUKONO'!C28</f>
        <v>16</v>
      </c>
      <c r="D28" s="49">
        <f>'Avg Week MUKONO-KALAGI'!D28+'Avg Week KALAGI-MUKONO'!D28</f>
        <v>5.1428571428571432</v>
      </c>
      <c r="E28" s="49">
        <f>'Avg Week MUKONO-KALAGI'!E28+'Avg Week KALAGI-MUKONO'!E28</f>
        <v>4.2857142857142856</v>
      </c>
      <c r="F28" s="49">
        <f>'Avg Week MUKONO-KALAGI'!F28+'Avg Week KALAGI-MUKONO'!F28</f>
        <v>17.857142857142854</v>
      </c>
      <c r="G28" s="49">
        <f>'Avg Week MUKONO-KALAGI'!G28+'Avg Week KALAGI-MUKONO'!G28</f>
        <v>0.14285714285714285</v>
      </c>
      <c r="H28" s="49">
        <f>'Avg Week MUKONO-KALAGI'!H28+'Avg Week KALAGI-MUKONO'!H28</f>
        <v>0</v>
      </c>
      <c r="I28" s="49">
        <f>'Avg Week MUKONO-KALAGI'!I28+'Avg Week KALAGI-MUKONO'!I28</f>
        <v>6.2857142857142856</v>
      </c>
      <c r="J28" s="49">
        <f>'Avg Week MUKONO-KALAGI'!J28+'Avg Week KALAGI-MUKONO'!J28</f>
        <v>1.4285714285714284</v>
      </c>
      <c r="K28" s="49">
        <f>'Avg Week MUKONO-KALAGI'!K28+'Avg Week KALAGI-MUKONO'!K28</f>
        <v>0.5714285714285714</v>
      </c>
      <c r="L28" s="49">
        <f>'Avg Week MUKONO-KALAGI'!L28+'Avg Week KALAGI-MUKONO'!L28</f>
        <v>0</v>
      </c>
      <c r="M28" s="49">
        <f>'Avg Week MUKONO-KALAGI'!M28+'Avg Week KALAGI-MUKONO'!M28</f>
        <v>46.142857142857139</v>
      </c>
      <c r="N28" s="49">
        <f>'Avg Week MUKONO-KALAGI'!N28+'Avg Week KALAGI-MUKONO'!N28</f>
        <v>0</v>
      </c>
      <c r="O28" s="15">
        <f t="shared" si="0"/>
        <v>51.714285714285708</v>
      </c>
      <c r="P28" s="15">
        <f t="shared" si="1"/>
        <v>97.857142857142847</v>
      </c>
      <c r="R28" s="1" t="s">
        <v>152</v>
      </c>
      <c r="S28" s="34">
        <f>SUM(C82:C85)</f>
        <v>0</v>
      </c>
      <c r="T28" s="34">
        <f t="shared" ref="T28:AF28" si="20">SUM(D82:D85)</f>
        <v>1.5</v>
      </c>
      <c r="U28" s="34">
        <f t="shared" si="20"/>
        <v>1</v>
      </c>
      <c r="V28" s="34">
        <f t="shared" si="20"/>
        <v>3</v>
      </c>
      <c r="W28" s="34">
        <f t="shared" si="20"/>
        <v>0</v>
      </c>
      <c r="X28" s="34">
        <f t="shared" si="20"/>
        <v>0.5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16.5</v>
      </c>
      <c r="AD28" s="34">
        <f t="shared" si="20"/>
        <v>0</v>
      </c>
      <c r="AE28" s="31">
        <f t="shared" si="20"/>
        <v>9</v>
      </c>
      <c r="AF28" s="31">
        <f t="shared" si="20"/>
        <v>25.5</v>
      </c>
    </row>
    <row r="29" spans="2:32" ht="23.1" customHeight="1" x14ac:dyDescent="0.25">
      <c r="B29" s="23" t="s">
        <v>56</v>
      </c>
      <c r="C29" s="49">
        <f>'Avg Week MUKONO-KALAGI'!C29+'Avg Week KALAGI-MUKONO'!C29</f>
        <v>15.142857142857142</v>
      </c>
      <c r="D29" s="49">
        <f>'Avg Week MUKONO-KALAGI'!D29+'Avg Week KALAGI-MUKONO'!D29</f>
        <v>4.4285714285714288</v>
      </c>
      <c r="E29" s="49">
        <f>'Avg Week MUKONO-KALAGI'!E29+'Avg Week KALAGI-MUKONO'!E29</f>
        <v>3.4285714285714284</v>
      </c>
      <c r="F29" s="49">
        <f>'Avg Week MUKONO-KALAGI'!F29+'Avg Week KALAGI-MUKONO'!F29</f>
        <v>17.714285714285715</v>
      </c>
      <c r="G29" s="49">
        <f>'Avg Week MUKONO-KALAGI'!G29+'Avg Week KALAGI-MUKONO'!G29</f>
        <v>0.2857142857142857</v>
      </c>
      <c r="H29" s="49">
        <f>'Avg Week MUKONO-KALAGI'!H29+'Avg Week KALAGI-MUKONO'!H29</f>
        <v>0</v>
      </c>
      <c r="I29" s="49">
        <f>'Avg Week MUKONO-KALAGI'!I29+'Avg Week KALAGI-MUKONO'!I29</f>
        <v>4.7142857142857144</v>
      </c>
      <c r="J29" s="49">
        <f>'Avg Week MUKONO-KALAGI'!J29+'Avg Week KALAGI-MUKONO'!J29</f>
        <v>1</v>
      </c>
      <c r="K29" s="49">
        <f>'Avg Week MUKONO-KALAGI'!K29+'Avg Week KALAGI-MUKONO'!K29</f>
        <v>0.5714285714285714</v>
      </c>
      <c r="L29" s="49">
        <f>'Avg Week MUKONO-KALAGI'!L29+'Avg Week KALAGI-MUKONO'!L29</f>
        <v>0.42857142857142855</v>
      </c>
      <c r="M29" s="49">
        <f>'Avg Week MUKONO-KALAGI'!M29+'Avg Week KALAGI-MUKONO'!M29</f>
        <v>44.857142857142861</v>
      </c>
      <c r="N29" s="49">
        <f>'Avg Week MUKONO-KALAGI'!N29+'Avg Week KALAGI-MUKONO'!N29</f>
        <v>0.14285714285714285</v>
      </c>
      <c r="O29" s="15">
        <f t="shared" si="0"/>
        <v>47.857142857142854</v>
      </c>
      <c r="P29" s="15">
        <f t="shared" si="1"/>
        <v>92.714285714285708</v>
      </c>
      <c r="R29" s="1" t="s">
        <v>153</v>
      </c>
      <c r="S29" s="34">
        <f>SUM(C86:C89)</f>
        <v>0</v>
      </c>
      <c r="T29" s="34">
        <f t="shared" ref="T29:AF29" si="21">SUM(D86:D89)</f>
        <v>1.5</v>
      </c>
      <c r="U29" s="34">
        <f t="shared" si="21"/>
        <v>1.5</v>
      </c>
      <c r="V29" s="34">
        <f t="shared" si="21"/>
        <v>4</v>
      </c>
      <c r="W29" s="34">
        <f t="shared" si="21"/>
        <v>0.5</v>
      </c>
      <c r="X29" s="34">
        <f t="shared" si="21"/>
        <v>0.5</v>
      </c>
      <c r="Y29" s="34">
        <f t="shared" si="21"/>
        <v>3.5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10.5</v>
      </c>
      <c r="AD29" s="34">
        <f t="shared" si="21"/>
        <v>0</v>
      </c>
      <c r="AE29" s="31">
        <f t="shared" si="21"/>
        <v>11.5</v>
      </c>
      <c r="AF29" s="31">
        <f t="shared" si="21"/>
        <v>22</v>
      </c>
    </row>
    <row r="30" spans="2:32" ht="23.1" customHeight="1" x14ac:dyDescent="0.25">
      <c r="B30" s="23" t="s">
        <v>57</v>
      </c>
      <c r="C30" s="49">
        <f>'Avg Week MUKONO-KALAGI'!C30+'Avg Week KALAGI-MUKONO'!C30</f>
        <v>17.571428571428569</v>
      </c>
      <c r="D30" s="49">
        <f>'Avg Week MUKONO-KALAGI'!D30+'Avg Week KALAGI-MUKONO'!D30</f>
        <v>5.4285714285714288</v>
      </c>
      <c r="E30" s="49">
        <f>'Avg Week MUKONO-KALAGI'!E30+'Avg Week KALAGI-MUKONO'!E30</f>
        <v>4.1428571428571423</v>
      </c>
      <c r="F30" s="49">
        <f>'Avg Week MUKONO-KALAGI'!F30+'Avg Week KALAGI-MUKONO'!F30</f>
        <v>18.428571428571427</v>
      </c>
      <c r="G30" s="49">
        <f>'Avg Week MUKONO-KALAGI'!G30+'Avg Week KALAGI-MUKONO'!G30</f>
        <v>0</v>
      </c>
      <c r="H30" s="49">
        <f>'Avg Week MUKONO-KALAGI'!H30+'Avg Week KALAGI-MUKONO'!H30</f>
        <v>0.14285714285714285</v>
      </c>
      <c r="I30" s="49">
        <f>'Avg Week MUKONO-KALAGI'!I30+'Avg Week KALAGI-MUKONO'!I30</f>
        <v>6.2857142857142856</v>
      </c>
      <c r="J30" s="49">
        <f>'Avg Week MUKONO-KALAGI'!J30+'Avg Week KALAGI-MUKONO'!J30</f>
        <v>1.2857142857142856</v>
      </c>
      <c r="K30" s="49">
        <f>'Avg Week MUKONO-KALAGI'!K30+'Avg Week KALAGI-MUKONO'!K30</f>
        <v>1</v>
      </c>
      <c r="L30" s="49">
        <f>'Avg Week MUKONO-KALAGI'!L30+'Avg Week KALAGI-MUKONO'!L30</f>
        <v>0.42857142857142855</v>
      </c>
      <c r="M30" s="49">
        <f>'Avg Week MUKONO-KALAGI'!M30+'Avg Week KALAGI-MUKONO'!M30</f>
        <v>41</v>
      </c>
      <c r="N30" s="49">
        <f>'Avg Week MUKONO-KALAGI'!N30+'Avg Week KALAGI-MUKONO'!N30</f>
        <v>0</v>
      </c>
      <c r="O30" s="15">
        <f t="shared" si="0"/>
        <v>54.714285714285715</v>
      </c>
      <c r="P30" s="15">
        <f t="shared" si="1"/>
        <v>95.714285714285722</v>
      </c>
      <c r="R30" s="1" t="s">
        <v>154</v>
      </c>
      <c r="S30" s="34">
        <f>SUM(C90:C93)</f>
        <v>1.5</v>
      </c>
      <c r="T30" s="34">
        <f t="shared" ref="T30:AF30" si="22">SUM(D90:D93)</f>
        <v>1.5</v>
      </c>
      <c r="U30" s="34">
        <f t="shared" si="22"/>
        <v>0.5</v>
      </c>
      <c r="V30" s="34">
        <f t="shared" si="22"/>
        <v>6.5</v>
      </c>
      <c r="W30" s="34">
        <f t="shared" si="22"/>
        <v>1.5</v>
      </c>
      <c r="X30" s="34">
        <f t="shared" si="22"/>
        <v>0</v>
      </c>
      <c r="Y30" s="34">
        <f t="shared" si="22"/>
        <v>4.5</v>
      </c>
      <c r="Z30" s="34">
        <f t="shared" si="22"/>
        <v>3.5</v>
      </c>
      <c r="AA30" s="34">
        <f t="shared" si="22"/>
        <v>1</v>
      </c>
      <c r="AB30" s="34">
        <f t="shared" si="22"/>
        <v>0</v>
      </c>
      <c r="AC30" s="34">
        <f t="shared" si="22"/>
        <v>9</v>
      </c>
      <c r="AD30" s="34">
        <f t="shared" si="22"/>
        <v>0</v>
      </c>
      <c r="AE30" s="31">
        <f t="shared" si="22"/>
        <v>20.5</v>
      </c>
      <c r="AF30" s="31">
        <f t="shared" si="22"/>
        <v>29.5</v>
      </c>
    </row>
    <row r="31" spans="2:32" ht="23.1" customHeight="1" x14ac:dyDescent="0.25">
      <c r="B31" s="24" t="s">
        <v>58</v>
      </c>
      <c r="C31" s="49">
        <f>'Avg Week MUKONO-KALAGI'!C31+'Avg Week KALAGI-MUKONO'!C31</f>
        <v>14.857142857142858</v>
      </c>
      <c r="D31" s="49">
        <f>'Avg Week MUKONO-KALAGI'!D31+'Avg Week KALAGI-MUKONO'!D31</f>
        <v>5.5714285714285712</v>
      </c>
      <c r="E31" s="49">
        <f>'Avg Week MUKONO-KALAGI'!E31+'Avg Week KALAGI-MUKONO'!E31</f>
        <v>1.8571428571428572</v>
      </c>
      <c r="F31" s="49">
        <f>'Avg Week MUKONO-KALAGI'!F31+'Avg Week KALAGI-MUKONO'!F31</f>
        <v>18.428571428571431</v>
      </c>
      <c r="G31" s="49">
        <f>'Avg Week MUKONO-KALAGI'!G31+'Avg Week KALAGI-MUKONO'!G31</f>
        <v>0.42857142857142855</v>
      </c>
      <c r="H31" s="49">
        <f>'Avg Week MUKONO-KALAGI'!H31+'Avg Week KALAGI-MUKONO'!H31</f>
        <v>0</v>
      </c>
      <c r="I31" s="49">
        <f>'Avg Week MUKONO-KALAGI'!I31+'Avg Week KALAGI-MUKONO'!I31</f>
        <v>6.5714285714285712</v>
      </c>
      <c r="J31" s="49">
        <f>'Avg Week MUKONO-KALAGI'!J31+'Avg Week KALAGI-MUKONO'!J31</f>
        <v>0.8571428571428571</v>
      </c>
      <c r="K31" s="49">
        <f>'Avg Week MUKONO-KALAGI'!K31+'Avg Week KALAGI-MUKONO'!K31</f>
        <v>0.2857142857142857</v>
      </c>
      <c r="L31" s="49">
        <f>'Avg Week MUKONO-KALAGI'!L31+'Avg Week KALAGI-MUKONO'!L31</f>
        <v>0.2857142857142857</v>
      </c>
      <c r="M31" s="49">
        <f>'Avg Week MUKONO-KALAGI'!M31+'Avg Week KALAGI-MUKONO'!M31</f>
        <v>47.857142857142861</v>
      </c>
      <c r="N31" s="49">
        <f>'Avg Week MUKONO-KALAGI'!N31+'Avg Week KALAGI-MUKONO'!N31</f>
        <v>0</v>
      </c>
      <c r="O31" s="15">
        <f t="shared" si="0"/>
        <v>49.142857142857146</v>
      </c>
      <c r="P31" s="15">
        <f t="shared" si="1"/>
        <v>97</v>
      </c>
      <c r="R31" s="1" t="s">
        <v>155</v>
      </c>
      <c r="S31" s="34">
        <f>SUM(C94:C97)</f>
        <v>2.5</v>
      </c>
      <c r="T31" s="34">
        <f t="shared" ref="T31:AF31" si="23">SUM(D94:D97)</f>
        <v>2.5</v>
      </c>
      <c r="U31" s="34">
        <f t="shared" si="23"/>
        <v>4</v>
      </c>
      <c r="V31" s="34">
        <f t="shared" si="23"/>
        <v>20.5</v>
      </c>
      <c r="W31" s="34">
        <f t="shared" si="23"/>
        <v>1.5</v>
      </c>
      <c r="X31" s="34">
        <f t="shared" si="23"/>
        <v>0</v>
      </c>
      <c r="Y31" s="34">
        <f t="shared" si="23"/>
        <v>10.5</v>
      </c>
      <c r="Z31" s="34">
        <f t="shared" si="23"/>
        <v>2</v>
      </c>
      <c r="AA31" s="34">
        <f t="shared" si="23"/>
        <v>1</v>
      </c>
      <c r="AB31" s="34">
        <f t="shared" si="23"/>
        <v>0</v>
      </c>
      <c r="AC31" s="34">
        <f t="shared" si="23"/>
        <v>9</v>
      </c>
      <c r="AD31" s="34">
        <f t="shared" si="23"/>
        <v>0</v>
      </c>
      <c r="AE31" s="31">
        <f t="shared" si="23"/>
        <v>44.5</v>
      </c>
      <c r="AF31" s="31">
        <f t="shared" si="23"/>
        <v>53.5</v>
      </c>
    </row>
    <row r="32" spans="2:32" ht="23.1" customHeight="1" x14ac:dyDescent="0.25">
      <c r="B32" s="24" t="s">
        <v>59</v>
      </c>
      <c r="C32" s="49">
        <f>'Avg Week MUKONO-KALAGI'!C32+'Avg Week KALAGI-MUKONO'!C32</f>
        <v>16.857142857142858</v>
      </c>
      <c r="D32" s="49">
        <f>'Avg Week MUKONO-KALAGI'!D32+'Avg Week KALAGI-MUKONO'!D32</f>
        <v>5.5714285714285712</v>
      </c>
      <c r="E32" s="49">
        <f>'Avg Week MUKONO-KALAGI'!E32+'Avg Week KALAGI-MUKONO'!E32</f>
        <v>3.2857142857142856</v>
      </c>
      <c r="F32" s="49">
        <f>'Avg Week MUKONO-KALAGI'!F32+'Avg Week KALAGI-MUKONO'!F32</f>
        <v>17</v>
      </c>
      <c r="G32" s="49">
        <f>'Avg Week MUKONO-KALAGI'!G32+'Avg Week KALAGI-MUKONO'!G32</f>
        <v>0.14285714285714285</v>
      </c>
      <c r="H32" s="49">
        <f>'Avg Week MUKONO-KALAGI'!H32+'Avg Week KALAGI-MUKONO'!H32</f>
        <v>0</v>
      </c>
      <c r="I32" s="49">
        <f>'Avg Week MUKONO-KALAGI'!I32+'Avg Week KALAGI-MUKONO'!I32</f>
        <v>4.8571428571428577</v>
      </c>
      <c r="J32" s="49">
        <f>'Avg Week MUKONO-KALAGI'!J32+'Avg Week KALAGI-MUKONO'!J32</f>
        <v>0.5714285714285714</v>
      </c>
      <c r="K32" s="49">
        <f>'Avg Week MUKONO-KALAGI'!K32+'Avg Week KALAGI-MUKONO'!K32</f>
        <v>0.14285714285714285</v>
      </c>
      <c r="L32" s="49">
        <f>'Avg Week MUKONO-KALAGI'!L32+'Avg Week KALAGI-MUKONO'!L32</f>
        <v>0</v>
      </c>
      <c r="M32" s="49">
        <f>'Avg Week MUKONO-KALAGI'!M32+'Avg Week KALAGI-MUKONO'!M32</f>
        <v>48.571428571428569</v>
      </c>
      <c r="N32" s="49">
        <f>'Avg Week MUKONO-KALAGI'!N32+'Avg Week KALAGI-MUKONO'!N32</f>
        <v>0</v>
      </c>
      <c r="O32" s="15">
        <f t="shared" si="0"/>
        <v>48.428571428571438</v>
      </c>
      <c r="P32" s="15">
        <f t="shared" si="1"/>
        <v>97</v>
      </c>
      <c r="R32" s="1" t="s">
        <v>156</v>
      </c>
      <c r="S32" s="34">
        <f>SUM(C98:C101)</f>
        <v>23</v>
      </c>
      <c r="T32" s="34">
        <f t="shared" ref="T32:AF32" si="24">SUM(D98:D101)</f>
        <v>3.5</v>
      </c>
      <c r="U32" s="34">
        <f t="shared" si="24"/>
        <v>5.5</v>
      </c>
      <c r="V32" s="34">
        <f t="shared" si="24"/>
        <v>36.5</v>
      </c>
      <c r="W32" s="34">
        <f t="shared" si="24"/>
        <v>0</v>
      </c>
      <c r="X32" s="34">
        <f t="shared" si="24"/>
        <v>2</v>
      </c>
      <c r="Y32" s="34">
        <f t="shared" si="24"/>
        <v>12</v>
      </c>
      <c r="Z32" s="34">
        <f t="shared" si="24"/>
        <v>0</v>
      </c>
      <c r="AA32" s="34">
        <f t="shared" si="24"/>
        <v>0</v>
      </c>
      <c r="AB32" s="34">
        <f t="shared" si="24"/>
        <v>2.5</v>
      </c>
      <c r="AC32" s="34">
        <f t="shared" si="24"/>
        <v>31</v>
      </c>
      <c r="AD32" s="34">
        <f t="shared" si="24"/>
        <v>0</v>
      </c>
      <c r="AE32" s="31">
        <f t="shared" si="24"/>
        <v>85</v>
      </c>
      <c r="AF32" s="31">
        <f t="shared" si="24"/>
        <v>116</v>
      </c>
    </row>
    <row r="33" spans="2:32" ht="23.1" customHeight="1" x14ac:dyDescent="0.25">
      <c r="B33" s="23" t="s">
        <v>60</v>
      </c>
      <c r="C33" s="49">
        <f>'Avg Week MUKONO-KALAGI'!C33+'Avg Week KALAGI-MUKONO'!C33</f>
        <v>16.142857142857142</v>
      </c>
      <c r="D33" s="49">
        <f>'Avg Week MUKONO-KALAGI'!D33+'Avg Week KALAGI-MUKONO'!D33</f>
        <v>5.1428571428571423</v>
      </c>
      <c r="E33" s="49">
        <f>'Avg Week MUKONO-KALAGI'!E33+'Avg Week KALAGI-MUKONO'!E33</f>
        <v>4.4285714285714288</v>
      </c>
      <c r="F33" s="49">
        <f>'Avg Week MUKONO-KALAGI'!F33+'Avg Week KALAGI-MUKONO'!F33</f>
        <v>16.428571428571431</v>
      </c>
      <c r="G33" s="49">
        <f>'Avg Week MUKONO-KALAGI'!G33+'Avg Week KALAGI-MUKONO'!G33</f>
        <v>0.42857142857142855</v>
      </c>
      <c r="H33" s="49">
        <f>'Avg Week MUKONO-KALAGI'!H33+'Avg Week KALAGI-MUKONO'!H33</f>
        <v>0</v>
      </c>
      <c r="I33" s="49">
        <f>'Avg Week MUKONO-KALAGI'!I33+'Avg Week KALAGI-MUKONO'!I33</f>
        <v>5.8571428571428577</v>
      </c>
      <c r="J33" s="49">
        <f>'Avg Week MUKONO-KALAGI'!J33+'Avg Week KALAGI-MUKONO'!J33</f>
        <v>0.71428571428571419</v>
      </c>
      <c r="K33" s="49">
        <f>'Avg Week MUKONO-KALAGI'!K33+'Avg Week KALAGI-MUKONO'!K33</f>
        <v>0.2857142857142857</v>
      </c>
      <c r="L33" s="49">
        <f>'Avg Week MUKONO-KALAGI'!L33+'Avg Week KALAGI-MUKONO'!L33</f>
        <v>0.14285714285714285</v>
      </c>
      <c r="M33" s="49">
        <f>'Avg Week MUKONO-KALAGI'!M33+'Avg Week KALAGI-MUKONO'!M33</f>
        <v>44.714285714285715</v>
      </c>
      <c r="N33" s="49">
        <f>'Avg Week MUKONO-KALAGI'!N33+'Avg Week KALAGI-MUKONO'!N33</f>
        <v>0</v>
      </c>
      <c r="O33" s="15">
        <f t="shared" si="0"/>
        <v>49.571428571428577</v>
      </c>
      <c r="P33" s="15">
        <f t="shared" si="1"/>
        <v>94.285714285714292</v>
      </c>
      <c r="R33" s="1" t="s">
        <v>157</v>
      </c>
      <c r="S33" s="34">
        <f>SUM(C102:C105)</f>
        <v>31</v>
      </c>
      <c r="T33" s="34">
        <f t="shared" ref="T33:AF33" si="25">SUM(D102:D105)</f>
        <v>8.5</v>
      </c>
      <c r="U33" s="34">
        <f t="shared" si="25"/>
        <v>10</v>
      </c>
      <c r="V33" s="34">
        <f t="shared" si="25"/>
        <v>57</v>
      </c>
      <c r="W33" s="34">
        <f t="shared" si="25"/>
        <v>5.5</v>
      </c>
      <c r="X33" s="34">
        <f t="shared" si="25"/>
        <v>0</v>
      </c>
      <c r="Y33" s="34">
        <f t="shared" si="25"/>
        <v>25</v>
      </c>
      <c r="Z33" s="34">
        <f t="shared" si="25"/>
        <v>1.5</v>
      </c>
      <c r="AA33" s="34">
        <f t="shared" si="25"/>
        <v>0.5</v>
      </c>
      <c r="AB33" s="34">
        <f t="shared" si="25"/>
        <v>1.5</v>
      </c>
      <c r="AC33" s="34">
        <f t="shared" si="25"/>
        <v>87.5</v>
      </c>
      <c r="AD33" s="34">
        <f t="shared" si="25"/>
        <v>0</v>
      </c>
      <c r="AE33" s="31">
        <f t="shared" si="25"/>
        <v>140.5</v>
      </c>
      <c r="AF33" s="31">
        <f t="shared" si="25"/>
        <v>228</v>
      </c>
    </row>
    <row r="34" spans="2:32" ht="23.1" customHeight="1" x14ac:dyDescent="0.25">
      <c r="B34" s="24" t="s">
        <v>61</v>
      </c>
      <c r="C34" s="49">
        <f>'Avg Week MUKONO-KALAGI'!C34+'Avg Week KALAGI-MUKONO'!C34</f>
        <v>16.857142857142858</v>
      </c>
      <c r="D34" s="49">
        <f>'Avg Week MUKONO-KALAGI'!D34+'Avg Week KALAGI-MUKONO'!D34</f>
        <v>5.4285714285714288</v>
      </c>
      <c r="E34" s="49">
        <f>'Avg Week MUKONO-KALAGI'!E34+'Avg Week KALAGI-MUKONO'!E34</f>
        <v>4.7142857142857144</v>
      </c>
      <c r="F34" s="49">
        <f>'Avg Week MUKONO-KALAGI'!F34+'Avg Week KALAGI-MUKONO'!F34</f>
        <v>17.571428571428573</v>
      </c>
      <c r="G34" s="49">
        <f>'Avg Week MUKONO-KALAGI'!G34+'Avg Week KALAGI-MUKONO'!G34</f>
        <v>0.42857142857142855</v>
      </c>
      <c r="H34" s="49">
        <f>'Avg Week MUKONO-KALAGI'!H34+'Avg Week KALAGI-MUKONO'!H34</f>
        <v>0.14285714285714285</v>
      </c>
      <c r="I34" s="49">
        <f>'Avg Week MUKONO-KALAGI'!I34+'Avg Week KALAGI-MUKONO'!I34</f>
        <v>6.7142857142857135</v>
      </c>
      <c r="J34" s="49">
        <f>'Avg Week MUKONO-KALAGI'!J34+'Avg Week KALAGI-MUKONO'!J34</f>
        <v>1.2857142857142856</v>
      </c>
      <c r="K34" s="49">
        <f>'Avg Week MUKONO-KALAGI'!K34+'Avg Week KALAGI-MUKONO'!K34</f>
        <v>0.71428571428571419</v>
      </c>
      <c r="L34" s="49">
        <f>'Avg Week MUKONO-KALAGI'!L34+'Avg Week KALAGI-MUKONO'!L34</f>
        <v>0.14285714285714285</v>
      </c>
      <c r="M34" s="49">
        <f>'Avg Week MUKONO-KALAGI'!M34+'Avg Week KALAGI-MUKONO'!M34</f>
        <v>41</v>
      </c>
      <c r="N34" s="49">
        <f>'Avg Week MUKONO-KALAGI'!N34+'Avg Week KALAGI-MUKONO'!N34</f>
        <v>0</v>
      </c>
      <c r="O34" s="15">
        <f t="shared" si="0"/>
        <v>54.000000000000007</v>
      </c>
      <c r="P34" s="15">
        <f t="shared" si="1"/>
        <v>95</v>
      </c>
      <c r="R34" s="38" t="s">
        <v>90</v>
      </c>
      <c r="S34" s="39">
        <f t="shared" ref="S34:AF34" si="26">MAX(S10:S12)</f>
        <v>57.285714285714285</v>
      </c>
      <c r="T34" s="39">
        <f t="shared" si="26"/>
        <v>14.428571428571429</v>
      </c>
      <c r="U34" s="39">
        <f t="shared" si="26"/>
        <v>13.142857142857142</v>
      </c>
      <c r="V34" s="39">
        <f t="shared" si="26"/>
        <v>77.714285714285708</v>
      </c>
      <c r="W34" s="39">
        <f t="shared" si="26"/>
        <v>3.5714285714285712</v>
      </c>
      <c r="X34" s="39">
        <f t="shared" si="26"/>
        <v>0.2857142857142857</v>
      </c>
      <c r="Y34" s="39">
        <f t="shared" si="26"/>
        <v>22.571428571428573</v>
      </c>
      <c r="Z34" s="39">
        <f t="shared" si="26"/>
        <v>2.4285714285714288</v>
      </c>
      <c r="AA34" s="39">
        <f t="shared" si="26"/>
        <v>1.2857142857142856</v>
      </c>
      <c r="AB34" s="39">
        <f t="shared" si="26"/>
        <v>1.2857142857142856</v>
      </c>
      <c r="AC34" s="39">
        <f t="shared" si="26"/>
        <v>181.85714285714283</v>
      </c>
      <c r="AD34" s="39">
        <f t="shared" si="26"/>
        <v>0.2857142857142857</v>
      </c>
      <c r="AE34" s="40">
        <f t="shared" si="26"/>
        <v>182</v>
      </c>
      <c r="AF34" s="40">
        <f t="shared" si="26"/>
        <v>363.14285714285722</v>
      </c>
    </row>
    <row r="35" spans="2:32" ht="23.1" customHeight="1" x14ac:dyDescent="0.25">
      <c r="B35" s="24" t="s">
        <v>62</v>
      </c>
      <c r="C35" s="49">
        <f>'Avg Week MUKONO-KALAGI'!C35+'Avg Week KALAGI-MUKONO'!C35</f>
        <v>16.285714285714285</v>
      </c>
      <c r="D35" s="49">
        <f>'Avg Week MUKONO-KALAGI'!D35+'Avg Week KALAGI-MUKONO'!D35</f>
        <v>4</v>
      </c>
      <c r="E35" s="49">
        <f>'Avg Week MUKONO-KALAGI'!E35+'Avg Week KALAGI-MUKONO'!E35</f>
        <v>5.2857142857142856</v>
      </c>
      <c r="F35" s="49">
        <f>'Avg Week MUKONO-KALAGI'!F35+'Avg Week KALAGI-MUKONO'!F35</f>
        <v>18</v>
      </c>
      <c r="G35" s="49">
        <f>'Avg Week MUKONO-KALAGI'!G35+'Avg Week KALAGI-MUKONO'!G35</f>
        <v>0.14285714285714285</v>
      </c>
      <c r="H35" s="49">
        <f>'Avg Week MUKONO-KALAGI'!H35+'Avg Week KALAGI-MUKONO'!H35</f>
        <v>0</v>
      </c>
      <c r="I35" s="49">
        <f>'Avg Week MUKONO-KALAGI'!I35+'Avg Week KALAGI-MUKONO'!I35</f>
        <v>5</v>
      </c>
      <c r="J35" s="49">
        <f>'Avg Week MUKONO-KALAGI'!J35+'Avg Week KALAGI-MUKONO'!J35</f>
        <v>0.42857142857142855</v>
      </c>
      <c r="K35" s="49">
        <f>'Avg Week MUKONO-KALAGI'!K35+'Avg Week KALAGI-MUKONO'!K35</f>
        <v>0.42857142857142855</v>
      </c>
      <c r="L35" s="49">
        <f>'Avg Week MUKONO-KALAGI'!L35+'Avg Week KALAGI-MUKONO'!L35</f>
        <v>0.2857142857142857</v>
      </c>
      <c r="M35" s="49">
        <f>'Avg Week MUKONO-KALAGI'!M35+'Avg Week KALAGI-MUKONO'!M35</f>
        <v>40</v>
      </c>
      <c r="N35" s="49">
        <f>'Avg Week MUKONO-KALAGI'!N35+'Avg Week KALAGI-MUKONO'!N35</f>
        <v>0</v>
      </c>
      <c r="O35" s="15">
        <f t="shared" si="0"/>
        <v>49.857142857142861</v>
      </c>
      <c r="P35" s="15">
        <f t="shared" si="1"/>
        <v>89.857142857142861</v>
      </c>
      <c r="R35" s="38" t="s">
        <v>91</v>
      </c>
      <c r="S35" s="39">
        <f t="shared" ref="S35:AF35" si="27">MAX(S13:S18)</f>
        <v>79.857142857142861</v>
      </c>
      <c r="T35" s="39">
        <f t="shared" si="27"/>
        <v>31.714285714285712</v>
      </c>
      <c r="U35" s="39">
        <f t="shared" si="27"/>
        <v>18</v>
      </c>
      <c r="V35" s="39">
        <f t="shared" si="27"/>
        <v>72.714285714285708</v>
      </c>
      <c r="W35" s="39">
        <f t="shared" si="27"/>
        <v>2.1428571428571428</v>
      </c>
      <c r="X35" s="39">
        <f t="shared" si="27"/>
        <v>0.2857142857142857</v>
      </c>
      <c r="Y35" s="39">
        <f t="shared" si="27"/>
        <v>24.142857142857146</v>
      </c>
      <c r="Z35" s="39">
        <f t="shared" si="27"/>
        <v>4.2857142857142856</v>
      </c>
      <c r="AA35" s="39">
        <f t="shared" si="27"/>
        <v>3</v>
      </c>
      <c r="AB35" s="39">
        <f t="shared" si="27"/>
        <v>2</v>
      </c>
      <c r="AC35" s="39">
        <f t="shared" si="27"/>
        <v>183.42857142857142</v>
      </c>
      <c r="AD35" s="39">
        <f t="shared" si="27"/>
        <v>0.42857142857142855</v>
      </c>
      <c r="AE35" s="40">
        <f t="shared" si="27"/>
        <v>227.71428571428572</v>
      </c>
      <c r="AF35" s="40">
        <f t="shared" si="27"/>
        <v>397.14285714285711</v>
      </c>
    </row>
    <row r="36" spans="2:32" ht="23.1" customHeight="1" x14ac:dyDescent="0.25">
      <c r="B36" s="24" t="s">
        <v>63</v>
      </c>
      <c r="C36" s="49">
        <f>'Avg Week MUKONO-KALAGI'!C36+'Avg Week KALAGI-MUKONO'!C36</f>
        <v>19.285714285714285</v>
      </c>
      <c r="D36" s="49">
        <f>'Avg Week MUKONO-KALAGI'!D36+'Avg Week KALAGI-MUKONO'!D36</f>
        <v>6</v>
      </c>
      <c r="E36" s="49">
        <f>'Avg Week MUKONO-KALAGI'!E36+'Avg Week KALAGI-MUKONO'!E36</f>
        <v>4.1428571428571432</v>
      </c>
      <c r="F36" s="49">
        <f>'Avg Week MUKONO-KALAGI'!F36+'Avg Week KALAGI-MUKONO'!F36</f>
        <v>17.571428571428569</v>
      </c>
      <c r="G36" s="49">
        <f>'Avg Week MUKONO-KALAGI'!G36+'Avg Week KALAGI-MUKONO'!G36</f>
        <v>0.2857142857142857</v>
      </c>
      <c r="H36" s="49">
        <f>'Avg Week MUKONO-KALAGI'!H36+'Avg Week KALAGI-MUKONO'!H36</f>
        <v>0</v>
      </c>
      <c r="I36" s="49">
        <f>'Avg Week MUKONO-KALAGI'!I36+'Avg Week KALAGI-MUKONO'!I36</f>
        <v>6</v>
      </c>
      <c r="J36" s="49">
        <f>'Avg Week MUKONO-KALAGI'!J36+'Avg Week KALAGI-MUKONO'!J36</f>
        <v>0.5714285714285714</v>
      </c>
      <c r="K36" s="49">
        <f>'Avg Week MUKONO-KALAGI'!K36+'Avg Week KALAGI-MUKONO'!K36</f>
        <v>0.42857142857142855</v>
      </c>
      <c r="L36" s="49">
        <f>'Avg Week MUKONO-KALAGI'!L36+'Avg Week KALAGI-MUKONO'!L36</f>
        <v>0.5714285714285714</v>
      </c>
      <c r="M36" s="49">
        <f>'Avg Week MUKONO-KALAGI'!M36+'Avg Week KALAGI-MUKONO'!M36</f>
        <v>46.285714285714285</v>
      </c>
      <c r="N36" s="49">
        <f>'Avg Week MUKONO-KALAGI'!N36+'Avg Week KALAGI-MUKONO'!N36</f>
        <v>0.14285714285714285</v>
      </c>
      <c r="O36" s="15">
        <f t="shared" si="0"/>
        <v>55</v>
      </c>
      <c r="P36" s="15">
        <f t="shared" si="1"/>
        <v>101.28571428571428</v>
      </c>
      <c r="R36" s="38" t="s">
        <v>92</v>
      </c>
      <c r="S36" s="39">
        <f t="shared" ref="S36:AF36" si="28">MAX(S19:S21)</f>
        <v>93.571428571428569</v>
      </c>
      <c r="T36" s="39">
        <f t="shared" si="28"/>
        <v>29.285714285714285</v>
      </c>
      <c r="U36" s="39">
        <f t="shared" si="28"/>
        <v>20.285714285714285</v>
      </c>
      <c r="V36" s="39">
        <f t="shared" si="28"/>
        <v>84</v>
      </c>
      <c r="W36" s="39">
        <f t="shared" si="28"/>
        <v>4</v>
      </c>
      <c r="X36" s="39">
        <f t="shared" si="28"/>
        <v>0.5714285714285714</v>
      </c>
      <c r="Y36" s="39">
        <f t="shared" si="28"/>
        <v>25</v>
      </c>
      <c r="Z36" s="39">
        <f t="shared" si="28"/>
        <v>4</v>
      </c>
      <c r="AA36" s="39">
        <f t="shared" si="28"/>
        <v>2.4285714285714284</v>
      </c>
      <c r="AB36" s="39">
        <f t="shared" si="28"/>
        <v>1.857142857142857</v>
      </c>
      <c r="AC36" s="39">
        <f t="shared" si="28"/>
        <v>204.71428571428572</v>
      </c>
      <c r="AD36" s="39">
        <f t="shared" si="28"/>
        <v>0.42857142857142855</v>
      </c>
      <c r="AE36" s="40">
        <f t="shared" si="28"/>
        <v>256.14285714285717</v>
      </c>
      <c r="AF36" s="40">
        <f t="shared" si="28"/>
        <v>460.85714285714283</v>
      </c>
    </row>
    <row r="37" spans="2:32" ht="23.1" customHeight="1" x14ac:dyDescent="0.25">
      <c r="B37" s="23" t="s">
        <v>64</v>
      </c>
      <c r="C37" s="49">
        <f>'Avg Week MUKONO-KALAGI'!C37+'Avg Week KALAGI-MUKONO'!C37</f>
        <v>19.142857142857142</v>
      </c>
      <c r="D37" s="49">
        <f>'Avg Week MUKONO-KALAGI'!D37+'Avg Week KALAGI-MUKONO'!D37</f>
        <v>3.4285714285714284</v>
      </c>
      <c r="E37" s="49">
        <f>'Avg Week MUKONO-KALAGI'!E37+'Avg Week KALAGI-MUKONO'!E37</f>
        <v>3.8571428571428572</v>
      </c>
      <c r="F37" s="49">
        <f>'Avg Week MUKONO-KALAGI'!F37+'Avg Week KALAGI-MUKONO'!F37</f>
        <v>17.857142857142858</v>
      </c>
      <c r="G37" s="49">
        <f>'Avg Week MUKONO-KALAGI'!G37+'Avg Week KALAGI-MUKONO'!G37</f>
        <v>0.42857142857142855</v>
      </c>
      <c r="H37" s="49">
        <f>'Avg Week MUKONO-KALAGI'!H37+'Avg Week KALAGI-MUKONO'!H37</f>
        <v>0.14285714285714285</v>
      </c>
      <c r="I37" s="49">
        <f>'Avg Week MUKONO-KALAGI'!I37+'Avg Week KALAGI-MUKONO'!I37</f>
        <v>6.4285714285714288</v>
      </c>
      <c r="J37" s="49">
        <f>'Avg Week MUKONO-KALAGI'!J37+'Avg Week KALAGI-MUKONO'!J37</f>
        <v>1.2857142857142856</v>
      </c>
      <c r="K37" s="49">
        <f>'Avg Week MUKONO-KALAGI'!K37+'Avg Week KALAGI-MUKONO'!K37</f>
        <v>0.5714285714285714</v>
      </c>
      <c r="L37" s="49">
        <f>'Avg Week MUKONO-KALAGI'!L37+'Avg Week KALAGI-MUKONO'!L37</f>
        <v>0.5714285714285714</v>
      </c>
      <c r="M37" s="49">
        <f>'Avg Week MUKONO-KALAGI'!M37+'Avg Week KALAGI-MUKONO'!M37</f>
        <v>45.285714285714292</v>
      </c>
      <c r="N37" s="49">
        <f>'Avg Week MUKONO-KALAGI'!N37+'Avg Week KALAGI-MUKONO'!N37</f>
        <v>0.14285714285714285</v>
      </c>
      <c r="O37" s="15">
        <f t="shared" si="0"/>
        <v>53.857142857142861</v>
      </c>
      <c r="P37" s="15">
        <f t="shared" si="1"/>
        <v>99.142857142857139</v>
      </c>
      <c r="R37" s="37" t="s">
        <v>85</v>
      </c>
      <c r="S37" s="35">
        <f t="shared" ref="S37:AF37" si="29">SUM(S10:S12)</f>
        <v>161.28571428571428</v>
      </c>
      <c r="T37" s="16">
        <f t="shared" si="29"/>
        <v>36.571428571428577</v>
      </c>
      <c r="U37" s="16">
        <f t="shared" si="29"/>
        <v>33</v>
      </c>
      <c r="V37" s="16">
        <f t="shared" si="29"/>
        <v>217.57142857142856</v>
      </c>
      <c r="W37" s="16">
        <f t="shared" si="29"/>
        <v>5.7142857142857135</v>
      </c>
      <c r="X37" s="16">
        <f t="shared" si="29"/>
        <v>0.5714285714285714</v>
      </c>
      <c r="Y37" s="16">
        <f t="shared" si="29"/>
        <v>57.571428571428569</v>
      </c>
      <c r="Z37" s="16">
        <f t="shared" si="29"/>
        <v>6.2857142857142856</v>
      </c>
      <c r="AA37" s="16">
        <f t="shared" si="29"/>
        <v>3.2857142857142856</v>
      </c>
      <c r="AB37" s="16">
        <f t="shared" si="29"/>
        <v>2.9999999999999996</v>
      </c>
      <c r="AC37" s="16">
        <f t="shared" si="29"/>
        <v>518.71428571428578</v>
      </c>
      <c r="AD37" s="16">
        <f t="shared" si="29"/>
        <v>0.5714285714285714</v>
      </c>
      <c r="AE37" s="32">
        <f t="shared" si="29"/>
        <v>525.42857142857144</v>
      </c>
      <c r="AF37" s="32">
        <f t="shared" si="29"/>
        <v>1044.1428571428573</v>
      </c>
    </row>
    <row r="38" spans="2:32" ht="23.1" customHeight="1" x14ac:dyDescent="0.25">
      <c r="B38" s="24" t="s">
        <v>65</v>
      </c>
      <c r="C38" s="49">
        <f>'Avg Week MUKONO-KALAGI'!C38+'Avg Week KALAGI-MUKONO'!C38</f>
        <v>19</v>
      </c>
      <c r="D38" s="49">
        <f>'Avg Week MUKONO-KALAGI'!D38+'Avg Week KALAGI-MUKONO'!D38</f>
        <v>4.5714285714285712</v>
      </c>
      <c r="E38" s="49">
        <f>'Avg Week MUKONO-KALAGI'!E38+'Avg Week KALAGI-MUKONO'!E38</f>
        <v>3.1428571428571432</v>
      </c>
      <c r="F38" s="49">
        <f>'Avg Week MUKONO-KALAGI'!F38+'Avg Week KALAGI-MUKONO'!F38</f>
        <v>18.571428571428569</v>
      </c>
      <c r="G38" s="49">
        <f>'Avg Week MUKONO-KALAGI'!G38+'Avg Week KALAGI-MUKONO'!G38</f>
        <v>0.2857142857142857</v>
      </c>
      <c r="H38" s="49">
        <f>'Avg Week MUKONO-KALAGI'!H38+'Avg Week KALAGI-MUKONO'!H38</f>
        <v>0</v>
      </c>
      <c r="I38" s="49">
        <f>'Avg Week MUKONO-KALAGI'!I38+'Avg Week KALAGI-MUKONO'!I38</f>
        <v>5.8571428571428577</v>
      </c>
      <c r="J38" s="49">
        <f>'Avg Week MUKONO-KALAGI'!J38+'Avg Week KALAGI-MUKONO'!J38</f>
        <v>0.2857142857142857</v>
      </c>
      <c r="K38" s="49">
        <f>'Avg Week MUKONO-KALAGI'!K38+'Avg Week KALAGI-MUKONO'!K38</f>
        <v>1</v>
      </c>
      <c r="L38" s="49">
        <f>'Avg Week MUKONO-KALAGI'!L38+'Avg Week KALAGI-MUKONO'!L38</f>
        <v>1</v>
      </c>
      <c r="M38" s="49">
        <f>'Avg Week MUKONO-KALAGI'!M38+'Avg Week KALAGI-MUKONO'!M38</f>
        <v>40.714285714285715</v>
      </c>
      <c r="N38" s="49">
        <f>'Avg Week MUKONO-KALAGI'!N38+'Avg Week KALAGI-MUKONO'!N38</f>
        <v>0.14285714285714285</v>
      </c>
      <c r="O38" s="15">
        <f t="shared" si="0"/>
        <v>53.857142857142847</v>
      </c>
      <c r="P38" s="15">
        <f t="shared" si="1"/>
        <v>94.571428571428555</v>
      </c>
      <c r="R38" s="28" t="s">
        <v>86</v>
      </c>
      <c r="S38" s="16">
        <f t="shared" ref="S38:AF38" si="30">SUM(S13:S18)</f>
        <v>416.85714285714289</v>
      </c>
      <c r="T38" s="16">
        <f t="shared" si="30"/>
        <v>127</v>
      </c>
      <c r="U38" s="16">
        <f t="shared" si="30"/>
        <v>91.142857142857139</v>
      </c>
      <c r="V38" s="16">
        <f t="shared" si="30"/>
        <v>429.42857142857139</v>
      </c>
      <c r="W38" s="16">
        <f t="shared" si="30"/>
        <v>8.7142857142857117</v>
      </c>
      <c r="X38" s="16">
        <f t="shared" si="30"/>
        <v>0.71428571428571419</v>
      </c>
      <c r="Y38" s="16">
        <f t="shared" si="30"/>
        <v>139.71428571428572</v>
      </c>
      <c r="Z38" s="16">
        <f t="shared" si="30"/>
        <v>19.142857142857142</v>
      </c>
      <c r="AA38" s="16">
        <f t="shared" si="30"/>
        <v>11.857142857142856</v>
      </c>
      <c r="AB38" s="16">
        <f t="shared" si="30"/>
        <v>9.2857142857142847</v>
      </c>
      <c r="AC38" s="16">
        <f t="shared" si="30"/>
        <v>1055.4285714285713</v>
      </c>
      <c r="AD38" s="16">
        <f t="shared" si="30"/>
        <v>1.2857142857142856</v>
      </c>
      <c r="AE38" s="32">
        <f t="shared" si="30"/>
        <v>1255.1428571428573</v>
      </c>
      <c r="AF38" s="32">
        <f t="shared" si="30"/>
        <v>2310.5714285714284</v>
      </c>
    </row>
    <row r="39" spans="2:32" ht="23.1" customHeight="1" x14ac:dyDescent="0.25">
      <c r="B39" s="24" t="s">
        <v>66</v>
      </c>
      <c r="C39" s="49">
        <f>'Avg Week MUKONO-KALAGI'!C39+'Avg Week KALAGI-MUKONO'!C39</f>
        <v>19.571428571428569</v>
      </c>
      <c r="D39" s="49">
        <f>'Avg Week MUKONO-KALAGI'!D39+'Avg Week KALAGI-MUKONO'!D39</f>
        <v>5.2857142857142856</v>
      </c>
      <c r="E39" s="49">
        <f>'Avg Week MUKONO-KALAGI'!E39+'Avg Week KALAGI-MUKONO'!E39</f>
        <v>2.2857142857142856</v>
      </c>
      <c r="F39" s="49">
        <f>'Avg Week MUKONO-KALAGI'!F39+'Avg Week KALAGI-MUKONO'!F39</f>
        <v>19.142857142857142</v>
      </c>
      <c r="G39" s="49">
        <f>'Avg Week MUKONO-KALAGI'!G39+'Avg Week KALAGI-MUKONO'!G39</f>
        <v>0.2857142857142857</v>
      </c>
      <c r="H39" s="49">
        <f>'Avg Week MUKONO-KALAGI'!H39+'Avg Week KALAGI-MUKONO'!H39</f>
        <v>0</v>
      </c>
      <c r="I39" s="49">
        <f>'Avg Week MUKONO-KALAGI'!I39+'Avg Week KALAGI-MUKONO'!I39</f>
        <v>5.8571428571428577</v>
      </c>
      <c r="J39" s="49">
        <f>'Avg Week MUKONO-KALAGI'!J39+'Avg Week KALAGI-MUKONO'!J39</f>
        <v>0.2857142857142857</v>
      </c>
      <c r="K39" s="49">
        <f>'Avg Week MUKONO-KALAGI'!K39+'Avg Week KALAGI-MUKONO'!K39</f>
        <v>0.5714285714285714</v>
      </c>
      <c r="L39" s="49">
        <f>'Avg Week MUKONO-KALAGI'!L39+'Avg Week KALAGI-MUKONO'!L39</f>
        <v>0.5714285714285714</v>
      </c>
      <c r="M39" s="49">
        <f>'Avg Week MUKONO-KALAGI'!M39+'Avg Week KALAGI-MUKONO'!M39</f>
        <v>45</v>
      </c>
      <c r="N39" s="49">
        <f>'Avg Week MUKONO-KALAGI'!N39+'Avg Week KALAGI-MUKONO'!N39</f>
        <v>0</v>
      </c>
      <c r="O39" s="15">
        <f t="shared" si="0"/>
        <v>53.85714285714284</v>
      </c>
      <c r="P39" s="15">
        <f t="shared" si="1"/>
        <v>98.857142857142833</v>
      </c>
      <c r="R39" s="29" t="s">
        <v>87</v>
      </c>
      <c r="S39" s="16">
        <f t="shared" ref="S39:AF39" si="31">SUM(S19:S21)</f>
        <v>256.85714285714283</v>
      </c>
      <c r="T39" s="16">
        <f t="shared" si="31"/>
        <v>74.857142857142847</v>
      </c>
      <c r="U39" s="16">
        <f t="shared" si="31"/>
        <v>56.857142857142854</v>
      </c>
      <c r="V39" s="16">
        <f t="shared" si="31"/>
        <v>249.14285714285714</v>
      </c>
      <c r="W39" s="16">
        <f t="shared" si="31"/>
        <v>9.2857142857142847</v>
      </c>
      <c r="X39" s="16">
        <f t="shared" si="31"/>
        <v>1.4285714285714284</v>
      </c>
      <c r="Y39" s="16">
        <f t="shared" si="31"/>
        <v>68.142857142857139</v>
      </c>
      <c r="Z39" s="16">
        <f t="shared" si="31"/>
        <v>10</v>
      </c>
      <c r="AA39" s="16">
        <f t="shared" si="31"/>
        <v>6.2857142857142847</v>
      </c>
      <c r="AB39" s="16">
        <f t="shared" si="31"/>
        <v>3.8571428571428568</v>
      </c>
      <c r="AC39" s="16">
        <f t="shared" si="31"/>
        <v>600.85714285714289</v>
      </c>
      <c r="AD39" s="16">
        <f t="shared" si="31"/>
        <v>0.71428571428571419</v>
      </c>
      <c r="AE39" s="32">
        <f t="shared" si="31"/>
        <v>737.42857142857156</v>
      </c>
      <c r="AF39" s="32">
        <f t="shared" si="31"/>
        <v>1338.2857142857142</v>
      </c>
    </row>
    <row r="40" spans="2:32" ht="23.1" customHeight="1" x14ac:dyDescent="0.25">
      <c r="B40" s="24" t="s">
        <v>67</v>
      </c>
      <c r="C40" s="49">
        <f>'Avg Week MUKONO-KALAGI'!C40+'Avg Week KALAGI-MUKONO'!C40</f>
        <v>18.285714285714285</v>
      </c>
      <c r="D40" s="49">
        <f>'Avg Week MUKONO-KALAGI'!D40+'Avg Week KALAGI-MUKONO'!D40</f>
        <v>5</v>
      </c>
      <c r="E40" s="49">
        <f>'Avg Week MUKONO-KALAGI'!E40+'Avg Week KALAGI-MUKONO'!E40</f>
        <v>3.2857142857142856</v>
      </c>
      <c r="F40" s="49">
        <f>'Avg Week MUKONO-KALAGI'!F40+'Avg Week KALAGI-MUKONO'!F40</f>
        <v>18</v>
      </c>
      <c r="G40" s="49">
        <f>'Avg Week MUKONO-KALAGI'!G40+'Avg Week KALAGI-MUKONO'!G40</f>
        <v>0.85714285714285721</v>
      </c>
      <c r="H40" s="49">
        <f>'Avg Week MUKONO-KALAGI'!H40+'Avg Week KALAGI-MUKONO'!H40</f>
        <v>0</v>
      </c>
      <c r="I40" s="49">
        <f>'Avg Week MUKONO-KALAGI'!I40+'Avg Week KALAGI-MUKONO'!I40</f>
        <v>5.2857142857142856</v>
      </c>
      <c r="J40" s="49">
        <f>'Avg Week MUKONO-KALAGI'!J40+'Avg Week KALAGI-MUKONO'!J40</f>
        <v>0.5714285714285714</v>
      </c>
      <c r="K40" s="49">
        <f>'Avg Week MUKONO-KALAGI'!K40+'Avg Week KALAGI-MUKONO'!K40</f>
        <v>0.5714285714285714</v>
      </c>
      <c r="L40" s="49">
        <f>'Avg Week MUKONO-KALAGI'!L40+'Avg Week KALAGI-MUKONO'!L40</f>
        <v>0.2857142857142857</v>
      </c>
      <c r="M40" s="49">
        <f>'Avg Week MUKONO-KALAGI'!M40+'Avg Week KALAGI-MUKONO'!M40</f>
        <v>46.285714285714285</v>
      </c>
      <c r="N40" s="49">
        <f>'Avg Week MUKONO-KALAGI'!N40+'Avg Week KALAGI-MUKONO'!N40</f>
        <v>0</v>
      </c>
      <c r="O40" s="15">
        <f t="shared" si="0"/>
        <v>52.142857142857132</v>
      </c>
      <c r="P40" s="15">
        <f t="shared" si="1"/>
        <v>98.428571428571416</v>
      </c>
      <c r="R40" s="5" t="s">
        <v>17</v>
      </c>
      <c r="S40" s="16">
        <f t="shared" ref="S40:AF40" si="32">SUM(S10:S21)</f>
        <v>835</v>
      </c>
      <c r="T40" s="16">
        <f t="shared" si="32"/>
        <v>238.42857142857144</v>
      </c>
      <c r="U40" s="16">
        <f t="shared" si="32"/>
        <v>180.99999999999997</v>
      </c>
      <c r="V40" s="16">
        <f t="shared" si="32"/>
        <v>896.14285714285711</v>
      </c>
      <c r="W40" s="16">
        <f t="shared" si="32"/>
        <v>23.714285714285715</v>
      </c>
      <c r="X40" s="16">
        <f t="shared" si="32"/>
        <v>2.7142857142857144</v>
      </c>
      <c r="Y40" s="16">
        <f t="shared" si="32"/>
        <v>265.42857142857144</v>
      </c>
      <c r="Z40" s="16">
        <f t="shared" si="32"/>
        <v>35.428571428571423</v>
      </c>
      <c r="AA40" s="16">
        <f t="shared" si="32"/>
        <v>21.428571428571427</v>
      </c>
      <c r="AB40" s="16">
        <f t="shared" si="32"/>
        <v>16.142857142857139</v>
      </c>
      <c r="AC40" s="16">
        <f t="shared" si="32"/>
        <v>2175</v>
      </c>
      <c r="AD40" s="16">
        <f t="shared" si="32"/>
        <v>2.5714285714285712</v>
      </c>
      <c r="AE40" s="32">
        <f t="shared" si="32"/>
        <v>2518</v>
      </c>
      <c r="AF40" s="32">
        <f t="shared" si="32"/>
        <v>4692.9999999999991</v>
      </c>
    </row>
    <row r="41" spans="2:32" ht="23.1" customHeight="1" x14ac:dyDescent="0.25">
      <c r="B41" s="23" t="s">
        <v>68</v>
      </c>
      <c r="C41" s="49">
        <f>'Avg Week MUKONO-KALAGI'!C41+'Avg Week KALAGI-MUKONO'!C41</f>
        <v>23</v>
      </c>
      <c r="D41" s="49">
        <f>'Avg Week MUKONO-KALAGI'!D41+'Avg Week KALAGI-MUKONO'!D41</f>
        <v>6.1428571428571423</v>
      </c>
      <c r="E41" s="49">
        <f>'Avg Week MUKONO-KALAGI'!E41+'Avg Week KALAGI-MUKONO'!E41</f>
        <v>5</v>
      </c>
      <c r="F41" s="49">
        <f>'Avg Week MUKONO-KALAGI'!F41+'Avg Week KALAGI-MUKONO'!F41</f>
        <v>16.857142857142858</v>
      </c>
      <c r="G41" s="49">
        <f>'Avg Week MUKONO-KALAGI'!G41+'Avg Week KALAGI-MUKONO'!G41</f>
        <v>0.71428571428571419</v>
      </c>
      <c r="H41" s="49">
        <f>'Avg Week MUKONO-KALAGI'!H41+'Avg Week KALAGI-MUKONO'!H41</f>
        <v>0</v>
      </c>
      <c r="I41" s="49">
        <f>'Avg Week MUKONO-KALAGI'!I41+'Avg Week KALAGI-MUKONO'!I41</f>
        <v>7</v>
      </c>
      <c r="J41" s="49">
        <f>'Avg Week MUKONO-KALAGI'!J41+'Avg Week KALAGI-MUKONO'!J41</f>
        <v>1</v>
      </c>
      <c r="K41" s="49">
        <f>'Avg Week MUKONO-KALAGI'!K41+'Avg Week KALAGI-MUKONO'!K41</f>
        <v>0.85714285714285721</v>
      </c>
      <c r="L41" s="49">
        <f>'Avg Week MUKONO-KALAGI'!L41+'Avg Week KALAGI-MUKONO'!L41</f>
        <v>0.14285714285714285</v>
      </c>
      <c r="M41" s="49">
        <f>'Avg Week MUKONO-KALAGI'!M41+'Avg Week KALAGI-MUKONO'!M41</f>
        <v>36.428571428571431</v>
      </c>
      <c r="N41" s="49">
        <f>'Avg Week MUKONO-KALAGI'!N41+'Avg Week KALAGI-MUKONO'!N41</f>
        <v>0</v>
      </c>
      <c r="O41" s="15">
        <f t="shared" si="0"/>
        <v>60.714285714285715</v>
      </c>
      <c r="P41" s="15">
        <f t="shared" si="1"/>
        <v>97.142857142857139</v>
      </c>
      <c r="R41" s="5" t="s">
        <v>177</v>
      </c>
      <c r="S41" s="16">
        <f>SUM(S10:S33)</f>
        <v>1134</v>
      </c>
      <c r="T41" s="16">
        <f t="shared" ref="T41:AD41" si="33">SUM(T10:T33)</f>
        <v>319.42857142857144</v>
      </c>
      <c r="U41" s="16">
        <f t="shared" si="33"/>
        <v>245.49999999999997</v>
      </c>
      <c r="V41" s="16">
        <f t="shared" si="33"/>
        <v>1307.6428571428571</v>
      </c>
      <c r="W41" s="16">
        <f t="shared" si="33"/>
        <v>43.214285714285715</v>
      </c>
      <c r="X41" s="16">
        <f t="shared" si="33"/>
        <v>8.2142857142857153</v>
      </c>
      <c r="Y41" s="16">
        <f t="shared" si="33"/>
        <v>411.42857142857144</v>
      </c>
      <c r="Z41" s="16">
        <f t="shared" si="33"/>
        <v>53.428571428571423</v>
      </c>
      <c r="AA41" s="16">
        <f t="shared" si="33"/>
        <v>26.928571428571427</v>
      </c>
      <c r="AB41" s="16">
        <f t="shared" si="33"/>
        <v>21.642857142857139</v>
      </c>
      <c r="AC41" s="16">
        <f t="shared" si="33"/>
        <v>3021.5</v>
      </c>
      <c r="AD41" s="16">
        <f t="shared" si="33"/>
        <v>3.0714285714285712</v>
      </c>
      <c r="AE41" s="32">
        <f>SUM(AE10:AE33)</f>
        <v>3574.5</v>
      </c>
      <c r="AF41" s="32">
        <f>SUM(AF10:AF33)</f>
        <v>6595.9999999999991</v>
      </c>
    </row>
    <row r="42" spans="2:32" ht="23.1" customHeight="1" x14ac:dyDescent="0.25">
      <c r="B42" s="24" t="s">
        <v>69</v>
      </c>
      <c r="C42" s="49">
        <f>'Avg Week MUKONO-KALAGI'!C42+'Avg Week KALAGI-MUKONO'!C42</f>
        <v>17.428571428571431</v>
      </c>
      <c r="D42" s="49">
        <f>'Avg Week MUKONO-KALAGI'!D42+'Avg Week KALAGI-MUKONO'!D42</f>
        <v>6.2857142857142865</v>
      </c>
      <c r="E42" s="49">
        <f>'Avg Week MUKONO-KALAGI'!E42+'Avg Week KALAGI-MUKONO'!E42</f>
        <v>3.5714285714285712</v>
      </c>
      <c r="F42" s="49">
        <f>'Avg Week MUKONO-KALAGI'!F42+'Avg Week KALAGI-MUKONO'!F42</f>
        <v>18.428571428571431</v>
      </c>
      <c r="G42" s="49">
        <f>'Avg Week MUKONO-KALAGI'!G42+'Avg Week KALAGI-MUKONO'!G42</f>
        <v>1.1428571428571428</v>
      </c>
      <c r="H42" s="49">
        <f>'Avg Week MUKONO-KALAGI'!H42+'Avg Week KALAGI-MUKONO'!H42</f>
        <v>0</v>
      </c>
      <c r="I42" s="49">
        <f>'Avg Week MUKONO-KALAGI'!I42+'Avg Week KALAGI-MUKONO'!I42</f>
        <v>6.1428571428571423</v>
      </c>
      <c r="J42" s="49">
        <f>'Avg Week MUKONO-KALAGI'!J42+'Avg Week KALAGI-MUKONO'!J42</f>
        <v>0.2857142857142857</v>
      </c>
      <c r="K42" s="49">
        <f>'Avg Week MUKONO-KALAGI'!K42+'Avg Week KALAGI-MUKONO'!K42</f>
        <v>0.14285714285714285</v>
      </c>
      <c r="L42" s="49">
        <f>'Avg Week MUKONO-KALAGI'!L42+'Avg Week KALAGI-MUKONO'!L42</f>
        <v>0.2857142857142857</v>
      </c>
      <c r="M42" s="49">
        <f>'Avg Week MUKONO-KALAGI'!M42+'Avg Week KALAGI-MUKONO'!M42</f>
        <v>33.571428571428569</v>
      </c>
      <c r="N42" s="49">
        <f>'Avg Week MUKONO-KALAGI'!N42+'Avg Week KALAGI-MUKONO'!N42</f>
        <v>0.2857142857142857</v>
      </c>
      <c r="O42" s="15">
        <f t="shared" si="0"/>
        <v>54</v>
      </c>
      <c r="P42" s="15">
        <f t="shared" si="1"/>
        <v>87.571428571428569</v>
      </c>
      <c r="R42" s="5" t="s">
        <v>160</v>
      </c>
      <c r="S42" s="48">
        <f>S41/S40</f>
        <v>1.3580838323353293</v>
      </c>
      <c r="T42" s="48">
        <f t="shared" ref="T42:AF42" si="34">T41/T40</f>
        <v>1.3397243858597963</v>
      </c>
      <c r="U42" s="48">
        <f t="shared" si="34"/>
        <v>1.3563535911602211</v>
      </c>
      <c r="V42" s="48">
        <f t="shared" si="34"/>
        <v>1.4591901801370954</v>
      </c>
      <c r="W42" s="48">
        <f t="shared" si="34"/>
        <v>1.822289156626506</v>
      </c>
      <c r="X42" s="48">
        <f t="shared" si="34"/>
        <v>3.0263157894736845</v>
      </c>
      <c r="Y42" s="48">
        <f t="shared" si="34"/>
        <v>1.55005382131324</v>
      </c>
      <c r="Z42" s="48">
        <f t="shared" si="34"/>
        <v>1.5080645161290323</v>
      </c>
      <c r="AA42" s="48">
        <f t="shared" si="34"/>
        <v>1.2566666666666666</v>
      </c>
      <c r="AB42" s="48">
        <f t="shared" si="34"/>
        <v>1.3407079646017701</v>
      </c>
      <c r="AC42" s="48">
        <f t="shared" si="34"/>
        <v>1.3891954022988506</v>
      </c>
      <c r="AD42" s="48">
        <f t="shared" si="34"/>
        <v>1.1944444444444444</v>
      </c>
      <c r="AE42" s="54">
        <f t="shared" si="34"/>
        <v>1.4195790309769658</v>
      </c>
      <c r="AF42" s="54">
        <f t="shared" si="34"/>
        <v>1.4054975495418709</v>
      </c>
    </row>
    <row r="43" spans="2:32" ht="23.1" customHeight="1" x14ac:dyDescent="0.25">
      <c r="B43" s="23" t="s">
        <v>70</v>
      </c>
      <c r="C43" s="49">
        <f>'Avg Week MUKONO-KALAGI'!C43+'Avg Week KALAGI-MUKONO'!C43</f>
        <v>20.571428571428569</v>
      </c>
      <c r="D43" s="49">
        <f>'Avg Week MUKONO-KALAGI'!D43+'Avg Week KALAGI-MUKONO'!D43</f>
        <v>10.714285714285715</v>
      </c>
      <c r="E43" s="49">
        <f>'Avg Week MUKONO-KALAGI'!E43+'Avg Week KALAGI-MUKONO'!E43</f>
        <v>3.2857142857142856</v>
      </c>
      <c r="F43" s="49">
        <f>'Avg Week MUKONO-KALAGI'!F43+'Avg Week KALAGI-MUKONO'!F43</f>
        <v>16</v>
      </c>
      <c r="G43" s="49">
        <f>'Avg Week MUKONO-KALAGI'!G43+'Avg Week KALAGI-MUKONO'!G43</f>
        <v>0.14285714285714285</v>
      </c>
      <c r="H43" s="49">
        <f>'Avg Week MUKONO-KALAGI'!H43+'Avg Week KALAGI-MUKONO'!H43</f>
        <v>0</v>
      </c>
      <c r="I43" s="49">
        <f>'Avg Week MUKONO-KALAGI'!I43+'Avg Week KALAGI-MUKONO'!I43</f>
        <v>6.8571428571428577</v>
      </c>
      <c r="J43" s="49">
        <f>'Avg Week MUKONO-KALAGI'!J43+'Avg Week KALAGI-MUKONO'!J43</f>
        <v>0.42857142857142855</v>
      </c>
      <c r="K43" s="49">
        <f>'Avg Week MUKONO-KALAGI'!K43+'Avg Week KALAGI-MUKONO'!K43</f>
        <v>0.8571428571428571</v>
      </c>
      <c r="L43" s="49">
        <f>'Avg Week MUKONO-KALAGI'!L43+'Avg Week KALAGI-MUKONO'!L43</f>
        <v>0.42857142857142855</v>
      </c>
      <c r="M43" s="49">
        <f>'Avg Week MUKONO-KALAGI'!M43+'Avg Week KALAGI-MUKONO'!M43</f>
        <v>43.571428571428569</v>
      </c>
      <c r="N43" s="49">
        <f>'Avg Week MUKONO-KALAGI'!N43+'Avg Week KALAGI-MUKONO'!N43</f>
        <v>0.14285714285714285</v>
      </c>
      <c r="O43" s="15">
        <f t="shared" si="0"/>
        <v>59.428571428571431</v>
      </c>
      <c r="P43" s="15">
        <f t="shared" si="1"/>
        <v>103</v>
      </c>
    </row>
    <row r="44" spans="2:32" ht="23.1" customHeight="1" x14ac:dyDescent="0.25">
      <c r="B44" s="25" t="s">
        <v>71</v>
      </c>
      <c r="C44" s="49">
        <f>'Avg Week MUKONO-KALAGI'!C44+'Avg Week KALAGI-MUKONO'!C44</f>
        <v>20.285714285714285</v>
      </c>
      <c r="D44" s="49">
        <f>'Avg Week MUKONO-KALAGI'!D44+'Avg Week KALAGI-MUKONO'!D44</f>
        <v>7.5714285714285712</v>
      </c>
      <c r="E44" s="49">
        <f>'Avg Week MUKONO-KALAGI'!E44+'Avg Week KALAGI-MUKONO'!E44</f>
        <v>4.2857142857142856</v>
      </c>
      <c r="F44" s="49">
        <f>'Avg Week MUKONO-KALAGI'!F44+'Avg Week KALAGI-MUKONO'!F44</f>
        <v>18.857142857142854</v>
      </c>
      <c r="G44" s="49">
        <f>'Avg Week MUKONO-KALAGI'!G44+'Avg Week KALAGI-MUKONO'!G44</f>
        <v>0.2857142857142857</v>
      </c>
      <c r="H44" s="49">
        <f>'Avg Week MUKONO-KALAGI'!H44+'Avg Week KALAGI-MUKONO'!H44</f>
        <v>0</v>
      </c>
      <c r="I44" s="49">
        <f>'Avg Week MUKONO-KALAGI'!I44+'Avg Week KALAGI-MUKONO'!I44</f>
        <v>5.4285714285714288</v>
      </c>
      <c r="J44" s="49">
        <f>'Avg Week MUKONO-KALAGI'!J44+'Avg Week KALAGI-MUKONO'!J44</f>
        <v>0.8571428571428571</v>
      </c>
      <c r="K44" s="49">
        <f>'Avg Week MUKONO-KALAGI'!K44+'Avg Week KALAGI-MUKONO'!K44</f>
        <v>0.42857142857142855</v>
      </c>
      <c r="L44" s="49">
        <f>'Avg Week MUKONO-KALAGI'!L44+'Avg Week KALAGI-MUKONO'!L44</f>
        <v>1</v>
      </c>
      <c r="M44" s="49">
        <f>'Avg Week MUKONO-KALAGI'!M44+'Avg Week KALAGI-MUKONO'!M44</f>
        <v>46.142857142857146</v>
      </c>
      <c r="N44" s="49">
        <f>'Avg Week MUKONO-KALAGI'!N44+'Avg Week KALAGI-MUKONO'!N44</f>
        <v>0</v>
      </c>
      <c r="O44" s="15">
        <f t="shared" si="0"/>
        <v>58.999999999999993</v>
      </c>
      <c r="P44" s="15">
        <f t="shared" si="1"/>
        <v>105.14285714285714</v>
      </c>
    </row>
    <row r="45" spans="2:32" ht="23.1" customHeight="1" x14ac:dyDescent="0.25">
      <c r="B45" s="23" t="s">
        <v>72</v>
      </c>
      <c r="C45" s="49">
        <f>'Avg Week MUKONO-KALAGI'!C45+'Avg Week KALAGI-MUKONO'!C45</f>
        <v>19.142857142857142</v>
      </c>
      <c r="D45" s="49">
        <f>'Avg Week MUKONO-KALAGI'!D45+'Avg Week KALAGI-MUKONO'!D45</f>
        <v>7.1428571428571423</v>
      </c>
      <c r="E45" s="49">
        <f>'Avg Week MUKONO-KALAGI'!E45+'Avg Week KALAGI-MUKONO'!E45</f>
        <v>4.4285714285714288</v>
      </c>
      <c r="F45" s="49">
        <f>'Avg Week MUKONO-KALAGI'!F45+'Avg Week KALAGI-MUKONO'!F45</f>
        <v>18.714285714285715</v>
      </c>
      <c r="G45" s="49">
        <f>'Avg Week MUKONO-KALAGI'!G45+'Avg Week KALAGI-MUKONO'!G45</f>
        <v>0.2857142857142857</v>
      </c>
      <c r="H45" s="49">
        <f>'Avg Week MUKONO-KALAGI'!H45+'Avg Week KALAGI-MUKONO'!H45</f>
        <v>0</v>
      </c>
      <c r="I45" s="49">
        <f>'Avg Week MUKONO-KALAGI'!I45+'Avg Week KALAGI-MUKONO'!I45</f>
        <v>5.1428571428571423</v>
      </c>
      <c r="J45" s="49">
        <f>'Avg Week MUKONO-KALAGI'!J45+'Avg Week KALAGI-MUKONO'!J45</f>
        <v>0.2857142857142857</v>
      </c>
      <c r="K45" s="49">
        <f>'Avg Week MUKONO-KALAGI'!K45+'Avg Week KALAGI-MUKONO'!K45</f>
        <v>0.14285714285714285</v>
      </c>
      <c r="L45" s="49">
        <f>'Avg Week MUKONO-KALAGI'!L45+'Avg Week KALAGI-MUKONO'!L45</f>
        <v>0</v>
      </c>
      <c r="M45" s="49">
        <f>'Avg Week MUKONO-KALAGI'!M45+'Avg Week KALAGI-MUKONO'!M45</f>
        <v>46.142857142857146</v>
      </c>
      <c r="N45" s="49">
        <f>'Avg Week MUKONO-KALAGI'!N45+'Avg Week KALAGI-MUKONO'!N45</f>
        <v>0</v>
      </c>
      <c r="O45" s="15">
        <f t="shared" si="0"/>
        <v>55.285714285714292</v>
      </c>
      <c r="P45" s="15">
        <f t="shared" si="1"/>
        <v>101.42857142857144</v>
      </c>
    </row>
    <row r="46" spans="2:32" ht="23.1" customHeight="1" x14ac:dyDescent="0.25">
      <c r="B46" s="24" t="s">
        <v>73</v>
      </c>
      <c r="C46" s="49">
        <f>'Avg Week MUKONO-KALAGI'!C46+'Avg Week KALAGI-MUKONO'!C46</f>
        <v>21</v>
      </c>
      <c r="D46" s="49">
        <f>'Avg Week MUKONO-KALAGI'!D46+'Avg Week KALAGI-MUKONO'!D46</f>
        <v>6.2857142857142865</v>
      </c>
      <c r="E46" s="49">
        <f>'Avg Week MUKONO-KALAGI'!E46+'Avg Week KALAGI-MUKONO'!E46</f>
        <v>4.5714285714285712</v>
      </c>
      <c r="F46" s="49">
        <f>'Avg Week MUKONO-KALAGI'!F46+'Avg Week KALAGI-MUKONO'!F46</f>
        <v>19.285714285714285</v>
      </c>
      <c r="G46" s="49">
        <f>'Avg Week MUKONO-KALAGI'!G46+'Avg Week KALAGI-MUKONO'!G46</f>
        <v>0.71428571428571419</v>
      </c>
      <c r="H46" s="49">
        <f>'Avg Week MUKONO-KALAGI'!H46+'Avg Week KALAGI-MUKONO'!H46</f>
        <v>0.42857142857142855</v>
      </c>
      <c r="I46" s="49">
        <f>'Avg Week MUKONO-KALAGI'!I46+'Avg Week KALAGI-MUKONO'!I46</f>
        <v>5.8571428571428577</v>
      </c>
      <c r="J46" s="49">
        <f>'Avg Week MUKONO-KALAGI'!J46+'Avg Week KALAGI-MUKONO'!J46</f>
        <v>1.2857142857142856</v>
      </c>
      <c r="K46" s="49">
        <f>'Avg Week MUKONO-KALAGI'!K46+'Avg Week KALAGI-MUKONO'!K46</f>
        <v>0.5714285714285714</v>
      </c>
      <c r="L46" s="49">
        <f>'Avg Week MUKONO-KALAGI'!L46+'Avg Week KALAGI-MUKONO'!L46</f>
        <v>0.2857142857142857</v>
      </c>
      <c r="M46" s="49">
        <f>'Avg Week MUKONO-KALAGI'!M46+'Avg Week KALAGI-MUKONO'!M46</f>
        <v>46.428571428571431</v>
      </c>
      <c r="N46" s="49">
        <f>'Avg Week MUKONO-KALAGI'!N46+'Avg Week KALAGI-MUKONO'!N46</f>
        <v>0</v>
      </c>
      <c r="O46" s="15">
        <f t="shared" si="0"/>
        <v>60.285714285714278</v>
      </c>
      <c r="P46" s="15">
        <f t="shared" si="1"/>
        <v>106.71428571428571</v>
      </c>
      <c r="R46" s="8"/>
      <c r="T46"/>
    </row>
    <row r="47" spans="2:32" ht="23.1" customHeight="1" x14ac:dyDescent="0.25">
      <c r="B47" s="24" t="s">
        <v>74</v>
      </c>
      <c r="C47" s="49">
        <f>'Avg Week MUKONO-KALAGI'!C47+'Avg Week KALAGI-MUKONO'!C47</f>
        <v>22</v>
      </c>
      <c r="D47" s="49">
        <f>'Avg Week MUKONO-KALAGI'!D47+'Avg Week KALAGI-MUKONO'!D47</f>
        <v>6</v>
      </c>
      <c r="E47" s="49">
        <f>'Avg Week MUKONO-KALAGI'!E47+'Avg Week KALAGI-MUKONO'!E47</f>
        <v>4.4285714285714288</v>
      </c>
      <c r="F47" s="49">
        <f>'Avg Week MUKONO-KALAGI'!F47+'Avg Week KALAGI-MUKONO'!F47</f>
        <v>22.571428571428569</v>
      </c>
      <c r="G47" s="49">
        <f>'Avg Week MUKONO-KALAGI'!G47+'Avg Week KALAGI-MUKONO'!G47</f>
        <v>2</v>
      </c>
      <c r="H47" s="49">
        <f>'Avg Week MUKONO-KALAGI'!H47+'Avg Week KALAGI-MUKONO'!H47</f>
        <v>0</v>
      </c>
      <c r="I47" s="49">
        <f>'Avg Week MUKONO-KALAGI'!I47+'Avg Week KALAGI-MUKONO'!I47</f>
        <v>6.7142857142857135</v>
      </c>
      <c r="J47" s="49">
        <f>'Avg Week MUKONO-KALAGI'!J47+'Avg Week KALAGI-MUKONO'!J47</f>
        <v>1.1428571428571428</v>
      </c>
      <c r="K47" s="49">
        <f>'Avg Week MUKONO-KALAGI'!K47+'Avg Week KALAGI-MUKONO'!K47</f>
        <v>0.42857142857142855</v>
      </c>
      <c r="L47" s="49">
        <f>'Avg Week MUKONO-KALAGI'!L47+'Avg Week KALAGI-MUKONO'!L47</f>
        <v>0.2857142857142857</v>
      </c>
      <c r="M47" s="49">
        <f>'Avg Week MUKONO-KALAGI'!M47+'Avg Week KALAGI-MUKONO'!M47</f>
        <v>49.571428571428569</v>
      </c>
      <c r="N47" s="49">
        <f>'Avg Week MUKONO-KALAGI'!N47+'Avg Week KALAGI-MUKONO'!N47</f>
        <v>0</v>
      </c>
      <c r="O47" s="15">
        <f t="shared" si="0"/>
        <v>65.571428571428584</v>
      </c>
      <c r="P47" s="15">
        <f t="shared" si="1"/>
        <v>115.14285714285715</v>
      </c>
      <c r="R47" s="8"/>
      <c r="T47"/>
    </row>
    <row r="48" spans="2:32" ht="23.1" customHeight="1" x14ac:dyDescent="0.25">
      <c r="B48" s="24" t="s">
        <v>75</v>
      </c>
      <c r="C48" s="49">
        <f>'Avg Week MUKONO-KALAGI'!C48+'Avg Week KALAGI-MUKONO'!C48</f>
        <v>21.714285714285715</v>
      </c>
      <c r="D48" s="49">
        <f>'Avg Week MUKONO-KALAGI'!D48+'Avg Week KALAGI-MUKONO'!D48</f>
        <v>6</v>
      </c>
      <c r="E48" s="49">
        <f>'Avg Week MUKONO-KALAGI'!E48+'Avg Week KALAGI-MUKONO'!E48</f>
        <v>4.2857142857142856</v>
      </c>
      <c r="F48" s="49">
        <f>'Avg Week MUKONO-KALAGI'!F48+'Avg Week KALAGI-MUKONO'!F48</f>
        <v>19.571428571428573</v>
      </c>
      <c r="G48" s="49">
        <f>'Avg Week MUKONO-KALAGI'!G48+'Avg Week KALAGI-MUKONO'!G48</f>
        <v>0.71428571428571419</v>
      </c>
      <c r="H48" s="49">
        <f>'Avg Week MUKONO-KALAGI'!H48+'Avg Week KALAGI-MUKONO'!H48</f>
        <v>0</v>
      </c>
      <c r="I48" s="49">
        <f>'Avg Week MUKONO-KALAGI'!I48+'Avg Week KALAGI-MUKONO'!I48</f>
        <v>6.4285714285714288</v>
      </c>
      <c r="J48" s="49">
        <f>'Avg Week MUKONO-KALAGI'!J48+'Avg Week KALAGI-MUKONO'!J48</f>
        <v>1</v>
      </c>
      <c r="K48" s="49">
        <f>'Avg Week MUKONO-KALAGI'!K48+'Avg Week KALAGI-MUKONO'!K48</f>
        <v>0.85714285714285721</v>
      </c>
      <c r="L48" s="49">
        <f>'Avg Week MUKONO-KALAGI'!L48+'Avg Week KALAGI-MUKONO'!L48</f>
        <v>0.42857142857142855</v>
      </c>
      <c r="M48" s="49">
        <f>'Avg Week MUKONO-KALAGI'!M48+'Avg Week KALAGI-MUKONO'!M48</f>
        <v>49.428571428571431</v>
      </c>
      <c r="N48" s="49">
        <f>'Avg Week MUKONO-KALAGI'!N48+'Avg Week KALAGI-MUKONO'!N48</f>
        <v>0</v>
      </c>
      <c r="O48" s="15">
        <f t="shared" si="0"/>
        <v>61</v>
      </c>
      <c r="P48" s="15">
        <f t="shared" si="1"/>
        <v>110.42857142857143</v>
      </c>
      <c r="R48" s="8"/>
      <c r="T48"/>
    </row>
    <row r="49" spans="2:20" ht="23.1" customHeight="1" x14ac:dyDescent="0.25">
      <c r="B49" s="23" t="s">
        <v>76</v>
      </c>
      <c r="C49" s="49">
        <f>'Avg Week MUKONO-KALAGI'!C49+'Avg Week KALAGI-MUKONO'!C49</f>
        <v>21.285714285714285</v>
      </c>
      <c r="D49" s="49">
        <f>'Avg Week MUKONO-KALAGI'!D49+'Avg Week KALAGI-MUKONO'!D49</f>
        <v>6.5714285714285712</v>
      </c>
      <c r="E49" s="49">
        <f>'Avg Week MUKONO-KALAGI'!E49+'Avg Week KALAGI-MUKONO'!E49</f>
        <v>4.5714285714285712</v>
      </c>
      <c r="F49" s="49">
        <f>'Avg Week MUKONO-KALAGI'!F49+'Avg Week KALAGI-MUKONO'!F49</f>
        <v>19.857142857142854</v>
      </c>
      <c r="G49" s="49">
        <f>'Avg Week MUKONO-KALAGI'!G49+'Avg Week KALAGI-MUKONO'!G49</f>
        <v>0.5714285714285714</v>
      </c>
      <c r="H49" s="49">
        <f>'Avg Week MUKONO-KALAGI'!H49+'Avg Week KALAGI-MUKONO'!H49</f>
        <v>0.14285714285714285</v>
      </c>
      <c r="I49" s="49">
        <f>'Avg Week MUKONO-KALAGI'!I49+'Avg Week KALAGI-MUKONO'!I49</f>
        <v>6</v>
      </c>
      <c r="J49" s="49">
        <f>'Avg Week MUKONO-KALAGI'!J49+'Avg Week KALAGI-MUKONO'!J49</f>
        <v>0.5714285714285714</v>
      </c>
      <c r="K49" s="49">
        <f>'Avg Week MUKONO-KALAGI'!K49+'Avg Week KALAGI-MUKONO'!K49</f>
        <v>0.42857142857142855</v>
      </c>
      <c r="L49" s="49">
        <f>'Avg Week MUKONO-KALAGI'!L49+'Avg Week KALAGI-MUKONO'!L49</f>
        <v>0.2857142857142857</v>
      </c>
      <c r="M49" s="49">
        <f>'Avg Week MUKONO-KALAGI'!M49+'Avg Week KALAGI-MUKONO'!M49</f>
        <v>51.285714285714285</v>
      </c>
      <c r="N49" s="49">
        <f>'Avg Week MUKONO-KALAGI'!N49+'Avg Week KALAGI-MUKONO'!N49</f>
        <v>0</v>
      </c>
      <c r="O49" s="15">
        <f t="shared" si="0"/>
        <v>60.285714285714278</v>
      </c>
      <c r="P49" s="15">
        <f t="shared" si="1"/>
        <v>111.57142857142856</v>
      </c>
      <c r="R49" s="8"/>
      <c r="T49"/>
    </row>
    <row r="50" spans="2:20" ht="23.1" customHeight="1" x14ac:dyDescent="0.25">
      <c r="B50" s="24" t="s">
        <v>77</v>
      </c>
      <c r="C50" s="49">
        <f>'Avg Week MUKONO-KALAGI'!C50+'Avg Week KALAGI-MUKONO'!C50</f>
        <v>24.714285714285715</v>
      </c>
      <c r="D50" s="49">
        <f>'Avg Week MUKONO-KALAGI'!D50+'Avg Week KALAGI-MUKONO'!D50</f>
        <v>5.4285714285714288</v>
      </c>
      <c r="E50" s="49">
        <f>'Avg Week MUKONO-KALAGI'!E50+'Avg Week KALAGI-MUKONO'!E50</f>
        <v>4.4285714285714288</v>
      </c>
      <c r="F50" s="49">
        <f>'Avg Week MUKONO-KALAGI'!F50+'Avg Week KALAGI-MUKONO'!F50</f>
        <v>20.857142857142858</v>
      </c>
      <c r="G50" s="49">
        <f>'Avg Week MUKONO-KALAGI'!G50+'Avg Week KALAGI-MUKONO'!G50</f>
        <v>0.42857142857142855</v>
      </c>
      <c r="H50" s="49">
        <f>'Avg Week MUKONO-KALAGI'!H50+'Avg Week KALAGI-MUKONO'!H50</f>
        <v>0</v>
      </c>
      <c r="I50" s="49">
        <f>'Avg Week MUKONO-KALAGI'!I50+'Avg Week KALAGI-MUKONO'!I50</f>
        <v>5.8571428571428577</v>
      </c>
      <c r="J50" s="49">
        <f>'Avg Week MUKONO-KALAGI'!J50+'Avg Week KALAGI-MUKONO'!J50</f>
        <v>0.85714285714285721</v>
      </c>
      <c r="K50" s="49">
        <f>'Avg Week MUKONO-KALAGI'!K50+'Avg Week KALAGI-MUKONO'!K50</f>
        <v>0.2857142857142857</v>
      </c>
      <c r="L50" s="49">
        <f>'Avg Week MUKONO-KALAGI'!L50+'Avg Week KALAGI-MUKONO'!L50</f>
        <v>0.2857142857142857</v>
      </c>
      <c r="M50" s="49">
        <f>'Avg Week MUKONO-KALAGI'!M50+'Avg Week KALAGI-MUKONO'!M50</f>
        <v>51</v>
      </c>
      <c r="N50" s="49">
        <f>'Avg Week MUKONO-KALAGI'!N50+'Avg Week KALAGI-MUKONO'!N50</f>
        <v>0.14285714285714285</v>
      </c>
      <c r="O50" s="15">
        <f t="shared" si="0"/>
        <v>63.285714285714292</v>
      </c>
      <c r="P50" s="15">
        <f t="shared" si="1"/>
        <v>114.28571428571428</v>
      </c>
      <c r="R50" s="8"/>
      <c r="T50"/>
    </row>
    <row r="51" spans="2:20" ht="23.1" customHeight="1" x14ac:dyDescent="0.25">
      <c r="B51" s="24" t="s">
        <v>78</v>
      </c>
      <c r="C51" s="49">
        <f>'Avg Week MUKONO-KALAGI'!C51+'Avg Week KALAGI-MUKONO'!C51</f>
        <v>22</v>
      </c>
      <c r="D51" s="49">
        <f>'Avg Week MUKONO-KALAGI'!D51+'Avg Week KALAGI-MUKONO'!D51</f>
        <v>8.5714285714285712</v>
      </c>
      <c r="E51" s="49">
        <f>'Avg Week MUKONO-KALAGI'!E51+'Avg Week KALAGI-MUKONO'!E51</f>
        <v>4.2857142857142856</v>
      </c>
      <c r="F51" s="49">
        <f>'Avg Week MUKONO-KALAGI'!F51+'Avg Week KALAGI-MUKONO'!F51</f>
        <v>21.428571428571431</v>
      </c>
      <c r="G51" s="49">
        <f>'Avg Week MUKONO-KALAGI'!G51+'Avg Week KALAGI-MUKONO'!G51</f>
        <v>1</v>
      </c>
      <c r="H51" s="49">
        <f>'Avg Week MUKONO-KALAGI'!H51+'Avg Week KALAGI-MUKONO'!H51</f>
        <v>0</v>
      </c>
      <c r="I51" s="49">
        <f>'Avg Week MUKONO-KALAGI'!I51+'Avg Week KALAGI-MUKONO'!I51</f>
        <v>5.4285714285714288</v>
      </c>
      <c r="J51" s="49">
        <f>'Avg Week MUKONO-KALAGI'!J51+'Avg Week KALAGI-MUKONO'!J51</f>
        <v>0.8571428571428571</v>
      </c>
      <c r="K51" s="49">
        <f>'Avg Week MUKONO-KALAGI'!K51+'Avg Week KALAGI-MUKONO'!K51</f>
        <v>0.5714285714285714</v>
      </c>
      <c r="L51" s="49">
        <f>'Avg Week MUKONO-KALAGI'!L51+'Avg Week KALAGI-MUKONO'!L51</f>
        <v>0.2857142857142857</v>
      </c>
      <c r="M51" s="49">
        <f>'Avg Week MUKONO-KALAGI'!M51+'Avg Week KALAGI-MUKONO'!M51</f>
        <v>51</v>
      </c>
      <c r="N51" s="49">
        <f>'Avg Week MUKONO-KALAGI'!N51+'Avg Week KALAGI-MUKONO'!N51</f>
        <v>0</v>
      </c>
      <c r="O51" s="15">
        <f t="shared" si="0"/>
        <v>64.428571428571431</v>
      </c>
      <c r="P51" s="15">
        <f t="shared" si="1"/>
        <v>115.42857142857143</v>
      </c>
      <c r="R51" s="8"/>
      <c r="T51"/>
    </row>
    <row r="52" spans="2:20" ht="23.1" customHeight="1" x14ac:dyDescent="0.25">
      <c r="B52" s="24" t="s">
        <v>79</v>
      </c>
      <c r="C52" s="49">
        <f>'Avg Week MUKONO-KALAGI'!C52+'Avg Week KALAGI-MUKONO'!C52</f>
        <v>23.714285714285715</v>
      </c>
      <c r="D52" s="49">
        <f>'Avg Week MUKONO-KALAGI'!D52+'Avg Week KALAGI-MUKONO'!D52</f>
        <v>8</v>
      </c>
      <c r="E52" s="49">
        <f>'Avg Week MUKONO-KALAGI'!E52+'Avg Week KALAGI-MUKONO'!E52</f>
        <v>5</v>
      </c>
      <c r="F52" s="49">
        <f>'Avg Week MUKONO-KALAGI'!F52+'Avg Week KALAGI-MUKONO'!F52</f>
        <v>20.285714285714285</v>
      </c>
      <c r="G52" s="49">
        <f>'Avg Week MUKONO-KALAGI'!G52+'Avg Week KALAGI-MUKONO'!G52</f>
        <v>0.5714285714285714</v>
      </c>
      <c r="H52" s="49">
        <f>'Avg Week MUKONO-KALAGI'!H52+'Avg Week KALAGI-MUKONO'!H52</f>
        <v>0.2857142857142857</v>
      </c>
      <c r="I52" s="49">
        <f>'Avg Week MUKONO-KALAGI'!I52+'Avg Week KALAGI-MUKONO'!I52</f>
        <v>4.5714285714285712</v>
      </c>
      <c r="J52" s="49">
        <f>'Avg Week MUKONO-KALAGI'!J52+'Avg Week KALAGI-MUKONO'!J52</f>
        <v>0.71428571428571419</v>
      </c>
      <c r="K52" s="49">
        <f>'Avg Week MUKONO-KALAGI'!K52+'Avg Week KALAGI-MUKONO'!K52</f>
        <v>0.14285714285714285</v>
      </c>
      <c r="L52" s="49">
        <f>'Avg Week MUKONO-KALAGI'!L52+'Avg Week KALAGI-MUKONO'!L52</f>
        <v>0.14285714285714285</v>
      </c>
      <c r="M52" s="49">
        <f>'Avg Week MUKONO-KALAGI'!M52+'Avg Week KALAGI-MUKONO'!M52</f>
        <v>53.428571428571431</v>
      </c>
      <c r="N52" s="49">
        <f>'Avg Week MUKONO-KALAGI'!N52+'Avg Week KALAGI-MUKONO'!N52</f>
        <v>0</v>
      </c>
      <c r="O52" s="15">
        <f t="shared" si="0"/>
        <v>63.428571428571431</v>
      </c>
      <c r="P52" s="15">
        <f t="shared" si="1"/>
        <v>116.85714285714286</v>
      </c>
      <c r="R52" s="8"/>
      <c r="T52"/>
    </row>
    <row r="53" spans="2:20" ht="23.1" customHeight="1" x14ac:dyDescent="0.25">
      <c r="B53" s="23" t="s">
        <v>80</v>
      </c>
      <c r="C53" s="49">
        <f>'Avg Week MUKONO-KALAGI'!C53+'Avg Week KALAGI-MUKONO'!C53</f>
        <v>23.142857142857142</v>
      </c>
      <c r="D53" s="49">
        <f>'Avg Week MUKONO-KALAGI'!D53+'Avg Week KALAGI-MUKONO'!D53</f>
        <v>7.2857142857142856</v>
      </c>
      <c r="E53" s="49">
        <f>'Avg Week MUKONO-KALAGI'!E53+'Avg Week KALAGI-MUKONO'!E53</f>
        <v>5</v>
      </c>
      <c r="F53" s="49">
        <f>'Avg Week MUKONO-KALAGI'!F53+'Avg Week KALAGI-MUKONO'!F53</f>
        <v>21.285714285714285</v>
      </c>
      <c r="G53" s="49">
        <f>'Avg Week MUKONO-KALAGI'!G53+'Avg Week KALAGI-MUKONO'!G53</f>
        <v>0.71428571428571419</v>
      </c>
      <c r="H53" s="49">
        <f>'Avg Week MUKONO-KALAGI'!H53+'Avg Week KALAGI-MUKONO'!H53</f>
        <v>0</v>
      </c>
      <c r="I53" s="49">
        <f>'Avg Week MUKONO-KALAGI'!I53+'Avg Week KALAGI-MUKONO'!I53</f>
        <v>6.4285714285714288</v>
      </c>
      <c r="J53" s="49">
        <f>'Avg Week MUKONO-KALAGI'!J53+'Avg Week KALAGI-MUKONO'!J53</f>
        <v>0.42857142857142855</v>
      </c>
      <c r="K53" s="49">
        <f>'Avg Week MUKONO-KALAGI'!K53+'Avg Week KALAGI-MUKONO'!K53</f>
        <v>0.5714285714285714</v>
      </c>
      <c r="L53" s="49">
        <f>'Avg Week MUKONO-KALAGI'!L53+'Avg Week KALAGI-MUKONO'!L53</f>
        <v>0</v>
      </c>
      <c r="M53" s="49">
        <f>'Avg Week MUKONO-KALAGI'!M53+'Avg Week KALAGI-MUKONO'!M53</f>
        <v>49.285714285714285</v>
      </c>
      <c r="N53" s="49">
        <f>'Avg Week MUKONO-KALAGI'!N53+'Avg Week KALAGI-MUKONO'!N53</f>
        <v>0.14285714285714285</v>
      </c>
      <c r="O53" s="15">
        <f t="shared" si="0"/>
        <v>65</v>
      </c>
      <c r="P53" s="15">
        <f t="shared" si="1"/>
        <v>114.28571428571428</v>
      </c>
      <c r="R53" s="8"/>
      <c r="T53"/>
    </row>
    <row r="54" spans="2:20" ht="23.1" customHeight="1" x14ac:dyDescent="0.25">
      <c r="B54" s="23" t="s">
        <v>81</v>
      </c>
      <c r="C54" s="49">
        <f>'Avg Week MUKONO-KALAGI'!C54+'Avg Week KALAGI-MUKONO'!C54</f>
        <v>19.714285714285715</v>
      </c>
      <c r="D54" s="49">
        <f>'Avg Week MUKONO-KALAGI'!D54+'Avg Week KALAGI-MUKONO'!D54</f>
        <v>6.8571428571428568</v>
      </c>
      <c r="E54" s="49">
        <f>'Avg Week MUKONO-KALAGI'!E54+'Avg Week KALAGI-MUKONO'!E54</f>
        <v>5.1428571428571423</v>
      </c>
      <c r="F54" s="49">
        <f>'Avg Week MUKONO-KALAGI'!F54+'Avg Week KALAGI-MUKONO'!F54</f>
        <v>19.428571428571431</v>
      </c>
      <c r="G54" s="49">
        <f>'Avg Week MUKONO-KALAGI'!G54+'Avg Week KALAGI-MUKONO'!G54</f>
        <v>0.71428571428571419</v>
      </c>
      <c r="H54" s="49">
        <f>'Avg Week MUKONO-KALAGI'!H54+'Avg Week KALAGI-MUKONO'!H54</f>
        <v>0</v>
      </c>
      <c r="I54" s="49">
        <f>'Avg Week MUKONO-KALAGI'!I54+'Avg Week KALAGI-MUKONO'!I54</f>
        <v>6.2857142857142856</v>
      </c>
      <c r="J54" s="49">
        <f>'Avg Week MUKONO-KALAGI'!J54+'Avg Week KALAGI-MUKONO'!J54</f>
        <v>1.2857142857142858</v>
      </c>
      <c r="K54" s="49">
        <f>'Avg Week MUKONO-KALAGI'!K54+'Avg Week KALAGI-MUKONO'!K54</f>
        <v>0.5714285714285714</v>
      </c>
      <c r="L54" s="49">
        <f>'Avg Week MUKONO-KALAGI'!L54+'Avg Week KALAGI-MUKONO'!L54</f>
        <v>0.14285714285714285</v>
      </c>
      <c r="M54" s="49">
        <f>'Avg Week MUKONO-KALAGI'!M54+'Avg Week KALAGI-MUKONO'!M54</f>
        <v>47.142857142857139</v>
      </c>
      <c r="N54" s="49">
        <f>'Avg Week MUKONO-KALAGI'!N54+'Avg Week KALAGI-MUKONO'!N54</f>
        <v>0</v>
      </c>
      <c r="O54" s="15">
        <f t="shared" si="0"/>
        <v>60.142857142857146</v>
      </c>
      <c r="P54" s="15">
        <f t="shared" si="1"/>
        <v>107.28571428571428</v>
      </c>
      <c r="R54" s="8"/>
      <c r="T54"/>
    </row>
    <row r="55" spans="2:20" ht="23.1" customHeight="1" x14ac:dyDescent="0.25">
      <c r="B55" s="23" t="s">
        <v>82</v>
      </c>
      <c r="C55" s="49">
        <f>'Avg Week MUKONO-KALAGI'!C55+'Avg Week KALAGI-MUKONO'!C55</f>
        <v>20.714285714285715</v>
      </c>
      <c r="D55" s="49">
        <f>'Avg Week MUKONO-KALAGI'!D55+'Avg Week KALAGI-MUKONO'!D55</f>
        <v>5.5714285714285712</v>
      </c>
      <c r="E55" s="49">
        <f>'Avg Week MUKONO-KALAGI'!E55+'Avg Week KALAGI-MUKONO'!E55</f>
        <v>6.4285714285714288</v>
      </c>
      <c r="F55" s="49">
        <f>'Avg Week MUKONO-KALAGI'!F55+'Avg Week KALAGI-MUKONO'!F55</f>
        <v>23.714285714285715</v>
      </c>
      <c r="G55" s="49">
        <f>'Avg Week MUKONO-KALAGI'!G55+'Avg Week KALAGI-MUKONO'!G55</f>
        <v>1</v>
      </c>
      <c r="H55" s="49">
        <f>'Avg Week MUKONO-KALAGI'!H55+'Avg Week KALAGI-MUKONO'!H55</f>
        <v>0.14285714285714285</v>
      </c>
      <c r="I55" s="49">
        <f>'Avg Week MUKONO-KALAGI'!I55+'Avg Week KALAGI-MUKONO'!I55</f>
        <v>5.2857142857142856</v>
      </c>
      <c r="J55" s="49">
        <f>'Avg Week MUKONO-KALAGI'!J55+'Avg Week KALAGI-MUKONO'!J55</f>
        <v>0.42857142857142855</v>
      </c>
      <c r="K55" s="49">
        <f>'Avg Week MUKONO-KALAGI'!K55+'Avg Week KALAGI-MUKONO'!K55</f>
        <v>0.14285714285714285</v>
      </c>
      <c r="L55" s="49">
        <f>'Avg Week MUKONO-KALAGI'!L55+'Avg Week KALAGI-MUKONO'!L55</f>
        <v>0.5714285714285714</v>
      </c>
      <c r="M55" s="49">
        <f>'Avg Week MUKONO-KALAGI'!M55+'Avg Week KALAGI-MUKONO'!M55</f>
        <v>51.142857142857139</v>
      </c>
      <c r="N55" s="49">
        <f>'Avg Week MUKONO-KALAGI'!N55+'Avg Week KALAGI-MUKONO'!N55</f>
        <v>0.42857142857142855</v>
      </c>
      <c r="O55" s="15">
        <f t="shared" si="0"/>
        <v>64.428571428571445</v>
      </c>
      <c r="P55" s="15">
        <f t="shared" si="1"/>
        <v>115.57142857142858</v>
      </c>
      <c r="R55" s="8"/>
      <c r="T55"/>
    </row>
    <row r="56" spans="2:20" ht="23.1" customHeight="1" x14ac:dyDescent="0.25">
      <c r="B56" s="23" t="s">
        <v>83</v>
      </c>
      <c r="C56" s="49">
        <f>'Avg Week MUKONO-KALAGI'!C56+'Avg Week KALAGI-MUKONO'!C56</f>
        <v>19.571428571428569</v>
      </c>
      <c r="D56" s="49">
        <f>'Avg Week MUKONO-KALAGI'!D56+'Avg Week KALAGI-MUKONO'!D56</f>
        <v>5</v>
      </c>
      <c r="E56" s="49">
        <f>'Avg Week MUKONO-KALAGI'!E56+'Avg Week KALAGI-MUKONO'!E56</f>
        <v>4.4285714285714288</v>
      </c>
      <c r="F56" s="49">
        <f>'Avg Week MUKONO-KALAGI'!F56+'Avg Week KALAGI-MUKONO'!F56</f>
        <v>20.571428571428569</v>
      </c>
      <c r="G56" s="49">
        <f>'Avg Week MUKONO-KALAGI'!G56+'Avg Week KALAGI-MUKONO'!G56</f>
        <v>0.14285714285714285</v>
      </c>
      <c r="H56" s="49">
        <f>'Avg Week MUKONO-KALAGI'!H56+'Avg Week KALAGI-MUKONO'!H56</f>
        <v>0</v>
      </c>
      <c r="I56" s="49">
        <f>'Avg Week MUKONO-KALAGI'!I56+'Avg Week KALAGI-MUKONO'!I56</f>
        <v>5</v>
      </c>
      <c r="J56" s="49">
        <f>'Avg Week MUKONO-KALAGI'!J56+'Avg Week KALAGI-MUKONO'!J56</f>
        <v>0.71428571428571419</v>
      </c>
      <c r="K56" s="49">
        <f>'Avg Week MUKONO-KALAGI'!K56+'Avg Week KALAGI-MUKONO'!K56</f>
        <v>0.14285714285714285</v>
      </c>
      <c r="L56" s="49">
        <f>'Avg Week MUKONO-KALAGI'!L56+'Avg Week KALAGI-MUKONO'!L56</f>
        <v>0.14285714285714285</v>
      </c>
      <c r="M56" s="49">
        <f>'Avg Week MUKONO-KALAGI'!M56+'Avg Week KALAGI-MUKONO'!M56</f>
        <v>52.428571428571431</v>
      </c>
      <c r="N56" s="49">
        <f>'Avg Week MUKONO-KALAGI'!N56+'Avg Week KALAGI-MUKONO'!N56</f>
        <v>0</v>
      </c>
      <c r="O56" s="15">
        <f t="shared" si="0"/>
        <v>55.714285714285722</v>
      </c>
      <c r="P56" s="15">
        <f t="shared" si="1"/>
        <v>108.14285714285715</v>
      </c>
      <c r="R56" s="8"/>
      <c r="T56"/>
    </row>
    <row r="57" spans="2:20" ht="23.1" customHeight="1" x14ac:dyDescent="0.25">
      <c r="B57" s="23" t="s">
        <v>84</v>
      </c>
      <c r="C57" s="49">
        <f>'Avg Week MUKONO-KALAGI'!C57+'Avg Week KALAGI-MUKONO'!C57</f>
        <v>17.285714285714285</v>
      </c>
      <c r="D57" s="49">
        <f>'Avg Week MUKONO-KALAGI'!D57+'Avg Week KALAGI-MUKONO'!D57</f>
        <v>3.2857142857142856</v>
      </c>
      <c r="E57" s="49">
        <f>'Avg Week MUKONO-KALAGI'!E57+'Avg Week KALAGI-MUKONO'!E57</f>
        <v>4.2857142857142856</v>
      </c>
      <c r="F57" s="49">
        <f>'Avg Week MUKONO-KALAGI'!F57+'Avg Week KALAGI-MUKONO'!F57</f>
        <v>20.285714285714285</v>
      </c>
      <c r="G57" s="49">
        <f>'Avg Week MUKONO-KALAGI'!G57+'Avg Week KALAGI-MUKONO'!G57</f>
        <v>0.71428571428571419</v>
      </c>
      <c r="H57" s="49">
        <f>'Avg Week MUKONO-KALAGI'!H57+'Avg Week KALAGI-MUKONO'!H57</f>
        <v>0.42857142857142855</v>
      </c>
      <c r="I57" s="49">
        <f>'Avg Week MUKONO-KALAGI'!I57+'Avg Week KALAGI-MUKONO'!I57</f>
        <v>4.2857142857142856</v>
      </c>
      <c r="J57" s="49">
        <f>'Avg Week MUKONO-KALAGI'!J57+'Avg Week KALAGI-MUKONO'!J57</f>
        <v>0.71428571428571419</v>
      </c>
      <c r="K57" s="49">
        <f>'Avg Week MUKONO-KALAGI'!K57+'Avg Week KALAGI-MUKONO'!K57</f>
        <v>1.5714285714285714</v>
      </c>
      <c r="L57" s="49">
        <f>'Avg Week MUKONO-KALAGI'!L57+'Avg Week KALAGI-MUKONO'!L57</f>
        <v>1</v>
      </c>
      <c r="M57" s="49">
        <f>'Avg Week MUKONO-KALAGI'!M57+'Avg Week KALAGI-MUKONO'!M57</f>
        <v>48.714285714285715</v>
      </c>
      <c r="N57" s="49">
        <f>'Avg Week MUKONO-KALAGI'!N57+'Avg Week KALAGI-MUKONO'!N57</f>
        <v>0</v>
      </c>
      <c r="O57" s="15">
        <f t="shared" si="0"/>
        <v>53.857142857142854</v>
      </c>
      <c r="P57" s="15">
        <f t="shared" si="1"/>
        <v>102.57142857142857</v>
      </c>
      <c r="R57" s="8"/>
      <c r="T57"/>
    </row>
    <row r="58" spans="2:20" ht="23.1" customHeight="1" x14ac:dyDescent="0.25">
      <c r="B58" s="23" t="s">
        <v>99</v>
      </c>
      <c r="C58" s="49">
        <f>'Avg Week MUKONO-KALAGI'!C58+'Avg Week KALAGI-MUKONO'!C58</f>
        <v>15.5</v>
      </c>
      <c r="D58" s="49">
        <f>'Avg Week MUKONO-KALAGI'!D58+'Avg Week KALAGI-MUKONO'!D58</f>
        <v>4.5</v>
      </c>
      <c r="E58" s="49">
        <f>'Avg Week MUKONO-KALAGI'!E58+'Avg Week KALAGI-MUKONO'!E58</f>
        <v>2</v>
      </c>
      <c r="F58" s="49">
        <f>'Avg Week MUKONO-KALAGI'!F58+'Avg Week KALAGI-MUKONO'!F58</f>
        <v>19.5</v>
      </c>
      <c r="G58" s="49">
        <f>'Avg Week MUKONO-KALAGI'!G58+'Avg Week KALAGI-MUKONO'!G58</f>
        <v>0.5</v>
      </c>
      <c r="H58" s="49">
        <f>'Avg Week MUKONO-KALAGI'!H58+'Avg Week KALAGI-MUKONO'!H58</f>
        <v>0</v>
      </c>
      <c r="I58" s="49">
        <f>'Avg Week MUKONO-KALAGI'!I58+'Avg Week KALAGI-MUKONO'!I58</f>
        <v>6</v>
      </c>
      <c r="J58" s="49">
        <f>'Avg Week MUKONO-KALAGI'!J58+'Avg Week KALAGI-MUKONO'!J58</f>
        <v>0</v>
      </c>
      <c r="K58" s="49">
        <f>'Avg Week MUKONO-KALAGI'!K58+'Avg Week KALAGI-MUKONO'!K58</f>
        <v>0</v>
      </c>
      <c r="L58" s="49">
        <f>'Avg Week MUKONO-KALAGI'!L58+'Avg Week KALAGI-MUKONO'!L58</f>
        <v>0.5</v>
      </c>
      <c r="M58" s="49">
        <f>'Avg Week MUKONO-KALAGI'!M58+'Avg Week KALAGI-MUKONO'!M58</f>
        <v>46.5</v>
      </c>
      <c r="N58" s="49">
        <f>'Avg Week MUKONO-KALAGI'!N58+'Avg Week KALAGI-MUKONO'!N58</f>
        <v>0</v>
      </c>
      <c r="O58" s="15">
        <f t="shared" si="0"/>
        <v>48.5</v>
      </c>
      <c r="P58" s="15">
        <f t="shared" si="1"/>
        <v>95</v>
      </c>
      <c r="R58" s="8"/>
      <c r="T58"/>
    </row>
    <row r="59" spans="2:20" ht="23.1" customHeight="1" x14ac:dyDescent="0.25">
      <c r="B59" s="23" t="s">
        <v>100</v>
      </c>
      <c r="C59" s="49">
        <f>'Avg Week MUKONO-KALAGI'!C59+'Avg Week KALAGI-MUKONO'!C59</f>
        <v>18.5</v>
      </c>
      <c r="D59" s="49">
        <f>'Avg Week MUKONO-KALAGI'!D59+'Avg Week KALAGI-MUKONO'!D59</f>
        <v>6.5</v>
      </c>
      <c r="E59" s="49">
        <f>'Avg Week MUKONO-KALAGI'!E59+'Avg Week KALAGI-MUKONO'!E59</f>
        <v>2.5</v>
      </c>
      <c r="F59" s="49">
        <f>'Avg Week MUKONO-KALAGI'!F59+'Avg Week KALAGI-MUKONO'!F59</f>
        <v>20.5</v>
      </c>
      <c r="G59" s="49">
        <f>'Avg Week MUKONO-KALAGI'!G59+'Avg Week KALAGI-MUKONO'!G59</f>
        <v>3</v>
      </c>
      <c r="H59" s="49">
        <f>'Avg Week MUKONO-KALAGI'!H59+'Avg Week KALAGI-MUKONO'!H59</f>
        <v>0</v>
      </c>
      <c r="I59" s="49">
        <f>'Avg Week MUKONO-KALAGI'!I59+'Avg Week KALAGI-MUKONO'!I59</f>
        <v>5</v>
      </c>
      <c r="J59" s="49">
        <f>'Avg Week MUKONO-KALAGI'!J59+'Avg Week KALAGI-MUKONO'!J59</f>
        <v>1</v>
      </c>
      <c r="K59" s="49">
        <f>'Avg Week MUKONO-KALAGI'!K59+'Avg Week KALAGI-MUKONO'!K59</f>
        <v>0</v>
      </c>
      <c r="L59" s="49">
        <f>'Avg Week MUKONO-KALAGI'!L59+'Avg Week KALAGI-MUKONO'!L59</f>
        <v>0</v>
      </c>
      <c r="M59" s="49">
        <f>'Avg Week MUKONO-KALAGI'!M59+'Avg Week KALAGI-MUKONO'!M59</f>
        <v>58.5</v>
      </c>
      <c r="N59" s="49">
        <f>'Avg Week MUKONO-KALAGI'!N59+'Avg Week KALAGI-MUKONO'!N59</f>
        <v>0</v>
      </c>
      <c r="O59" s="15">
        <f t="shared" si="0"/>
        <v>57</v>
      </c>
      <c r="P59" s="15">
        <f t="shared" si="1"/>
        <v>115.5</v>
      </c>
      <c r="R59" s="8"/>
      <c r="T59"/>
    </row>
    <row r="60" spans="2:20" ht="23.1" customHeight="1" x14ac:dyDescent="0.25">
      <c r="B60" s="23" t="s">
        <v>101</v>
      </c>
      <c r="C60" s="49">
        <f>'Avg Week MUKONO-KALAGI'!C60+'Avg Week KALAGI-MUKONO'!C60</f>
        <v>14</v>
      </c>
      <c r="D60" s="49">
        <f>'Avg Week MUKONO-KALAGI'!D60+'Avg Week KALAGI-MUKONO'!D60</f>
        <v>4.5</v>
      </c>
      <c r="E60" s="49">
        <f>'Avg Week MUKONO-KALAGI'!E60+'Avg Week KALAGI-MUKONO'!E60</f>
        <v>4</v>
      </c>
      <c r="F60" s="49">
        <f>'Avg Week MUKONO-KALAGI'!F60+'Avg Week KALAGI-MUKONO'!F60</f>
        <v>22</v>
      </c>
      <c r="G60" s="49">
        <f>'Avg Week MUKONO-KALAGI'!G60+'Avg Week KALAGI-MUKONO'!G60</f>
        <v>0.5</v>
      </c>
      <c r="H60" s="49">
        <f>'Avg Week MUKONO-KALAGI'!H60+'Avg Week KALAGI-MUKONO'!H60</f>
        <v>0</v>
      </c>
      <c r="I60" s="49">
        <f>'Avg Week MUKONO-KALAGI'!I60+'Avg Week KALAGI-MUKONO'!I60</f>
        <v>7</v>
      </c>
      <c r="J60" s="49">
        <f>'Avg Week MUKONO-KALAGI'!J60+'Avg Week KALAGI-MUKONO'!J60</f>
        <v>0</v>
      </c>
      <c r="K60" s="49">
        <f>'Avg Week MUKONO-KALAGI'!K60+'Avg Week KALAGI-MUKONO'!K60</f>
        <v>0.5</v>
      </c>
      <c r="L60" s="49">
        <f>'Avg Week MUKONO-KALAGI'!L60+'Avg Week KALAGI-MUKONO'!L60</f>
        <v>0</v>
      </c>
      <c r="M60" s="49">
        <f>'Avg Week MUKONO-KALAGI'!M60+'Avg Week KALAGI-MUKONO'!M60</f>
        <v>48.5</v>
      </c>
      <c r="N60" s="49">
        <f>'Avg Week MUKONO-KALAGI'!N60+'Avg Week KALAGI-MUKONO'!N60</f>
        <v>0.5</v>
      </c>
      <c r="O60" s="15">
        <f t="shared" si="0"/>
        <v>53</v>
      </c>
      <c r="P60" s="15">
        <f t="shared" si="1"/>
        <v>101.5</v>
      </c>
      <c r="R60" s="8"/>
      <c r="T60"/>
    </row>
    <row r="61" spans="2:20" ht="23.1" customHeight="1" x14ac:dyDescent="0.25">
      <c r="B61" s="23" t="s">
        <v>102</v>
      </c>
      <c r="C61" s="49">
        <f>'Avg Week MUKONO-KALAGI'!C61+'Avg Week KALAGI-MUKONO'!C61</f>
        <v>17</v>
      </c>
      <c r="D61" s="49">
        <f>'Avg Week MUKONO-KALAGI'!D61+'Avg Week KALAGI-MUKONO'!D61</f>
        <v>2</v>
      </c>
      <c r="E61" s="49">
        <f>'Avg Week MUKONO-KALAGI'!E61+'Avg Week KALAGI-MUKONO'!E61</f>
        <v>2</v>
      </c>
      <c r="F61" s="49">
        <f>'Avg Week MUKONO-KALAGI'!F61+'Avg Week KALAGI-MUKONO'!F61</f>
        <v>18.5</v>
      </c>
      <c r="G61" s="49">
        <f>'Avg Week MUKONO-KALAGI'!G61+'Avg Week KALAGI-MUKONO'!G61</f>
        <v>0</v>
      </c>
      <c r="H61" s="49">
        <f>'Avg Week MUKONO-KALAGI'!H61+'Avg Week KALAGI-MUKONO'!H61</f>
        <v>0.5</v>
      </c>
      <c r="I61" s="49">
        <f>'Avg Week MUKONO-KALAGI'!I61+'Avg Week KALAGI-MUKONO'!I61</f>
        <v>4.5</v>
      </c>
      <c r="J61" s="49">
        <f>'Avg Week MUKONO-KALAGI'!J61+'Avg Week KALAGI-MUKONO'!J61</f>
        <v>0</v>
      </c>
      <c r="K61" s="49">
        <f>'Avg Week MUKONO-KALAGI'!K61+'Avg Week KALAGI-MUKONO'!K61</f>
        <v>0.5</v>
      </c>
      <c r="L61" s="49">
        <f>'Avg Week MUKONO-KALAGI'!L61+'Avg Week KALAGI-MUKONO'!L61</f>
        <v>0</v>
      </c>
      <c r="M61" s="49">
        <f>'Avg Week MUKONO-KALAGI'!M61+'Avg Week KALAGI-MUKONO'!M61</f>
        <v>36.5</v>
      </c>
      <c r="N61" s="49">
        <f>'Avg Week MUKONO-KALAGI'!N61+'Avg Week KALAGI-MUKONO'!N61</f>
        <v>0</v>
      </c>
      <c r="O61" s="15">
        <f t="shared" si="0"/>
        <v>45</v>
      </c>
      <c r="P61" s="15">
        <f t="shared" si="1"/>
        <v>81.5</v>
      </c>
      <c r="R61" s="8"/>
      <c r="T61"/>
    </row>
    <row r="62" spans="2:20" ht="23.1" customHeight="1" x14ac:dyDescent="0.25">
      <c r="B62" s="23" t="s">
        <v>107</v>
      </c>
      <c r="C62" s="49">
        <f>'Avg Week MUKONO-KALAGI'!C62+'Avg Week KALAGI-MUKONO'!C62</f>
        <v>15.5</v>
      </c>
      <c r="D62" s="49">
        <f>'Avg Week MUKONO-KALAGI'!D62+'Avg Week KALAGI-MUKONO'!D62</f>
        <v>4</v>
      </c>
      <c r="E62" s="49">
        <f>'Avg Week MUKONO-KALAGI'!E62+'Avg Week KALAGI-MUKONO'!E62</f>
        <v>3.5</v>
      </c>
      <c r="F62" s="49">
        <f>'Avg Week MUKONO-KALAGI'!F62+'Avg Week KALAGI-MUKONO'!F62</f>
        <v>23.5</v>
      </c>
      <c r="G62" s="49">
        <f>'Avg Week MUKONO-KALAGI'!G62+'Avg Week KALAGI-MUKONO'!G62</f>
        <v>0</v>
      </c>
      <c r="H62" s="49">
        <f>'Avg Week MUKONO-KALAGI'!H62+'Avg Week KALAGI-MUKONO'!H62</f>
        <v>0</v>
      </c>
      <c r="I62" s="49">
        <f>'Avg Week MUKONO-KALAGI'!I62+'Avg Week KALAGI-MUKONO'!I62</f>
        <v>3.5</v>
      </c>
      <c r="J62" s="49">
        <f>'Avg Week MUKONO-KALAGI'!J62+'Avg Week KALAGI-MUKONO'!J62</f>
        <v>0.5</v>
      </c>
      <c r="K62" s="49">
        <f>'Avg Week MUKONO-KALAGI'!K62+'Avg Week KALAGI-MUKONO'!K62</f>
        <v>0</v>
      </c>
      <c r="L62" s="49">
        <f>'Avg Week MUKONO-KALAGI'!L62+'Avg Week KALAGI-MUKONO'!L62</f>
        <v>0</v>
      </c>
      <c r="M62" s="49">
        <f>'Avg Week MUKONO-KALAGI'!M62+'Avg Week KALAGI-MUKONO'!M62</f>
        <v>46.5</v>
      </c>
      <c r="N62" s="49">
        <f>'Avg Week MUKONO-KALAGI'!N62+'Avg Week KALAGI-MUKONO'!N62</f>
        <v>0</v>
      </c>
      <c r="O62" s="15">
        <f t="shared" si="0"/>
        <v>50.5</v>
      </c>
      <c r="P62" s="15">
        <f t="shared" si="1"/>
        <v>97</v>
      </c>
      <c r="R62" s="8"/>
      <c r="T62"/>
    </row>
    <row r="63" spans="2:20" ht="23.1" customHeight="1" x14ac:dyDescent="0.25">
      <c r="B63" s="23" t="s">
        <v>108</v>
      </c>
      <c r="C63" s="49">
        <f>'Avg Week MUKONO-KALAGI'!C63+'Avg Week KALAGI-MUKONO'!C63</f>
        <v>19</v>
      </c>
      <c r="D63" s="49">
        <f>'Avg Week MUKONO-KALAGI'!D63+'Avg Week KALAGI-MUKONO'!D63</f>
        <v>8.5</v>
      </c>
      <c r="E63" s="49">
        <f>'Avg Week MUKONO-KALAGI'!E63+'Avg Week KALAGI-MUKONO'!E63</f>
        <v>2.5</v>
      </c>
      <c r="F63" s="49">
        <f>'Avg Week MUKONO-KALAGI'!F63+'Avg Week KALAGI-MUKONO'!F63</f>
        <v>18</v>
      </c>
      <c r="G63" s="49">
        <f>'Avg Week MUKONO-KALAGI'!G63+'Avg Week KALAGI-MUKONO'!G63</f>
        <v>0</v>
      </c>
      <c r="H63" s="49">
        <f>'Avg Week MUKONO-KALAGI'!H63+'Avg Week KALAGI-MUKONO'!H63</f>
        <v>0</v>
      </c>
      <c r="I63" s="49">
        <f>'Avg Week MUKONO-KALAGI'!I63+'Avg Week KALAGI-MUKONO'!I63</f>
        <v>7</v>
      </c>
      <c r="J63" s="49">
        <f>'Avg Week MUKONO-KALAGI'!J63+'Avg Week KALAGI-MUKONO'!J63</f>
        <v>0.5</v>
      </c>
      <c r="K63" s="49">
        <f>'Avg Week MUKONO-KALAGI'!K63+'Avg Week KALAGI-MUKONO'!K63</f>
        <v>0.5</v>
      </c>
      <c r="L63" s="49">
        <f>'Avg Week MUKONO-KALAGI'!L63+'Avg Week KALAGI-MUKONO'!L63</f>
        <v>0</v>
      </c>
      <c r="M63" s="49">
        <f>'Avg Week MUKONO-KALAGI'!M63+'Avg Week KALAGI-MUKONO'!M63</f>
        <v>46</v>
      </c>
      <c r="N63" s="49">
        <f>'Avg Week MUKONO-KALAGI'!N63+'Avg Week KALAGI-MUKONO'!N63</f>
        <v>0</v>
      </c>
      <c r="O63" s="15">
        <f t="shared" si="0"/>
        <v>56</v>
      </c>
      <c r="P63" s="15">
        <f t="shared" si="1"/>
        <v>102</v>
      </c>
      <c r="R63" s="8"/>
      <c r="T63"/>
    </row>
    <row r="64" spans="2:20" ht="23.1" customHeight="1" x14ac:dyDescent="0.25">
      <c r="B64" s="23" t="s">
        <v>109</v>
      </c>
      <c r="C64" s="49">
        <f>'Avg Week MUKONO-KALAGI'!C64+'Avg Week KALAGI-MUKONO'!C64</f>
        <v>15</v>
      </c>
      <c r="D64" s="49">
        <f>'Avg Week MUKONO-KALAGI'!D64+'Avg Week KALAGI-MUKONO'!D64</f>
        <v>3.5</v>
      </c>
      <c r="E64" s="49">
        <f>'Avg Week MUKONO-KALAGI'!E64+'Avg Week KALAGI-MUKONO'!E64</f>
        <v>2</v>
      </c>
      <c r="F64" s="49">
        <f>'Avg Week MUKONO-KALAGI'!F64+'Avg Week KALAGI-MUKONO'!F64</f>
        <v>16.5</v>
      </c>
      <c r="G64" s="49">
        <f>'Avg Week MUKONO-KALAGI'!G64+'Avg Week KALAGI-MUKONO'!G64</f>
        <v>0</v>
      </c>
      <c r="H64" s="49">
        <f>'Avg Week MUKONO-KALAGI'!H64+'Avg Week KALAGI-MUKONO'!H64</f>
        <v>0</v>
      </c>
      <c r="I64" s="49">
        <f>'Avg Week MUKONO-KALAGI'!I64+'Avg Week KALAGI-MUKONO'!I64</f>
        <v>4</v>
      </c>
      <c r="J64" s="49">
        <f>'Avg Week MUKONO-KALAGI'!J64+'Avg Week KALAGI-MUKONO'!J64</f>
        <v>0</v>
      </c>
      <c r="K64" s="49">
        <f>'Avg Week MUKONO-KALAGI'!K64+'Avg Week KALAGI-MUKONO'!K64</f>
        <v>0</v>
      </c>
      <c r="L64" s="49">
        <f>'Avg Week MUKONO-KALAGI'!L64+'Avg Week KALAGI-MUKONO'!L64</f>
        <v>0</v>
      </c>
      <c r="M64" s="49">
        <f>'Avg Week MUKONO-KALAGI'!M64+'Avg Week KALAGI-MUKONO'!M64</f>
        <v>45.5</v>
      </c>
      <c r="N64" s="49">
        <f>'Avg Week MUKONO-KALAGI'!N64+'Avg Week KALAGI-MUKONO'!N64</f>
        <v>0</v>
      </c>
      <c r="O64" s="15">
        <f t="shared" si="0"/>
        <v>41</v>
      </c>
      <c r="P64" s="15">
        <f t="shared" si="1"/>
        <v>86.5</v>
      </c>
      <c r="R64" s="8"/>
      <c r="T64"/>
    </row>
    <row r="65" spans="2:20" ht="23.1" customHeight="1" x14ac:dyDescent="0.25">
      <c r="B65" s="23" t="s">
        <v>158</v>
      </c>
      <c r="C65" s="49">
        <f>'Avg Week MUKONO-KALAGI'!C65+'Avg Week KALAGI-MUKONO'!C65</f>
        <v>9</v>
      </c>
      <c r="D65" s="49">
        <f>'Avg Week MUKONO-KALAGI'!D65+'Avg Week KALAGI-MUKONO'!D65</f>
        <v>2.5</v>
      </c>
      <c r="E65" s="49">
        <f>'Avg Week MUKONO-KALAGI'!E65+'Avg Week KALAGI-MUKONO'!E65</f>
        <v>3</v>
      </c>
      <c r="F65" s="49">
        <f>'Avg Week MUKONO-KALAGI'!F65+'Avg Week KALAGI-MUKONO'!F65</f>
        <v>19</v>
      </c>
      <c r="G65" s="49">
        <f>'Avg Week MUKONO-KALAGI'!G65+'Avg Week KALAGI-MUKONO'!G65</f>
        <v>0.5</v>
      </c>
      <c r="H65" s="49">
        <f>'Avg Week MUKONO-KALAGI'!H65+'Avg Week KALAGI-MUKONO'!H65</f>
        <v>0</v>
      </c>
      <c r="I65" s="49">
        <f>'Avg Week MUKONO-KALAGI'!I65+'Avg Week KALAGI-MUKONO'!I65</f>
        <v>8</v>
      </c>
      <c r="J65" s="49">
        <f>'Avg Week MUKONO-KALAGI'!J65+'Avg Week KALAGI-MUKONO'!J65</f>
        <v>0.5</v>
      </c>
      <c r="K65" s="49">
        <f>'Avg Week MUKONO-KALAGI'!K65+'Avg Week KALAGI-MUKONO'!K65</f>
        <v>0</v>
      </c>
      <c r="L65" s="49">
        <f>'Avg Week MUKONO-KALAGI'!L65+'Avg Week KALAGI-MUKONO'!L65</f>
        <v>0.5</v>
      </c>
      <c r="M65" s="49">
        <f>'Avg Week MUKONO-KALAGI'!M65+'Avg Week KALAGI-MUKONO'!M65</f>
        <v>49</v>
      </c>
      <c r="N65" s="49">
        <f>'Avg Week MUKONO-KALAGI'!N65+'Avg Week KALAGI-MUKONO'!N65</f>
        <v>0</v>
      </c>
      <c r="O65" s="15">
        <f t="shared" si="0"/>
        <v>43</v>
      </c>
      <c r="P65" s="15">
        <f t="shared" si="1"/>
        <v>92</v>
      </c>
      <c r="R65" s="8"/>
      <c r="T65"/>
    </row>
    <row r="66" spans="2:20" ht="23.1" customHeight="1" x14ac:dyDescent="0.25">
      <c r="B66" s="23" t="s">
        <v>103</v>
      </c>
      <c r="C66" s="49">
        <f>'Avg Week MUKONO-KALAGI'!C66+'Avg Week KALAGI-MUKONO'!C66</f>
        <v>15</v>
      </c>
      <c r="D66" s="49">
        <f>'Avg Week MUKONO-KALAGI'!D66+'Avg Week KALAGI-MUKONO'!D66</f>
        <v>2</v>
      </c>
      <c r="E66" s="49">
        <f>'Avg Week MUKONO-KALAGI'!E66+'Avg Week KALAGI-MUKONO'!E66</f>
        <v>3</v>
      </c>
      <c r="F66" s="49">
        <f>'Avg Week MUKONO-KALAGI'!F66+'Avg Week KALAGI-MUKONO'!F66</f>
        <v>11.5</v>
      </c>
      <c r="G66" s="49">
        <f>'Avg Week MUKONO-KALAGI'!G66+'Avg Week KALAGI-MUKONO'!G66</f>
        <v>3.5</v>
      </c>
      <c r="H66" s="49">
        <f>'Avg Week MUKONO-KALAGI'!H66+'Avg Week KALAGI-MUKONO'!H66</f>
        <v>1.5</v>
      </c>
      <c r="I66" s="49">
        <f>'Avg Week MUKONO-KALAGI'!I66+'Avg Week KALAGI-MUKONO'!I66</f>
        <v>5</v>
      </c>
      <c r="J66" s="49">
        <f>'Avg Week MUKONO-KALAGI'!J66+'Avg Week KALAGI-MUKONO'!J66</f>
        <v>1.5</v>
      </c>
      <c r="K66" s="49">
        <f>'Avg Week MUKONO-KALAGI'!K66+'Avg Week KALAGI-MUKONO'!K66</f>
        <v>0</v>
      </c>
      <c r="L66" s="49">
        <f>'Avg Week MUKONO-KALAGI'!L66+'Avg Week KALAGI-MUKONO'!L66</f>
        <v>0</v>
      </c>
      <c r="M66" s="49">
        <f>'Avg Week MUKONO-KALAGI'!M66+'Avg Week KALAGI-MUKONO'!M66</f>
        <v>47</v>
      </c>
      <c r="N66" s="49">
        <f>'Avg Week MUKONO-KALAGI'!N66+'Avg Week KALAGI-MUKONO'!N66</f>
        <v>0</v>
      </c>
      <c r="O66" s="15">
        <f t="shared" si="0"/>
        <v>43</v>
      </c>
      <c r="P66" s="15">
        <f t="shared" si="1"/>
        <v>90</v>
      </c>
      <c r="R66" s="8"/>
      <c r="T66"/>
    </row>
    <row r="67" spans="2:20" ht="23.1" customHeight="1" x14ac:dyDescent="0.25">
      <c r="B67" s="23" t="s">
        <v>104</v>
      </c>
      <c r="C67" s="49">
        <f>'Avg Week MUKONO-KALAGI'!C67+'Avg Week KALAGI-MUKONO'!C67</f>
        <v>15.5</v>
      </c>
      <c r="D67" s="49">
        <f>'Avg Week MUKONO-KALAGI'!D67+'Avg Week KALAGI-MUKONO'!D67</f>
        <v>4.5</v>
      </c>
      <c r="E67" s="49">
        <f>'Avg Week MUKONO-KALAGI'!E67+'Avg Week KALAGI-MUKONO'!E67</f>
        <v>4</v>
      </c>
      <c r="F67" s="49">
        <f>'Avg Week MUKONO-KALAGI'!F67+'Avg Week KALAGI-MUKONO'!F67</f>
        <v>18</v>
      </c>
      <c r="G67" s="49">
        <f>'Avg Week MUKONO-KALAGI'!G67+'Avg Week KALAGI-MUKONO'!G67</f>
        <v>1</v>
      </c>
      <c r="H67" s="49">
        <f>'Avg Week MUKONO-KALAGI'!H67+'Avg Week KALAGI-MUKONO'!H67</f>
        <v>0</v>
      </c>
      <c r="I67" s="49">
        <f>'Avg Week MUKONO-KALAGI'!I67+'Avg Week KALAGI-MUKONO'!I67</f>
        <v>6</v>
      </c>
      <c r="J67" s="49">
        <f>'Avg Week MUKONO-KALAGI'!J67+'Avg Week KALAGI-MUKONO'!J67</f>
        <v>0.5</v>
      </c>
      <c r="K67" s="49">
        <f>'Avg Week MUKONO-KALAGI'!K67+'Avg Week KALAGI-MUKONO'!K67</f>
        <v>0</v>
      </c>
      <c r="L67" s="49">
        <f>'Avg Week MUKONO-KALAGI'!L67+'Avg Week KALAGI-MUKONO'!L67</f>
        <v>0</v>
      </c>
      <c r="M67" s="49">
        <f>'Avg Week MUKONO-KALAGI'!M67+'Avg Week KALAGI-MUKONO'!M67</f>
        <v>30.5</v>
      </c>
      <c r="N67" s="49">
        <f>'Avg Week MUKONO-KALAGI'!N67+'Avg Week KALAGI-MUKONO'!N67</f>
        <v>0</v>
      </c>
      <c r="O67" s="15">
        <f t="shared" si="0"/>
        <v>49.5</v>
      </c>
      <c r="P67" s="15">
        <f t="shared" si="1"/>
        <v>80</v>
      </c>
      <c r="R67" s="8"/>
      <c r="T67"/>
    </row>
    <row r="68" spans="2:20" ht="23.1" customHeight="1" x14ac:dyDescent="0.25">
      <c r="B68" s="23" t="s">
        <v>105</v>
      </c>
      <c r="C68" s="49">
        <f>'Avg Week MUKONO-KALAGI'!C68+'Avg Week KALAGI-MUKONO'!C68</f>
        <v>9.5</v>
      </c>
      <c r="D68" s="49">
        <f>'Avg Week MUKONO-KALAGI'!D68+'Avg Week KALAGI-MUKONO'!D68</f>
        <v>0</v>
      </c>
      <c r="E68" s="49">
        <f>'Avg Week MUKONO-KALAGI'!E68+'Avg Week KALAGI-MUKONO'!E68</f>
        <v>3</v>
      </c>
      <c r="F68" s="49">
        <f>'Avg Week MUKONO-KALAGI'!F68+'Avg Week KALAGI-MUKONO'!F68</f>
        <v>12.5</v>
      </c>
      <c r="G68" s="49">
        <f>'Avg Week MUKONO-KALAGI'!G68+'Avg Week KALAGI-MUKONO'!G68</f>
        <v>0.5</v>
      </c>
      <c r="H68" s="49">
        <f>'Avg Week MUKONO-KALAGI'!H68+'Avg Week KALAGI-MUKONO'!H68</f>
        <v>0</v>
      </c>
      <c r="I68" s="49">
        <f>'Avg Week MUKONO-KALAGI'!I68+'Avg Week KALAGI-MUKONO'!I68</f>
        <v>4.5</v>
      </c>
      <c r="J68" s="49">
        <f>'Avg Week MUKONO-KALAGI'!J68+'Avg Week KALAGI-MUKONO'!J68</f>
        <v>0</v>
      </c>
      <c r="K68" s="49">
        <f>'Avg Week MUKONO-KALAGI'!K68+'Avg Week KALAGI-MUKONO'!K68</f>
        <v>0</v>
      </c>
      <c r="L68" s="49">
        <f>'Avg Week MUKONO-KALAGI'!L68+'Avg Week KALAGI-MUKONO'!L68</f>
        <v>0</v>
      </c>
      <c r="M68" s="49">
        <f>'Avg Week MUKONO-KALAGI'!M68+'Avg Week KALAGI-MUKONO'!M68</f>
        <v>29.5</v>
      </c>
      <c r="N68" s="49">
        <f>'Avg Week MUKONO-KALAGI'!N68+'Avg Week KALAGI-MUKONO'!N68</f>
        <v>0</v>
      </c>
      <c r="O68" s="15">
        <f t="shared" si="0"/>
        <v>30</v>
      </c>
      <c r="P68" s="15">
        <f t="shared" si="1"/>
        <v>59.5</v>
      </c>
      <c r="R68" s="8"/>
      <c r="T68"/>
    </row>
    <row r="69" spans="2:20" ht="23.1" customHeight="1" x14ac:dyDescent="0.25">
      <c r="B69" s="23" t="s">
        <v>106</v>
      </c>
      <c r="C69" s="49">
        <f>'Avg Week MUKONO-KALAGI'!C69+'Avg Week KALAGI-MUKONO'!C69</f>
        <v>9</v>
      </c>
      <c r="D69" s="49">
        <f>'Avg Week MUKONO-KALAGI'!D69+'Avg Week KALAGI-MUKONO'!D69</f>
        <v>1.5</v>
      </c>
      <c r="E69" s="49">
        <f>'Avg Week MUKONO-KALAGI'!E69+'Avg Week KALAGI-MUKONO'!E69</f>
        <v>0.5</v>
      </c>
      <c r="F69" s="49">
        <f>'Avg Week MUKONO-KALAGI'!F69+'Avg Week KALAGI-MUKONO'!F69</f>
        <v>16.5</v>
      </c>
      <c r="G69" s="49">
        <f>'Avg Week MUKONO-KALAGI'!G69+'Avg Week KALAGI-MUKONO'!G69</f>
        <v>0</v>
      </c>
      <c r="H69" s="49">
        <f>'Avg Week MUKONO-KALAGI'!H69+'Avg Week KALAGI-MUKONO'!H69</f>
        <v>0</v>
      </c>
      <c r="I69" s="49">
        <f>'Avg Week MUKONO-KALAGI'!I69+'Avg Week KALAGI-MUKONO'!I69</f>
        <v>3.5</v>
      </c>
      <c r="J69" s="49">
        <f>'Avg Week MUKONO-KALAGI'!J69+'Avg Week KALAGI-MUKONO'!J69</f>
        <v>0.5</v>
      </c>
      <c r="K69" s="49">
        <f>'Avg Week MUKONO-KALAGI'!K69+'Avg Week KALAGI-MUKONO'!K69</f>
        <v>0.5</v>
      </c>
      <c r="L69" s="49">
        <f>'Avg Week MUKONO-KALAGI'!L69+'Avg Week KALAGI-MUKONO'!L69</f>
        <v>0</v>
      </c>
      <c r="M69" s="49">
        <f>'Avg Week MUKONO-KALAGI'!M69+'Avg Week KALAGI-MUKONO'!M69</f>
        <v>26.5</v>
      </c>
      <c r="N69" s="49">
        <f>'Avg Week MUKONO-KALAGI'!N69+'Avg Week KALAGI-MUKONO'!N69</f>
        <v>0</v>
      </c>
      <c r="O69" s="15">
        <f t="shared" si="0"/>
        <v>32</v>
      </c>
      <c r="P69" s="15">
        <f t="shared" si="1"/>
        <v>58.5</v>
      </c>
      <c r="R69" s="8"/>
      <c r="T69"/>
    </row>
    <row r="70" spans="2:20" ht="23.1" customHeight="1" x14ac:dyDescent="0.25">
      <c r="B70" s="23" t="s">
        <v>110</v>
      </c>
      <c r="C70" s="49">
        <f>'Avg Week MUKONO-KALAGI'!C70+'Avg Week KALAGI-MUKONO'!C70</f>
        <v>9.5</v>
      </c>
      <c r="D70" s="49">
        <f>'Avg Week MUKONO-KALAGI'!D70+'Avg Week KALAGI-MUKONO'!D70</f>
        <v>4</v>
      </c>
      <c r="E70" s="49">
        <f>'Avg Week MUKONO-KALAGI'!E70+'Avg Week KALAGI-MUKONO'!E70</f>
        <v>2</v>
      </c>
      <c r="F70" s="49">
        <f>'Avg Week MUKONO-KALAGI'!F70+'Avg Week KALAGI-MUKONO'!F70</f>
        <v>10</v>
      </c>
      <c r="G70" s="49">
        <f>'Avg Week MUKONO-KALAGI'!G70+'Avg Week KALAGI-MUKONO'!G70</f>
        <v>0</v>
      </c>
      <c r="H70" s="49">
        <f>'Avg Week MUKONO-KALAGI'!H70+'Avg Week KALAGI-MUKONO'!H70</f>
        <v>0</v>
      </c>
      <c r="I70" s="49">
        <f>'Avg Week MUKONO-KALAGI'!I70+'Avg Week KALAGI-MUKONO'!I70</f>
        <v>3</v>
      </c>
      <c r="J70" s="49">
        <f>'Avg Week MUKONO-KALAGI'!J70+'Avg Week KALAGI-MUKONO'!J70</f>
        <v>0</v>
      </c>
      <c r="K70" s="49">
        <f>'Avg Week MUKONO-KALAGI'!K70+'Avg Week KALAGI-MUKONO'!K70</f>
        <v>0.5</v>
      </c>
      <c r="L70" s="49">
        <f>'Avg Week MUKONO-KALAGI'!L70+'Avg Week KALAGI-MUKONO'!L70</f>
        <v>0</v>
      </c>
      <c r="M70" s="49">
        <f>'Avg Week MUKONO-KALAGI'!M70+'Avg Week KALAGI-MUKONO'!M70</f>
        <v>21</v>
      </c>
      <c r="N70" s="49">
        <f>'Avg Week MUKONO-KALAGI'!N70+'Avg Week KALAGI-MUKONO'!N70</f>
        <v>0</v>
      </c>
      <c r="O70" s="15">
        <f t="shared" si="0"/>
        <v>29</v>
      </c>
      <c r="P70" s="15">
        <f t="shared" si="1"/>
        <v>50</v>
      </c>
      <c r="R70" s="8"/>
      <c r="T70"/>
    </row>
    <row r="71" spans="2:20" ht="23.1" customHeight="1" x14ac:dyDescent="0.25">
      <c r="B71" s="23" t="s">
        <v>111</v>
      </c>
      <c r="C71" s="49">
        <f>'Avg Week MUKONO-KALAGI'!C71+'Avg Week KALAGI-MUKONO'!C71</f>
        <v>12.5</v>
      </c>
      <c r="D71" s="49">
        <f>'Avg Week MUKONO-KALAGI'!D71+'Avg Week KALAGI-MUKONO'!D71</f>
        <v>4.5</v>
      </c>
      <c r="E71" s="49">
        <f>'Avg Week MUKONO-KALAGI'!E71+'Avg Week KALAGI-MUKONO'!E71</f>
        <v>1.5</v>
      </c>
      <c r="F71" s="49">
        <f>'Avg Week MUKONO-KALAGI'!F71+'Avg Week KALAGI-MUKONO'!F71</f>
        <v>13</v>
      </c>
      <c r="G71" s="49">
        <f>'Avg Week MUKONO-KALAGI'!G71+'Avg Week KALAGI-MUKONO'!G71</f>
        <v>0</v>
      </c>
      <c r="H71" s="49">
        <f>'Avg Week MUKONO-KALAGI'!H71+'Avg Week KALAGI-MUKONO'!H71</f>
        <v>0</v>
      </c>
      <c r="I71" s="49">
        <f>'Avg Week MUKONO-KALAGI'!I71+'Avg Week KALAGI-MUKONO'!I71</f>
        <v>3</v>
      </c>
      <c r="J71" s="49">
        <f>'Avg Week MUKONO-KALAGI'!J71+'Avg Week KALAGI-MUKONO'!J71</f>
        <v>1</v>
      </c>
      <c r="K71" s="49">
        <f>'Avg Week MUKONO-KALAGI'!K71+'Avg Week KALAGI-MUKONO'!K71</f>
        <v>0</v>
      </c>
      <c r="L71" s="49">
        <f>'Avg Week MUKONO-KALAGI'!L71+'Avg Week KALAGI-MUKONO'!L71</f>
        <v>0</v>
      </c>
      <c r="M71" s="49">
        <f>'Avg Week MUKONO-KALAGI'!M71+'Avg Week KALAGI-MUKONO'!M71</f>
        <v>20.5</v>
      </c>
      <c r="N71" s="49">
        <f>'Avg Week MUKONO-KALAGI'!N71+'Avg Week KALAGI-MUKONO'!N71</f>
        <v>0</v>
      </c>
      <c r="O71" s="15">
        <f t="shared" si="0"/>
        <v>35.5</v>
      </c>
      <c r="P71" s="15">
        <f t="shared" si="1"/>
        <v>56</v>
      </c>
      <c r="R71" s="8"/>
      <c r="T71"/>
    </row>
    <row r="72" spans="2:20" ht="23.1" customHeight="1" x14ac:dyDescent="0.25">
      <c r="B72" s="23" t="s">
        <v>112</v>
      </c>
      <c r="C72" s="49">
        <f>'Avg Week MUKONO-KALAGI'!C72+'Avg Week KALAGI-MUKONO'!C72</f>
        <v>8</v>
      </c>
      <c r="D72" s="49">
        <f>'Avg Week MUKONO-KALAGI'!D72+'Avg Week KALAGI-MUKONO'!D72</f>
        <v>2.5</v>
      </c>
      <c r="E72" s="49">
        <f>'Avg Week MUKONO-KALAGI'!E72+'Avg Week KALAGI-MUKONO'!E72</f>
        <v>2.5</v>
      </c>
      <c r="F72" s="49">
        <f>'Avg Week MUKONO-KALAGI'!F72+'Avg Week KALAGI-MUKONO'!F72</f>
        <v>9</v>
      </c>
      <c r="G72" s="49">
        <f>'Avg Week MUKONO-KALAGI'!G72+'Avg Week KALAGI-MUKONO'!G72</f>
        <v>0</v>
      </c>
      <c r="H72" s="49">
        <f>'Avg Week MUKONO-KALAGI'!H72+'Avg Week KALAGI-MUKONO'!H72</f>
        <v>0</v>
      </c>
      <c r="I72" s="49">
        <f>'Avg Week MUKONO-KALAGI'!I72+'Avg Week KALAGI-MUKONO'!I72</f>
        <v>3</v>
      </c>
      <c r="J72" s="49">
        <f>'Avg Week MUKONO-KALAGI'!J72+'Avg Week KALAGI-MUKONO'!J72</f>
        <v>1</v>
      </c>
      <c r="K72" s="49">
        <f>'Avg Week MUKONO-KALAGI'!K72+'Avg Week KALAGI-MUKONO'!K72</f>
        <v>0</v>
      </c>
      <c r="L72" s="49">
        <f>'Avg Week MUKONO-KALAGI'!L72+'Avg Week KALAGI-MUKONO'!L72</f>
        <v>0</v>
      </c>
      <c r="M72" s="49">
        <f>'Avg Week MUKONO-KALAGI'!M72+'Avg Week KALAGI-MUKONO'!M72</f>
        <v>26.5</v>
      </c>
      <c r="N72" s="49">
        <f>'Avg Week MUKONO-KALAGI'!N72+'Avg Week KALAGI-MUKONO'!N72</f>
        <v>0</v>
      </c>
      <c r="O72" s="15">
        <f t="shared" si="0"/>
        <v>26</v>
      </c>
      <c r="P72" s="15">
        <f t="shared" si="1"/>
        <v>52.5</v>
      </c>
      <c r="R72" s="8"/>
      <c r="T72"/>
    </row>
    <row r="73" spans="2:20" ht="23.1" customHeight="1" x14ac:dyDescent="0.25">
      <c r="B73" s="23" t="s">
        <v>113</v>
      </c>
      <c r="C73" s="49">
        <f>'Avg Week MUKONO-KALAGI'!C73+'Avg Week KALAGI-MUKONO'!C73</f>
        <v>5.5</v>
      </c>
      <c r="D73" s="49">
        <f>'Avg Week MUKONO-KALAGI'!D73+'Avg Week KALAGI-MUKONO'!D73</f>
        <v>0.5</v>
      </c>
      <c r="E73" s="49">
        <f>'Avg Week MUKONO-KALAGI'!E73+'Avg Week KALAGI-MUKONO'!E73</f>
        <v>0.5</v>
      </c>
      <c r="F73" s="49">
        <f>'Avg Week MUKONO-KALAGI'!F73+'Avg Week KALAGI-MUKONO'!F73</f>
        <v>8.5</v>
      </c>
      <c r="G73" s="49">
        <f>'Avg Week MUKONO-KALAGI'!G73+'Avg Week KALAGI-MUKONO'!G73</f>
        <v>0.5</v>
      </c>
      <c r="H73" s="49">
        <f>'Avg Week MUKONO-KALAGI'!H73+'Avg Week KALAGI-MUKONO'!H73</f>
        <v>0</v>
      </c>
      <c r="I73" s="49">
        <f>'Avg Week MUKONO-KALAGI'!I73+'Avg Week KALAGI-MUKONO'!I73</f>
        <v>1</v>
      </c>
      <c r="J73" s="49">
        <f>'Avg Week MUKONO-KALAGI'!J73+'Avg Week KALAGI-MUKONO'!J73</f>
        <v>0</v>
      </c>
      <c r="K73" s="49">
        <f>'Avg Week MUKONO-KALAGI'!K73+'Avg Week KALAGI-MUKONO'!K73</f>
        <v>0</v>
      </c>
      <c r="L73" s="49">
        <f>'Avg Week MUKONO-KALAGI'!L73+'Avg Week KALAGI-MUKONO'!L73</f>
        <v>0.5</v>
      </c>
      <c r="M73" s="49">
        <f>'Avg Week MUKONO-KALAGI'!M73+'Avg Week KALAGI-MUKONO'!M73</f>
        <v>16.5</v>
      </c>
      <c r="N73" s="49">
        <f>'Avg Week MUKONO-KALAGI'!N73+'Avg Week KALAGI-MUKONO'!N73</f>
        <v>0</v>
      </c>
      <c r="O73" s="15">
        <f t="shared" si="0"/>
        <v>17</v>
      </c>
      <c r="P73" s="15">
        <f t="shared" si="1"/>
        <v>33.5</v>
      </c>
      <c r="R73" s="8"/>
      <c r="T73"/>
    </row>
    <row r="74" spans="2:20" ht="23.1" customHeight="1" x14ac:dyDescent="0.25">
      <c r="B74" s="23" t="s">
        <v>114</v>
      </c>
      <c r="C74" s="49">
        <f>'Avg Week MUKONO-KALAGI'!C74+'Avg Week KALAGI-MUKONO'!C74</f>
        <v>3</v>
      </c>
      <c r="D74" s="49">
        <f>'Avg Week MUKONO-KALAGI'!D74+'Avg Week KALAGI-MUKONO'!D74</f>
        <v>1</v>
      </c>
      <c r="E74" s="49">
        <f>'Avg Week MUKONO-KALAGI'!E74+'Avg Week KALAGI-MUKONO'!E74</f>
        <v>1.5</v>
      </c>
      <c r="F74" s="49">
        <f>'Avg Week MUKONO-KALAGI'!F74+'Avg Week KALAGI-MUKONO'!F74</f>
        <v>6.5</v>
      </c>
      <c r="G74" s="49">
        <f>'Avg Week MUKONO-KALAGI'!G74+'Avg Week KALAGI-MUKONO'!G74</f>
        <v>0.5</v>
      </c>
      <c r="H74" s="49">
        <f>'Avg Week MUKONO-KALAGI'!H74+'Avg Week KALAGI-MUKONO'!H74</f>
        <v>0</v>
      </c>
      <c r="I74" s="49">
        <f>'Avg Week MUKONO-KALAGI'!I74+'Avg Week KALAGI-MUKONO'!I74</f>
        <v>1</v>
      </c>
      <c r="J74" s="49">
        <f>'Avg Week MUKONO-KALAGI'!J74+'Avg Week KALAGI-MUKONO'!J74</f>
        <v>0.5</v>
      </c>
      <c r="K74" s="49">
        <f>'Avg Week MUKONO-KALAGI'!K74+'Avg Week KALAGI-MUKONO'!K74</f>
        <v>0</v>
      </c>
      <c r="L74" s="49">
        <f>'Avg Week MUKONO-KALAGI'!L74+'Avg Week KALAGI-MUKONO'!L74</f>
        <v>0</v>
      </c>
      <c r="M74" s="49">
        <f>'Avg Week MUKONO-KALAGI'!M74+'Avg Week KALAGI-MUKONO'!M74</f>
        <v>21.5</v>
      </c>
      <c r="N74" s="49">
        <f>'Avg Week MUKONO-KALAGI'!N74+'Avg Week KALAGI-MUKONO'!N74</f>
        <v>0</v>
      </c>
      <c r="O74" s="15">
        <f t="shared" ref="O74:O104" si="35">SUM(C74:L74,N74)</f>
        <v>14</v>
      </c>
      <c r="P74" s="15">
        <f t="shared" ref="P74:P104" si="36">SUM(C74:N74)</f>
        <v>35.5</v>
      </c>
      <c r="R74" s="8"/>
      <c r="T74"/>
    </row>
    <row r="75" spans="2:20" ht="23.1" customHeight="1" x14ac:dyDescent="0.25">
      <c r="B75" s="23" t="s">
        <v>115</v>
      </c>
      <c r="C75" s="49">
        <f>'Avg Week MUKONO-KALAGI'!C75+'Avg Week KALAGI-MUKONO'!C75</f>
        <v>7</v>
      </c>
      <c r="D75" s="49">
        <f>'Avg Week MUKONO-KALAGI'!D75+'Avg Week KALAGI-MUKONO'!D75</f>
        <v>1.5</v>
      </c>
      <c r="E75" s="49">
        <f>'Avg Week MUKONO-KALAGI'!E75+'Avg Week KALAGI-MUKONO'!E75</f>
        <v>0.5</v>
      </c>
      <c r="F75" s="49">
        <f>'Avg Week MUKONO-KALAGI'!F75+'Avg Week KALAGI-MUKONO'!F75</f>
        <v>5.5</v>
      </c>
      <c r="G75" s="49">
        <f>'Avg Week MUKONO-KALAGI'!G75+'Avg Week KALAGI-MUKONO'!G75</f>
        <v>0</v>
      </c>
      <c r="H75" s="49">
        <f>'Avg Week MUKONO-KALAGI'!H75+'Avg Week KALAGI-MUKONO'!H75</f>
        <v>0</v>
      </c>
      <c r="I75" s="49">
        <f>'Avg Week MUKONO-KALAGI'!I75+'Avg Week KALAGI-MUKONO'!I75</f>
        <v>2</v>
      </c>
      <c r="J75" s="49">
        <f>'Avg Week MUKONO-KALAGI'!J75+'Avg Week KALAGI-MUKONO'!J75</f>
        <v>0.5</v>
      </c>
      <c r="K75" s="49">
        <f>'Avg Week MUKONO-KALAGI'!K75+'Avg Week KALAGI-MUKONO'!K75</f>
        <v>0.5</v>
      </c>
      <c r="L75" s="49">
        <f>'Avg Week MUKONO-KALAGI'!L75+'Avg Week KALAGI-MUKONO'!L75</f>
        <v>0</v>
      </c>
      <c r="M75" s="49">
        <f>'Avg Week MUKONO-KALAGI'!M75+'Avg Week KALAGI-MUKONO'!M75</f>
        <v>18</v>
      </c>
      <c r="N75" s="49">
        <f>'Avg Week MUKONO-KALAGI'!N75+'Avg Week KALAGI-MUKONO'!N75</f>
        <v>0</v>
      </c>
      <c r="O75" s="15">
        <f t="shared" si="35"/>
        <v>17.5</v>
      </c>
      <c r="P75" s="15">
        <f t="shared" si="36"/>
        <v>35.5</v>
      </c>
      <c r="R75" s="8"/>
      <c r="T75"/>
    </row>
    <row r="76" spans="2:20" ht="23.1" customHeight="1" x14ac:dyDescent="0.25">
      <c r="B76" s="23" t="s">
        <v>116</v>
      </c>
      <c r="C76" s="49">
        <f>'Avg Week MUKONO-KALAGI'!C76+'Avg Week KALAGI-MUKONO'!C76</f>
        <v>4</v>
      </c>
      <c r="D76" s="49">
        <f>'Avg Week MUKONO-KALAGI'!D76+'Avg Week KALAGI-MUKONO'!D76</f>
        <v>0</v>
      </c>
      <c r="E76" s="49">
        <f>'Avg Week MUKONO-KALAGI'!E76+'Avg Week KALAGI-MUKONO'!E76</f>
        <v>0.5</v>
      </c>
      <c r="F76" s="49">
        <f>'Avg Week MUKONO-KALAGI'!F76+'Avg Week KALAGI-MUKONO'!F76</f>
        <v>5.5</v>
      </c>
      <c r="G76" s="49">
        <f>'Avg Week MUKONO-KALAGI'!G76+'Avg Week KALAGI-MUKONO'!G76</f>
        <v>0</v>
      </c>
      <c r="H76" s="49">
        <f>'Avg Week MUKONO-KALAGI'!H76+'Avg Week KALAGI-MUKONO'!H76</f>
        <v>0</v>
      </c>
      <c r="I76" s="49">
        <f>'Avg Week MUKONO-KALAGI'!I76+'Avg Week KALAGI-MUKONO'!I76</f>
        <v>1.5</v>
      </c>
      <c r="J76" s="49">
        <f>'Avg Week MUKONO-KALAGI'!J76+'Avg Week KALAGI-MUKONO'!J76</f>
        <v>1</v>
      </c>
      <c r="K76" s="49">
        <f>'Avg Week MUKONO-KALAGI'!K76+'Avg Week KALAGI-MUKONO'!K76</f>
        <v>0</v>
      </c>
      <c r="L76" s="49">
        <f>'Avg Week MUKONO-KALAGI'!L76+'Avg Week KALAGI-MUKONO'!L76</f>
        <v>0</v>
      </c>
      <c r="M76" s="49">
        <f>'Avg Week MUKONO-KALAGI'!M76+'Avg Week KALAGI-MUKONO'!M76</f>
        <v>9.5</v>
      </c>
      <c r="N76" s="49">
        <f>'Avg Week MUKONO-KALAGI'!N76+'Avg Week KALAGI-MUKONO'!N76</f>
        <v>0</v>
      </c>
      <c r="O76" s="15">
        <f t="shared" si="35"/>
        <v>12.5</v>
      </c>
      <c r="P76" s="15">
        <f t="shared" si="36"/>
        <v>22</v>
      </c>
      <c r="R76" s="8"/>
      <c r="T76"/>
    </row>
    <row r="77" spans="2:20" ht="23.1" customHeight="1" x14ac:dyDescent="0.25">
      <c r="B77" s="23" t="s">
        <v>117</v>
      </c>
      <c r="C77" s="49">
        <f>'Avg Week MUKONO-KALAGI'!C77+'Avg Week KALAGI-MUKONO'!C77</f>
        <v>4.5</v>
      </c>
      <c r="D77" s="49">
        <f>'Avg Week MUKONO-KALAGI'!D77+'Avg Week KALAGI-MUKONO'!D77</f>
        <v>0</v>
      </c>
      <c r="E77" s="49">
        <f>'Avg Week MUKONO-KALAGI'!E77+'Avg Week KALAGI-MUKONO'!E77</f>
        <v>0</v>
      </c>
      <c r="F77" s="49">
        <f>'Avg Week MUKONO-KALAGI'!F77+'Avg Week KALAGI-MUKONO'!F77</f>
        <v>3</v>
      </c>
      <c r="G77" s="49">
        <f>'Avg Week MUKONO-KALAGI'!G77+'Avg Week KALAGI-MUKONO'!G77</f>
        <v>0</v>
      </c>
      <c r="H77" s="49">
        <f>'Avg Week MUKONO-KALAGI'!H77+'Avg Week KALAGI-MUKONO'!H77</f>
        <v>0</v>
      </c>
      <c r="I77" s="49">
        <f>'Avg Week MUKONO-KALAGI'!I77+'Avg Week KALAGI-MUKONO'!I77</f>
        <v>3</v>
      </c>
      <c r="J77" s="49">
        <f>'Avg Week MUKONO-KALAGI'!J77+'Avg Week KALAGI-MUKONO'!J77</f>
        <v>0.5</v>
      </c>
      <c r="K77" s="49">
        <f>'Avg Week MUKONO-KALAGI'!K77+'Avg Week KALAGI-MUKONO'!K77</f>
        <v>0</v>
      </c>
      <c r="L77" s="49">
        <f>'Avg Week MUKONO-KALAGI'!L77+'Avg Week KALAGI-MUKONO'!L77</f>
        <v>0</v>
      </c>
      <c r="M77" s="49">
        <f>'Avg Week MUKONO-KALAGI'!M77+'Avg Week KALAGI-MUKONO'!M77</f>
        <v>10.5</v>
      </c>
      <c r="N77" s="49">
        <f>'Avg Week MUKONO-KALAGI'!N77+'Avg Week KALAGI-MUKONO'!N77</f>
        <v>0</v>
      </c>
      <c r="O77" s="15">
        <f t="shared" si="35"/>
        <v>11</v>
      </c>
      <c r="P77" s="15">
        <f t="shared" si="36"/>
        <v>21.5</v>
      </c>
      <c r="R77" s="8"/>
      <c r="T77"/>
    </row>
    <row r="78" spans="2:20" ht="23.1" customHeight="1" x14ac:dyDescent="0.25">
      <c r="B78" s="24" t="s">
        <v>118</v>
      </c>
      <c r="C78" s="49">
        <f>'Avg Week MUKONO-KALAGI'!C78+'Avg Week KALAGI-MUKONO'!C78</f>
        <v>5</v>
      </c>
      <c r="D78" s="49">
        <f>'Avg Week MUKONO-KALAGI'!D78+'Avg Week KALAGI-MUKONO'!D78</f>
        <v>1</v>
      </c>
      <c r="E78" s="49">
        <f>'Avg Week MUKONO-KALAGI'!E78+'Avg Week KALAGI-MUKONO'!E78</f>
        <v>0</v>
      </c>
      <c r="F78" s="49">
        <f>'Avg Week MUKONO-KALAGI'!F78+'Avg Week KALAGI-MUKONO'!F78</f>
        <v>2.5</v>
      </c>
      <c r="G78" s="49">
        <f>'Avg Week MUKONO-KALAGI'!G78+'Avg Week KALAGI-MUKONO'!G78</f>
        <v>0</v>
      </c>
      <c r="H78" s="49">
        <f>'Avg Week MUKONO-KALAGI'!H78+'Avg Week KALAGI-MUKONO'!H78</f>
        <v>0.5</v>
      </c>
      <c r="I78" s="49">
        <f>'Avg Week MUKONO-KALAGI'!I78+'Avg Week KALAGI-MUKONO'!I78</f>
        <v>1</v>
      </c>
      <c r="J78" s="49">
        <f>'Avg Week MUKONO-KALAGI'!J78+'Avg Week KALAGI-MUKONO'!J78</f>
        <v>0</v>
      </c>
      <c r="K78" s="49">
        <f>'Avg Week MUKONO-KALAGI'!K78+'Avg Week KALAGI-MUKONO'!K78</f>
        <v>0</v>
      </c>
      <c r="L78" s="49">
        <f>'Avg Week MUKONO-KALAGI'!L78+'Avg Week KALAGI-MUKONO'!L78</f>
        <v>0</v>
      </c>
      <c r="M78" s="49">
        <f>'Avg Week MUKONO-KALAGI'!M78+'Avg Week KALAGI-MUKONO'!M78</f>
        <v>8.5</v>
      </c>
      <c r="N78" s="49">
        <f>'Avg Week MUKONO-KALAGI'!N78+'Avg Week KALAGI-MUKONO'!N78</f>
        <v>0</v>
      </c>
      <c r="O78" s="15">
        <f t="shared" si="35"/>
        <v>10</v>
      </c>
      <c r="P78" s="15">
        <f t="shared" si="36"/>
        <v>18.5</v>
      </c>
      <c r="R78" s="8"/>
      <c r="T78"/>
    </row>
    <row r="79" spans="2:20" ht="23.1" customHeight="1" x14ac:dyDescent="0.25">
      <c r="B79" s="23" t="s">
        <v>119</v>
      </c>
      <c r="C79" s="49">
        <f>'Avg Week MUKONO-KALAGI'!C79+'Avg Week KALAGI-MUKONO'!C79</f>
        <v>5</v>
      </c>
      <c r="D79" s="49">
        <f>'Avg Week MUKONO-KALAGI'!D79+'Avg Week KALAGI-MUKONO'!D79</f>
        <v>1</v>
      </c>
      <c r="E79" s="49">
        <f>'Avg Week MUKONO-KALAGI'!E79+'Avg Week KALAGI-MUKONO'!E79</f>
        <v>1</v>
      </c>
      <c r="F79" s="49">
        <f>'Avg Week MUKONO-KALAGI'!F79+'Avg Week KALAGI-MUKONO'!F79</f>
        <v>2</v>
      </c>
      <c r="G79" s="49">
        <f>'Avg Week MUKONO-KALAGI'!G79+'Avg Week KALAGI-MUKONO'!G79</f>
        <v>0</v>
      </c>
      <c r="H79" s="49">
        <f>'Avg Week MUKONO-KALAGI'!H79+'Avg Week KALAGI-MUKONO'!H79</f>
        <v>0</v>
      </c>
      <c r="I79" s="49">
        <f>'Avg Week MUKONO-KALAGI'!I79+'Avg Week KALAGI-MUKONO'!I79</f>
        <v>2</v>
      </c>
      <c r="J79" s="49">
        <f>'Avg Week MUKONO-KALAGI'!J79+'Avg Week KALAGI-MUKONO'!J79</f>
        <v>0</v>
      </c>
      <c r="K79" s="49">
        <f>'Avg Week MUKONO-KALAGI'!K79+'Avg Week KALAGI-MUKONO'!K79</f>
        <v>0</v>
      </c>
      <c r="L79" s="49">
        <f>'Avg Week MUKONO-KALAGI'!L79+'Avg Week KALAGI-MUKONO'!L79</f>
        <v>0</v>
      </c>
      <c r="M79" s="49">
        <f>'Avg Week MUKONO-KALAGI'!M79+'Avg Week KALAGI-MUKONO'!M79</f>
        <v>8.5</v>
      </c>
      <c r="N79" s="49">
        <f>'Avg Week MUKONO-KALAGI'!N79+'Avg Week KALAGI-MUKONO'!N79</f>
        <v>0</v>
      </c>
      <c r="O79" s="15">
        <f t="shared" si="35"/>
        <v>11</v>
      </c>
      <c r="P79" s="15">
        <f t="shared" si="36"/>
        <v>19.5</v>
      </c>
      <c r="R79" s="8"/>
      <c r="T79"/>
    </row>
    <row r="80" spans="2:20" ht="23.1" customHeight="1" x14ac:dyDescent="0.25">
      <c r="B80" s="25" t="s">
        <v>120</v>
      </c>
      <c r="C80" s="49">
        <f>'Avg Week MUKONO-KALAGI'!C80+'Avg Week KALAGI-MUKONO'!C80</f>
        <v>3</v>
      </c>
      <c r="D80" s="49">
        <f>'Avg Week MUKONO-KALAGI'!D80+'Avg Week KALAGI-MUKONO'!D80</f>
        <v>1.5</v>
      </c>
      <c r="E80" s="49">
        <f>'Avg Week MUKONO-KALAGI'!E80+'Avg Week KALAGI-MUKONO'!E80</f>
        <v>0</v>
      </c>
      <c r="F80" s="49">
        <f>'Avg Week MUKONO-KALAGI'!F80+'Avg Week KALAGI-MUKONO'!F80</f>
        <v>1.5</v>
      </c>
      <c r="G80" s="49">
        <f>'Avg Week MUKONO-KALAGI'!G80+'Avg Week KALAGI-MUKONO'!G80</f>
        <v>0</v>
      </c>
      <c r="H80" s="49">
        <f>'Avg Week MUKONO-KALAGI'!H80+'Avg Week KALAGI-MUKONO'!H80</f>
        <v>0</v>
      </c>
      <c r="I80" s="49">
        <f>'Avg Week MUKONO-KALAGI'!I80+'Avg Week KALAGI-MUKONO'!I80</f>
        <v>1.5</v>
      </c>
      <c r="J80" s="49">
        <f>'Avg Week MUKONO-KALAGI'!J80+'Avg Week KALAGI-MUKONO'!J80</f>
        <v>0</v>
      </c>
      <c r="K80" s="49">
        <f>'Avg Week MUKONO-KALAGI'!K80+'Avg Week KALAGI-MUKONO'!K80</f>
        <v>0</v>
      </c>
      <c r="L80" s="49">
        <f>'Avg Week MUKONO-KALAGI'!L80+'Avg Week KALAGI-MUKONO'!L80</f>
        <v>0</v>
      </c>
      <c r="M80" s="49">
        <f>'Avg Week MUKONO-KALAGI'!M80+'Avg Week KALAGI-MUKONO'!M80</f>
        <v>8</v>
      </c>
      <c r="N80" s="49">
        <f>'Avg Week MUKONO-KALAGI'!N80+'Avg Week KALAGI-MUKONO'!N80</f>
        <v>0</v>
      </c>
      <c r="O80" s="15">
        <f t="shared" si="35"/>
        <v>7.5</v>
      </c>
      <c r="P80" s="15">
        <f t="shared" si="36"/>
        <v>15.5</v>
      </c>
      <c r="R80" s="8"/>
      <c r="T80"/>
    </row>
    <row r="81" spans="2:20" ht="23.1" customHeight="1" x14ac:dyDescent="0.25">
      <c r="B81" s="23" t="s">
        <v>121</v>
      </c>
      <c r="C81" s="49">
        <f>'Avg Week MUKONO-KALAGI'!C81+'Avg Week KALAGI-MUKONO'!C81</f>
        <v>1.5</v>
      </c>
      <c r="D81" s="49">
        <f>'Avg Week MUKONO-KALAGI'!D81+'Avg Week KALAGI-MUKONO'!D81</f>
        <v>0.5</v>
      </c>
      <c r="E81" s="49">
        <f>'Avg Week MUKONO-KALAGI'!E81+'Avg Week KALAGI-MUKONO'!E81</f>
        <v>0</v>
      </c>
      <c r="F81" s="49">
        <f>'Avg Week MUKONO-KALAGI'!F81+'Avg Week KALAGI-MUKONO'!F81</f>
        <v>1</v>
      </c>
      <c r="G81" s="49">
        <f>'Avg Week MUKONO-KALAGI'!G81+'Avg Week KALAGI-MUKONO'!G81</f>
        <v>0</v>
      </c>
      <c r="H81" s="49">
        <f>'Avg Week MUKONO-KALAGI'!H81+'Avg Week KALAGI-MUKONO'!H81</f>
        <v>0</v>
      </c>
      <c r="I81" s="49">
        <f>'Avg Week MUKONO-KALAGI'!I81+'Avg Week KALAGI-MUKONO'!I81</f>
        <v>1.5</v>
      </c>
      <c r="J81" s="49">
        <f>'Avg Week MUKONO-KALAGI'!J81+'Avg Week KALAGI-MUKONO'!J81</f>
        <v>1.5</v>
      </c>
      <c r="K81" s="49">
        <f>'Avg Week MUKONO-KALAGI'!K81+'Avg Week KALAGI-MUKONO'!K81</f>
        <v>0</v>
      </c>
      <c r="L81" s="49">
        <f>'Avg Week MUKONO-KALAGI'!L81+'Avg Week KALAGI-MUKONO'!L81</f>
        <v>0</v>
      </c>
      <c r="M81" s="49">
        <f>'Avg Week MUKONO-KALAGI'!M81+'Avg Week KALAGI-MUKONO'!M81</f>
        <v>3.5</v>
      </c>
      <c r="N81" s="49">
        <f>'Avg Week MUKONO-KALAGI'!N81+'Avg Week KALAGI-MUKONO'!N81</f>
        <v>0</v>
      </c>
      <c r="O81" s="15">
        <f t="shared" si="35"/>
        <v>6</v>
      </c>
      <c r="P81" s="15">
        <f t="shared" si="36"/>
        <v>9.5</v>
      </c>
      <c r="R81" s="8"/>
      <c r="T81"/>
    </row>
    <row r="82" spans="2:20" ht="23.1" customHeight="1" x14ac:dyDescent="0.25">
      <c r="B82" s="24" t="s">
        <v>122</v>
      </c>
      <c r="C82" s="49">
        <f>'Avg Week MUKONO-KALAGI'!C82+'Avg Week KALAGI-MUKONO'!C82</f>
        <v>0</v>
      </c>
      <c r="D82" s="49">
        <f>'Avg Week MUKONO-KALAGI'!D82+'Avg Week KALAGI-MUKONO'!D82</f>
        <v>0</v>
      </c>
      <c r="E82" s="49">
        <f>'Avg Week MUKONO-KALAGI'!E82+'Avg Week KALAGI-MUKONO'!E82</f>
        <v>0</v>
      </c>
      <c r="F82" s="49">
        <f>'Avg Week MUKONO-KALAGI'!F82+'Avg Week KALAGI-MUKONO'!F82</f>
        <v>1.5</v>
      </c>
      <c r="G82" s="49">
        <f>'Avg Week MUKONO-KALAGI'!G82+'Avg Week KALAGI-MUKONO'!G82</f>
        <v>0</v>
      </c>
      <c r="H82" s="49">
        <f>'Avg Week MUKONO-KALAGI'!H82+'Avg Week KALAGI-MUKONO'!H82</f>
        <v>0</v>
      </c>
      <c r="I82" s="49">
        <f>'Avg Week MUKONO-KALAGI'!I82+'Avg Week KALAGI-MUKONO'!I82</f>
        <v>1</v>
      </c>
      <c r="J82" s="49">
        <f>'Avg Week MUKONO-KALAGI'!J82+'Avg Week KALAGI-MUKONO'!J82</f>
        <v>0</v>
      </c>
      <c r="K82" s="49">
        <f>'Avg Week MUKONO-KALAGI'!K82+'Avg Week KALAGI-MUKONO'!K82</f>
        <v>0</v>
      </c>
      <c r="L82" s="49">
        <f>'Avg Week MUKONO-KALAGI'!L82+'Avg Week KALAGI-MUKONO'!L82</f>
        <v>0</v>
      </c>
      <c r="M82" s="49">
        <f>'Avg Week MUKONO-KALAGI'!M82+'Avg Week KALAGI-MUKONO'!M82</f>
        <v>2.5</v>
      </c>
      <c r="N82" s="49">
        <f>'Avg Week MUKONO-KALAGI'!N82+'Avg Week KALAGI-MUKONO'!N82</f>
        <v>0</v>
      </c>
      <c r="O82" s="15">
        <f t="shared" si="35"/>
        <v>2.5</v>
      </c>
      <c r="P82" s="15">
        <f t="shared" si="36"/>
        <v>5</v>
      </c>
      <c r="R82" s="8"/>
      <c r="T82"/>
    </row>
    <row r="83" spans="2:20" ht="23.1" customHeight="1" x14ac:dyDescent="0.25">
      <c r="B83" s="23" t="s">
        <v>123</v>
      </c>
      <c r="C83" s="49">
        <f>'Avg Week MUKONO-KALAGI'!C83+'Avg Week KALAGI-MUKONO'!C83</f>
        <v>0</v>
      </c>
      <c r="D83" s="49">
        <f>'Avg Week MUKONO-KALAGI'!D83+'Avg Week KALAGI-MUKONO'!D83</f>
        <v>1.5</v>
      </c>
      <c r="E83" s="49">
        <f>'Avg Week MUKONO-KALAGI'!E83+'Avg Week KALAGI-MUKONO'!E83</f>
        <v>1</v>
      </c>
      <c r="F83" s="49">
        <f>'Avg Week MUKONO-KALAGI'!F83+'Avg Week KALAGI-MUKONO'!F83</f>
        <v>0</v>
      </c>
      <c r="G83" s="49">
        <f>'Avg Week MUKONO-KALAGI'!G83+'Avg Week KALAGI-MUKONO'!G83</f>
        <v>0</v>
      </c>
      <c r="H83" s="49">
        <f>'Avg Week MUKONO-KALAGI'!H83+'Avg Week KALAGI-MUKONO'!H83</f>
        <v>0.5</v>
      </c>
      <c r="I83" s="49">
        <f>'Avg Week MUKONO-KALAGI'!I83+'Avg Week KALAGI-MUKONO'!I83</f>
        <v>0.5</v>
      </c>
      <c r="J83" s="49">
        <f>'Avg Week MUKONO-KALAGI'!J83+'Avg Week KALAGI-MUKONO'!J83</f>
        <v>0</v>
      </c>
      <c r="K83" s="49">
        <f>'Avg Week MUKONO-KALAGI'!K83+'Avg Week KALAGI-MUKONO'!K83</f>
        <v>0</v>
      </c>
      <c r="L83" s="49">
        <f>'Avg Week MUKONO-KALAGI'!L83+'Avg Week KALAGI-MUKONO'!L83</f>
        <v>0</v>
      </c>
      <c r="M83" s="49">
        <f>'Avg Week MUKONO-KALAGI'!M83+'Avg Week KALAGI-MUKONO'!M83</f>
        <v>7</v>
      </c>
      <c r="N83" s="49">
        <f>'Avg Week MUKONO-KALAGI'!N83+'Avg Week KALAGI-MUKONO'!N83</f>
        <v>0</v>
      </c>
      <c r="O83" s="15">
        <f t="shared" si="35"/>
        <v>3.5</v>
      </c>
      <c r="P83" s="15">
        <f t="shared" si="36"/>
        <v>10.5</v>
      </c>
      <c r="R83" s="8"/>
      <c r="T83"/>
    </row>
    <row r="84" spans="2:20" ht="23.1" customHeight="1" x14ac:dyDescent="0.25">
      <c r="B84" s="25" t="s">
        <v>124</v>
      </c>
      <c r="C84" s="49">
        <f>'Avg Week MUKONO-KALAGI'!C84+'Avg Week KALAGI-MUKONO'!C84</f>
        <v>0</v>
      </c>
      <c r="D84" s="49">
        <f>'Avg Week MUKONO-KALAGI'!D84+'Avg Week KALAGI-MUKONO'!D84</f>
        <v>0</v>
      </c>
      <c r="E84" s="49">
        <f>'Avg Week MUKONO-KALAGI'!E84+'Avg Week KALAGI-MUKONO'!E84</f>
        <v>0</v>
      </c>
      <c r="F84" s="49">
        <f>'Avg Week MUKONO-KALAGI'!F84+'Avg Week KALAGI-MUKONO'!F84</f>
        <v>0</v>
      </c>
      <c r="G84" s="49">
        <f>'Avg Week MUKONO-KALAGI'!G84+'Avg Week KALAGI-MUKONO'!G84</f>
        <v>0</v>
      </c>
      <c r="H84" s="49">
        <f>'Avg Week MUKONO-KALAGI'!H84+'Avg Week KALAGI-MUKONO'!H84</f>
        <v>0</v>
      </c>
      <c r="I84" s="49">
        <f>'Avg Week MUKONO-KALAGI'!I84+'Avg Week KALAGI-MUKONO'!I84</f>
        <v>0</v>
      </c>
      <c r="J84" s="49">
        <f>'Avg Week MUKONO-KALAGI'!J84+'Avg Week KALAGI-MUKONO'!J84</f>
        <v>0</v>
      </c>
      <c r="K84" s="49">
        <f>'Avg Week MUKONO-KALAGI'!K84+'Avg Week KALAGI-MUKONO'!K84</f>
        <v>0</v>
      </c>
      <c r="L84" s="49">
        <f>'Avg Week MUKONO-KALAGI'!L84+'Avg Week KALAGI-MUKONO'!L84</f>
        <v>0</v>
      </c>
      <c r="M84" s="49">
        <f>'Avg Week MUKONO-KALAGI'!M84+'Avg Week KALAGI-MUKONO'!M84</f>
        <v>3.5</v>
      </c>
      <c r="N84" s="49">
        <f>'Avg Week MUKONO-KALAGI'!N84+'Avg Week KALAGI-MUKONO'!N84</f>
        <v>0</v>
      </c>
      <c r="O84" s="15">
        <f t="shared" si="35"/>
        <v>0</v>
      </c>
      <c r="P84" s="15">
        <f t="shared" si="36"/>
        <v>3.5</v>
      </c>
      <c r="R84" s="8"/>
      <c r="T84"/>
    </row>
    <row r="85" spans="2:20" ht="23.1" customHeight="1" x14ac:dyDescent="0.25">
      <c r="B85" s="23" t="s">
        <v>125</v>
      </c>
      <c r="C85" s="49">
        <f>'Avg Week MUKONO-KALAGI'!C85+'Avg Week KALAGI-MUKONO'!C85</f>
        <v>0</v>
      </c>
      <c r="D85" s="49">
        <f>'Avg Week MUKONO-KALAGI'!D85+'Avg Week KALAGI-MUKONO'!D85</f>
        <v>0</v>
      </c>
      <c r="E85" s="49">
        <f>'Avg Week MUKONO-KALAGI'!E85+'Avg Week KALAGI-MUKONO'!E85</f>
        <v>0</v>
      </c>
      <c r="F85" s="49">
        <f>'Avg Week MUKONO-KALAGI'!F85+'Avg Week KALAGI-MUKONO'!F85</f>
        <v>1.5</v>
      </c>
      <c r="G85" s="49">
        <f>'Avg Week MUKONO-KALAGI'!G85+'Avg Week KALAGI-MUKONO'!G85</f>
        <v>0</v>
      </c>
      <c r="H85" s="49">
        <f>'Avg Week MUKONO-KALAGI'!H85+'Avg Week KALAGI-MUKONO'!H85</f>
        <v>0</v>
      </c>
      <c r="I85" s="49">
        <f>'Avg Week MUKONO-KALAGI'!I85+'Avg Week KALAGI-MUKONO'!I85</f>
        <v>1.5</v>
      </c>
      <c r="J85" s="49">
        <f>'Avg Week MUKONO-KALAGI'!J85+'Avg Week KALAGI-MUKONO'!J85</f>
        <v>0</v>
      </c>
      <c r="K85" s="49">
        <f>'Avg Week MUKONO-KALAGI'!K85+'Avg Week KALAGI-MUKONO'!K85</f>
        <v>0</v>
      </c>
      <c r="L85" s="49">
        <f>'Avg Week MUKONO-KALAGI'!L85+'Avg Week KALAGI-MUKONO'!L85</f>
        <v>0</v>
      </c>
      <c r="M85" s="49">
        <f>'Avg Week MUKONO-KALAGI'!M85+'Avg Week KALAGI-MUKONO'!M85</f>
        <v>3.5</v>
      </c>
      <c r="N85" s="49">
        <f>'Avg Week MUKONO-KALAGI'!N85+'Avg Week KALAGI-MUKONO'!N85</f>
        <v>0</v>
      </c>
      <c r="O85" s="15">
        <f t="shared" si="35"/>
        <v>3</v>
      </c>
      <c r="P85" s="15">
        <f t="shared" si="36"/>
        <v>6.5</v>
      </c>
      <c r="R85" s="8"/>
      <c r="T85"/>
    </row>
    <row r="86" spans="2:20" ht="23.1" customHeight="1" x14ac:dyDescent="0.25">
      <c r="B86" s="24" t="s">
        <v>126</v>
      </c>
      <c r="C86" s="49">
        <f>'Avg Week MUKONO-KALAGI'!C86+'Avg Week KALAGI-MUKONO'!C86</f>
        <v>0</v>
      </c>
      <c r="D86" s="49">
        <f>'Avg Week MUKONO-KALAGI'!D86+'Avg Week KALAGI-MUKONO'!D86</f>
        <v>0</v>
      </c>
      <c r="E86" s="49">
        <f>'Avg Week MUKONO-KALAGI'!E86+'Avg Week KALAGI-MUKONO'!E86</f>
        <v>0</v>
      </c>
      <c r="F86" s="49">
        <f>'Avg Week MUKONO-KALAGI'!F86+'Avg Week KALAGI-MUKONO'!F86</f>
        <v>1.5</v>
      </c>
      <c r="G86" s="49">
        <f>'Avg Week MUKONO-KALAGI'!G86+'Avg Week KALAGI-MUKONO'!G86</f>
        <v>0.5</v>
      </c>
      <c r="H86" s="49">
        <f>'Avg Week MUKONO-KALAGI'!H86+'Avg Week KALAGI-MUKONO'!H86</f>
        <v>0</v>
      </c>
      <c r="I86" s="49">
        <f>'Avg Week MUKONO-KALAGI'!I86+'Avg Week KALAGI-MUKONO'!I86</f>
        <v>0</v>
      </c>
      <c r="J86" s="49">
        <f>'Avg Week MUKONO-KALAGI'!J86+'Avg Week KALAGI-MUKONO'!J86</f>
        <v>0</v>
      </c>
      <c r="K86" s="49">
        <f>'Avg Week MUKONO-KALAGI'!K86+'Avg Week KALAGI-MUKONO'!K86</f>
        <v>0</v>
      </c>
      <c r="L86" s="49">
        <f>'Avg Week MUKONO-KALAGI'!L86+'Avg Week KALAGI-MUKONO'!L86</f>
        <v>0</v>
      </c>
      <c r="M86" s="49">
        <f>'Avg Week MUKONO-KALAGI'!M86+'Avg Week KALAGI-MUKONO'!M86</f>
        <v>2</v>
      </c>
      <c r="N86" s="49">
        <f>'Avg Week MUKONO-KALAGI'!N86+'Avg Week KALAGI-MUKONO'!N86</f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'Avg Week MUKONO-KALAGI'!C87+'Avg Week KALAGI-MUKONO'!C87</f>
        <v>0</v>
      </c>
      <c r="D87" s="49">
        <f>'Avg Week MUKONO-KALAGI'!D87+'Avg Week KALAGI-MUKONO'!D87</f>
        <v>1.5</v>
      </c>
      <c r="E87" s="49">
        <f>'Avg Week MUKONO-KALAGI'!E87+'Avg Week KALAGI-MUKONO'!E87</f>
        <v>1.5</v>
      </c>
      <c r="F87" s="49">
        <f>'Avg Week MUKONO-KALAGI'!F87+'Avg Week KALAGI-MUKONO'!F87</f>
        <v>0.5</v>
      </c>
      <c r="G87" s="49">
        <f>'Avg Week MUKONO-KALAGI'!G87+'Avg Week KALAGI-MUKONO'!G87</f>
        <v>0</v>
      </c>
      <c r="H87" s="49">
        <f>'Avg Week MUKONO-KALAGI'!H87+'Avg Week KALAGI-MUKONO'!H87</f>
        <v>0.5</v>
      </c>
      <c r="I87" s="49">
        <f>'Avg Week MUKONO-KALAGI'!I87+'Avg Week KALAGI-MUKONO'!I87</f>
        <v>1</v>
      </c>
      <c r="J87" s="49">
        <f>'Avg Week MUKONO-KALAGI'!J87+'Avg Week KALAGI-MUKONO'!J87</f>
        <v>0</v>
      </c>
      <c r="K87" s="49">
        <f>'Avg Week MUKONO-KALAGI'!K87+'Avg Week KALAGI-MUKONO'!K87</f>
        <v>0</v>
      </c>
      <c r="L87" s="49">
        <f>'Avg Week MUKONO-KALAGI'!L87+'Avg Week KALAGI-MUKONO'!L87</f>
        <v>0</v>
      </c>
      <c r="M87" s="49">
        <f>'Avg Week MUKONO-KALAGI'!M87+'Avg Week KALAGI-MUKONO'!M87</f>
        <v>2.5</v>
      </c>
      <c r="N87" s="49">
        <f>'Avg Week MUKONO-KALAGI'!N87+'Avg Week KALAGI-MUKONO'!N87</f>
        <v>0</v>
      </c>
      <c r="O87" s="15">
        <f t="shared" si="35"/>
        <v>5</v>
      </c>
      <c r="P87" s="15">
        <f t="shared" si="36"/>
        <v>7.5</v>
      </c>
      <c r="R87" s="8"/>
      <c r="T87"/>
    </row>
    <row r="88" spans="2:20" ht="23.1" customHeight="1" x14ac:dyDescent="0.25">
      <c r="B88" s="25" t="s">
        <v>128</v>
      </c>
      <c r="C88" s="49">
        <f>'Avg Week MUKONO-KALAGI'!C88+'Avg Week KALAGI-MUKONO'!C88</f>
        <v>0</v>
      </c>
      <c r="D88" s="49">
        <f>'Avg Week MUKONO-KALAGI'!D88+'Avg Week KALAGI-MUKONO'!D88</f>
        <v>0</v>
      </c>
      <c r="E88" s="49">
        <f>'Avg Week MUKONO-KALAGI'!E88+'Avg Week KALAGI-MUKONO'!E88</f>
        <v>0</v>
      </c>
      <c r="F88" s="49">
        <f>'Avg Week MUKONO-KALAGI'!F88+'Avg Week KALAGI-MUKONO'!F88</f>
        <v>0</v>
      </c>
      <c r="G88" s="49">
        <f>'Avg Week MUKONO-KALAGI'!G88+'Avg Week KALAGI-MUKONO'!G88</f>
        <v>0</v>
      </c>
      <c r="H88" s="49">
        <f>'Avg Week MUKONO-KALAGI'!H88+'Avg Week KALAGI-MUKONO'!H88</f>
        <v>0</v>
      </c>
      <c r="I88" s="49">
        <f>'Avg Week MUKONO-KALAGI'!I88+'Avg Week KALAGI-MUKONO'!I88</f>
        <v>1.5</v>
      </c>
      <c r="J88" s="49">
        <f>'Avg Week MUKONO-KALAGI'!J88+'Avg Week KALAGI-MUKONO'!J88</f>
        <v>0</v>
      </c>
      <c r="K88" s="49">
        <f>'Avg Week MUKONO-KALAGI'!K88+'Avg Week KALAGI-MUKONO'!K88</f>
        <v>0</v>
      </c>
      <c r="L88" s="49">
        <f>'Avg Week MUKONO-KALAGI'!L88+'Avg Week KALAGI-MUKONO'!L88</f>
        <v>0</v>
      </c>
      <c r="M88" s="49">
        <f>'Avg Week MUKONO-KALAGI'!M88+'Avg Week KALAGI-MUKONO'!M88</f>
        <v>3</v>
      </c>
      <c r="N88" s="49">
        <f>'Avg Week MUKONO-KALAGI'!N88+'Avg Week KALAGI-MUKONO'!N88</f>
        <v>0</v>
      </c>
      <c r="O88" s="15">
        <f t="shared" si="35"/>
        <v>1.5</v>
      </c>
      <c r="P88" s="15">
        <f t="shared" si="36"/>
        <v>4.5</v>
      </c>
      <c r="R88" s="8"/>
      <c r="T88"/>
    </row>
    <row r="89" spans="2:20" ht="23.1" customHeight="1" x14ac:dyDescent="0.25">
      <c r="B89" s="23" t="s">
        <v>129</v>
      </c>
      <c r="C89" s="49">
        <f>'Avg Week MUKONO-KALAGI'!C89+'Avg Week KALAGI-MUKONO'!C89</f>
        <v>0</v>
      </c>
      <c r="D89" s="49">
        <f>'Avg Week MUKONO-KALAGI'!D89+'Avg Week KALAGI-MUKONO'!D89</f>
        <v>0</v>
      </c>
      <c r="E89" s="49">
        <f>'Avg Week MUKONO-KALAGI'!E89+'Avg Week KALAGI-MUKONO'!E89</f>
        <v>0</v>
      </c>
      <c r="F89" s="49">
        <f>'Avg Week MUKONO-KALAGI'!F89+'Avg Week KALAGI-MUKONO'!F89</f>
        <v>2</v>
      </c>
      <c r="G89" s="49">
        <f>'Avg Week MUKONO-KALAGI'!G89+'Avg Week KALAGI-MUKONO'!G89</f>
        <v>0</v>
      </c>
      <c r="H89" s="49">
        <f>'Avg Week MUKONO-KALAGI'!H89+'Avg Week KALAGI-MUKONO'!H89</f>
        <v>0</v>
      </c>
      <c r="I89" s="49">
        <f>'Avg Week MUKONO-KALAGI'!I89+'Avg Week KALAGI-MUKONO'!I89</f>
        <v>1</v>
      </c>
      <c r="J89" s="49">
        <f>'Avg Week MUKONO-KALAGI'!J89+'Avg Week KALAGI-MUKONO'!J89</f>
        <v>0</v>
      </c>
      <c r="K89" s="49">
        <f>'Avg Week MUKONO-KALAGI'!K89+'Avg Week KALAGI-MUKONO'!K89</f>
        <v>0</v>
      </c>
      <c r="L89" s="49">
        <f>'Avg Week MUKONO-KALAGI'!L89+'Avg Week KALAGI-MUKONO'!L89</f>
        <v>0</v>
      </c>
      <c r="M89" s="49">
        <f>'Avg Week MUKONO-KALAGI'!M89+'Avg Week KALAGI-MUKONO'!M89</f>
        <v>3</v>
      </c>
      <c r="N89" s="49">
        <f>'Avg Week MUKONO-KALAGI'!N89+'Avg Week KALAGI-MUKONO'!N89</f>
        <v>0</v>
      </c>
      <c r="O89" s="15">
        <f t="shared" si="35"/>
        <v>3</v>
      </c>
      <c r="P89" s="15">
        <f t="shared" si="36"/>
        <v>6</v>
      </c>
      <c r="R89" s="8"/>
      <c r="T89"/>
    </row>
    <row r="90" spans="2:20" ht="23.1" customHeight="1" x14ac:dyDescent="0.25">
      <c r="B90" s="24" t="s">
        <v>130</v>
      </c>
      <c r="C90" s="49">
        <f>'Avg Week MUKONO-KALAGI'!C90+'Avg Week KALAGI-MUKONO'!C90</f>
        <v>0.5</v>
      </c>
      <c r="D90" s="49">
        <f>'Avg Week MUKONO-KALAGI'!D90+'Avg Week KALAGI-MUKONO'!D90</f>
        <v>0</v>
      </c>
      <c r="E90" s="49">
        <f>'Avg Week MUKONO-KALAGI'!E90+'Avg Week KALAGI-MUKONO'!E90</f>
        <v>0</v>
      </c>
      <c r="F90" s="49">
        <f>'Avg Week MUKONO-KALAGI'!F90+'Avg Week KALAGI-MUKONO'!F90</f>
        <v>2</v>
      </c>
      <c r="G90" s="49">
        <f>'Avg Week MUKONO-KALAGI'!G90+'Avg Week KALAGI-MUKONO'!G90</f>
        <v>0</v>
      </c>
      <c r="H90" s="49">
        <f>'Avg Week MUKONO-KALAGI'!H90+'Avg Week KALAGI-MUKONO'!H90</f>
        <v>0</v>
      </c>
      <c r="I90" s="49">
        <f>'Avg Week MUKONO-KALAGI'!I90+'Avg Week KALAGI-MUKONO'!I90</f>
        <v>0.5</v>
      </c>
      <c r="J90" s="49">
        <f>'Avg Week MUKONO-KALAGI'!J90+'Avg Week KALAGI-MUKONO'!J90</f>
        <v>1.5</v>
      </c>
      <c r="K90" s="49">
        <f>'Avg Week MUKONO-KALAGI'!K90+'Avg Week KALAGI-MUKONO'!K90</f>
        <v>0</v>
      </c>
      <c r="L90" s="49">
        <f>'Avg Week MUKONO-KALAGI'!L90+'Avg Week KALAGI-MUKONO'!L90</f>
        <v>0</v>
      </c>
      <c r="M90" s="49">
        <f>'Avg Week MUKONO-KALAGI'!M90+'Avg Week KALAGI-MUKONO'!M90</f>
        <v>1.5</v>
      </c>
      <c r="N90" s="49">
        <f>'Avg Week MUKONO-KALAGI'!N90+'Avg Week KALAGI-MUKONO'!N90</f>
        <v>0</v>
      </c>
      <c r="O90" s="15">
        <f t="shared" si="35"/>
        <v>4.5</v>
      </c>
      <c r="P90" s="15">
        <f t="shared" si="36"/>
        <v>6</v>
      </c>
      <c r="R90" s="8"/>
      <c r="T90"/>
    </row>
    <row r="91" spans="2:20" ht="23.1" customHeight="1" x14ac:dyDescent="0.25">
      <c r="B91" s="23" t="s">
        <v>131</v>
      </c>
      <c r="C91" s="49">
        <f>'Avg Week MUKONO-KALAGI'!C91+'Avg Week KALAGI-MUKONO'!C91</f>
        <v>1</v>
      </c>
      <c r="D91" s="49">
        <f>'Avg Week MUKONO-KALAGI'!D91+'Avg Week KALAGI-MUKONO'!D91</f>
        <v>1</v>
      </c>
      <c r="E91" s="49">
        <f>'Avg Week MUKONO-KALAGI'!E91+'Avg Week KALAGI-MUKONO'!E91</f>
        <v>0.5</v>
      </c>
      <c r="F91" s="49">
        <f>'Avg Week MUKONO-KALAGI'!F91+'Avg Week KALAGI-MUKONO'!F91</f>
        <v>1.5</v>
      </c>
      <c r="G91" s="49">
        <f>'Avg Week MUKONO-KALAGI'!G91+'Avg Week KALAGI-MUKONO'!G91</f>
        <v>0</v>
      </c>
      <c r="H91" s="49">
        <f>'Avg Week MUKONO-KALAGI'!H91+'Avg Week KALAGI-MUKONO'!H91</f>
        <v>0</v>
      </c>
      <c r="I91" s="49">
        <f>'Avg Week MUKONO-KALAGI'!I91+'Avg Week KALAGI-MUKONO'!I91</f>
        <v>1.5</v>
      </c>
      <c r="J91" s="49">
        <f>'Avg Week MUKONO-KALAGI'!J91+'Avg Week KALAGI-MUKONO'!J91</f>
        <v>1.5</v>
      </c>
      <c r="K91" s="49">
        <f>'Avg Week MUKONO-KALAGI'!K91+'Avg Week KALAGI-MUKONO'!K91</f>
        <v>1</v>
      </c>
      <c r="L91" s="49">
        <f>'Avg Week MUKONO-KALAGI'!L91+'Avg Week KALAGI-MUKONO'!L91</f>
        <v>0</v>
      </c>
      <c r="M91" s="49">
        <f>'Avg Week MUKONO-KALAGI'!M91+'Avg Week KALAGI-MUKONO'!M91</f>
        <v>2</v>
      </c>
      <c r="N91" s="49">
        <f>'Avg Week MUKONO-KALAGI'!N91+'Avg Week KALAGI-MUKONO'!N91</f>
        <v>0</v>
      </c>
      <c r="O91" s="15">
        <f t="shared" si="35"/>
        <v>8</v>
      </c>
      <c r="P91" s="15">
        <f t="shared" si="36"/>
        <v>10</v>
      </c>
      <c r="R91" s="8"/>
      <c r="T91"/>
    </row>
    <row r="92" spans="2:20" ht="23.1" customHeight="1" x14ac:dyDescent="0.25">
      <c r="B92" s="25" t="s">
        <v>132</v>
      </c>
      <c r="C92" s="49">
        <f>'Avg Week MUKONO-KALAGI'!C92+'Avg Week KALAGI-MUKONO'!C92</f>
        <v>0</v>
      </c>
      <c r="D92" s="49">
        <f>'Avg Week MUKONO-KALAGI'!D92+'Avg Week KALAGI-MUKONO'!D92</f>
        <v>0</v>
      </c>
      <c r="E92" s="49">
        <f>'Avg Week MUKONO-KALAGI'!E92+'Avg Week KALAGI-MUKONO'!E92</f>
        <v>0</v>
      </c>
      <c r="F92" s="49">
        <f>'Avg Week MUKONO-KALAGI'!F92+'Avg Week KALAGI-MUKONO'!F92</f>
        <v>2</v>
      </c>
      <c r="G92" s="49">
        <f>'Avg Week MUKONO-KALAGI'!G92+'Avg Week KALAGI-MUKONO'!G92</f>
        <v>0.5</v>
      </c>
      <c r="H92" s="49">
        <f>'Avg Week MUKONO-KALAGI'!H92+'Avg Week KALAGI-MUKONO'!H92</f>
        <v>0</v>
      </c>
      <c r="I92" s="49">
        <f>'Avg Week MUKONO-KALAGI'!I92+'Avg Week KALAGI-MUKONO'!I92</f>
        <v>1</v>
      </c>
      <c r="J92" s="49">
        <f>'Avg Week MUKONO-KALAGI'!J92+'Avg Week KALAGI-MUKONO'!J92</f>
        <v>0</v>
      </c>
      <c r="K92" s="49">
        <f>'Avg Week MUKONO-KALAGI'!K92+'Avg Week KALAGI-MUKONO'!K92</f>
        <v>0</v>
      </c>
      <c r="L92" s="49">
        <f>'Avg Week MUKONO-KALAGI'!L92+'Avg Week KALAGI-MUKONO'!L92</f>
        <v>0</v>
      </c>
      <c r="M92" s="49">
        <f>'Avg Week MUKONO-KALAGI'!M92+'Avg Week KALAGI-MUKONO'!M92</f>
        <v>4</v>
      </c>
      <c r="N92" s="49">
        <f>'Avg Week MUKONO-KALAGI'!N92+'Avg Week KALAGI-MUKONO'!N92</f>
        <v>0</v>
      </c>
      <c r="O92" s="15">
        <f t="shared" si="35"/>
        <v>3.5</v>
      </c>
      <c r="P92" s="15">
        <f t="shared" si="36"/>
        <v>7.5</v>
      </c>
      <c r="R92" s="8"/>
      <c r="T92"/>
    </row>
    <row r="93" spans="2:20" ht="23.1" customHeight="1" x14ac:dyDescent="0.25">
      <c r="B93" s="23" t="s">
        <v>133</v>
      </c>
      <c r="C93" s="49">
        <f>'Avg Week MUKONO-KALAGI'!C93+'Avg Week KALAGI-MUKONO'!C93</f>
        <v>0</v>
      </c>
      <c r="D93" s="49">
        <f>'Avg Week MUKONO-KALAGI'!D93+'Avg Week KALAGI-MUKONO'!D93</f>
        <v>0.5</v>
      </c>
      <c r="E93" s="49">
        <f>'Avg Week MUKONO-KALAGI'!E93+'Avg Week KALAGI-MUKONO'!E93</f>
        <v>0</v>
      </c>
      <c r="F93" s="49">
        <f>'Avg Week MUKONO-KALAGI'!F93+'Avg Week KALAGI-MUKONO'!F93</f>
        <v>1</v>
      </c>
      <c r="G93" s="49">
        <f>'Avg Week MUKONO-KALAGI'!G93+'Avg Week KALAGI-MUKONO'!G93</f>
        <v>1</v>
      </c>
      <c r="H93" s="49">
        <f>'Avg Week MUKONO-KALAGI'!H93+'Avg Week KALAGI-MUKONO'!H93</f>
        <v>0</v>
      </c>
      <c r="I93" s="49">
        <f>'Avg Week MUKONO-KALAGI'!I93+'Avg Week KALAGI-MUKONO'!I93</f>
        <v>1.5</v>
      </c>
      <c r="J93" s="49">
        <f>'Avg Week MUKONO-KALAGI'!J93+'Avg Week KALAGI-MUKONO'!J93</f>
        <v>0.5</v>
      </c>
      <c r="K93" s="49">
        <f>'Avg Week MUKONO-KALAGI'!K93+'Avg Week KALAGI-MUKONO'!K93</f>
        <v>0</v>
      </c>
      <c r="L93" s="49">
        <f>'Avg Week MUKONO-KALAGI'!L93+'Avg Week KALAGI-MUKONO'!L93</f>
        <v>0</v>
      </c>
      <c r="M93" s="49">
        <f>'Avg Week MUKONO-KALAGI'!M93+'Avg Week KALAGI-MUKONO'!M93</f>
        <v>1.5</v>
      </c>
      <c r="N93" s="49">
        <f>'Avg Week MUKONO-KALAGI'!N93+'Avg Week KALAGI-MUKONO'!N93</f>
        <v>0</v>
      </c>
      <c r="O93" s="15">
        <f t="shared" si="35"/>
        <v>4.5</v>
      </c>
      <c r="P93" s="15">
        <f t="shared" si="36"/>
        <v>6</v>
      </c>
      <c r="R93" s="8"/>
      <c r="T93"/>
    </row>
    <row r="94" spans="2:20" ht="23.1" customHeight="1" x14ac:dyDescent="0.25">
      <c r="B94" s="24" t="s">
        <v>134</v>
      </c>
      <c r="C94" s="49">
        <f>'Avg Week MUKONO-KALAGI'!C94+'Avg Week KALAGI-MUKONO'!C94</f>
        <v>1</v>
      </c>
      <c r="D94" s="49">
        <f>'Avg Week MUKONO-KALAGI'!D94+'Avg Week KALAGI-MUKONO'!D94</f>
        <v>1.5</v>
      </c>
      <c r="E94" s="49">
        <f>'Avg Week MUKONO-KALAGI'!E94+'Avg Week KALAGI-MUKONO'!E94</f>
        <v>0</v>
      </c>
      <c r="F94" s="49">
        <f>'Avg Week MUKONO-KALAGI'!F94+'Avg Week KALAGI-MUKONO'!F94</f>
        <v>3.5</v>
      </c>
      <c r="G94" s="49">
        <f>'Avg Week MUKONO-KALAGI'!G94+'Avg Week KALAGI-MUKONO'!G94</f>
        <v>0</v>
      </c>
      <c r="H94" s="49">
        <f>'Avg Week MUKONO-KALAGI'!H94+'Avg Week KALAGI-MUKONO'!H94</f>
        <v>0</v>
      </c>
      <c r="I94" s="49">
        <f>'Avg Week MUKONO-KALAGI'!I94+'Avg Week KALAGI-MUKONO'!I94</f>
        <v>3</v>
      </c>
      <c r="J94" s="49">
        <f>'Avg Week MUKONO-KALAGI'!J94+'Avg Week KALAGI-MUKONO'!J94</f>
        <v>0</v>
      </c>
      <c r="K94" s="49">
        <f>'Avg Week MUKONO-KALAGI'!K94+'Avg Week KALAGI-MUKONO'!K94</f>
        <v>0</v>
      </c>
      <c r="L94" s="49">
        <f>'Avg Week MUKONO-KALAGI'!L94+'Avg Week KALAGI-MUKONO'!L94</f>
        <v>0</v>
      </c>
      <c r="M94" s="49">
        <f>'Avg Week MUKONO-KALAGI'!M94+'Avg Week KALAGI-MUKONO'!M94</f>
        <v>1.5</v>
      </c>
      <c r="N94" s="49">
        <f>'Avg Week MUKONO-KALAGI'!N94+'Avg Week KALAGI-MUKONO'!N94</f>
        <v>0</v>
      </c>
      <c r="O94" s="15">
        <f t="shared" si="35"/>
        <v>9</v>
      </c>
      <c r="P94" s="15">
        <f t="shared" si="36"/>
        <v>10.5</v>
      </c>
      <c r="R94" s="8"/>
      <c r="T94"/>
    </row>
    <row r="95" spans="2:20" ht="23.1" customHeight="1" x14ac:dyDescent="0.25">
      <c r="B95" s="23" t="s">
        <v>135</v>
      </c>
      <c r="C95" s="49">
        <f>'Avg Week MUKONO-KALAGI'!C95+'Avg Week KALAGI-MUKONO'!C95</f>
        <v>0</v>
      </c>
      <c r="D95" s="49">
        <f>'Avg Week MUKONO-KALAGI'!D95+'Avg Week KALAGI-MUKONO'!D95</f>
        <v>1</v>
      </c>
      <c r="E95" s="49">
        <f>'Avg Week MUKONO-KALAGI'!E95+'Avg Week KALAGI-MUKONO'!E95</f>
        <v>1.5</v>
      </c>
      <c r="F95" s="49">
        <f>'Avg Week MUKONO-KALAGI'!F95+'Avg Week KALAGI-MUKONO'!F95</f>
        <v>4.5</v>
      </c>
      <c r="G95" s="49">
        <f>'Avg Week MUKONO-KALAGI'!G95+'Avg Week KALAGI-MUKONO'!G95</f>
        <v>0</v>
      </c>
      <c r="H95" s="49">
        <f>'Avg Week MUKONO-KALAGI'!H95+'Avg Week KALAGI-MUKONO'!H95</f>
        <v>0</v>
      </c>
      <c r="I95" s="49">
        <f>'Avg Week MUKONO-KALAGI'!I95+'Avg Week KALAGI-MUKONO'!I95</f>
        <v>2</v>
      </c>
      <c r="J95" s="49">
        <f>'Avg Week MUKONO-KALAGI'!J95+'Avg Week KALAGI-MUKONO'!J95</f>
        <v>1</v>
      </c>
      <c r="K95" s="49">
        <f>'Avg Week MUKONO-KALAGI'!K95+'Avg Week KALAGI-MUKONO'!K95</f>
        <v>1</v>
      </c>
      <c r="L95" s="49">
        <f>'Avg Week MUKONO-KALAGI'!L95+'Avg Week KALAGI-MUKONO'!L95</f>
        <v>0</v>
      </c>
      <c r="M95" s="49">
        <f>'Avg Week MUKONO-KALAGI'!M95+'Avg Week KALAGI-MUKONO'!M95</f>
        <v>2.5</v>
      </c>
      <c r="N95" s="49">
        <f>'Avg Week MUKONO-KALAGI'!N95+'Avg Week KALAGI-MUKONO'!N95</f>
        <v>0</v>
      </c>
      <c r="O95" s="15">
        <f t="shared" si="35"/>
        <v>11</v>
      </c>
      <c r="P95" s="15">
        <f t="shared" si="36"/>
        <v>13.5</v>
      </c>
      <c r="R95" s="8"/>
      <c r="T95"/>
    </row>
    <row r="96" spans="2:20" ht="23.1" customHeight="1" x14ac:dyDescent="0.25">
      <c r="B96" s="25" t="s">
        <v>136</v>
      </c>
      <c r="C96" s="49">
        <f>'Avg Week MUKONO-KALAGI'!C96+'Avg Week KALAGI-MUKONO'!C96</f>
        <v>1.5</v>
      </c>
      <c r="D96" s="49">
        <f>'Avg Week MUKONO-KALAGI'!D96+'Avg Week KALAGI-MUKONO'!D96</f>
        <v>0</v>
      </c>
      <c r="E96" s="49">
        <f>'Avg Week MUKONO-KALAGI'!E96+'Avg Week KALAGI-MUKONO'!E96</f>
        <v>1</v>
      </c>
      <c r="F96" s="49">
        <f>'Avg Week MUKONO-KALAGI'!F96+'Avg Week KALAGI-MUKONO'!F96</f>
        <v>7.5</v>
      </c>
      <c r="G96" s="49">
        <f>'Avg Week MUKONO-KALAGI'!G96+'Avg Week KALAGI-MUKONO'!G96</f>
        <v>0</v>
      </c>
      <c r="H96" s="49">
        <f>'Avg Week MUKONO-KALAGI'!H96+'Avg Week KALAGI-MUKONO'!H96</f>
        <v>0</v>
      </c>
      <c r="I96" s="49">
        <f>'Avg Week MUKONO-KALAGI'!I96+'Avg Week KALAGI-MUKONO'!I96</f>
        <v>4.5</v>
      </c>
      <c r="J96" s="49">
        <f>'Avg Week MUKONO-KALAGI'!J96+'Avg Week KALAGI-MUKONO'!J96</f>
        <v>0</v>
      </c>
      <c r="K96" s="49">
        <f>'Avg Week MUKONO-KALAGI'!K96+'Avg Week KALAGI-MUKONO'!K96</f>
        <v>0</v>
      </c>
      <c r="L96" s="49">
        <f>'Avg Week MUKONO-KALAGI'!L96+'Avg Week KALAGI-MUKONO'!L96</f>
        <v>0</v>
      </c>
      <c r="M96" s="49">
        <f>'Avg Week MUKONO-KALAGI'!M96+'Avg Week KALAGI-MUKONO'!M96</f>
        <v>4.5</v>
      </c>
      <c r="N96" s="49">
        <f>'Avg Week MUKONO-KALAGI'!N96+'Avg Week KALAGI-MUKONO'!N96</f>
        <v>0</v>
      </c>
      <c r="O96" s="15">
        <f t="shared" si="35"/>
        <v>14.5</v>
      </c>
      <c r="P96" s="15">
        <f t="shared" si="36"/>
        <v>19</v>
      </c>
      <c r="R96" s="8"/>
      <c r="T96"/>
    </row>
    <row r="97" spans="2:20" ht="23.1" customHeight="1" x14ac:dyDescent="0.25">
      <c r="B97" s="23" t="s">
        <v>137</v>
      </c>
      <c r="C97" s="49">
        <f>'Avg Week MUKONO-KALAGI'!C97+'Avg Week KALAGI-MUKONO'!C97</f>
        <v>0</v>
      </c>
      <c r="D97" s="49">
        <f>'Avg Week MUKONO-KALAGI'!D97+'Avg Week KALAGI-MUKONO'!D97</f>
        <v>0</v>
      </c>
      <c r="E97" s="49">
        <f>'Avg Week MUKONO-KALAGI'!E97+'Avg Week KALAGI-MUKONO'!E97</f>
        <v>1.5</v>
      </c>
      <c r="F97" s="49">
        <f>'Avg Week MUKONO-KALAGI'!F97+'Avg Week KALAGI-MUKONO'!F97</f>
        <v>5</v>
      </c>
      <c r="G97" s="49">
        <f>'Avg Week MUKONO-KALAGI'!G97+'Avg Week KALAGI-MUKONO'!G97</f>
        <v>1.5</v>
      </c>
      <c r="H97" s="49">
        <f>'Avg Week MUKONO-KALAGI'!H97+'Avg Week KALAGI-MUKONO'!H97</f>
        <v>0</v>
      </c>
      <c r="I97" s="49">
        <f>'Avg Week MUKONO-KALAGI'!I97+'Avg Week KALAGI-MUKONO'!I97</f>
        <v>1</v>
      </c>
      <c r="J97" s="49">
        <f>'Avg Week MUKONO-KALAGI'!J97+'Avg Week KALAGI-MUKONO'!J97</f>
        <v>1</v>
      </c>
      <c r="K97" s="49">
        <f>'Avg Week MUKONO-KALAGI'!K97+'Avg Week KALAGI-MUKONO'!K97</f>
        <v>0</v>
      </c>
      <c r="L97" s="49">
        <f>'Avg Week MUKONO-KALAGI'!L97+'Avg Week KALAGI-MUKONO'!L97</f>
        <v>0</v>
      </c>
      <c r="M97" s="49">
        <f>'Avg Week MUKONO-KALAGI'!M97+'Avg Week KALAGI-MUKONO'!M97</f>
        <v>0.5</v>
      </c>
      <c r="N97" s="49">
        <f>'Avg Week MUKONO-KALAGI'!N97+'Avg Week KALAGI-MUKONO'!N97</f>
        <v>0</v>
      </c>
      <c r="O97" s="15">
        <f t="shared" si="35"/>
        <v>10</v>
      </c>
      <c r="P97" s="15">
        <f t="shared" si="36"/>
        <v>10.5</v>
      </c>
      <c r="R97" s="8"/>
      <c r="T97"/>
    </row>
    <row r="98" spans="2:20" ht="23.1" customHeight="1" x14ac:dyDescent="0.25">
      <c r="B98" s="24" t="s">
        <v>138</v>
      </c>
      <c r="C98" s="49">
        <f>'Avg Week MUKONO-KALAGI'!C98+'Avg Week KALAGI-MUKONO'!C98</f>
        <v>3.5</v>
      </c>
      <c r="D98" s="49">
        <f>'Avg Week MUKONO-KALAGI'!D98+'Avg Week KALAGI-MUKONO'!D98</f>
        <v>1</v>
      </c>
      <c r="E98" s="49">
        <f>'Avg Week MUKONO-KALAGI'!E98+'Avg Week KALAGI-MUKONO'!E98</f>
        <v>0.5</v>
      </c>
      <c r="F98" s="49">
        <f>'Avg Week MUKONO-KALAGI'!F98+'Avg Week KALAGI-MUKONO'!F98</f>
        <v>10.5</v>
      </c>
      <c r="G98" s="49">
        <f>'Avg Week MUKONO-KALAGI'!G98+'Avg Week KALAGI-MUKONO'!G98</f>
        <v>0</v>
      </c>
      <c r="H98" s="49">
        <f>'Avg Week MUKONO-KALAGI'!H98+'Avg Week KALAGI-MUKONO'!H98</f>
        <v>0</v>
      </c>
      <c r="I98" s="49">
        <f>'Avg Week MUKONO-KALAGI'!I98+'Avg Week KALAGI-MUKONO'!I98</f>
        <v>1</v>
      </c>
      <c r="J98" s="49">
        <f>'Avg Week MUKONO-KALAGI'!J98+'Avg Week KALAGI-MUKONO'!J98</f>
        <v>0</v>
      </c>
      <c r="K98" s="49">
        <f>'Avg Week MUKONO-KALAGI'!K98+'Avg Week KALAGI-MUKONO'!K98</f>
        <v>0</v>
      </c>
      <c r="L98" s="49">
        <f>'Avg Week MUKONO-KALAGI'!L98+'Avg Week KALAGI-MUKONO'!L98</f>
        <v>0</v>
      </c>
      <c r="M98" s="49">
        <f>'Avg Week MUKONO-KALAGI'!M98+'Avg Week KALAGI-MUKONO'!M98</f>
        <v>4</v>
      </c>
      <c r="N98" s="49">
        <f>'Avg Week MUKONO-KALAGI'!N98+'Avg Week KALAGI-MUKONO'!N98</f>
        <v>0</v>
      </c>
      <c r="O98" s="15">
        <f t="shared" si="35"/>
        <v>16.5</v>
      </c>
      <c r="P98" s="15">
        <f t="shared" si="36"/>
        <v>20.5</v>
      </c>
      <c r="R98" s="8"/>
      <c r="T98"/>
    </row>
    <row r="99" spans="2:20" ht="23.1" customHeight="1" x14ac:dyDescent="0.25">
      <c r="B99" s="23" t="s">
        <v>139</v>
      </c>
      <c r="C99" s="49">
        <f>'Avg Week MUKONO-KALAGI'!C99+'Avg Week KALAGI-MUKONO'!C99</f>
        <v>8.5</v>
      </c>
      <c r="D99" s="49">
        <f>'Avg Week MUKONO-KALAGI'!D99+'Avg Week KALAGI-MUKONO'!D99</f>
        <v>1</v>
      </c>
      <c r="E99" s="49">
        <f>'Avg Week MUKONO-KALAGI'!E99+'Avg Week KALAGI-MUKONO'!E99</f>
        <v>1.5</v>
      </c>
      <c r="F99" s="49">
        <f>'Avg Week MUKONO-KALAGI'!F99+'Avg Week KALAGI-MUKONO'!F99</f>
        <v>12</v>
      </c>
      <c r="G99" s="49">
        <f>'Avg Week MUKONO-KALAGI'!G99+'Avg Week KALAGI-MUKONO'!G99</f>
        <v>0</v>
      </c>
      <c r="H99" s="49">
        <f>'Avg Week MUKONO-KALAGI'!H99+'Avg Week KALAGI-MUKONO'!H99</f>
        <v>0</v>
      </c>
      <c r="I99" s="49">
        <f>'Avg Week MUKONO-KALAGI'!I99+'Avg Week KALAGI-MUKONO'!I99</f>
        <v>1.5</v>
      </c>
      <c r="J99" s="49">
        <f>'Avg Week MUKONO-KALAGI'!J99+'Avg Week KALAGI-MUKONO'!J99</f>
        <v>0</v>
      </c>
      <c r="K99" s="49">
        <f>'Avg Week MUKONO-KALAGI'!K99+'Avg Week KALAGI-MUKONO'!K99</f>
        <v>0</v>
      </c>
      <c r="L99" s="49">
        <f>'Avg Week MUKONO-KALAGI'!L99+'Avg Week KALAGI-MUKONO'!L99</f>
        <v>0</v>
      </c>
      <c r="M99" s="49">
        <f>'Avg Week MUKONO-KALAGI'!M99+'Avg Week KALAGI-MUKONO'!M99</f>
        <v>11.5</v>
      </c>
      <c r="N99" s="49">
        <f>'Avg Week MUKONO-KALAGI'!N99+'Avg Week KALAGI-MUKONO'!N99</f>
        <v>0</v>
      </c>
      <c r="O99" s="15">
        <f t="shared" si="35"/>
        <v>24.5</v>
      </c>
      <c r="P99" s="15">
        <f t="shared" si="36"/>
        <v>36</v>
      </c>
      <c r="R99" s="8"/>
      <c r="T99"/>
    </row>
    <row r="100" spans="2:20" ht="23.1" customHeight="1" x14ac:dyDescent="0.25">
      <c r="B100" s="25" t="s">
        <v>140</v>
      </c>
      <c r="C100" s="49">
        <f>'Avg Week MUKONO-KALAGI'!C100+'Avg Week KALAGI-MUKONO'!C100</f>
        <v>4</v>
      </c>
      <c r="D100" s="49">
        <f>'Avg Week MUKONO-KALAGI'!D100+'Avg Week KALAGI-MUKONO'!D100</f>
        <v>1.5</v>
      </c>
      <c r="E100" s="49">
        <f>'Avg Week MUKONO-KALAGI'!E100+'Avg Week KALAGI-MUKONO'!E100</f>
        <v>3.5</v>
      </c>
      <c r="F100" s="49">
        <f>'Avg Week MUKONO-KALAGI'!F100+'Avg Week KALAGI-MUKONO'!F100</f>
        <v>4</v>
      </c>
      <c r="G100" s="49">
        <f>'Avg Week MUKONO-KALAGI'!G100+'Avg Week KALAGI-MUKONO'!G100</f>
        <v>0</v>
      </c>
      <c r="H100" s="49">
        <f>'Avg Week MUKONO-KALAGI'!H100+'Avg Week KALAGI-MUKONO'!H100</f>
        <v>2</v>
      </c>
      <c r="I100" s="49">
        <f>'Avg Week MUKONO-KALAGI'!I100+'Avg Week KALAGI-MUKONO'!I100</f>
        <v>2</v>
      </c>
      <c r="J100" s="49">
        <f>'Avg Week MUKONO-KALAGI'!J100+'Avg Week KALAGI-MUKONO'!J100</f>
        <v>0</v>
      </c>
      <c r="K100" s="49">
        <f>'Avg Week MUKONO-KALAGI'!K100+'Avg Week KALAGI-MUKONO'!K100</f>
        <v>0</v>
      </c>
      <c r="L100" s="49">
        <f>'Avg Week MUKONO-KALAGI'!L100+'Avg Week KALAGI-MUKONO'!L100</f>
        <v>2.5</v>
      </c>
      <c r="M100" s="49">
        <f>'Avg Week MUKONO-KALAGI'!M100+'Avg Week KALAGI-MUKONO'!M100</f>
        <v>5.5</v>
      </c>
      <c r="N100" s="49">
        <f>'Avg Week MUKONO-KALAGI'!N100+'Avg Week KALAGI-MUKONO'!N100</f>
        <v>0</v>
      </c>
      <c r="O100" s="15">
        <f t="shared" si="35"/>
        <v>19.5</v>
      </c>
      <c r="P100" s="15">
        <f t="shared" si="36"/>
        <v>25</v>
      </c>
      <c r="R100" s="8"/>
      <c r="T100"/>
    </row>
    <row r="101" spans="2:20" ht="23.1" customHeight="1" x14ac:dyDescent="0.25">
      <c r="B101" s="23" t="s">
        <v>141</v>
      </c>
      <c r="C101" s="49">
        <f>'Avg Week MUKONO-KALAGI'!C101+'Avg Week KALAGI-MUKONO'!C101</f>
        <v>7</v>
      </c>
      <c r="D101" s="49">
        <f>'Avg Week MUKONO-KALAGI'!D101+'Avg Week KALAGI-MUKONO'!D101</f>
        <v>0</v>
      </c>
      <c r="E101" s="49">
        <f>'Avg Week MUKONO-KALAGI'!E101+'Avg Week KALAGI-MUKONO'!E101</f>
        <v>0</v>
      </c>
      <c r="F101" s="49">
        <f>'Avg Week MUKONO-KALAGI'!F101+'Avg Week KALAGI-MUKONO'!F101</f>
        <v>10</v>
      </c>
      <c r="G101" s="49">
        <f>'Avg Week MUKONO-KALAGI'!G101+'Avg Week KALAGI-MUKONO'!G101</f>
        <v>0</v>
      </c>
      <c r="H101" s="49">
        <f>'Avg Week MUKONO-KALAGI'!H101+'Avg Week KALAGI-MUKONO'!H101</f>
        <v>0</v>
      </c>
      <c r="I101" s="49">
        <f>'Avg Week MUKONO-KALAGI'!I101+'Avg Week KALAGI-MUKONO'!I101</f>
        <v>7.5</v>
      </c>
      <c r="J101" s="49">
        <f>'Avg Week MUKONO-KALAGI'!J101+'Avg Week KALAGI-MUKONO'!J101</f>
        <v>0</v>
      </c>
      <c r="K101" s="49">
        <f>'Avg Week MUKONO-KALAGI'!K101+'Avg Week KALAGI-MUKONO'!K101</f>
        <v>0</v>
      </c>
      <c r="L101" s="49">
        <f>'Avg Week MUKONO-KALAGI'!L101+'Avg Week KALAGI-MUKONO'!L101</f>
        <v>0</v>
      </c>
      <c r="M101" s="49">
        <f>'Avg Week MUKONO-KALAGI'!M101+'Avg Week KALAGI-MUKONO'!M101</f>
        <v>10</v>
      </c>
      <c r="N101" s="49">
        <f>'Avg Week MUKONO-KALAGI'!N101+'Avg Week KALAGI-MUKONO'!N101</f>
        <v>0</v>
      </c>
      <c r="O101" s="15">
        <f t="shared" si="35"/>
        <v>24.5</v>
      </c>
      <c r="P101" s="15">
        <f t="shared" si="36"/>
        <v>34.5</v>
      </c>
      <c r="R101" s="8"/>
      <c r="T101"/>
    </row>
    <row r="102" spans="2:20" ht="23.1" customHeight="1" x14ac:dyDescent="0.25">
      <c r="B102" s="24" t="s">
        <v>142</v>
      </c>
      <c r="C102" s="49">
        <f>'Avg Week MUKONO-KALAGI'!C102+'Avg Week KALAGI-MUKONO'!C102</f>
        <v>4</v>
      </c>
      <c r="D102" s="49">
        <f>'Avg Week MUKONO-KALAGI'!D102+'Avg Week KALAGI-MUKONO'!D102</f>
        <v>0</v>
      </c>
      <c r="E102" s="49">
        <f>'Avg Week MUKONO-KALAGI'!E102+'Avg Week KALAGI-MUKONO'!E102</f>
        <v>2</v>
      </c>
      <c r="F102" s="49">
        <f>'Avg Week MUKONO-KALAGI'!F102+'Avg Week KALAGI-MUKONO'!F102</f>
        <v>8.5</v>
      </c>
      <c r="G102" s="49">
        <f>'Avg Week MUKONO-KALAGI'!G102+'Avg Week KALAGI-MUKONO'!G102</f>
        <v>2</v>
      </c>
      <c r="H102" s="49">
        <f>'Avg Week MUKONO-KALAGI'!H102+'Avg Week KALAGI-MUKONO'!H102</f>
        <v>0</v>
      </c>
      <c r="I102" s="49">
        <f>'Avg Week MUKONO-KALAGI'!I102+'Avg Week KALAGI-MUKONO'!I102</f>
        <v>6.5</v>
      </c>
      <c r="J102" s="49">
        <f>'Avg Week MUKONO-KALAGI'!J102+'Avg Week KALAGI-MUKONO'!J102</f>
        <v>1.5</v>
      </c>
      <c r="K102" s="49">
        <f>'Avg Week MUKONO-KALAGI'!K102+'Avg Week KALAGI-MUKONO'!K102</f>
        <v>0</v>
      </c>
      <c r="L102" s="49">
        <f>'Avg Week MUKONO-KALAGI'!L102+'Avg Week KALAGI-MUKONO'!L102</f>
        <v>0</v>
      </c>
      <c r="M102" s="49">
        <f>'Avg Week MUKONO-KALAGI'!M102+'Avg Week KALAGI-MUKONO'!M102</f>
        <v>13.5</v>
      </c>
      <c r="N102" s="49">
        <f>'Avg Week MUKONO-KALAGI'!N102+'Avg Week KALAGI-MUKONO'!N102</f>
        <v>0</v>
      </c>
      <c r="O102" s="15">
        <f t="shared" si="35"/>
        <v>24.5</v>
      </c>
      <c r="P102" s="15">
        <f t="shared" si="36"/>
        <v>38</v>
      </c>
      <c r="R102" s="8"/>
      <c r="T102"/>
    </row>
    <row r="103" spans="2:20" ht="23.1" customHeight="1" x14ac:dyDescent="0.25">
      <c r="B103" s="23" t="s">
        <v>143</v>
      </c>
      <c r="C103" s="49">
        <f>'Avg Week MUKONO-KALAGI'!C103+'Avg Week KALAGI-MUKONO'!C103</f>
        <v>4.5</v>
      </c>
      <c r="D103" s="49">
        <f>'Avg Week MUKONO-KALAGI'!D103+'Avg Week KALAGI-MUKONO'!D103</f>
        <v>3.5</v>
      </c>
      <c r="E103" s="49">
        <f>'Avg Week MUKONO-KALAGI'!E103+'Avg Week KALAGI-MUKONO'!E103</f>
        <v>2.5</v>
      </c>
      <c r="F103" s="49">
        <f>'Avg Week MUKONO-KALAGI'!F103+'Avg Week KALAGI-MUKONO'!F103</f>
        <v>16</v>
      </c>
      <c r="G103" s="49">
        <f>'Avg Week MUKONO-KALAGI'!G103+'Avg Week KALAGI-MUKONO'!G103</f>
        <v>1</v>
      </c>
      <c r="H103" s="49">
        <f>'Avg Week MUKONO-KALAGI'!H103+'Avg Week KALAGI-MUKONO'!H103</f>
        <v>0</v>
      </c>
      <c r="I103" s="49">
        <f>'Avg Week MUKONO-KALAGI'!I103+'Avg Week KALAGI-MUKONO'!I103</f>
        <v>3.5</v>
      </c>
      <c r="J103" s="49">
        <f>'Avg Week MUKONO-KALAGI'!J103+'Avg Week KALAGI-MUKONO'!J103</f>
        <v>0</v>
      </c>
      <c r="K103" s="49">
        <f>'Avg Week MUKONO-KALAGI'!K103+'Avg Week KALAGI-MUKONO'!K103</f>
        <v>0.5</v>
      </c>
      <c r="L103" s="49">
        <f>'Avg Week MUKONO-KALAGI'!L103+'Avg Week KALAGI-MUKONO'!L103</f>
        <v>1</v>
      </c>
      <c r="M103" s="49">
        <f>'Avg Week MUKONO-KALAGI'!M103+'Avg Week KALAGI-MUKONO'!M103</f>
        <v>21.5</v>
      </c>
      <c r="N103" s="49">
        <f>'Avg Week MUKONO-KALAGI'!N103+'Avg Week KALAGI-MUKONO'!N103</f>
        <v>0</v>
      </c>
      <c r="O103" s="15">
        <f t="shared" si="35"/>
        <v>32.5</v>
      </c>
      <c r="P103" s="15">
        <f t="shared" si="36"/>
        <v>54</v>
      </c>
      <c r="R103" s="8"/>
      <c r="T103"/>
    </row>
    <row r="104" spans="2:20" ht="23.1" customHeight="1" x14ac:dyDescent="0.25">
      <c r="B104" s="25" t="s">
        <v>144</v>
      </c>
      <c r="C104" s="49">
        <f>'Avg Week MUKONO-KALAGI'!C104+'Avg Week KALAGI-MUKONO'!C104</f>
        <v>10.5</v>
      </c>
      <c r="D104" s="49">
        <f>'Avg Week MUKONO-KALAGI'!D104+'Avg Week KALAGI-MUKONO'!D104</f>
        <v>1.5</v>
      </c>
      <c r="E104" s="49">
        <f>'Avg Week MUKONO-KALAGI'!E104+'Avg Week KALAGI-MUKONO'!E104</f>
        <v>3</v>
      </c>
      <c r="F104" s="49">
        <f>'Avg Week MUKONO-KALAGI'!F104+'Avg Week KALAGI-MUKONO'!F104</f>
        <v>14.5</v>
      </c>
      <c r="G104" s="49">
        <f>'Avg Week MUKONO-KALAGI'!G104+'Avg Week KALAGI-MUKONO'!G104</f>
        <v>1</v>
      </c>
      <c r="H104" s="49">
        <f>'Avg Week MUKONO-KALAGI'!H104+'Avg Week KALAGI-MUKONO'!H104</f>
        <v>0</v>
      </c>
      <c r="I104" s="49">
        <f>'Avg Week MUKONO-KALAGI'!I104+'Avg Week KALAGI-MUKONO'!I104</f>
        <v>4.5</v>
      </c>
      <c r="J104" s="49">
        <f>'Avg Week MUKONO-KALAGI'!J104+'Avg Week KALAGI-MUKONO'!J104</f>
        <v>0</v>
      </c>
      <c r="K104" s="49">
        <f>'Avg Week MUKONO-KALAGI'!K104+'Avg Week KALAGI-MUKONO'!K104</f>
        <v>0</v>
      </c>
      <c r="L104" s="49">
        <f>'Avg Week MUKONO-KALAGI'!L104+'Avg Week KALAGI-MUKONO'!L104</f>
        <v>0.5</v>
      </c>
      <c r="M104" s="49">
        <f>'Avg Week MUKONO-KALAGI'!M104+'Avg Week KALAGI-MUKONO'!M104</f>
        <v>24</v>
      </c>
      <c r="N104" s="49">
        <f>'Avg Week MUKONO-KALAGI'!N104+'Avg Week KALAGI-MUKONO'!N104</f>
        <v>0</v>
      </c>
      <c r="O104" s="15">
        <f t="shared" si="35"/>
        <v>35.5</v>
      </c>
      <c r="P104" s="15">
        <f t="shared" si="36"/>
        <v>59.5</v>
      </c>
      <c r="R104" s="8"/>
      <c r="T104"/>
    </row>
    <row r="105" spans="2:20" ht="23.1" customHeight="1" x14ac:dyDescent="0.25">
      <c r="B105" s="23" t="s">
        <v>145</v>
      </c>
      <c r="C105" s="49">
        <f>'Avg Week MUKONO-KALAGI'!C105+'Avg Week KALAGI-MUKONO'!C105</f>
        <v>12</v>
      </c>
      <c r="D105" s="49">
        <f>'Avg Week MUKONO-KALAGI'!D105+'Avg Week KALAGI-MUKONO'!D105</f>
        <v>3.5</v>
      </c>
      <c r="E105" s="49">
        <f>'Avg Week MUKONO-KALAGI'!E105+'Avg Week KALAGI-MUKONO'!E105</f>
        <v>2.5</v>
      </c>
      <c r="F105" s="49">
        <f>'Avg Week MUKONO-KALAGI'!F105+'Avg Week KALAGI-MUKONO'!F105</f>
        <v>18</v>
      </c>
      <c r="G105" s="49">
        <f>'Avg Week MUKONO-KALAGI'!G105+'Avg Week KALAGI-MUKONO'!G105</f>
        <v>1.5</v>
      </c>
      <c r="H105" s="49">
        <f>'Avg Week MUKONO-KALAGI'!H105+'Avg Week KALAGI-MUKONO'!H105</f>
        <v>0</v>
      </c>
      <c r="I105" s="49">
        <f>'Avg Week MUKONO-KALAGI'!I105+'Avg Week KALAGI-MUKONO'!I105</f>
        <v>10.5</v>
      </c>
      <c r="J105" s="49">
        <f>'Avg Week MUKONO-KALAGI'!J105+'Avg Week KALAGI-MUKONO'!J105</f>
        <v>0</v>
      </c>
      <c r="K105" s="49">
        <f>'Avg Week MUKONO-KALAGI'!K105+'Avg Week KALAGI-MUKONO'!K105</f>
        <v>0</v>
      </c>
      <c r="L105" s="49">
        <f>'Avg Week MUKONO-KALAGI'!L105+'Avg Week KALAGI-MUKONO'!L105</f>
        <v>0</v>
      </c>
      <c r="M105" s="49">
        <f>'Avg Week MUKONO-KALAGI'!M105+'Avg Week KALAGI-MUKONO'!M105</f>
        <v>28.5</v>
      </c>
      <c r="N105" s="49">
        <f>'Avg Week MUKONO-KALAGI'!N105+'Avg Week KALAGI-MUKONO'!N105</f>
        <v>0</v>
      </c>
      <c r="O105" s="15">
        <f>SUM(C105:L105,N105)</f>
        <v>48</v>
      </c>
      <c r="P105" s="15">
        <f>SUM(C105:N105)</f>
        <v>76.5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1133.9999999999995</v>
      </c>
      <c r="D106" s="16">
        <f t="shared" ref="D106:P106" si="37">SUM(D10:D105)</f>
        <v>319.42857142857144</v>
      </c>
      <c r="E106" s="16">
        <f t="shared" si="37"/>
        <v>245.49999999999997</v>
      </c>
      <c r="F106" s="16">
        <f t="shared" si="37"/>
        <v>1307.6428571428573</v>
      </c>
      <c r="G106" s="16">
        <f t="shared" si="37"/>
        <v>43.214285714285722</v>
      </c>
      <c r="H106" s="16">
        <f t="shared" si="37"/>
        <v>8.2142857142857135</v>
      </c>
      <c r="I106" s="16">
        <f t="shared" si="37"/>
        <v>411.42857142857139</v>
      </c>
      <c r="J106" s="16">
        <f t="shared" si="37"/>
        <v>53.428571428571431</v>
      </c>
      <c r="K106" s="16">
        <f t="shared" si="37"/>
        <v>26.928571428571431</v>
      </c>
      <c r="L106" s="16">
        <f t="shared" si="37"/>
        <v>21.642857142857146</v>
      </c>
      <c r="M106" s="16">
        <f t="shared" si="37"/>
        <v>3021.5</v>
      </c>
      <c r="N106" s="16">
        <f t="shared" si="37"/>
        <v>3.0714285714285707</v>
      </c>
      <c r="O106" s="16">
        <f t="shared" si="37"/>
        <v>3574.5000000000005</v>
      </c>
      <c r="P106" s="16">
        <f t="shared" si="37"/>
        <v>6596.0000000000009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0.17192237719830192</v>
      </c>
      <c r="D107" s="43">
        <f t="shared" si="38"/>
        <v>4.8427618470068434E-2</v>
      </c>
      <c r="E107" s="43">
        <f t="shared" si="38"/>
        <v>3.7219526986052145E-2</v>
      </c>
      <c r="F107" s="43">
        <f t="shared" si="38"/>
        <v>0.19824785584336826</v>
      </c>
      <c r="G107" s="43">
        <f t="shared" si="38"/>
        <v>6.5515897080481679E-3</v>
      </c>
      <c r="H107" s="43">
        <f t="shared" si="38"/>
        <v>1.2453434982240316E-3</v>
      </c>
      <c r="I107" s="43">
        <f t="shared" si="38"/>
        <v>6.2375465650177583E-2</v>
      </c>
      <c r="J107" s="43">
        <f t="shared" si="38"/>
        <v>8.1001472754050063E-3</v>
      </c>
      <c r="K107" s="43">
        <f t="shared" si="38"/>
        <v>4.0825608593953039E-3</v>
      </c>
      <c r="L107" s="43">
        <f t="shared" si="38"/>
        <v>3.2812093909728841E-3</v>
      </c>
      <c r="M107" s="43">
        <f t="shared" si="38"/>
        <v>0.45808065494238925</v>
      </c>
      <c r="N107" s="43">
        <f t="shared" si="38"/>
        <v>4.6565017759681173E-4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0.3172471674360049</v>
      </c>
      <c r="D108" s="44">
        <f t="shared" ref="D108:N108" si="39">D106/$O$106</f>
        <v>8.9363147692984021E-2</v>
      </c>
      <c r="E108" s="44">
        <f t="shared" si="39"/>
        <v>6.8680934396419063E-2</v>
      </c>
      <c r="F108" s="44">
        <f t="shared" si="39"/>
        <v>0.36582539016445859</v>
      </c>
      <c r="G108" s="44">
        <f t="shared" si="39"/>
        <v>1.2089602941470337E-2</v>
      </c>
      <c r="H108" s="44">
        <f t="shared" si="39"/>
        <v>2.2980236996183278E-3</v>
      </c>
      <c r="I108" s="44">
        <f t="shared" si="39"/>
        <v>0.11510101312870928</v>
      </c>
      <c r="J108" s="44">
        <f t="shared" si="39"/>
        <v>1.4947145454908778E-2</v>
      </c>
      <c r="K108" s="44">
        <f t="shared" si="39"/>
        <v>7.533521171792258E-3</v>
      </c>
      <c r="L108" s="44">
        <f t="shared" si="39"/>
        <v>6.0547928781248131E-3</v>
      </c>
      <c r="M108" s="44"/>
      <c r="N108" s="44">
        <f t="shared" si="39"/>
        <v>8.5926103550946153E-4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29.10 MUKONO-KALAGI</vt:lpstr>
      <vt:lpstr>29.10 KALAGI-MUKONO</vt:lpstr>
      <vt:lpstr>30.10 MUKONO-KALAGI</vt:lpstr>
      <vt:lpstr>30.10-KALAGI-MUKONO</vt:lpstr>
      <vt:lpstr>31.10 MUKONO-KALAGI-24h</vt:lpstr>
      <vt:lpstr>31.10 KALAGI-MUKONO-24h</vt:lpstr>
      <vt:lpstr>1.11 MUKONO-KALAGI</vt:lpstr>
      <vt:lpstr>1.11 KALAGI-MUKONO</vt:lpstr>
      <vt:lpstr>2.11 MUKONO-KALAGI-24h</vt:lpstr>
      <vt:lpstr>2.11 KALAGI-MUKONO-24h</vt:lpstr>
      <vt:lpstr>3.11 MUKONO-KALAGI</vt:lpstr>
      <vt:lpstr>3.11 KALAGI-MUKONO</vt:lpstr>
      <vt:lpstr>4.11 MUKONO-KALAGI</vt:lpstr>
      <vt:lpstr>4.11 KALAGI-MUKONO</vt:lpstr>
      <vt:lpstr>Avg Week MUKONO-KALAGI</vt:lpstr>
      <vt:lpstr>Avg Week KALAGI-MUKONO</vt:lpstr>
      <vt:lpstr>Avg Week MUKONO-KALAGI-2Dir</vt:lpstr>
      <vt:lpstr>'1.11 KALAGI-MUKONO'!Print_Area</vt:lpstr>
      <vt:lpstr>'1.11 MUKONO-KALAGI'!Print_Area</vt:lpstr>
      <vt:lpstr>'2.11 KALAGI-MUKONO-24h'!Print_Area</vt:lpstr>
      <vt:lpstr>'2.11 MUKONO-KALAGI-24h'!Print_Area</vt:lpstr>
      <vt:lpstr>'29.10 KALAGI-MUKONO'!Print_Area</vt:lpstr>
      <vt:lpstr>'29.10 MUKONO-KALAGI'!Print_Area</vt:lpstr>
      <vt:lpstr>'3.11 KALAGI-MUKONO'!Print_Area</vt:lpstr>
      <vt:lpstr>'3.11 MUKONO-KALAGI'!Print_Area</vt:lpstr>
      <vt:lpstr>'30.10 MUKONO-KALAGI'!Print_Area</vt:lpstr>
      <vt:lpstr>'30.10-KALAGI-MUKONO'!Print_Area</vt:lpstr>
      <vt:lpstr>'31.10 KALAGI-MUKONO-24h'!Print_Area</vt:lpstr>
      <vt:lpstr>'31.10 MUKONO-KALAGI-24h'!Print_Area</vt:lpstr>
      <vt:lpstr>'4.11 KALAGI-MUKONO'!Print_Area</vt:lpstr>
      <vt:lpstr>'4.11 MUKONO-KALAGI'!Print_Area</vt:lpstr>
      <vt:lpstr>'Avg Week KALAGI-MUKONO'!Print_Area</vt:lpstr>
      <vt:lpstr>'Avg Week MUKONO-KALAGI'!Print_Area</vt:lpstr>
      <vt:lpstr>'Avg Week MUKONO-KALAGI-2Dir'!Print_Area</vt:lpstr>
      <vt:lpstr>'1.11 KALAGI-MUKONO'!Print_Titles</vt:lpstr>
      <vt:lpstr>'1.11 MUKONO-KALAGI'!Print_Titles</vt:lpstr>
      <vt:lpstr>'2.11 KALAGI-MUKONO-24h'!Print_Titles</vt:lpstr>
      <vt:lpstr>'2.11 MUKONO-KALAGI-24h'!Print_Titles</vt:lpstr>
      <vt:lpstr>'29.10 KALAGI-MUKONO'!Print_Titles</vt:lpstr>
      <vt:lpstr>'29.10 MUKONO-KALAGI'!Print_Titles</vt:lpstr>
      <vt:lpstr>'3.11 KALAGI-MUKONO'!Print_Titles</vt:lpstr>
      <vt:lpstr>'3.11 MUKONO-KALAGI'!Print_Titles</vt:lpstr>
      <vt:lpstr>'30.10 MUKONO-KALAGI'!Print_Titles</vt:lpstr>
      <vt:lpstr>'30.10-KALAGI-MUKONO'!Print_Titles</vt:lpstr>
      <vt:lpstr>'31.10 KALAGI-MUKONO-24h'!Print_Titles</vt:lpstr>
      <vt:lpstr>'31.10 MUKONO-KALAGI-24h'!Print_Titles</vt:lpstr>
      <vt:lpstr>'4.11 KALAGI-MUKONO'!Print_Titles</vt:lpstr>
      <vt:lpstr>'4.11 MUKONO-KALAGI'!Print_Titles</vt:lpstr>
      <vt:lpstr>'Avg Week KALAGI-MUKONO'!Print_Titles</vt:lpstr>
      <vt:lpstr>'Avg Week MUKONO-KALAGI'!Print_Titles</vt:lpstr>
      <vt:lpstr>'Avg Week MUKONO-KALAGI-2Dir'!Print_Titles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2020-01-16T12:06:02Z</dcterms:modified>
</cp:coreProperties>
</file>